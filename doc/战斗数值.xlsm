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codeName="ThisWorkbook" defaultThemeVersion="166925"/>
  <mc:AlternateContent xmlns:mc="http://schemas.openxmlformats.org/markup-compatibility/2006">
    <mc:Choice Requires="x15">
      <x15ac:absPath xmlns:x15ac="http://schemas.microsoft.com/office/spreadsheetml/2010/11/ac" url="D:\work\Public\Excels\ExcelTools\"/>
    </mc:Choice>
  </mc:AlternateContent>
  <xr:revisionPtr revIDLastSave="0" documentId="13_ncr:1_{809EEF8C-7938-4553-AD95-666F444EC01C}" xr6:coauthVersionLast="47" xr6:coauthVersionMax="47" xr10:uidLastSave="{00000000-0000-0000-0000-000000000000}"/>
  <bookViews>
    <workbookView xWindow="-120" yWindow="-120" windowWidth="29040" windowHeight="15720" activeTab="4" xr2:uid="{2E0BB1D1-6406-4149-80A4-465E20523C8B}"/>
  </bookViews>
  <sheets>
    <sheet name="基础模型(平衡）" sheetId="2" r:id="rId1"/>
    <sheet name="基础模型" sheetId="3" r:id="rId2"/>
    <sheet name="战斗公式" sheetId="1" r:id="rId3"/>
    <sheet name="玩家成长" sheetId="5" r:id="rId4"/>
    <sheet name="角色升级" sheetId="10" r:id="rId5"/>
    <sheet name="角色品星" sheetId="6" r:id="rId6"/>
    <sheet name="技能模板" sheetId="8" r:id="rId7"/>
    <sheet name="战斗模拟" sheetId="9"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38" i="10" l="1"/>
  <c r="N39" i="10"/>
  <c r="N16" i="10"/>
  <c r="L17" i="10"/>
  <c r="L18" i="10" s="1"/>
  <c r="L19" i="10" s="1"/>
  <c r="L20" i="10" s="1"/>
  <c r="L21" i="10" s="1"/>
  <c r="L22" i="10" s="1"/>
  <c r="L23" i="10" s="1"/>
  <c r="L24" i="10" s="1"/>
  <c r="L25" i="10" s="1"/>
  <c r="L26" i="10" s="1"/>
  <c r="L27" i="10" s="1"/>
  <c r="L28" i="10" s="1"/>
  <c r="L29" i="10" s="1"/>
  <c r="L30" i="10" s="1"/>
  <c r="L31" i="10" s="1"/>
  <c r="L32" i="10" s="1"/>
  <c r="L33" i="10" s="1"/>
  <c r="L34" i="10" s="1"/>
  <c r="L35" i="10" s="1"/>
  <c r="N35" i="10" s="1"/>
  <c r="J18" i="10"/>
  <c r="J19" i="10" s="1"/>
  <c r="J20" i="10" s="1"/>
  <c r="J21" i="10" s="1"/>
  <c r="J22" i="10" s="1"/>
  <c r="J23" i="10" s="1"/>
  <c r="J24" i="10" s="1"/>
  <c r="J25" i="10" s="1"/>
  <c r="J26" i="10" s="1"/>
  <c r="J27" i="10" s="1"/>
  <c r="J28" i="10" s="1"/>
  <c r="J29" i="10" s="1"/>
  <c r="J30" i="10" s="1"/>
  <c r="J31" i="10" s="1"/>
  <c r="J32" i="10" s="1"/>
  <c r="J33" i="10" s="1"/>
  <c r="J34" i="10" s="1"/>
  <c r="J35" i="10" s="1"/>
  <c r="J17" i="10"/>
  <c r="F18" i="5"/>
  <c r="F4" i="10"/>
  <c r="T32" i="10"/>
  <c r="V32" i="10" s="1"/>
  <c r="T31" i="10"/>
  <c r="V31" i="10" s="1"/>
  <c r="R32" i="10"/>
  <c r="T24" i="10"/>
  <c r="V24" i="10" s="1"/>
  <c r="V23" i="10"/>
  <c r="R31" i="10"/>
  <c r="V22" i="10"/>
  <c r="T23" i="10"/>
  <c r="N20" i="10" l="1"/>
  <c r="N18" i="10"/>
  <c r="N27" i="10"/>
  <c r="N34" i="10"/>
  <c r="N32" i="10"/>
  <c r="N31" i="10"/>
  <c r="N29" i="10"/>
  <c r="N26" i="10"/>
  <c r="N23" i="10"/>
  <c r="N22" i="10"/>
  <c r="N33" i="10"/>
  <c r="N30" i="10"/>
  <c r="N28" i="10"/>
  <c r="N25" i="10"/>
  <c r="N24" i="10"/>
  <c r="N21" i="10"/>
  <c r="N19" i="10"/>
  <c r="N17" i="10"/>
  <c r="E4" i="10"/>
  <c r="E6" i="10"/>
  <c r="S18" i="10"/>
  <c r="S17" i="10"/>
  <c r="T17" i="10" s="1"/>
  <c r="S16" i="10"/>
  <c r="N3" i="5"/>
  <c r="M3" i="5"/>
  <c r="E22" i="5" l="1"/>
  <c r="F20" i="5"/>
  <c r="F19" i="5"/>
  <c r="O3" i="5"/>
  <c r="F17" i="5"/>
  <c r="E7" i="5"/>
  <c r="E8" i="5"/>
  <c r="E9" i="5"/>
  <c r="E10" i="5"/>
  <c r="E11" i="5"/>
  <c r="E12" i="5"/>
  <c r="E6" i="5"/>
  <c r="C21" i="2" l="1"/>
  <c r="G21" i="2" s="1"/>
  <c r="C17" i="2"/>
  <c r="C18" i="2" s="1"/>
  <c r="G18" i="2" s="1"/>
  <c r="E18" i="2"/>
  <c r="F18" i="2"/>
  <c r="E19" i="2"/>
  <c r="F19" i="2"/>
  <c r="E20" i="2"/>
  <c r="F20" i="2"/>
  <c r="E21" i="2"/>
  <c r="F21" i="2"/>
  <c r="F17" i="2"/>
  <c r="E17" i="2"/>
  <c r="B20" i="2"/>
  <c r="A20" i="2"/>
  <c r="B19" i="2"/>
  <c r="A19" i="2"/>
  <c r="B18" i="2"/>
  <c r="A18" i="2"/>
  <c r="B17" i="2"/>
  <c r="A17" i="2"/>
  <c r="E17" i="3"/>
  <c r="F17" i="3"/>
  <c r="G17" i="3"/>
  <c r="E18" i="3"/>
  <c r="F18" i="3"/>
  <c r="G18" i="3"/>
  <c r="E19" i="3"/>
  <c r="F19" i="3"/>
  <c r="G19" i="3"/>
  <c r="E20" i="3"/>
  <c r="F20" i="3"/>
  <c r="G20" i="3"/>
  <c r="E21" i="3"/>
  <c r="F21" i="3"/>
  <c r="G21" i="3"/>
  <c r="L6" i="3"/>
  <c r="X21" i="2"/>
  <c r="X22" i="2"/>
  <c r="X20" i="2"/>
  <c r="W21" i="2"/>
  <c r="W22" i="2"/>
  <c r="W20" i="2"/>
  <c r="G17" i="2" l="1"/>
  <c r="C19" i="2"/>
  <c r="C20" i="2" l="1"/>
  <c r="G20" i="2" s="1"/>
  <c r="G19" i="2"/>
  <c r="S4" i="2" l="1"/>
  <c r="G24" i="2"/>
  <c r="E37" i="2"/>
  <c r="F36" i="2"/>
  <c r="S8" i="2"/>
  <c r="F32" i="2"/>
  <c r="F31" i="2"/>
  <c r="F30" i="2"/>
  <c r="F29" i="2"/>
  <c r="F28" i="2"/>
  <c r="M10" i="2"/>
  <c r="M16" i="2" s="1"/>
  <c r="M44" i="2" s="1"/>
  <c r="E25" i="2"/>
  <c r="G37" i="2"/>
  <c r="F37" i="2"/>
  <c r="G36" i="2"/>
  <c r="E36" i="2"/>
  <c r="G35" i="2"/>
  <c r="M7" i="2"/>
  <c r="M13" i="2" s="1"/>
  <c r="G34" i="2"/>
  <c r="T16" i="2"/>
  <c r="R44" i="2" s="1"/>
  <c r="N16" i="2"/>
  <c r="N44" i="2" s="1"/>
  <c r="B5" i="9" a="1"/>
  <c r="L9" i="2" l="1"/>
  <c r="L7" i="2"/>
  <c r="E34" i="2"/>
  <c r="L6" i="2"/>
  <c r="N9" i="2"/>
  <c r="M9" i="2"/>
  <c r="M15" i="2" s="1"/>
  <c r="N8" i="2"/>
  <c r="N6" i="2"/>
  <c r="S6" i="2"/>
  <c r="T9" i="2"/>
  <c r="T10" i="2"/>
  <c r="N7" i="2"/>
  <c r="T8" i="2"/>
  <c r="T6" i="2"/>
  <c r="T7" i="2"/>
  <c r="S10" i="2"/>
  <c r="S16" i="2" s="1"/>
  <c r="Q44" i="2" s="1"/>
  <c r="M6" i="2"/>
  <c r="M12" i="2" s="1"/>
  <c r="M8" i="2"/>
  <c r="R10" i="2"/>
  <c r="L10" i="2"/>
  <c r="L8" i="2"/>
  <c r="N10" i="2"/>
  <c r="B5" i="9"/>
  <c r="R6" i="2"/>
  <c r="R8" i="2"/>
  <c r="S7" i="2"/>
  <c r="S13" i="2" s="1"/>
  <c r="S9" i="2"/>
  <c r="S15" i="2" s="1"/>
  <c r="R9" i="2"/>
  <c r="R7" i="2"/>
  <c r="F23" i="2"/>
  <c r="F24" i="2" s="1"/>
  <c r="E23" i="2"/>
  <c r="H25" i="2"/>
  <c r="G23" i="2"/>
  <c r="F34" i="2"/>
  <c r="E35" i="2"/>
  <c r="E24" i="2"/>
  <c r="H24" i="2" s="1"/>
  <c r="F35" i="2"/>
  <c r="E38" i="2"/>
  <c r="E42" i="2" s="1"/>
  <c r="F38" i="2"/>
  <c r="G38" i="2"/>
  <c r="G41" i="2" s="1"/>
  <c r="F25" i="2"/>
  <c r="F32" i="3"/>
  <c r="E35" i="3"/>
  <c r="F35" i="3"/>
  <c r="G35" i="3"/>
  <c r="E36" i="3"/>
  <c r="F36" i="3"/>
  <c r="G36" i="3"/>
  <c r="E37" i="3"/>
  <c r="F37" i="3"/>
  <c r="G37" i="3"/>
  <c r="E38" i="3"/>
  <c r="F38" i="3"/>
  <c r="G38" i="3"/>
  <c r="F34" i="3"/>
  <c r="G34" i="3"/>
  <c r="E34" i="3"/>
  <c r="E23" i="3"/>
  <c r="H17" i="3" s="1"/>
  <c r="F29" i="3"/>
  <c r="F30" i="3"/>
  <c r="F31" i="3"/>
  <c r="F28" i="3"/>
  <c r="F25" i="3"/>
  <c r="E25" i="3"/>
  <c r="F23" i="3"/>
  <c r="F24" i="3" s="1"/>
  <c r="M4" i="9"/>
  <c r="A52" i="9"/>
  <c r="H18" i="9"/>
  <c r="I18" i="9" s="1"/>
  <c r="H29" i="9"/>
  <c r="I29" i="9" s="1"/>
  <c r="J18" i="9"/>
  <c r="K18" i="9"/>
  <c r="N18" i="9"/>
  <c r="M18" i="9" s="1"/>
  <c r="O18" i="9"/>
  <c r="P18" i="9"/>
  <c r="Q18" i="9"/>
  <c r="R18" i="9"/>
  <c r="R29" i="9"/>
  <c r="J29" i="9"/>
  <c r="N29" i="9" s="1"/>
  <c r="M29" i="9" s="1"/>
  <c r="K29" i="9"/>
  <c r="F42" i="3" l="1"/>
  <c r="E40" i="3"/>
  <c r="G41" i="3"/>
  <c r="G40" i="3"/>
  <c r="H40" i="3"/>
  <c r="R12" i="2"/>
  <c r="P22" i="2" s="1"/>
  <c r="M14" i="2"/>
  <c r="N15" i="2"/>
  <c r="T13" i="2"/>
  <c r="S12" i="2"/>
  <c r="L14" i="2"/>
  <c r="N32" i="2" s="1"/>
  <c r="L15" i="2"/>
  <c r="R16" i="2"/>
  <c r="P44" i="2" s="1"/>
  <c r="R15" i="2"/>
  <c r="L16" i="2"/>
  <c r="L44" i="2" s="1"/>
  <c r="S14" i="2"/>
  <c r="L12" i="2"/>
  <c r="N22" i="2" s="1"/>
  <c r="N14" i="2"/>
  <c r="N13" i="2"/>
  <c r="L13" i="2"/>
  <c r="R13" i="2"/>
  <c r="R14" i="2"/>
  <c r="T12" i="2"/>
  <c r="N12" i="2"/>
  <c r="N21" i="2" s="1"/>
  <c r="T15" i="2"/>
  <c r="H23" i="2"/>
  <c r="H26" i="2" s="1"/>
  <c r="T14" i="2"/>
  <c r="E41" i="2"/>
  <c r="H41" i="2" s="1"/>
  <c r="E40" i="2"/>
  <c r="F40" i="2"/>
  <c r="F41" i="2" s="1"/>
  <c r="H42" i="2"/>
  <c r="F42" i="2"/>
  <c r="G40" i="2"/>
  <c r="E41" i="3"/>
  <c r="F40" i="3"/>
  <c r="F41" i="3" s="1"/>
  <c r="E42" i="3"/>
  <c r="H42" i="3" s="1"/>
  <c r="L18" i="9"/>
  <c r="O29" i="9"/>
  <c r="Q29" i="9"/>
  <c r="P29" i="9"/>
  <c r="H41" i="3" l="1"/>
  <c r="P31" i="2"/>
  <c r="E55" i="2"/>
  <c r="E52" i="2"/>
  <c r="P21" i="2"/>
  <c r="O21" i="2" s="1"/>
  <c r="E51" i="2"/>
  <c r="N31" i="2"/>
  <c r="P32" i="2"/>
  <c r="H40" i="2"/>
  <c r="H43" i="2" s="1"/>
  <c r="E53" i="2"/>
  <c r="H43" i="3"/>
  <c r="L29" i="9"/>
  <c r="O31" i="2" l="1"/>
  <c r="R31" i="2" s="1"/>
  <c r="E54" i="2"/>
  <c r="F54" i="2" s="1"/>
  <c r="O32" i="2"/>
  <c r="M33" i="2"/>
  <c r="N34" i="2" s="1"/>
  <c r="O22" i="2"/>
  <c r="R21" i="2"/>
  <c r="Q23" i="2"/>
  <c r="P24" i="2" s="1"/>
  <c r="M23" i="2"/>
  <c r="N24" i="2" s="1"/>
  <c r="E47" i="1"/>
  <c r="E48" i="1"/>
  <c r="H25" i="3"/>
  <c r="E24" i="3"/>
  <c r="Q33" i="2" l="1"/>
  <c r="P34" i="2" s="1"/>
  <c r="F51" i="2"/>
  <c r="F53" i="2"/>
  <c r="F55" i="2"/>
  <c r="E59" i="2" s="1"/>
  <c r="F52" i="2"/>
  <c r="E58" i="2" s="1"/>
  <c r="P33" i="2"/>
  <c r="N33" i="2"/>
  <c r="E57" i="2"/>
  <c r="P23" i="2"/>
  <c r="N23" i="2"/>
  <c r="D34" i="9"/>
  <c r="J34" i="9"/>
  <c r="G23" i="3"/>
  <c r="H23" i="3" s="1"/>
  <c r="O33" i="2" l="1"/>
  <c r="Q35" i="2" s="1"/>
  <c r="P36" i="2" s="1"/>
  <c r="O23" i="2"/>
  <c r="M25" i="2" s="1"/>
  <c r="N26" i="2" s="1"/>
  <c r="C55" i="9"/>
  <c r="C44" i="9"/>
  <c r="C20" i="9"/>
  <c r="C21" i="9"/>
  <c r="C22" i="9"/>
  <c r="C23" i="9"/>
  <c r="C12" i="9"/>
  <c r="C54" i="9"/>
  <c r="C53" i="9"/>
  <c r="C52" i="9"/>
  <c r="C43" i="9"/>
  <c r="C42" i="9"/>
  <c r="C41" i="9"/>
  <c r="H35" i="9"/>
  <c r="G34" i="9"/>
  <c r="H3" i="9"/>
  <c r="G2" i="9"/>
  <c r="J2" i="9"/>
  <c r="D2" i="9"/>
  <c r="F25" i="9"/>
  <c r="D25" i="9" s="1"/>
  <c r="F11" i="9"/>
  <c r="E11" i="9" s="1"/>
  <c r="F14" i="9"/>
  <c r="D14" i="9" s="1"/>
  <c r="F16" i="9"/>
  <c r="D16" i="9" s="1"/>
  <c r="F21" i="9"/>
  <c r="D21" i="9" s="1"/>
  <c r="C11" i="9"/>
  <c r="C9" i="9"/>
  <c r="C10" i="9"/>
  <c r="R33" i="2" l="1"/>
  <c r="O34" i="2"/>
  <c r="M35" i="2"/>
  <c r="N36" i="2" s="1"/>
  <c r="Q25" i="2"/>
  <c r="P26" i="2" s="1"/>
  <c r="R23" i="2"/>
  <c r="O24" i="2"/>
  <c r="F10" i="9"/>
  <c r="F18" i="9"/>
  <c r="F29" i="9"/>
  <c r="F27" i="9"/>
  <c r="D11" i="9"/>
  <c r="E14" i="9"/>
  <c r="F22" i="9"/>
  <c r="D22" i="9" s="1"/>
  <c r="F28" i="9"/>
  <c r="F15" i="9"/>
  <c r="F12" i="9"/>
  <c r="E16" i="9"/>
  <c r="F17" i="9"/>
  <c r="F13" i="9"/>
  <c r="E22" i="9"/>
  <c r="E21" i="9"/>
  <c r="E25" i="9"/>
  <c r="F26" i="9"/>
  <c r="F24" i="9"/>
  <c r="F23" i="9"/>
  <c r="D10" i="9"/>
  <c r="E10" i="9"/>
  <c r="E10" i="8"/>
  <c r="E11" i="8" s="1"/>
  <c r="F11" i="8" s="1"/>
  <c r="E9" i="8"/>
  <c r="E6" i="8"/>
  <c r="E8" i="8"/>
  <c r="E7" i="8"/>
  <c r="N25" i="2" l="1"/>
  <c r="N35" i="2"/>
  <c r="P35" i="2"/>
  <c r="P25" i="2"/>
  <c r="D18" i="9"/>
  <c r="E18" i="9"/>
  <c r="D27" i="9"/>
  <c r="E27" i="9"/>
  <c r="D29" i="9"/>
  <c r="E29" i="9"/>
  <c r="D28" i="9"/>
  <c r="E28" i="9"/>
  <c r="D13" i="9"/>
  <c r="E13" i="9"/>
  <c r="D17" i="9"/>
  <c r="E17" i="9"/>
  <c r="E12" i="9"/>
  <c r="D12" i="9"/>
  <c r="D15" i="9"/>
  <c r="E15" i="9"/>
  <c r="D23" i="9"/>
  <c r="E23" i="9"/>
  <c r="E26" i="9"/>
  <c r="D26" i="9"/>
  <c r="E24" i="9"/>
  <c r="D24" i="9"/>
  <c r="G24" i="3"/>
  <c r="H24" i="3" s="1"/>
  <c r="H26" i="3" s="1"/>
  <c r="E5" i="6"/>
  <c r="E6" i="6"/>
  <c r="E7" i="6"/>
  <c r="E8" i="6"/>
  <c r="E9" i="6"/>
  <c r="E10" i="6"/>
  <c r="E11" i="6"/>
  <c r="E12" i="6"/>
  <c r="E13" i="6"/>
  <c r="E14" i="6"/>
  <c r="E4" i="6"/>
  <c r="O25" i="2" l="1"/>
  <c r="Q27" i="2" s="1"/>
  <c r="Q28" i="2" s="1"/>
  <c r="R42" i="2" s="1"/>
  <c r="O35" i="2"/>
  <c r="M37" i="2" s="1"/>
  <c r="N38" i="2" s="1"/>
  <c r="M38" i="2" l="1"/>
  <c r="N43" i="2" s="1"/>
  <c r="O36" i="2"/>
  <c r="N37" i="2"/>
  <c r="R35" i="2"/>
  <c r="Q37" i="2"/>
  <c r="Q38" i="2"/>
  <c r="R43" i="2" s="1"/>
  <c r="M39" i="2"/>
  <c r="N40" i="2" s="1"/>
  <c r="L43" i="2" s="1"/>
  <c r="M27" i="2"/>
  <c r="N27" i="2" s="1"/>
  <c r="R25" i="2"/>
  <c r="O26" i="2"/>
  <c r="P28" i="2"/>
  <c r="E55" i="3"/>
  <c r="N16" i="3"/>
  <c r="N44" i="3" s="1"/>
  <c r="P37" i="2" l="1"/>
  <c r="O37" i="2" s="1"/>
  <c r="R37" i="2" s="1"/>
  <c r="R39" i="2" s="1"/>
  <c r="P38" i="2"/>
  <c r="Q39" i="2"/>
  <c r="P40" i="2" s="1"/>
  <c r="P43" i="2" s="1"/>
  <c r="Q43" i="2" s="1"/>
  <c r="Q29" i="2"/>
  <c r="P30" i="2" s="1"/>
  <c r="P42" i="2" s="1"/>
  <c r="P27" i="2"/>
  <c r="O27" i="2" s="1"/>
  <c r="O38" i="2"/>
  <c r="M43" i="2" s="1"/>
  <c r="M29" i="2"/>
  <c r="N30" i="2" s="1"/>
  <c r="L42" i="2" s="1"/>
  <c r="M28" i="2"/>
  <c r="N42" i="2" s="1"/>
  <c r="N28" i="2"/>
  <c r="O42" i="2"/>
  <c r="O43" i="2" s="1"/>
  <c r="Q47" i="2"/>
  <c r="P48" i="2" s="1"/>
  <c r="E51" i="3"/>
  <c r="E53" i="3" s="1"/>
  <c r="E52" i="3"/>
  <c r="E54" i="3" s="1"/>
  <c r="E44" i="1"/>
  <c r="O28" i="2" l="1"/>
  <c r="R27" i="2"/>
  <c r="R29" i="2" s="1"/>
  <c r="M42" i="2"/>
  <c r="M47" i="2"/>
  <c r="N48" i="2" s="1"/>
  <c r="K42" i="2"/>
  <c r="K43" i="2" s="1"/>
  <c r="Q42" i="2"/>
  <c r="F52" i="3"/>
  <c r="F55" i="3"/>
  <c r="E59" i="3" s="1"/>
  <c r="F54" i="3"/>
  <c r="F51" i="3"/>
  <c r="F53" i="3"/>
  <c r="E45" i="1"/>
  <c r="P47" i="2" l="1"/>
  <c r="N47" i="2"/>
  <c r="E58" i="3"/>
  <c r="E57" i="3"/>
  <c r="N10" i="3"/>
  <c r="M10" i="3"/>
  <c r="M16" i="3" s="1"/>
  <c r="M44" i="3" s="1"/>
  <c r="M7" i="3"/>
  <c r="M13" i="3" s="1"/>
  <c r="O47" i="2" l="1"/>
  <c r="Q49" i="2" s="1"/>
  <c r="P50" i="2" s="1"/>
  <c r="O48" i="2"/>
  <c r="R10" i="3"/>
  <c r="R9" i="3"/>
  <c r="L7" i="3"/>
  <c r="M8" i="3"/>
  <c r="N8" i="3"/>
  <c r="R8" i="3"/>
  <c r="S8" i="3"/>
  <c r="L9" i="3"/>
  <c r="M9" i="3"/>
  <c r="M15" i="3" s="1"/>
  <c r="S9" i="3"/>
  <c r="S15" i="3" s="1"/>
  <c r="R6" i="3"/>
  <c r="N7" i="3"/>
  <c r="N13" i="3" s="1"/>
  <c r="T6" i="3"/>
  <c r="N9" i="3"/>
  <c r="N15" i="3" s="1"/>
  <c r="T9" i="3"/>
  <c r="L8" i="3"/>
  <c r="T8" i="3"/>
  <c r="R7" i="3"/>
  <c r="S7" i="3"/>
  <c r="S13" i="3" s="1"/>
  <c r="T7" i="3"/>
  <c r="T10" i="3"/>
  <c r="T16" i="3" s="1"/>
  <c r="S10" i="3"/>
  <c r="S16" i="3" s="1"/>
  <c r="M6" i="3"/>
  <c r="N6" i="3"/>
  <c r="S6" i="3"/>
  <c r="L10" i="3"/>
  <c r="R47" i="2" l="1"/>
  <c r="M49" i="2"/>
  <c r="L16" i="3"/>
  <c r="L44" i="3" s="1"/>
  <c r="L12" i="3"/>
  <c r="R16" i="3"/>
  <c r="P44" i="3" s="1"/>
  <c r="N12" i="3"/>
  <c r="R13" i="3"/>
  <c r="R15" i="3"/>
  <c r="L15" i="3"/>
  <c r="R14" i="3"/>
  <c r="M12" i="3"/>
  <c r="N14" i="3"/>
  <c r="L13" i="3"/>
  <c r="N22" i="3"/>
  <c r="L14" i="3"/>
  <c r="N32" i="3" s="1"/>
  <c r="M14" i="3"/>
  <c r="Q44" i="3"/>
  <c r="T13" i="3"/>
  <c r="T14" i="3"/>
  <c r="P31" i="3" s="1"/>
  <c r="S14" i="3"/>
  <c r="T15" i="3"/>
  <c r="R12" i="3"/>
  <c r="N21" i="3" s="1"/>
  <c r="T12" i="3"/>
  <c r="S12" i="3"/>
  <c r="N50" i="2" l="1"/>
  <c r="P49" i="2"/>
  <c r="N49" i="2"/>
  <c r="P21" i="3"/>
  <c r="P32" i="3"/>
  <c r="N31" i="3"/>
  <c r="O31" i="3" s="1"/>
  <c r="R31" i="3" s="1"/>
  <c r="P22" i="3"/>
  <c r="R44" i="3"/>
  <c r="O49" i="2" l="1"/>
  <c r="M51" i="2" s="1"/>
  <c r="N52" i="2" s="1"/>
  <c r="R49" i="2"/>
  <c r="Q51" i="2"/>
  <c r="O18" i="2" s="1"/>
  <c r="N51" i="2"/>
  <c r="O21" i="3"/>
  <c r="R21" i="3" s="1"/>
  <c r="Q33" i="3"/>
  <c r="P34" i="3" s="1"/>
  <c r="O32" i="3"/>
  <c r="M33" i="3"/>
  <c r="O50" i="2" l="1"/>
  <c r="P51" i="2"/>
  <c r="O51" i="2" s="1"/>
  <c r="P52" i="2"/>
  <c r="O22" i="3"/>
  <c r="M23" i="3"/>
  <c r="Q23" i="3"/>
  <c r="P24" i="3" s="1"/>
  <c r="P33" i="3"/>
  <c r="N33" i="3"/>
  <c r="N34" i="3"/>
  <c r="O52" i="2" l="1"/>
  <c r="R51" i="2"/>
  <c r="R52" i="2" s="1"/>
  <c r="R19" i="2" s="1"/>
  <c r="N23" i="3"/>
  <c r="N24" i="3"/>
  <c r="O33" i="3"/>
  <c r="Q35" i="3" s="1"/>
  <c r="P23" i="3"/>
  <c r="O34" i="3" l="1"/>
  <c r="M35" i="3"/>
  <c r="N36" i="3" s="1"/>
  <c r="R33" i="3"/>
  <c r="O23" i="3"/>
  <c r="O24" i="3" s="1"/>
  <c r="P36" i="3"/>
  <c r="N35" i="3" l="1"/>
  <c r="P35" i="3"/>
  <c r="M25" i="3"/>
  <c r="R23" i="3"/>
  <c r="Q25" i="3"/>
  <c r="P26" i="3" s="1"/>
  <c r="O35" i="3" l="1"/>
  <c r="O36" i="3" s="1"/>
  <c r="N26" i="3"/>
  <c r="N25" i="3"/>
  <c r="P25" i="3"/>
  <c r="M37" i="3" l="1"/>
  <c r="Q37" i="3"/>
  <c r="R35" i="3"/>
  <c r="M38" i="3" l="1"/>
  <c r="N43" i="3" s="1"/>
  <c r="M39" i="3"/>
  <c r="N40" i="3" s="1"/>
  <c r="L43" i="3" s="1"/>
  <c r="P37" i="3"/>
  <c r="Q39" i="3"/>
  <c r="P40" i="3" s="1"/>
  <c r="P43" i="3" s="1"/>
  <c r="P38" i="3"/>
  <c r="Q38" i="3"/>
  <c r="R43" i="3" s="1"/>
  <c r="N37" i="3"/>
  <c r="N38" i="3"/>
  <c r="O37" i="3" l="1"/>
  <c r="O38" i="3" s="1"/>
  <c r="M43" i="3" s="1"/>
  <c r="R37" i="3" l="1"/>
  <c r="R39" i="3" s="1"/>
  <c r="Q43" i="3"/>
  <c r="O25" i="3" l="1"/>
  <c r="O26" i="3" l="1"/>
  <c r="Q27" i="3"/>
  <c r="M27" i="3"/>
  <c r="R25" i="3"/>
  <c r="M29" i="3" l="1"/>
  <c r="N30" i="3" s="1"/>
  <c r="L42" i="3" s="1"/>
  <c r="Q29" i="3"/>
  <c r="P30" i="3" s="1"/>
  <c r="P42" i="3" s="1"/>
  <c r="P28" i="3"/>
  <c r="N27" i="3"/>
  <c r="M28" i="3"/>
  <c r="N42" i="3" s="1"/>
  <c r="Q28" i="3"/>
  <c r="R42" i="3" s="1"/>
  <c r="N28" i="3"/>
  <c r="P27" i="3"/>
  <c r="O42" i="3" l="1"/>
  <c r="O43" i="3" s="1"/>
  <c r="M47" i="3"/>
  <c r="K42" i="3"/>
  <c r="K43" i="3" s="1"/>
  <c r="Q47" i="3"/>
  <c r="O27" i="3"/>
  <c r="O28" i="3" s="1"/>
  <c r="M42" i="3" s="1"/>
  <c r="Q42" i="3" l="1"/>
  <c r="N47" i="3"/>
  <c r="P48" i="3"/>
  <c r="N48" i="3"/>
  <c r="P47" i="3"/>
  <c r="R27" i="3"/>
  <c r="R29" i="3" s="1"/>
  <c r="O47" i="3" l="1"/>
  <c r="R47" i="3" s="1"/>
  <c r="Q49" i="3" l="1"/>
  <c r="P50" i="3" s="1"/>
  <c r="M49" i="3"/>
  <c r="N50" i="3" s="1"/>
  <c r="O48" i="3"/>
  <c r="N49" i="3" l="1"/>
  <c r="P49" i="3"/>
  <c r="O49" i="3" l="1"/>
  <c r="M51" i="3" s="1"/>
  <c r="O50" i="3" l="1"/>
  <c r="Q51" i="3"/>
  <c r="O18" i="3" s="1"/>
  <c r="R49" i="3"/>
  <c r="N52" i="3"/>
  <c r="P52" i="3" l="1"/>
  <c r="P51" i="3"/>
  <c r="N51" i="3"/>
  <c r="O51" i="3" l="1"/>
  <c r="R51" i="3" s="1"/>
  <c r="R52" i="3" s="1"/>
  <c r="R19" i="3" s="1"/>
  <c r="O52" i="3"/>
  <c r="O4" i="9" l="1"/>
  <c r="A20" i="9"/>
  <c r="P4" i="9" l="1"/>
  <c r="A9" i="9"/>
  <c r="A41" i="9" l="1"/>
  <c r="L5" i="9" l="1"/>
  <c r="L4" i="9"/>
  <c r="N4" i="9" s="1"/>
  <c r="N5"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G10" authorId="0" shapeId="0" xr:uid="{3BDDD8F3-45EA-462E-AFC4-B5A0A9F72A63}">
      <text>
        <r>
          <rPr>
            <b/>
            <sz val="9"/>
            <color indexed="81"/>
            <rFont val="宋体"/>
            <family val="3"/>
            <charset val="134"/>
          </rPr>
          <t>admin:</t>
        </r>
        <r>
          <rPr>
            <sz val="9"/>
            <color indexed="81"/>
            <rFont val="宋体"/>
            <family val="3"/>
            <charset val="134"/>
          </rPr>
          <t xml:space="preserve">
每节奏单位内回复血量，等同于对方伤害减少</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G10" authorId="0" shapeId="0" xr:uid="{94405336-3050-4D0B-B491-49F203D21FDA}">
      <text>
        <r>
          <rPr>
            <b/>
            <sz val="9"/>
            <color indexed="81"/>
            <rFont val="宋体"/>
            <family val="3"/>
            <charset val="134"/>
          </rPr>
          <t>admin:</t>
        </r>
        <r>
          <rPr>
            <sz val="9"/>
            <color indexed="81"/>
            <rFont val="宋体"/>
            <family val="3"/>
            <charset val="134"/>
          </rPr>
          <t xml:space="preserve">
每节奏单位内回复血量，等同于对方伤害减少</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H14" authorId="0" shapeId="0" xr:uid="{62DB24E5-2496-46DF-8B54-81153AAB989C}">
      <text>
        <r>
          <rPr>
            <b/>
            <sz val="9"/>
            <color indexed="81"/>
            <rFont val="宋体"/>
            <family val="3"/>
            <charset val="134"/>
          </rPr>
          <t>admin:</t>
        </r>
        <r>
          <rPr>
            <sz val="9"/>
            <color indexed="81"/>
            <rFont val="宋体"/>
            <family val="3"/>
            <charset val="134"/>
          </rPr>
          <t xml:space="preserve">
原始暴伤倍率1.5</t>
        </r>
      </text>
    </comment>
    <comment ref="H15" authorId="0" shapeId="0" xr:uid="{49A8C359-C83F-485B-BD1D-2252C3B7EA5B}">
      <text>
        <r>
          <rPr>
            <b/>
            <sz val="9"/>
            <color indexed="81"/>
            <rFont val="宋体"/>
            <family val="3"/>
            <charset val="134"/>
          </rPr>
          <t>admin:</t>
        </r>
        <r>
          <rPr>
            <sz val="9"/>
            <color indexed="81"/>
            <rFont val="宋体"/>
            <family val="3"/>
            <charset val="134"/>
          </rPr>
          <t xml:space="preserve">
原始攻速默认为1，每张卡可能不尽相同</t>
        </r>
      </text>
    </comment>
    <comment ref="D36" authorId="0" shapeId="0" xr:uid="{61BDB054-8789-4D6D-8FAA-38D60FA8D870}">
      <text>
        <r>
          <rPr>
            <b/>
            <sz val="9"/>
            <color indexed="81"/>
            <rFont val="宋体"/>
            <family val="3"/>
            <charset val="134"/>
          </rPr>
          <t>admin:</t>
        </r>
        <r>
          <rPr>
            <sz val="9"/>
            <color indexed="81"/>
            <rFont val="宋体"/>
            <family val="3"/>
            <charset val="134"/>
          </rPr>
          <t xml:space="preserve">
会有投放上限，一般会投放到2倍的参数水平，超过后不建议再投放了</t>
        </r>
      </text>
    </comment>
    <comment ref="D42" authorId="0" shapeId="0" xr:uid="{83911AD7-4591-4C3E-A2C2-F509AAF6430A}">
      <text>
        <r>
          <rPr>
            <b/>
            <sz val="9"/>
            <color indexed="81"/>
            <rFont val="宋体"/>
            <family val="3"/>
            <charset val="134"/>
          </rPr>
          <t>admin:</t>
        </r>
        <r>
          <rPr>
            <sz val="9"/>
            <color indexed="81"/>
            <rFont val="宋体"/>
            <family val="3"/>
            <charset val="134"/>
          </rPr>
          <t xml:space="preserve">
攻防节奏</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D7" authorId="0" shapeId="0" xr:uid="{56AA40FA-DA85-4E36-8A62-12390695AD2F}">
      <text>
        <r>
          <rPr>
            <b/>
            <sz val="9"/>
            <color indexed="81"/>
            <rFont val="宋体"/>
            <family val="3"/>
            <charset val="134"/>
          </rPr>
          <t>Administrator:</t>
        </r>
        <r>
          <rPr>
            <sz val="9"/>
            <color indexed="81"/>
            <rFont val="宋体"/>
            <family val="3"/>
            <charset val="134"/>
          </rPr>
          <t xml:space="preserve">
伤害和承伤2选一,此处标记的比例是伤害或承伤的最大比例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G1" authorId="0" shapeId="0" xr:uid="{012823D1-8ADB-4272-88F0-A252760107BA}">
      <text>
        <r>
          <rPr>
            <b/>
            <sz val="9"/>
            <color indexed="81"/>
            <rFont val="宋体"/>
            <family val="3"/>
            <charset val="134"/>
          </rPr>
          <t>admin:</t>
        </r>
        <r>
          <rPr>
            <sz val="9"/>
            <color indexed="81"/>
            <rFont val="宋体"/>
            <family val="3"/>
            <charset val="134"/>
          </rPr>
          <t xml:space="preserve">
模拟次数</t>
        </r>
      </text>
    </comment>
    <comment ref="F3" authorId="0" shapeId="0" xr:uid="{DC92A511-373F-41E0-A201-27FF7AB4E469}">
      <text>
        <r>
          <rPr>
            <b/>
            <sz val="9"/>
            <color indexed="81"/>
            <rFont val="宋体"/>
            <family val="3"/>
            <charset val="134"/>
          </rPr>
          <t>admin:</t>
        </r>
        <r>
          <rPr>
            <sz val="9"/>
            <color indexed="81"/>
            <rFont val="宋体"/>
            <family val="3"/>
            <charset val="134"/>
          </rPr>
          <t xml:space="preserve">
平均回合（一回合1秒）或者时间</t>
        </r>
      </text>
    </comment>
    <comment ref="G3" authorId="0" shapeId="0" xr:uid="{BB656DD2-3D38-4E1B-B194-53B66AF1F165}">
      <text>
        <r>
          <rPr>
            <b/>
            <sz val="9"/>
            <color indexed="81"/>
            <rFont val="宋体"/>
            <family val="3"/>
            <charset val="134"/>
          </rPr>
          <t>admin:</t>
        </r>
        <r>
          <rPr>
            <sz val="9"/>
            <color indexed="81"/>
            <rFont val="宋体"/>
            <family val="3"/>
            <charset val="134"/>
          </rPr>
          <t xml:space="preserve">
平手次数</t>
        </r>
      </text>
    </comment>
    <comment ref="H3" authorId="0" shapeId="0" xr:uid="{2802D3C4-6289-42EE-BA12-BFB7E68F618C}">
      <text>
        <r>
          <rPr>
            <b/>
            <sz val="9"/>
            <color indexed="81"/>
            <rFont val="宋体"/>
            <family val="3"/>
            <charset val="134"/>
          </rPr>
          <t>admin:</t>
        </r>
        <r>
          <rPr>
            <sz val="9"/>
            <color indexed="81"/>
            <rFont val="宋体"/>
            <family val="3"/>
            <charset val="134"/>
          </rPr>
          <t xml:space="preserve">
超时次数</t>
        </r>
      </text>
    </comment>
    <comment ref="G33" authorId="0" shapeId="0" xr:uid="{64B76674-2210-4836-A5F6-B403EB8F49BE}">
      <text>
        <r>
          <rPr>
            <b/>
            <sz val="9"/>
            <color indexed="81"/>
            <rFont val="宋体"/>
            <family val="3"/>
            <charset val="134"/>
          </rPr>
          <t>admin:</t>
        </r>
        <r>
          <rPr>
            <sz val="9"/>
            <color indexed="81"/>
            <rFont val="宋体"/>
            <family val="3"/>
            <charset val="134"/>
          </rPr>
          <t xml:space="preserve">
模拟次数</t>
        </r>
      </text>
    </comment>
    <comment ref="F35" authorId="0" shapeId="0" xr:uid="{AE1DEBAF-58CA-4237-946B-EDC9229842ED}">
      <text>
        <r>
          <rPr>
            <b/>
            <sz val="9"/>
            <color indexed="81"/>
            <rFont val="宋体"/>
            <family val="3"/>
            <charset val="134"/>
          </rPr>
          <t>admin:</t>
        </r>
        <r>
          <rPr>
            <sz val="9"/>
            <color indexed="81"/>
            <rFont val="宋体"/>
            <family val="3"/>
            <charset val="134"/>
          </rPr>
          <t xml:space="preserve">
平均回合（一回合1秒）或者时间</t>
        </r>
      </text>
    </comment>
    <comment ref="G35" authorId="0" shapeId="0" xr:uid="{8558A9A0-3AB0-4ED7-AA0D-8557B634775E}">
      <text>
        <r>
          <rPr>
            <b/>
            <sz val="9"/>
            <color indexed="81"/>
            <rFont val="宋体"/>
            <family val="3"/>
            <charset val="134"/>
          </rPr>
          <t>admin:</t>
        </r>
        <r>
          <rPr>
            <sz val="9"/>
            <color indexed="81"/>
            <rFont val="宋体"/>
            <family val="3"/>
            <charset val="134"/>
          </rPr>
          <t xml:space="preserve">
平手次数</t>
        </r>
      </text>
    </comment>
    <comment ref="H35" authorId="0" shapeId="0" xr:uid="{3F7762D7-8CCD-4B36-A2C2-E0FCDC43D7B8}">
      <text>
        <r>
          <rPr>
            <b/>
            <sz val="9"/>
            <color indexed="81"/>
            <rFont val="宋体"/>
            <family val="3"/>
            <charset val="134"/>
          </rPr>
          <t>admin:</t>
        </r>
        <r>
          <rPr>
            <sz val="9"/>
            <color indexed="81"/>
            <rFont val="宋体"/>
            <family val="3"/>
            <charset val="134"/>
          </rPr>
          <t xml:space="preserve">
超时次数</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<sst xmlns="http://schemas.openxmlformats.org/spreadsheetml/2006/main" count="815" uniqueCount="257">
  <si>
    <t>战</t>
    <phoneticPr fontId="1" type="noConversion"/>
  </si>
  <si>
    <t>法</t>
    <phoneticPr fontId="1" type="noConversion"/>
  </si>
  <si>
    <t>牧</t>
    <phoneticPr fontId="1" type="noConversion"/>
  </si>
  <si>
    <t>坦克</t>
    <phoneticPr fontId="1" type="noConversion"/>
  </si>
  <si>
    <t>输出</t>
    <phoneticPr fontId="1" type="noConversion"/>
  </si>
  <si>
    <t>治疗</t>
    <phoneticPr fontId="1" type="noConversion"/>
  </si>
  <si>
    <t>无限养成、有卡点、重PVP，用浮动参数的防御公式</t>
    <phoneticPr fontId="1" type="noConversion"/>
  </si>
  <si>
    <t>有限养成、无卡点、轻PVP，用固定参数的防御公式</t>
    <phoneticPr fontId="1" type="noConversion"/>
  </si>
  <si>
    <t>无限养成、重PVP，高级属性对投增减模式</t>
    <phoneticPr fontId="1" type="noConversion"/>
  </si>
  <si>
    <t>攻速</t>
    <phoneticPr fontId="1" type="noConversion"/>
  </si>
  <si>
    <t>攻击</t>
    <phoneticPr fontId="1" type="noConversion"/>
  </si>
  <si>
    <t>伤害</t>
    <phoneticPr fontId="1" type="noConversion"/>
  </si>
  <si>
    <t>承伤</t>
    <phoneticPr fontId="1" type="noConversion"/>
  </si>
  <si>
    <t>职业</t>
    <phoneticPr fontId="1" type="noConversion"/>
  </si>
  <si>
    <t>基础模型</t>
    <phoneticPr fontId="1" type="noConversion"/>
  </si>
  <si>
    <t>剩余人数</t>
    <phoneticPr fontId="1" type="noConversion"/>
  </si>
  <si>
    <t>模型定义</t>
    <phoneticPr fontId="1" type="noConversion"/>
  </si>
  <si>
    <t>模型计算</t>
    <phoneticPr fontId="1" type="noConversion"/>
  </si>
  <si>
    <t>最优模型</t>
    <phoneticPr fontId="1" type="noConversion"/>
  </si>
  <si>
    <t>治疗能力大于输出时，有战斗限时保底，但数值一般不会设定治疗大于输出</t>
    <phoneticPr fontId="1" type="noConversion"/>
  </si>
  <si>
    <t>战斗公式</t>
    <phoneticPr fontId="1" type="noConversion"/>
  </si>
  <si>
    <t>属性</t>
    <phoneticPr fontId="1" type="noConversion"/>
  </si>
  <si>
    <t>基础属性</t>
    <phoneticPr fontId="1" type="noConversion"/>
  </si>
  <si>
    <t>攻击力</t>
    <phoneticPr fontId="1" type="noConversion"/>
  </si>
  <si>
    <t>防御力</t>
    <phoneticPr fontId="1" type="noConversion"/>
  </si>
  <si>
    <t>生命上限</t>
    <phoneticPr fontId="1" type="noConversion"/>
  </si>
  <si>
    <t>暴击率</t>
    <phoneticPr fontId="1" type="noConversion"/>
  </si>
  <si>
    <t>基础属性修正</t>
    <phoneticPr fontId="1" type="noConversion"/>
  </si>
  <si>
    <t>攻击力%</t>
    <phoneticPr fontId="1" type="noConversion"/>
  </si>
  <si>
    <t>防御力%</t>
    <phoneticPr fontId="1" type="noConversion"/>
  </si>
  <si>
    <t>生命上限%</t>
    <phoneticPr fontId="1" type="noConversion"/>
  </si>
  <si>
    <t>高级属性</t>
    <phoneticPr fontId="1" type="noConversion"/>
  </si>
  <si>
    <t>来源</t>
    <phoneticPr fontId="1" type="noConversion"/>
  </si>
  <si>
    <t>面板</t>
    <phoneticPr fontId="1" type="noConversion"/>
  </si>
  <si>
    <t>面板、技能</t>
    <phoneticPr fontId="1" type="noConversion"/>
  </si>
  <si>
    <t>防御/(参数+防御）</t>
    <phoneticPr fontId="1" type="noConversion"/>
  </si>
  <si>
    <t>累积公式</t>
    <phoneticPr fontId="1" type="noConversion"/>
  </si>
  <si>
    <t>加、减</t>
    <phoneticPr fontId="1" type="noConversion"/>
  </si>
  <si>
    <t>举例</t>
    <phoneticPr fontId="1" type="noConversion"/>
  </si>
  <si>
    <t>卡牌+10攻击力，武器+10攻击力，Debuff-15攻击力；攻击力=10+10-15=5</t>
    <phoneticPr fontId="1" type="noConversion"/>
  </si>
  <si>
    <t>卡牌+10防御力，防具+10防御力，Debuff-5防御力；防御力=10+10-5=15</t>
    <phoneticPr fontId="1" type="noConversion"/>
  </si>
  <si>
    <t>卡牌+100生命上限，防具+100生命上限，Debuff-10生命上限；生命上限=100+100-10=190</t>
    <phoneticPr fontId="1" type="noConversion"/>
  </si>
  <si>
    <t>卡牌+5%暴击率，天赋+10%暴击率，Debuff-5%暴击率；暴击率=5%+10%-5%=10%</t>
    <phoneticPr fontId="1" type="noConversion"/>
  </si>
  <si>
    <t>范围</t>
    <phoneticPr fontId="1" type="noConversion"/>
  </si>
  <si>
    <t>[0,75%]</t>
    <phoneticPr fontId="1" type="noConversion"/>
  </si>
  <si>
    <t>[1,300%]</t>
    <phoneticPr fontId="1" type="noConversion"/>
  </si>
  <si>
    <t>暴伤倍率</t>
    <phoneticPr fontId="1" type="noConversion"/>
  </si>
  <si>
    <t>卡牌+5%暴伤倍率，天赋+10%暴伤倍率，Debuff-5%暴伤倍率；暴伤倍率=150%+5%+10%-5%=160%</t>
    <phoneticPr fontId="1" type="noConversion"/>
  </si>
  <si>
    <t>（0,3]</t>
    <phoneticPr fontId="1" type="noConversion"/>
  </si>
  <si>
    <t>卡牌+0.1攻速，天赋+0.3攻速，Debuff-0.2攻速；攻速=1+0.1+0.3-0.2=1.2</t>
    <phoneticPr fontId="1" type="noConversion"/>
  </si>
  <si>
    <t>卡牌+10%基础属性修正，装备+10%基础属性修正，Debuff-30%基础属性修正；基础属性修正=10%+10%-30%=-10%</t>
    <phoneticPr fontId="1" type="noConversion"/>
  </si>
  <si>
    <t>[1,∞)</t>
    <phoneticPr fontId="1" type="noConversion"/>
  </si>
  <si>
    <t>(-0.75,∞)</t>
    <phoneticPr fontId="1" type="noConversion"/>
  </si>
  <si>
    <t>[-75%,500%]</t>
    <phoneticPr fontId="1" type="noConversion"/>
  </si>
  <si>
    <t>卡牌+10%高级属性，装备+10%高级属性，Debuff-100%高级属性；高级属性=10%+10%-100%=-80%；max(-80%,-75%)=-75%</t>
    <phoneticPr fontId="1" type="noConversion"/>
  </si>
  <si>
    <t>模块</t>
    <phoneticPr fontId="1" type="noConversion"/>
  </si>
  <si>
    <t>根据暴击率判定是否暴击，非暴击时系数为1，暴击时系数为暴伤倍率</t>
    <phoneticPr fontId="1" type="noConversion"/>
  </si>
  <si>
    <t>防御</t>
    <phoneticPr fontId="1" type="noConversion"/>
  </si>
  <si>
    <t>暴击系数</t>
    <phoneticPr fontId="1" type="noConversion"/>
  </si>
  <si>
    <t>冷却%</t>
    <phoneticPr fontId="1" type="noConversion"/>
  </si>
  <si>
    <t>1+伤害%</t>
    <phoneticPr fontId="1" type="noConversion"/>
  </si>
  <si>
    <t>最终伤害</t>
    <phoneticPr fontId="1" type="noConversion"/>
  </si>
  <si>
    <t>攻击*暴击系数*防御*伤害</t>
    <phoneticPr fontId="1" type="noConversion"/>
  </si>
  <si>
    <t>生命上限*（1+生命上限%）</t>
    <phoneticPr fontId="1" type="noConversion"/>
  </si>
  <si>
    <t>攻击类属性是A单位，防御类属性取B单位</t>
    <phoneticPr fontId="1" type="noConversion"/>
  </si>
  <si>
    <t>最终治疗</t>
    <phoneticPr fontId="1" type="noConversion"/>
  </si>
  <si>
    <t>最终生命</t>
    <phoneticPr fontId="1" type="noConversion"/>
  </si>
  <si>
    <t>治疗量*（1+治疗%）*（1+受到治疗%）</t>
    <phoneticPr fontId="1" type="noConversion"/>
  </si>
  <si>
    <t>第0列</t>
    <phoneticPr fontId="1" type="noConversion"/>
  </si>
  <si>
    <t>规定模式下，期望更多的组合PK是平衡的，增强策略</t>
    <phoneticPr fontId="1" type="noConversion"/>
  </si>
  <si>
    <t>战斗力</t>
    <phoneticPr fontId="1" type="noConversion"/>
  </si>
  <si>
    <t>暴击倍率</t>
    <phoneticPr fontId="1" type="noConversion"/>
  </si>
  <si>
    <t>每份价值</t>
    <phoneticPr fontId="1" type="noConversion"/>
  </si>
  <si>
    <t>扩展类型</t>
    <phoneticPr fontId="1" type="noConversion"/>
  </si>
  <si>
    <t>大类型</t>
    <phoneticPr fontId="1" type="noConversion"/>
  </si>
  <si>
    <t>成长系统</t>
    <phoneticPr fontId="1" type="noConversion"/>
  </si>
  <si>
    <t>权重</t>
    <phoneticPr fontId="1" type="noConversion"/>
  </si>
  <si>
    <t>升级</t>
    <phoneticPr fontId="1" type="noConversion"/>
  </si>
  <si>
    <t>比例</t>
    <phoneticPr fontId="1" type="noConversion"/>
  </si>
  <si>
    <t>增益效果%</t>
    <phoneticPr fontId="1" type="noConversion"/>
  </si>
  <si>
    <t>[-75%,501%]</t>
  </si>
  <si>
    <t>坦克</t>
  </si>
  <si>
    <t>输出</t>
  </si>
  <si>
    <t>治疗</t>
  </si>
  <si>
    <t>价值比</t>
    <phoneticPr fontId="1" type="noConversion"/>
  </si>
  <si>
    <t>减益效果%</t>
    <phoneticPr fontId="1" type="noConversion"/>
  </si>
  <si>
    <t>追求属性</t>
    <phoneticPr fontId="1" type="noConversion"/>
  </si>
  <si>
    <t>防御力、生命上限、减益效果%</t>
    <phoneticPr fontId="1" type="noConversion"/>
  </si>
  <si>
    <t>攻击力、暴击率、暴击倍率、攻速</t>
    <phoneticPr fontId="1" type="noConversion"/>
  </si>
  <si>
    <t>冷却%、增益效果%</t>
    <phoneticPr fontId="1" type="noConversion"/>
  </si>
  <si>
    <t>第1列</t>
    <phoneticPr fontId="1" type="noConversion"/>
  </si>
  <si>
    <t>第2列</t>
    <phoneticPr fontId="1" type="noConversion"/>
  </si>
  <si>
    <t>防御力</t>
  </si>
  <si>
    <t>暴击率</t>
  </si>
  <si>
    <t>暴击倍率</t>
  </si>
  <si>
    <t>攻速</t>
  </si>
  <si>
    <t>伤害</t>
  </si>
  <si>
    <t>承伤</t>
  </si>
  <si>
    <t>角色名</t>
    <phoneticPr fontId="1" type="noConversion"/>
  </si>
  <si>
    <t>防御</t>
  </si>
  <si>
    <t>魔法</t>
  </si>
  <si>
    <t>射击</t>
  </si>
  <si>
    <t>恢复</t>
  </si>
  <si>
    <t>R</t>
    <phoneticPr fontId="1" type="noConversion"/>
  </si>
  <si>
    <t>攻击力</t>
  </si>
  <si>
    <t>生命上限</t>
  </si>
  <si>
    <t>普攻占比</t>
  </si>
  <si>
    <t>普攻占比</t>
    <phoneticPr fontId="1" type="noConversion"/>
  </si>
  <si>
    <t>升星%</t>
    <phoneticPr fontId="1" type="noConversion"/>
  </si>
  <si>
    <t>星级</t>
    <phoneticPr fontId="1" type="noConversion"/>
  </si>
  <si>
    <t>角色品星</t>
    <phoneticPr fontId="1" type="noConversion"/>
  </si>
  <si>
    <t>数值</t>
    <phoneticPr fontId="1" type="noConversion"/>
  </si>
  <si>
    <t>品质</t>
    <phoneticPr fontId="1" type="noConversion"/>
  </si>
  <si>
    <t>SR</t>
    <phoneticPr fontId="1" type="noConversion"/>
  </si>
  <si>
    <t>SSR</t>
    <phoneticPr fontId="1" type="noConversion"/>
  </si>
  <si>
    <t>UR</t>
    <phoneticPr fontId="1" type="noConversion"/>
  </si>
  <si>
    <t>技能模板</t>
    <phoneticPr fontId="1" type="noConversion"/>
  </si>
  <si>
    <t>大类型</t>
  </si>
  <si>
    <t>扩展类型</t>
  </si>
  <si>
    <t>大招CD</t>
    <phoneticPr fontId="1" type="noConversion"/>
  </si>
  <si>
    <t>伤害倍率</t>
    <phoneticPr fontId="1" type="noConversion"/>
  </si>
  <si>
    <t>治疗倍率/D</t>
  </si>
  <si>
    <t>治疗倍率/H</t>
  </si>
  <si>
    <t>防御率</t>
    <phoneticPr fontId="1" type="noConversion"/>
  </si>
  <si>
    <t>生命值</t>
    <phoneticPr fontId="1" type="noConversion"/>
  </si>
  <si>
    <t>公共技能</t>
    <phoneticPr fontId="1" type="noConversion"/>
  </si>
  <si>
    <t>最少配置</t>
  </si>
  <si>
    <t>最多配置</t>
  </si>
  <si>
    <t>标准模型</t>
  </si>
  <si>
    <t>职业</t>
  </si>
  <si>
    <t>更多伤害的意思</t>
    <phoneticPr fontId="1" type="noConversion"/>
  </si>
  <si>
    <t>战斗模拟</t>
    <phoneticPr fontId="1" type="noConversion"/>
  </si>
  <si>
    <t>PVP</t>
    <phoneticPr fontId="1" type="noConversion"/>
  </si>
  <si>
    <t>攻方位置</t>
    <phoneticPr fontId="1" type="noConversion"/>
  </si>
  <si>
    <t>守方位置</t>
    <phoneticPr fontId="1" type="noConversion"/>
  </si>
  <si>
    <t>治疗倍率/A</t>
  </si>
  <si>
    <t>角色等级</t>
    <phoneticPr fontId="1" type="noConversion"/>
  </si>
  <si>
    <t>技能等级</t>
    <phoneticPr fontId="1" type="noConversion"/>
  </si>
  <si>
    <t>自己攻击治疗</t>
    <phoneticPr fontId="1" type="noConversion"/>
  </si>
  <si>
    <t>自己血量治疗</t>
    <phoneticPr fontId="1" type="noConversion"/>
  </si>
  <si>
    <t>全队血量治疗</t>
    <phoneticPr fontId="1" type="noConversion"/>
  </si>
  <si>
    <t xml:space="preserve"> </t>
    <phoneticPr fontId="1" type="noConversion"/>
  </si>
  <si>
    <t>A</t>
    <phoneticPr fontId="1" type="noConversion"/>
  </si>
  <si>
    <t>B</t>
    <phoneticPr fontId="1" type="noConversion"/>
  </si>
  <si>
    <t>阵型行数</t>
    <phoneticPr fontId="1" type="noConversion"/>
  </si>
  <si>
    <t>阵型列数</t>
    <phoneticPr fontId="1" type="noConversion"/>
  </si>
  <si>
    <t>饼干2</t>
  </si>
  <si>
    <t>饼干5</t>
  </si>
  <si>
    <t>饼干7</t>
  </si>
  <si>
    <t>饼干11</t>
  </si>
  <si>
    <t>大招CD初始</t>
    <phoneticPr fontId="1" type="noConversion"/>
  </si>
  <si>
    <t>PVE</t>
    <phoneticPr fontId="1" type="noConversion"/>
  </si>
  <si>
    <t>A胜</t>
    <phoneticPr fontId="1" type="noConversion"/>
  </si>
  <si>
    <t>B胜</t>
    <phoneticPr fontId="1" type="noConversion"/>
  </si>
  <si>
    <t>怪物为临时数据</t>
    <phoneticPr fontId="1" type="noConversion"/>
  </si>
  <si>
    <t>公共技能不做PVP数值平衡，只做自己内部的相克平衡（PVE的对策调整），对整体战局的影响控制在一定比例内</t>
    <phoneticPr fontId="1" type="noConversion"/>
  </si>
  <si>
    <t>饼干1</t>
  </si>
  <si>
    <t>标准站位</t>
    <phoneticPr fontId="1" type="noConversion"/>
  </si>
  <si>
    <t>每列战法牧组合；牧的治疗平分到每行</t>
    <phoneticPr fontId="1" type="noConversion"/>
  </si>
  <si>
    <t>不同职业定位不同，在3个维度进行处理</t>
    <phoneticPr fontId="1" type="noConversion"/>
  </si>
  <si>
    <t>后排</t>
    <phoneticPr fontId="1" type="noConversion"/>
  </si>
  <si>
    <t>中排</t>
    <phoneticPr fontId="1" type="noConversion"/>
  </si>
  <si>
    <t>前排</t>
    <phoneticPr fontId="1" type="noConversion"/>
  </si>
  <si>
    <t>行位</t>
    <phoneticPr fontId="1" type="noConversion"/>
  </si>
  <si>
    <t>优先攻击对位（行）敌人</t>
    <phoneticPr fontId="1" type="noConversion"/>
  </si>
  <si>
    <t>标准节奏</t>
    <phoneticPr fontId="1" type="noConversion"/>
  </si>
  <si>
    <t>有限养成、轻PVP，高级属性对投，独立计算</t>
    <phoneticPr fontId="1" type="noConversion"/>
  </si>
  <si>
    <t>属性关系</t>
    <phoneticPr fontId="1" type="noConversion"/>
  </si>
  <si>
    <t>相当于多少生命上限</t>
    <phoneticPr fontId="1" type="noConversion"/>
  </si>
  <si>
    <t>相当于多少攻击力</t>
  </si>
  <si>
    <t>总战斗力=攻击向战斗力+防御向战斗力</t>
    <phoneticPr fontId="1" type="noConversion"/>
  </si>
  <si>
    <t>综合考虑属性的战斗价值和技能（增益、减益）的战斗价值</t>
    <phoneticPr fontId="1" type="noConversion"/>
  </si>
  <si>
    <t>综合考量，攻击力的提升效果会有一定折扣，但防御值价值恒定，攻击力没有折扣会导致防御值价值越来越低</t>
    <phoneticPr fontId="1" type="noConversion"/>
  </si>
  <si>
    <t>怪物3</t>
  </si>
  <si>
    <t>怪物2</t>
  </si>
  <si>
    <t>怪物4</t>
  </si>
  <si>
    <t>偏向测试</t>
    <phoneticPr fontId="1" type="noConversion"/>
  </si>
  <si>
    <t>偏向节奏</t>
    <phoneticPr fontId="1" type="noConversion"/>
  </si>
  <si>
    <t>攻击向战斗力=攻击力*（1+暴击率*(暴击倍率-1)）*（攻速*普攻威力+技能攻击威力/技能CD）*攻击力价值</t>
    <phoneticPr fontId="1" type="noConversion"/>
  </si>
  <si>
    <t>防御向战斗力=生命上限*（1+防御力价值）*生命上限价值+技能回复生命值/技能CD*30*生命上限价值</t>
    <phoneticPr fontId="1" type="noConversion"/>
  </si>
  <si>
    <t>说明</t>
    <phoneticPr fontId="1" type="noConversion"/>
  </si>
  <si>
    <t>100000/（100000+防御力*（1+防御力%））</t>
    <phoneticPr fontId="1" type="noConversion"/>
  </si>
  <si>
    <t>基础模型（平衡）</t>
    <phoneticPr fontId="1" type="noConversion"/>
  </si>
  <si>
    <t>战斗属性=面板属性*（1+Max(战斗增益%-战斗减益%，-0.5))*(1+Max(环境增益%-环境减益%,0))</t>
    <phoneticPr fontId="1" type="noConversion"/>
  </si>
  <si>
    <t>面板属性=（升级数值+其他数值）*（1+升星数值%）*（1+配料数值%）*（1+地标数值%+研究室数值%+姻缘数值%+英雄神殿%+公会数值%）</t>
    <phoneticPr fontId="1" type="noConversion"/>
  </si>
  <si>
    <t>面板属性（战斗外）=升级%+配料%+地标%+研究室%+姻缘%+英雄神殿%+公会%
战斗属性（战斗外+战斗内）=面板属性+战斗增益%-战斗减益%+环境增益%-环境减益%（有最小值限定）
暴击率最小=0
暴击伤害最小=1
攻速最小=0.1
爆伤抵抗=0</t>
    <phoneticPr fontId="1" type="noConversion"/>
  </si>
  <si>
    <t>暴击率
暴击伤害
攻速
爆伤抵抗</t>
    <phoneticPr fontId="1" type="noConversion"/>
  </si>
  <si>
    <t>阵型行数</t>
  </si>
  <si>
    <t>阵型列数</t>
  </si>
  <si>
    <t>攻方位置</t>
  </si>
  <si>
    <t>角色名</t>
  </si>
  <si>
    <t>角色等级</t>
  </si>
  <si>
    <t>技能等级</t>
  </si>
  <si>
    <t>大招CD</t>
  </si>
  <si>
    <t>大招CD初始</t>
  </si>
  <si>
    <t>伤害倍率</t>
  </si>
  <si>
    <t/>
  </si>
  <si>
    <t>自己攻击治疗</t>
  </si>
  <si>
    <t>自己血量治疗</t>
  </si>
  <si>
    <t>全队血量治疗</t>
  </si>
  <si>
    <t>守方位置</t>
  </si>
  <si>
    <t>怪物1</t>
  </si>
  <si>
    <t>面板属性（战斗外）=（升级数值+其他数值）*（1+升星数值%）*（1+配料数值%）*（1+地标数值%+研究室数值%+姻缘数值%+英雄神殿%+公会数值%）</t>
    <phoneticPr fontId="1" type="noConversion"/>
  </si>
  <si>
    <t>战斗属性（战斗外+战斗内）=面板属性*（1+Max(战斗增益%-战斗减益%，-0.5))*(1+Max(环境增益%-环境减益%,0))</t>
    <phoneticPr fontId="1" type="noConversion"/>
  </si>
  <si>
    <t>配料%</t>
    <phoneticPr fontId="1" type="noConversion"/>
  </si>
  <si>
    <t>地标%</t>
    <phoneticPr fontId="1" type="noConversion"/>
  </si>
  <si>
    <t>研究%</t>
    <phoneticPr fontId="1" type="noConversion"/>
  </si>
  <si>
    <t>姻缘%</t>
    <phoneticPr fontId="1" type="noConversion"/>
  </si>
  <si>
    <t>英雄%</t>
    <phoneticPr fontId="1" type="noConversion"/>
  </si>
  <si>
    <t>公会%</t>
    <phoneticPr fontId="1" type="noConversion"/>
  </si>
  <si>
    <t>属性占比</t>
    <phoneticPr fontId="1" type="noConversion"/>
  </si>
  <si>
    <t>实际投放</t>
    <phoneticPr fontId="1" type="noConversion"/>
  </si>
  <si>
    <t>提供基础属性的整型数值</t>
    <phoneticPr fontId="1" type="noConversion"/>
  </si>
  <si>
    <t>提供基础属性的浮点百分比：独立加成【商业化核心、玩法养成核心】</t>
    <phoneticPr fontId="1" type="noConversion"/>
  </si>
  <si>
    <t>提供基础属性的浮点百分比：独立加成【研究型玩家核心】</t>
    <phoneticPr fontId="1" type="noConversion"/>
  </si>
  <si>
    <t>提供基础属性的浮点百分比：稀释加成【活跃内容】</t>
    <phoneticPr fontId="1" type="noConversion"/>
  </si>
  <si>
    <t>玩家成长</t>
    <phoneticPr fontId="1" type="noConversion"/>
  </si>
  <si>
    <t>成长节奏</t>
    <phoneticPr fontId="1" type="noConversion"/>
  </si>
  <si>
    <t>周期</t>
    <phoneticPr fontId="1" type="noConversion"/>
  </si>
  <si>
    <t>多卡牌的养成，资源投放按照10张计算</t>
    <phoneticPr fontId="1" type="noConversion"/>
  </si>
  <si>
    <t>超级稀有卡牌</t>
    <phoneticPr fontId="1" type="noConversion"/>
  </si>
  <si>
    <t>免费</t>
    <phoneticPr fontId="1" type="noConversion"/>
  </si>
  <si>
    <t>付费</t>
    <phoneticPr fontId="1" type="noConversion"/>
  </si>
  <si>
    <t>重付费-抽卡</t>
    <phoneticPr fontId="1" type="noConversion"/>
  </si>
  <si>
    <t>中付费-活动和家园养成</t>
    <phoneticPr fontId="1" type="noConversion"/>
  </si>
  <si>
    <t>依托抽卡付费的副产品</t>
    <phoneticPr fontId="1" type="noConversion"/>
  </si>
  <si>
    <t>动态付费-但是付费性价比低</t>
    <phoneticPr fontId="1" type="noConversion"/>
  </si>
  <si>
    <t>轻付费-家园养成</t>
    <phoneticPr fontId="1" type="noConversion"/>
  </si>
  <si>
    <t>动态付费-但是付费性价比极低</t>
    <phoneticPr fontId="1" type="noConversion"/>
  </si>
  <si>
    <t>60体力1个坯子，大概3天1个</t>
    <phoneticPr fontId="1" type="noConversion"/>
  </si>
  <si>
    <t>属性相关的地标可大致分30个</t>
    <phoneticPr fontId="1" type="noConversion"/>
  </si>
  <si>
    <t>最小时间为建筑升级时间，最大时间再加上材料生产时间</t>
    <phoneticPr fontId="1" type="noConversion"/>
  </si>
  <si>
    <t>60张卡全满星</t>
    <phoneticPr fontId="1" type="noConversion"/>
  </si>
  <si>
    <t>需要和角色经验进行配合设计，经验紧，这边时间就短，否则长，开槽和属性提升2选1</t>
    <phoneticPr fontId="1" type="noConversion"/>
  </si>
  <si>
    <t>定位的周期非常长，不会刻意追求</t>
    <phoneticPr fontId="1" type="noConversion"/>
  </si>
  <si>
    <t>角色升级</t>
    <phoneticPr fontId="1" type="noConversion"/>
  </si>
  <si>
    <t>王国等级</t>
    <phoneticPr fontId="1" type="noConversion"/>
  </si>
  <si>
    <t>主要来自一次性的建筑升级的经验奖励</t>
    <phoneticPr fontId="1" type="noConversion"/>
  </si>
  <si>
    <t>等级</t>
    <phoneticPr fontId="1" type="noConversion"/>
  </si>
  <si>
    <t>经验</t>
    <phoneticPr fontId="1" type="noConversion"/>
  </si>
  <si>
    <t>经验/秒</t>
    <phoneticPr fontId="1" type="noConversion"/>
  </si>
  <si>
    <t>总经验</t>
    <phoneticPr fontId="1" type="noConversion"/>
  </si>
  <si>
    <t>1、产出量初期增量强，逐渐到达版本顶端</t>
    <phoneticPr fontId="1" type="noConversion"/>
  </si>
  <si>
    <t>2、消耗量应该尽可能跟产出量同步，或者初期略小于产出</t>
    <phoneticPr fontId="1" type="noConversion"/>
  </si>
  <si>
    <t>经济系统的原则：</t>
    <phoneticPr fontId="1" type="noConversion"/>
  </si>
  <si>
    <t>3、消耗资源转化为玩家实力</t>
    <phoneticPr fontId="1" type="noConversion"/>
  </si>
  <si>
    <t>4、钻石应该作为一般等价物来衡量游戏所有资源价值</t>
    <phoneticPr fontId="1" type="noConversion"/>
  </si>
  <si>
    <t>5、基本产出消耗模型按照正常免费游戏玩家的节奏进行，并以此测算付费力度对消耗的影响，进而评估玩家的差距</t>
    <phoneticPr fontId="1" type="noConversion"/>
  </si>
  <si>
    <t>*技术问题：产出和消耗的时间轴或者等级为标尺的情况下不同步的问题有没有通解？</t>
    <phoneticPr fontId="1" type="noConversion"/>
  </si>
  <si>
    <t>1、做产出后根据统计结果做消耗</t>
    <phoneticPr fontId="1" type="noConversion"/>
  </si>
  <si>
    <t>2、做消耗后分配产出</t>
    <phoneticPr fontId="1" type="noConversion"/>
  </si>
  <si>
    <t>3、可能评估系统的节奏才能将1、2更好的融合或者以1、2两个中标尺更细的为准去设定</t>
    <phoneticPr fontId="1" type="noConversion"/>
  </si>
  <si>
    <t>成本</t>
    <phoneticPr fontId="1" type="noConversion"/>
  </si>
  <si>
    <t>收益</t>
    <phoneticPr fontId="1" type="noConversion"/>
  </si>
  <si>
    <t>物品</t>
    <phoneticPr fontId="1" type="noConversion"/>
  </si>
  <si>
    <t>时间</t>
    <phoneticPr fontId="1" type="noConversion"/>
  </si>
  <si>
    <t>金钱</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</si>
</sst>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 #,##0.00_ ;_ * \-#,##0.00_ ;_ * &quot;-&quot;??_ ;_ @_ "/>
    <numFmt numFmtId="176" formatCode="0.0%"/>
    <numFmt numFmtId="177" formatCode="0.0"/>
    <numFmt numFmtId="178" formatCode="0.00_ "/>
    <numFmt numFmtId="179" formatCode="0.000"/>
    <numFmt numFmtId="180" formatCode="0_ "/>
    <numFmt numFmtId="181" formatCode="0.0000"/>
    <numFmt numFmtId="182" formatCode="_ * #,##0_ ;_ * \-#,##0_ ;_ * &quot;-&quot;??_ ;_ @_ "/>
    <numFmt numFmtId="183" formatCode="0.00000%"/>
    <numFmt numFmtId="187" formatCode="0.000%"/>
  </numFmts>
  <fonts count="15" x14ac:knownFonts="1">
    <font>
      <sz val="11"/>
      <color theme="1"/>
      <name val="等线"/>
      <family val="2"/>
      <charset val="134"/>
      <scheme val="minor"/>
    </font>
    <font>
      <sz val="9"/>
      <name val="等线"/>
      <family val="2"/>
      <charset val="134"/>
      <scheme val="minor"/>
    </font>
    <font>
      <sz val="9"/>
      <color theme="1"/>
      <name val="微软雅黑"/>
      <family val="2"/>
      <charset val="134"/>
    </font>
    <font>
      <sz val="9"/>
      <color rgb="FFFF0000"/>
      <name val="微软雅黑"/>
      <family val="2"/>
      <charset val="134"/>
    </font>
    <font>
      <sz val="11"/>
      <color theme="1"/>
      <name val="等线"/>
      <family val="2"/>
      <charset val="134"/>
      <scheme val="minor"/>
    </font>
    <font>
      <b/>
      <sz val="9"/>
      <color theme="1"/>
      <name val="微软雅黑"/>
      <family val="2"/>
      <charset val="134"/>
    </font>
    <font>
      <sz val="18"/>
      <color theme="0"/>
      <name val="华文行楷"/>
      <family val="3"/>
      <charset val="134"/>
    </font>
    <font>
      <sz val="9"/>
      <color indexed="81"/>
      <name val="宋体"/>
      <family val="3"/>
      <charset val="134"/>
    </font>
    <font>
      <b/>
      <sz val="9"/>
      <color indexed="81"/>
      <name val="宋体"/>
      <family val="3"/>
      <charset val="134"/>
    </font>
    <font>
      <i/>
      <sz val="9"/>
      <color theme="0" tint="-0.34998626667073579"/>
      <name val="微软雅黑"/>
      <family val="2"/>
      <charset val="134"/>
    </font>
    <font>
      <i/>
      <sz val="9"/>
      <color theme="0" tint="-0.14999847407452621"/>
      <name val="微软雅黑"/>
      <family val="2"/>
      <charset val="134"/>
    </font>
    <font>
      <i/>
      <sz val="9"/>
      <color theme="0" tint="-0.249977111117893"/>
      <name val="微软雅黑"/>
      <family val="2"/>
      <charset val="134"/>
    </font>
    <font>
      <b/>
      <i/>
      <sz val="9"/>
      <color theme="0" tint="-0.34998626667073579"/>
      <name val="微软雅黑"/>
      <family val="2"/>
      <charset val="134"/>
    </font>
    <font>
      <b/>
      <sz val="9"/>
      <color rgb="FFFF0000"/>
      <name val="微软雅黑"/>
      <family val="2"/>
      <charset val="134"/>
    </font>
    <font>
      <i/>
      <sz val="9"/>
      <color theme="1" tint="0.34998626667073579"/>
      <name val="微软雅黑"/>
      <family val="2"/>
      <charset val="134"/>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31">
    <border>
      <left/>
      <right/>
      <top/>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right/>
      <top style="hair">
        <color indexed="64"/>
      </top>
      <bottom/>
      <diagonal/>
    </border>
    <border>
      <left style="hair">
        <color indexed="64"/>
      </left>
      <right/>
      <top/>
      <bottom/>
      <diagonal/>
    </border>
    <border>
      <left/>
      <right style="hair">
        <color indexed="64"/>
      </right>
      <top/>
      <bottom/>
      <diagonal/>
    </border>
    <border>
      <left/>
      <right/>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style="hair">
        <color indexed="64"/>
      </left>
      <right/>
      <top style="hair">
        <color indexed="64"/>
      </top>
      <bottom style="medium">
        <color indexed="64"/>
      </bottom>
      <diagonal/>
    </border>
    <border>
      <left/>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style="hair">
        <color indexed="64"/>
      </right>
      <top style="medium">
        <color indexed="64"/>
      </top>
      <bottom/>
      <diagonal/>
    </border>
  </borders>
  <cellStyleXfs count="3">
    <xf numFmtId="0" fontId="0" fillId="0" borderId="0">
      <alignment vertical="center"/>
    </xf>
    <xf numFmtId="9" fontId="4" fillId="0" borderId="0" applyFont="0" applyFill="0" applyBorder="0" applyAlignment="0" applyProtection="0">
      <alignment vertical="center"/>
    </xf>
    <xf numFmtId="43" fontId="4" fillId="0" borderId="0" applyFont="0" applyFill="0" applyBorder="0" applyAlignment="0" applyProtection="0">
      <alignment vertical="center"/>
    </xf>
  </cellStyleXfs>
  <cellXfs count="134">
    <xf numFmtId="0" fontId="0" fillId="0" borderId="0" xfId="0">
      <alignment vertical="center"/>
    </xf>
    <xf numFmtId="0" fontId="2" fillId="0" borderId="1" xfId="0" applyFont="1" applyBorder="1" applyAlignment="1">
      <alignment horizontal="center" vertical="center" shrinkToFit="1"/>
    </xf>
    <xf numFmtId="0" fontId="3" fillId="0" borderId="1" xfId="0" applyFont="1" applyBorder="1" applyAlignment="1">
      <alignment horizontal="left" vertical="center"/>
    </xf>
    <xf numFmtId="0" fontId="5" fillId="0" borderId="1" xfId="0" applyFont="1" applyBorder="1" applyAlignment="1">
      <alignment horizontal="center" vertical="center" shrinkToFit="1"/>
    </xf>
    <xf numFmtId="176" fontId="2" fillId="0" borderId="1" xfId="1" applyNumberFormat="1" applyFont="1" applyBorder="1" applyAlignment="1">
      <alignment horizontal="center" vertical="center" shrinkToFit="1"/>
    </xf>
    <xf numFmtId="10" fontId="2" fillId="0" borderId="1" xfId="1" applyNumberFormat="1" applyFont="1" applyBorder="1" applyAlignment="1">
      <alignment horizontal="center" vertical="center" shrinkToFit="1"/>
    </xf>
    <xf numFmtId="2" fontId="2" fillId="0" borderId="1" xfId="0" applyNumberFormat="1" applyFont="1" applyBorder="1" applyAlignment="1">
      <alignment horizontal="center" vertical="center" shrinkToFit="1"/>
    </xf>
    <xf numFmtId="0" fontId="2" fillId="0" borderId="1" xfId="0" applyFont="1" applyBorder="1" applyAlignment="1">
      <alignment horizontal="left" vertical="center"/>
    </xf>
    <xf numFmtId="177" fontId="2" fillId="0" borderId="1" xfId="0" applyNumberFormat="1" applyFont="1" applyBorder="1" applyAlignment="1">
      <alignment horizontal="center" vertical="center" shrinkToFit="1"/>
    </xf>
    <xf numFmtId="1" fontId="2" fillId="0" borderId="1" xfId="0" applyNumberFormat="1" applyFont="1" applyBorder="1" applyAlignment="1">
      <alignment horizontal="center" vertical="center" shrinkToFit="1"/>
    </xf>
    <xf numFmtId="178" fontId="2" fillId="0" borderId="1" xfId="0" applyNumberFormat="1" applyFont="1" applyBorder="1" applyAlignment="1">
      <alignment horizontal="center" vertical="center" shrinkToFit="1"/>
    </xf>
    <xf numFmtId="0" fontId="2" fillId="0" borderId="1" xfId="0" quotePrefix="1" applyFont="1" applyBorder="1" applyAlignment="1">
      <alignment horizontal="center" vertical="center" shrinkToFit="1"/>
    </xf>
    <xf numFmtId="0" fontId="2" fillId="0" borderId="6" xfId="0" applyFont="1" applyBorder="1" applyAlignment="1">
      <alignment horizontal="center" vertical="center" shrinkToFit="1"/>
    </xf>
    <xf numFmtId="0" fontId="9" fillId="0" borderId="1" xfId="0" applyFont="1" applyBorder="1" applyAlignment="1">
      <alignment horizontal="center" vertical="center" shrinkToFit="1"/>
    </xf>
    <xf numFmtId="2" fontId="2" fillId="0" borderId="11" xfId="0" applyNumberFormat="1" applyFont="1" applyBorder="1" applyAlignment="1">
      <alignment horizontal="center" vertical="center" shrinkToFit="1"/>
    </xf>
    <xf numFmtId="0" fontId="9" fillId="0" borderId="1" xfId="0" applyFont="1" applyBorder="1" applyAlignment="1">
      <alignment horizontal="left" vertical="center"/>
    </xf>
    <xf numFmtId="0" fontId="2" fillId="3" borderId="1" xfId="0" applyFont="1" applyFill="1" applyBorder="1" applyAlignment="1">
      <alignment horizontal="center" vertical="center" shrinkToFit="1"/>
    </xf>
    <xf numFmtId="9" fontId="2" fillId="0" borderId="1" xfId="0" applyNumberFormat="1" applyFont="1" applyBorder="1" applyAlignment="1">
      <alignment horizontal="center" vertical="center" shrinkToFit="1"/>
    </xf>
    <xf numFmtId="179" fontId="2" fillId="0" borderId="1" xfId="0" applyNumberFormat="1" applyFont="1" applyBorder="1" applyAlignment="1">
      <alignment horizontal="center" vertical="center" shrinkToFit="1"/>
    </xf>
    <xf numFmtId="180" fontId="2" fillId="0" borderId="1" xfId="0" applyNumberFormat="1" applyFont="1" applyBorder="1" applyAlignment="1">
      <alignment horizontal="center" vertical="center" shrinkToFit="1"/>
    </xf>
    <xf numFmtId="9" fontId="2" fillId="0" borderId="1" xfId="1" applyNumberFormat="1" applyFont="1" applyBorder="1" applyAlignment="1">
      <alignment horizontal="center" vertical="center" shrinkToFit="1"/>
    </xf>
    <xf numFmtId="9" fontId="2" fillId="0" borderId="1" xfId="1" applyFont="1" applyBorder="1" applyAlignment="1">
      <alignment horizontal="center" vertical="center" shrinkToFit="1"/>
    </xf>
    <xf numFmtId="0" fontId="5" fillId="3" borderId="1" xfId="0" applyFont="1" applyFill="1" applyBorder="1" applyAlignment="1">
      <alignment horizontal="center" vertical="center" shrinkToFit="1"/>
    </xf>
    <xf numFmtId="181" fontId="2" fillId="0" borderId="1" xfId="0" applyNumberFormat="1" applyFont="1" applyBorder="1" applyAlignment="1">
      <alignment horizontal="center" vertical="center" shrinkToFit="1"/>
    </xf>
    <xf numFmtId="0" fontId="2" fillId="0" borderId="1" xfId="1" applyNumberFormat="1" applyFont="1" applyBorder="1" applyAlignment="1">
      <alignment horizontal="center" vertical="center" shrinkToFit="1"/>
    </xf>
    <xf numFmtId="182" fontId="2" fillId="0" borderId="1" xfId="2" applyNumberFormat="1" applyFont="1" applyBorder="1" applyAlignment="1">
      <alignment horizontal="center" vertical="center" shrinkToFit="1"/>
    </xf>
    <xf numFmtId="178" fontId="5" fillId="0" borderId="1" xfId="0" applyNumberFormat="1" applyFont="1" applyBorder="1" applyAlignment="1">
      <alignment horizontal="center" vertical="center" shrinkToFit="1"/>
    </xf>
    <xf numFmtId="10" fontId="2" fillId="0" borderId="1" xfId="0" applyNumberFormat="1" applyFont="1" applyBorder="1" applyAlignment="1">
      <alignment horizontal="center" vertical="center" shrinkToFit="1"/>
    </xf>
    <xf numFmtId="0" fontId="2" fillId="0" borderId="1" xfId="0" applyNumberFormat="1" applyFont="1" applyBorder="1" applyAlignment="1">
      <alignment horizontal="center" vertical="center" shrinkToFit="1"/>
    </xf>
    <xf numFmtId="2" fontId="5" fillId="0" borderId="1" xfId="0" applyNumberFormat="1" applyFont="1" applyBorder="1" applyAlignment="1">
      <alignment horizontal="center" vertical="center" shrinkToFit="1"/>
    </xf>
    <xf numFmtId="2" fontId="5" fillId="3" borderId="1" xfId="0" applyNumberFormat="1" applyFont="1" applyFill="1" applyBorder="1" applyAlignment="1">
      <alignment horizontal="center" vertical="center" shrinkToFit="1"/>
    </xf>
    <xf numFmtId="180" fontId="5" fillId="0" borderId="1" xfId="0" applyNumberFormat="1" applyFont="1" applyBorder="1" applyAlignment="1">
      <alignment horizontal="center" vertical="center" shrinkToFit="1"/>
    </xf>
    <xf numFmtId="0" fontId="2" fillId="0" borderId="9" xfId="0" applyFont="1" applyBorder="1" applyAlignment="1">
      <alignment horizontal="center" vertical="center" shrinkToFit="1"/>
    </xf>
    <xf numFmtId="0" fontId="2" fillId="0" borderId="10" xfId="0" applyFont="1" applyBorder="1" applyAlignment="1">
      <alignment horizontal="center" vertical="center" shrinkToFit="1"/>
    </xf>
    <xf numFmtId="0" fontId="2" fillId="0" borderId="11" xfId="0" applyFont="1" applyBorder="1" applyAlignment="1">
      <alignment horizontal="center" vertical="center" shrinkToFit="1"/>
    </xf>
    <xf numFmtId="0" fontId="2" fillId="0" borderId="6" xfId="0" applyFont="1" applyBorder="1" applyAlignment="1">
      <alignment horizontal="center" vertical="center" shrinkToFit="1"/>
    </xf>
    <xf numFmtId="0" fontId="2" fillId="0" borderId="7" xfId="0" applyFont="1" applyBorder="1" applyAlignment="1">
      <alignment horizontal="center" vertical="center" shrinkToFit="1"/>
    </xf>
    <xf numFmtId="0" fontId="2" fillId="0" borderId="8" xfId="0" applyFont="1" applyBorder="1" applyAlignment="1">
      <alignment horizontal="center" vertical="center" shrinkToFit="1"/>
    </xf>
    <xf numFmtId="0" fontId="10" fillId="0" borderId="9" xfId="0" applyFont="1" applyBorder="1" applyAlignment="1">
      <alignment horizontal="center" vertical="center" shrinkToFit="1"/>
    </xf>
    <xf numFmtId="0" fontId="5" fillId="0" borderId="9" xfId="0" applyFont="1" applyBorder="1" applyAlignment="1">
      <alignment horizontal="center" vertical="center" shrinkToFit="1"/>
    </xf>
    <xf numFmtId="0" fontId="2" fillId="0" borderId="16" xfId="0" applyFont="1" applyBorder="1" applyAlignment="1">
      <alignment horizontal="center" vertical="center" shrinkToFit="1"/>
    </xf>
    <xf numFmtId="0" fontId="2" fillId="0" borderId="17" xfId="0" applyFont="1" applyBorder="1" applyAlignment="1">
      <alignment horizontal="center" vertical="center" shrinkToFit="1"/>
    </xf>
    <xf numFmtId="0" fontId="2" fillId="3" borderId="17" xfId="0" applyFont="1" applyFill="1" applyBorder="1" applyAlignment="1">
      <alignment horizontal="center" vertical="center" shrinkToFit="1"/>
    </xf>
    <xf numFmtId="0" fontId="2" fillId="0" borderId="18" xfId="0" applyFont="1" applyBorder="1" applyAlignment="1">
      <alignment horizontal="center" vertical="center" shrinkToFit="1"/>
    </xf>
    <xf numFmtId="0" fontId="2" fillId="0" borderId="19" xfId="0" applyFont="1" applyBorder="1" applyAlignment="1">
      <alignment horizontal="center" vertical="center" shrinkToFit="1"/>
    </xf>
    <xf numFmtId="2" fontId="2" fillId="0" borderId="20" xfId="0" applyNumberFormat="1" applyFont="1" applyBorder="1" applyAlignment="1">
      <alignment horizontal="center" vertical="center" shrinkToFit="1"/>
    </xf>
    <xf numFmtId="0" fontId="2" fillId="0" borderId="21" xfId="0" applyFont="1" applyBorder="1" applyAlignment="1">
      <alignment horizontal="center" vertical="center" shrinkToFit="1"/>
    </xf>
    <xf numFmtId="0" fontId="2" fillId="0" borderId="22" xfId="0" applyFont="1" applyBorder="1" applyAlignment="1">
      <alignment horizontal="center" vertical="center" shrinkToFit="1"/>
    </xf>
    <xf numFmtId="177" fontId="2" fillId="0" borderId="22" xfId="0" applyNumberFormat="1" applyFont="1" applyBorder="1" applyAlignment="1">
      <alignment horizontal="center" vertical="center" shrinkToFit="1"/>
    </xf>
    <xf numFmtId="2" fontId="2" fillId="0" borderId="22" xfId="0" applyNumberFormat="1" applyFont="1" applyBorder="1" applyAlignment="1">
      <alignment horizontal="center" vertical="center" shrinkToFit="1"/>
    </xf>
    <xf numFmtId="2" fontId="2" fillId="0" borderId="23" xfId="0" applyNumberFormat="1" applyFont="1" applyBorder="1" applyAlignment="1">
      <alignment horizontal="center" vertical="center" shrinkToFit="1"/>
    </xf>
    <xf numFmtId="0" fontId="5" fillId="0" borderId="10" xfId="0" applyFont="1" applyBorder="1" applyAlignment="1">
      <alignment horizontal="center" vertical="center" shrinkToFit="1"/>
    </xf>
    <xf numFmtId="177" fontId="2" fillId="0" borderId="10" xfId="0" applyNumberFormat="1" applyFont="1" applyBorder="1" applyAlignment="1">
      <alignment horizontal="center" vertical="center" shrinkToFit="1"/>
    </xf>
    <xf numFmtId="2" fontId="2" fillId="0" borderId="10" xfId="0" applyNumberFormat="1" applyFont="1" applyBorder="1" applyAlignment="1">
      <alignment horizontal="center" vertical="center" shrinkToFit="1"/>
    </xf>
    <xf numFmtId="0" fontId="10" fillId="0" borderId="10" xfId="0" applyFont="1" applyBorder="1" applyAlignment="1">
      <alignment horizontal="center" vertical="center" shrinkToFit="1"/>
    </xf>
    <xf numFmtId="0" fontId="2" fillId="0" borderId="20" xfId="0" applyFont="1" applyBorder="1" applyAlignment="1">
      <alignment horizontal="center" vertical="center" shrinkToFit="1"/>
    </xf>
    <xf numFmtId="0" fontId="2" fillId="0" borderId="23" xfId="0" applyFont="1" applyBorder="1" applyAlignment="1">
      <alignment horizontal="center" vertical="center" shrinkToFit="1"/>
    </xf>
    <xf numFmtId="178" fontId="2" fillId="0" borderId="8" xfId="0" applyNumberFormat="1" applyFont="1" applyBorder="1" applyAlignment="1">
      <alignment horizontal="center" vertical="center" shrinkToFit="1"/>
    </xf>
    <xf numFmtId="0" fontId="11" fillId="0" borderId="1" xfId="0" applyFont="1" applyBorder="1" applyAlignment="1">
      <alignment horizontal="center" vertical="center" shrinkToFit="1"/>
    </xf>
    <xf numFmtId="0" fontId="2" fillId="0" borderId="9" xfId="0" applyFont="1" applyBorder="1" applyAlignment="1">
      <alignment horizontal="center" vertical="center" shrinkToFit="1"/>
    </xf>
    <xf numFmtId="0" fontId="2" fillId="0" borderId="10" xfId="0" applyFont="1" applyBorder="1" applyAlignment="1">
      <alignment horizontal="center" vertical="center" shrinkToFit="1"/>
    </xf>
    <xf numFmtId="0" fontId="2" fillId="0" borderId="11" xfId="0" applyFont="1" applyBorder="1" applyAlignment="1">
      <alignment horizontal="center" vertical="center" shrinkToFit="1"/>
    </xf>
    <xf numFmtId="0" fontId="2" fillId="0" borderId="6" xfId="0" applyFont="1" applyBorder="1" applyAlignment="1">
      <alignment horizontal="center" vertical="center" shrinkToFit="1"/>
    </xf>
    <xf numFmtId="0" fontId="2" fillId="0" borderId="7" xfId="0" applyFont="1" applyBorder="1" applyAlignment="1">
      <alignment horizontal="center" vertical="center" shrinkToFit="1"/>
    </xf>
    <xf numFmtId="0" fontId="2" fillId="0" borderId="8" xfId="0" applyFont="1" applyBorder="1" applyAlignment="1">
      <alignment horizontal="center" vertical="center" shrinkToFit="1"/>
    </xf>
    <xf numFmtId="0" fontId="2" fillId="0" borderId="11" xfId="0" applyFont="1" applyBorder="1" applyAlignment="1">
      <alignment horizontal="center" vertical="center" shrinkToFit="1"/>
    </xf>
    <xf numFmtId="0" fontId="2" fillId="0" borderId="4" xfId="0" applyFont="1" applyBorder="1" applyAlignment="1">
      <alignment horizontal="center" vertical="center" shrinkToFit="1"/>
    </xf>
    <xf numFmtId="0" fontId="2" fillId="0" borderId="6" xfId="0" applyFont="1" applyBorder="1" applyAlignment="1">
      <alignment horizontal="center" vertical="center" shrinkToFit="1"/>
    </xf>
    <xf numFmtId="0" fontId="2" fillId="0" borderId="8" xfId="0" applyFont="1" applyBorder="1" applyAlignment="1">
      <alignment horizontal="center" vertical="center" shrinkToFit="1"/>
    </xf>
    <xf numFmtId="0" fontId="12" fillId="0" borderId="1" xfId="0" applyFont="1" applyBorder="1" applyAlignment="1">
      <alignment horizontal="center" vertical="center" shrinkToFit="1"/>
    </xf>
    <xf numFmtId="9" fontId="9" fillId="0" borderId="1" xfId="1" applyFont="1" applyBorder="1" applyAlignment="1">
      <alignment horizontal="center" vertical="center" shrinkToFit="1"/>
    </xf>
    <xf numFmtId="9" fontId="9" fillId="0" borderId="1" xfId="0" applyNumberFormat="1" applyFont="1" applyBorder="1" applyAlignment="1">
      <alignment horizontal="center" vertical="center" shrinkToFit="1"/>
    </xf>
    <xf numFmtId="176" fontId="9" fillId="0" borderId="1" xfId="1" applyNumberFormat="1" applyFont="1" applyBorder="1" applyAlignment="1">
      <alignment horizontal="center" vertical="center" shrinkToFit="1"/>
    </xf>
    <xf numFmtId="10" fontId="9" fillId="0" borderId="1" xfId="0" applyNumberFormat="1" applyFont="1" applyBorder="1" applyAlignment="1">
      <alignment horizontal="center" vertical="center" shrinkToFit="1"/>
    </xf>
    <xf numFmtId="0" fontId="5" fillId="0" borderId="11" xfId="0" applyFont="1" applyBorder="1" applyAlignment="1">
      <alignment horizontal="center" vertical="center" shrinkToFit="1"/>
    </xf>
    <xf numFmtId="0" fontId="5" fillId="0" borderId="27" xfId="0" applyFont="1" applyBorder="1" applyAlignment="1">
      <alignment horizontal="center" vertical="center" shrinkToFit="1"/>
    </xf>
    <xf numFmtId="0" fontId="5" fillId="0" borderId="22" xfId="0" applyFont="1" applyBorder="1" applyAlignment="1">
      <alignment horizontal="center" vertical="center" shrinkToFit="1"/>
    </xf>
    <xf numFmtId="0" fontId="2" fillId="0" borderId="11" xfId="0" applyFont="1" applyBorder="1" applyAlignment="1">
      <alignment horizontal="center" vertical="center"/>
    </xf>
    <xf numFmtId="0" fontId="13" fillId="0" borderId="1" xfId="0" applyFont="1" applyBorder="1" applyAlignment="1">
      <alignment horizontal="center" vertical="center" shrinkToFit="1"/>
    </xf>
    <xf numFmtId="0" fontId="11" fillId="0" borderId="1" xfId="0" applyFont="1" applyBorder="1" applyAlignment="1">
      <alignment horizontal="left" vertical="center"/>
    </xf>
    <xf numFmtId="0" fontId="5" fillId="0" borderId="1" xfId="0" applyFont="1" applyBorder="1" applyAlignment="1">
      <alignment horizontal="center" vertical="center"/>
    </xf>
    <xf numFmtId="0" fontId="2" fillId="0" borderId="11" xfId="0" applyFont="1" applyBorder="1" applyAlignment="1">
      <alignment horizontal="center" vertical="center" shrinkToFit="1"/>
    </xf>
    <xf numFmtId="0" fontId="2" fillId="0" borderId="8" xfId="0" applyFont="1" applyBorder="1" applyAlignment="1">
      <alignment horizontal="center" vertical="center" shrinkToFit="1"/>
    </xf>
    <xf numFmtId="179" fontId="2" fillId="0" borderId="8" xfId="0" applyNumberFormat="1" applyFont="1" applyBorder="1" applyAlignment="1">
      <alignment horizontal="center" vertical="center" shrinkToFit="1"/>
    </xf>
    <xf numFmtId="2" fontId="2" fillId="0" borderId="8" xfId="0" applyNumberFormat="1" applyFont="1" applyBorder="1" applyAlignment="1">
      <alignment horizontal="center" vertical="center" shrinkToFit="1"/>
    </xf>
    <xf numFmtId="0" fontId="5" fillId="3" borderId="22" xfId="0" applyFont="1" applyFill="1" applyBorder="1" applyAlignment="1">
      <alignment horizontal="center" vertical="center" shrinkToFit="1"/>
    </xf>
    <xf numFmtId="0" fontId="2" fillId="0" borderId="11" xfId="0" applyFont="1" applyBorder="1" applyAlignment="1">
      <alignment horizontal="center" vertical="center" shrinkToFit="1"/>
    </xf>
    <xf numFmtId="0" fontId="2" fillId="0" borderId="6" xfId="0" applyFont="1" applyBorder="1" applyAlignment="1">
      <alignment horizontal="center" vertical="center" shrinkToFit="1"/>
    </xf>
    <xf numFmtId="0" fontId="2" fillId="0" borderId="8" xfId="0" applyFont="1" applyBorder="1" applyAlignment="1">
      <alignment horizontal="center" vertical="center" shrinkToFit="1"/>
    </xf>
    <xf numFmtId="0" fontId="2" fillId="0" borderId="11" xfId="0" applyFont="1" applyBorder="1" applyAlignment="1">
      <alignment horizontal="center" vertical="center" shrinkToFit="1"/>
    </xf>
    <xf numFmtId="183" fontId="2" fillId="0" borderId="1" xfId="0" applyNumberFormat="1" applyFont="1" applyBorder="1" applyAlignment="1">
      <alignment horizontal="center" vertical="center" shrinkToFit="1"/>
    </xf>
    <xf numFmtId="9" fontId="2" fillId="3" borderId="1" xfId="1" applyFont="1" applyFill="1" applyBorder="1" applyAlignment="1">
      <alignment horizontal="center" vertical="center" shrinkToFit="1"/>
    </xf>
    <xf numFmtId="176" fontId="2" fillId="3" borderId="1" xfId="1" applyNumberFormat="1" applyFont="1" applyFill="1" applyBorder="1" applyAlignment="1">
      <alignment horizontal="center" vertical="center" shrinkToFit="1"/>
    </xf>
    <xf numFmtId="176" fontId="2" fillId="0" borderId="1" xfId="0" applyNumberFormat="1" applyFont="1" applyBorder="1" applyAlignment="1">
      <alignment horizontal="center" vertical="center" shrinkToFit="1"/>
    </xf>
    <xf numFmtId="0" fontId="14" fillId="0" borderId="1" xfId="0" applyFont="1" applyBorder="1" applyAlignment="1">
      <alignment horizontal="left" vertical="center"/>
    </xf>
    <xf numFmtId="0" fontId="6" fillId="2" borderId="2" xfId="0" applyFont="1" applyFill="1" applyBorder="1" applyAlignment="1">
      <alignment horizontal="center" vertical="center" shrinkToFit="1"/>
    </xf>
    <xf numFmtId="0" fontId="6" fillId="2" borderId="3" xfId="0" applyFont="1" applyFill="1" applyBorder="1" applyAlignment="1">
      <alignment horizontal="center" vertical="center" shrinkToFit="1"/>
    </xf>
    <xf numFmtId="0" fontId="6" fillId="2" borderId="4" xfId="0" applyFont="1" applyFill="1" applyBorder="1" applyAlignment="1">
      <alignment horizontal="center" vertical="center" shrinkToFit="1"/>
    </xf>
    <xf numFmtId="0" fontId="6" fillId="2" borderId="5" xfId="0" applyFont="1" applyFill="1" applyBorder="1" applyAlignment="1">
      <alignment horizontal="center" vertical="center" shrinkToFit="1"/>
    </xf>
    <xf numFmtId="0" fontId="2" fillId="0" borderId="30" xfId="0" applyFont="1" applyBorder="1" applyAlignment="1">
      <alignment horizontal="center" vertical="center" shrinkToFit="1"/>
    </xf>
    <xf numFmtId="0" fontId="2" fillId="0" borderId="11" xfId="0" applyFont="1" applyBorder="1" applyAlignment="1">
      <alignment horizontal="center" vertical="center" shrinkToFit="1"/>
    </xf>
    <xf numFmtId="0" fontId="3" fillId="0" borderId="2" xfId="0" applyFont="1" applyBorder="1" applyAlignment="1">
      <alignment horizontal="left" vertical="center" wrapText="1"/>
    </xf>
    <xf numFmtId="0" fontId="3" fillId="0" borderId="12" xfId="0" applyFont="1" applyBorder="1" applyAlignment="1">
      <alignment horizontal="left" vertical="center" wrapText="1"/>
    </xf>
    <xf numFmtId="0" fontId="3" fillId="0" borderId="3" xfId="0" applyFont="1" applyBorder="1" applyAlignment="1">
      <alignment horizontal="left" vertical="center" wrapText="1"/>
    </xf>
    <xf numFmtId="0" fontId="3" fillId="0" borderId="13" xfId="0" applyFont="1" applyBorder="1" applyAlignment="1">
      <alignment horizontal="left" vertical="center" wrapText="1"/>
    </xf>
    <xf numFmtId="0" fontId="3" fillId="0" borderId="0" xfId="0" applyFont="1" applyBorder="1" applyAlignment="1">
      <alignment horizontal="left" vertical="center" wrapText="1"/>
    </xf>
    <xf numFmtId="0" fontId="3" fillId="0" borderId="14" xfId="0" applyFont="1" applyBorder="1" applyAlignment="1">
      <alignment horizontal="left" vertical="center" wrapText="1"/>
    </xf>
    <xf numFmtId="0" fontId="3" fillId="0" borderId="4" xfId="0" applyFont="1" applyBorder="1" applyAlignment="1">
      <alignment horizontal="left" vertical="center" wrapText="1"/>
    </xf>
    <xf numFmtId="0" fontId="3" fillId="0" borderId="15" xfId="0" applyFont="1" applyBorder="1" applyAlignment="1">
      <alignment horizontal="left" vertical="center" wrapText="1"/>
    </xf>
    <xf numFmtId="0" fontId="3" fillId="0" borderId="5" xfId="0" applyFont="1" applyBorder="1" applyAlignment="1">
      <alignment horizontal="left" vertical="center" wrapText="1"/>
    </xf>
    <xf numFmtId="0" fontId="2" fillId="0" borderId="9" xfId="0" applyFont="1" applyBorder="1" applyAlignment="1">
      <alignment horizontal="center" vertical="center" wrapText="1"/>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9" xfId="0" applyFont="1" applyBorder="1" applyAlignment="1">
      <alignment horizontal="center" vertical="center" shrinkToFit="1"/>
    </xf>
    <xf numFmtId="0" fontId="2" fillId="0" borderId="10" xfId="0" applyFont="1" applyBorder="1" applyAlignment="1">
      <alignment horizontal="center" vertical="center" shrinkToFit="1"/>
    </xf>
    <xf numFmtId="0" fontId="2" fillId="0" borderId="2" xfId="0" applyFont="1" applyBorder="1" applyAlignment="1">
      <alignment horizontal="center" vertical="center" shrinkToFit="1"/>
    </xf>
    <xf numFmtId="0" fontId="2" fillId="0" borderId="12" xfId="0" applyFont="1" applyBorder="1" applyAlignment="1">
      <alignment horizontal="center" vertical="center" shrinkToFit="1"/>
    </xf>
    <xf numFmtId="0" fontId="2" fillId="0" borderId="3" xfId="0" applyFont="1" applyBorder="1" applyAlignment="1">
      <alignment horizontal="center" vertical="center" shrinkToFit="1"/>
    </xf>
    <xf numFmtId="0" fontId="2" fillId="0" borderId="13"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14" xfId="0" applyFont="1" applyBorder="1" applyAlignment="1">
      <alignment horizontal="center" vertical="center" shrinkToFit="1"/>
    </xf>
    <xf numFmtId="0" fontId="2" fillId="0" borderId="4" xfId="0" applyFont="1" applyBorder="1" applyAlignment="1">
      <alignment horizontal="center" vertical="center" shrinkToFit="1"/>
    </xf>
    <xf numFmtId="0" fontId="2" fillId="0" borderId="15" xfId="0" applyFont="1" applyBorder="1" applyAlignment="1">
      <alignment horizontal="center" vertical="center" shrinkToFit="1"/>
    </xf>
    <xf numFmtId="0" fontId="2" fillId="0" borderId="5" xfId="0" applyFont="1" applyBorder="1" applyAlignment="1">
      <alignment horizontal="center" vertical="center" shrinkToFit="1"/>
    </xf>
    <xf numFmtId="0" fontId="5" fillId="0" borderId="27" xfId="0" applyFont="1" applyBorder="1" applyAlignment="1">
      <alignment horizontal="center" vertical="center" shrinkToFit="1"/>
    </xf>
    <xf numFmtId="0" fontId="5" fillId="0" borderId="28" xfId="0" applyFont="1" applyBorder="1" applyAlignment="1">
      <alignment horizontal="center" vertical="center" shrinkToFit="1"/>
    </xf>
    <xf numFmtId="0" fontId="5" fillId="0" borderId="29" xfId="0" applyFont="1" applyBorder="1" applyAlignment="1">
      <alignment horizontal="center" vertical="center" shrinkToFit="1"/>
    </xf>
    <xf numFmtId="0" fontId="2" fillId="0" borderId="6" xfId="0" applyFont="1" applyBorder="1" applyAlignment="1">
      <alignment horizontal="center" vertical="center" shrinkToFit="1"/>
    </xf>
    <xf numFmtId="0" fontId="2" fillId="0" borderId="7" xfId="0" applyFont="1" applyBorder="1" applyAlignment="1">
      <alignment horizontal="center" vertical="center" shrinkToFit="1"/>
    </xf>
    <xf numFmtId="0" fontId="2" fillId="0" borderId="8" xfId="0" applyFont="1" applyBorder="1" applyAlignment="1">
      <alignment horizontal="center" vertical="center" shrinkToFit="1"/>
    </xf>
    <xf numFmtId="0" fontId="2" fillId="0" borderId="24" xfId="0" applyFont="1" applyBorder="1" applyAlignment="1">
      <alignment horizontal="center" vertical="center" shrinkToFit="1"/>
    </xf>
    <xf numFmtId="0" fontId="2" fillId="0" borderId="25" xfId="0" applyFont="1" applyBorder="1" applyAlignment="1">
      <alignment horizontal="center" vertical="center" shrinkToFit="1"/>
    </xf>
    <xf numFmtId="0" fontId="2" fillId="0" borderId="26" xfId="0" applyFont="1" applyBorder="1" applyAlignment="1">
      <alignment horizontal="center" vertical="center" shrinkToFit="1"/>
    </xf>
    <xf numFmtId="187" fontId="2" fillId="0" borderId="1" xfId="1" applyNumberFormat="1" applyFont="1" applyBorder="1" applyAlignment="1">
      <alignment horizontal="center" vertical="center" shrinkToFit="1"/>
    </xf>
  </cellXfs>
  <cellStyles count="3">
    <cellStyle name="百分比" xfId="1" builtinId="5"/>
    <cellStyle name="常规" xfId="0" builtinId="0"/>
    <cellStyle name="千位分隔" xfId="2" builtin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角色升级!$J$16:$J$35</c:f>
              <c:numCache>
                <c:formatCode>0.00</c:formatCode>
                <c:ptCount val="20"/>
                <c:pt idx="0">
                  <c:v>1</c:v>
                </c:pt>
                <c:pt idx="1">
                  <c:v>1.05</c:v>
                </c:pt>
                <c:pt idx="2">
                  <c:v>1.1025</c:v>
                </c:pt>
                <c:pt idx="3">
                  <c:v>1.1576250000000001</c:v>
                </c:pt>
                <c:pt idx="4">
                  <c:v>1.2155062500000002</c:v>
                </c:pt>
                <c:pt idx="5">
                  <c:v>1.2762815625000004</c:v>
                </c:pt>
                <c:pt idx="6">
                  <c:v>1.3400956406250004</c:v>
                </c:pt>
                <c:pt idx="7">
                  <c:v>1.4071004226562505</c:v>
                </c:pt>
                <c:pt idx="8">
                  <c:v>1.477455443789063</c:v>
                </c:pt>
                <c:pt idx="9">
                  <c:v>1.5513282159785162</c:v>
                </c:pt>
                <c:pt idx="10">
                  <c:v>1.628894626777442</c:v>
                </c:pt>
                <c:pt idx="11">
                  <c:v>1.7103393581163142</c:v>
                </c:pt>
                <c:pt idx="12">
                  <c:v>1.7958563260221301</c:v>
                </c:pt>
                <c:pt idx="13">
                  <c:v>1.8856491423232367</c:v>
                </c:pt>
                <c:pt idx="14">
                  <c:v>1.9799315994393987</c:v>
                </c:pt>
                <c:pt idx="15">
                  <c:v>2.0789281794113688</c:v>
                </c:pt>
                <c:pt idx="16">
                  <c:v>2.1828745883819374</c:v>
                </c:pt>
                <c:pt idx="17">
                  <c:v>2.2920183178010345</c:v>
                </c:pt>
                <c:pt idx="18">
                  <c:v>2.4066192336910861</c:v>
                </c:pt>
                <c:pt idx="19">
                  <c:v>2.5269501953756404</c:v>
                </c:pt>
              </c:numCache>
            </c:numRef>
          </c:val>
          <c:smooth val="0"/>
          <c:extLst>
            <c:ext xmlns:c16="http://schemas.microsoft.com/office/drawing/2014/chart" uri="{C3380CC4-5D6E-409C-BE32-E72D297353CC}">
              <c16:uniqueId val="{00000000-BA52-46F3-9142-8264700C45BA}"/>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角色升级!$L$16:$L$35</c:f>
              <c:numCache>
                <c:formatCode>0.00</c:formatCode>
                <c:ptCount val="20"/>
                <c:pt idx="0">
                  <c:v>1</c:v>
                </c:pt>
                <c:pt idx="1">
                  <c:v>1.1000000000000001</c:v>
                </c:pt>
                <c:pt idx="2">
                  <c:v>1.2100000000000002</c:v>
                </c:pt>
                <c:pt idx="3">
                  <c:v>1.3310000000000004</c:v>
                </c:pt>
                <c:pt idx="4">
                  <c:v>1.4641000000000006</c:v>
                </c:pt>
                <c:pt idx="5">
                  <c:v>1.6105100000000008</c:v>
                </c:pt>
                <c:pt idx="6">
                  <c:v>1.7715610000000011</c:v>
                </c:pt>
                <c:pt idx="7">
                  <c:v>1.9487171000000014</c:v>
                </c:pt>
                <c:pt idx="8">
                  <c:v>2.1435888100000016</c:v>
                </c:pt>
                <c:pt idx="9">
                  <c:v>2.3579476910000019</c:v>
                </c:pt>
                <c:pt idx="10">
                  <c:v>2.3579476910000019</c:v>
                </c:pt>
                <c:pt idx="11">
                  <c:v>2.3579476910000019</c:v>
                </c:pt>
                <c:pt idx="12">
                  <c:v>2.3579476910000019</c:v>
                </c:pt>
                <c:pt idx="13">
                  <c:v>2.3579476910000019</c:v>
                </c:pt>
                <c:pt idx="14">
                  <c:v>2.3579476910000019</c:v>
                </c:pt>
                <c:pt idx="15">
                  <c:v>2.3579476910000019</c:v>
                </c:pt>
                <c:pt idx="16">
                  <c:v>2.3579476910000019</c:v>
                </c:pt>
                <c:pt idx="17">
                  <c:v>2.3579476910000019</c:v>
                </c:pt>
                <c:pt idx="18">
                  <c:v>2.3579476910000019</c:v>
                </c:pt>
                <c:pt idx="19">
                  <c:v>2.3579476910000019</c:v>
                </c:pt>
              </c:numCache>
            </c:numRef>
          </c:val>
          <c:smooth val="0"/>
          <c:extLst>
            <c:ext xmlns:c16="http://schemas.microsoft.com/office/drawing/2014/chart" uri="{C3380CC4-5D6E-409C-BE32-E72D297353CC}">
              <c16:uniqueId val="{00000001-BA52-46F3-9142-8264700C45BA}"/>
            </c:ext>
          </c:extLst>
        </c:ser>
        <c:ser>
          <c:idx val="2"/>
          <c:order val="2"/>
          <c:tx>
            <c:v>123</c:v>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角色升级!$N$16:$N$35</c:f>
              <c:numCache>
                <c:formatCode>0.0%</c:formatCode>
                <c:ptCount val="20"/>
                <c:pt idx="0">
                  <c:v>1</c:v>
                </c:pt>
                <c:pt idx="1">
                  <c:v>0.95454545454545447</c:v>
                </c:pt>
                <c:pt idx="2">
                  <c:v>0.91115702479338834</c:v>
                </c:pt>
                <c:pt idx="3">
                  <c:v>0.86974079639368873</c:v>
                </c:pt>
                <c:pt idx="4">
                  <c:v>0.83020712383033923</c:v>
                </c:pt>
                <c:pt idx="5">
                  <c:v>0.79247043638350567</c:v>
                </c:pt>
                <c:pt idx="6">
                  <c:v>0.75644905291152809</c:v>
                </c:pt>
                <c:pt idx="7">
                  <c:v>0.72206500505191307</c:v>
                </c:pt>
                <c:pt idx="8">
                  <c:v>0.68924386845864438</c:v>
                </c:pt>
                <c:pt idx="9">
                  <c:v>0.65791460171052407</c:v>
                </c:pt>
                <c:pt idx="10">
                  <c:v>0.69081033179605034</c:v>
                </c:pt>
                <c:pt idx="11">
                  <c:v>0.72535084838585284</c:v>
                </c:pt>
                <c:pt idx="12">
                  <c:v>0.7616183908051456</c:v>
                </c:pt>
                <c:pt idx="13">
                  <c:v>0.79969931034540287</c:v>
                </c:pt>
                <c:pt idx="14">
                  <c:v>0.83968427586267314</c:v>
                </c:pt>
                <c:pt idx="15">
                  <c:v>0.8816684896558068</c:v>
                </c:pt>
                <c:pt idx="16">
                  <c:v>0.92575191413859725</c:v>
                </c:pt>
                <c:pt idx="17">
                  <c:v>0.97203950984552723</c:v>
                </c:pt>
                <c:pt idx="18">
                  <c:v>1.0206414853378034</c:v>
                </c:pt>
                <c:pt idx="19">
                  <c:v>1.0716735596046936</c:v>
                </c:pt>
              </c:numCache>
            </c:numRef>
          </c:val>
          <c:smooth val="0"/>
          <c:extLst>
            <c:ext xmlns:c16="http://schemas.microsoft.com/office/drawing/2014/chart" uri="{C3380CC4-5D6E-409C-BE32-E72D297353CC}">
              <c16:uniqueId val="{00000003-BA52-46F3-9142-8264700C45BA}"/>
            </c:ext>
          </c:extLst>
        </c:ser>
        <c:dLbls>
          <c:showLegendKey val="0"/>
          <c:showVal val="0"/>
          <c:showCatName val="0"/>
          <c:showSerName val="0"/>
          <c:showPercent val="0"/>
          <c:showBubbleSize val="0"/>
        </c:dLbls>
        <c:marker val="1"/>
        <c:smooth val="0"/>
        <c:axId val="1768860000"/>
        <c:axId val="1768860416"/>
      </c:lineChart>
      <c:catAx>
        <c:axId val="17688600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768860416"/>
        <c:crosses val="autoZero"/>
        <c:auto val="1"/>
        <c:lblAlgn val="ctr"/>
        <c:lblOffset val="100"/>
        <c:noMultiLvlLbl val="0"/>
      </c:catAx>
      <c:valAx>
        <c:axId val="1768860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768860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cked"/>
        <c:varyColors val="0"/>
        <c:ser>
          <c:idx val="0"/>
          <c:order val="0"/>
          <c:spPr>
            <a:ln w="28575" cap="rnd">
              <a:solidFill>
                <a:schemeClr val="accent1"/>
              </a:solidFill>
              <a:round/>
            </a:ln>
            <a:effectLst/>
          </c:spPr>
          <c:marker>
            <c:symbol val="none"/>
          </c:marker>
          <c:val>
            <c:numRef>
              <c:f>玩家成长!#REF!</c:f>
              <c:numCache>
                <c:formatCode>General</c:formatCode>
                <c:ptCount val="1"/>
                <c:pt idx="0">
                  <c:v>1</c:v>
                </c:pt>
              </c:numCache>
            </c:numRef>
          </c:val>
          <c:smooth val="0"/>
          <c:extLst>
            <c:ext xmlns:c16="http://schemas.microsoft.com/office/drawing/2014/chart" uri="{C3380CC4-5D6E-409C-BE32-E72D297353CC}">
              <c16:uniqueId val="{00000000-3FD3-410C-81DE-612860E6C28F}"/>
            </c:ext>
          </c:extLst>
        </c:ser>
        <c:dLbls>
          <c:showLegendKey val="0"/>
          <c:showVal val="0"/>
          <c:showCatName val="0"/>
          <c:showSerName val="0"/>
          <c:showPercent val="0"/>
          <c:showBubbleSize val="0"/>
        </c:dLbls>
        <c:smooth val="0"/>
        <c:axId val="147192416"/>
        <c:axId val="147189920"/>
      </c:lineChart>
      <c:catAx>
        <c:axId val="14719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7189920"/>
        <c:crosses val="autoZero"/>
        <c:auto val="1"/>
        <c:lblAlgn val="ctr"/>
        <c:lblOffset val="100"/>
        <c:noMultiLvlLbl val="0"/>
      </c:catAx>
      <c:valAx>
        <c:axId val="147189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719241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16</xdr:col>
      <xdr:colOff>52387</xdr:colOff>
      <xdr:row>14</xdr:row>
      <xdr:rowOff>133350</xdr:rowOff>
    </xdr:from>
    <xdr:to>
      <xdr:col>22</xdr:col>
      <xdr:colOff>509587</xdr:colOff>
      <xdr:row>29</xdr:row>
      <xdr:rowOff>161925</xdr:rowOff>
    </xdr:to>
    <xdr:graphicFrame macro="">
      <xdr:nvGraphicFramePr>
        <xdr:cNvPr id="2" name="图表 1">
          <a:extLst>
            <a:ext uri="{FF2B5EF4-FFF2-40B4-BE49-F238E27FC236}">
              <a16:creationId xmlns:a16="http://schemas.microsoft.com/office/drawing/2014/main" id="{E01F82ED-4761-4E88-A474-90E2036DB7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100011</xdr:colOff>
      <xdr:row>96</xdr:row>
      <xdr:rowOff>128587</xdr:rowOff>
    </xdr:from>
    <xdr:to>
      <xdr:col>30</xdr:col>
      <xdr:colOff>104774</xdr:colOff>
      <xdr:row>111</xdr:row>
      <xdr:rowOff>157162</xdr:rowOff>
    </xdr:to>
    <xdr:graphicFrame macro="">
      <xdr:nvGraphicFramePr>
        <xdr:cNvPr id="2" name="图表 1">
          <a:extLst>
            <a:ext uri="{FF2B5EF4-FFF2-40B4-BE49-F238E27FC236}">
              <a16:creationId xmlns:a16="http://schemas.microsoft.com/office/drawing/2014/main" id="{2544AB29-9E5B-4451-AE22-5ED75F97C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967E5-2CFA-4D53-BAE8-871F5DF4BACC}">
  <sheetPr codeName="Sheet1"/>
  <dimension ref="A1:X71"/>
  <sheetViews>
    <sheetView workbookViewId="0">
      <pane xSplit="2" ySplit="8" topLeftCell="C9" activePane="bottomRight" state="frozen"/>
      <selection pane="topRight" activeCell="C1" sqref="C1"/>
      <selection pane="bottomLeft" activeCell="A9" sqref="A9"/>
      <selection pane="bottomRight" activeCell="W14" sqref="W14"/>
    </sheetView>
  </sheetViews>
  <sheetFormatPr defaultRowHeight="14.25" customHeight="1" x14ac:dyDescent="0.2"/>
  <cols>
    <col min="1" max="8" width="9" style="1"/>
    <col min="9" max="9" width="2.5" style="1" customWidth="1"/>
    <col min="10" max="20" width="9" style="1"/>
    <col min="21" max="21" width="2.5" style="1" customWidth="1"/>
    <col min="22" max="16384" width="9" style="1"/>
  </cols>
  <sheetData>
    <row r="1" spans="1:24" ht="14.25" customHeight="1" x14ac:dyDescent="0.2">
      <c r="A1" s="95" t="s">
        <v>182</v>
      </c>
      <c r="B1" s="96"/>
    </row>
    <row r="2" spans="1:24" ht="14.25" customHeight="1" x14ac:dyDescent="0.2">
      <c r="A2" s="97"/>
      <c r="B2" s="98"/>
      <c r="M2" s="87"/>
      <c r="Q2" s="88"/>
    </row>
    <row r="3" spans="1:24" x14ac:dyDescent="0.2">
      <c r="D3" s="2" t="s">
        <v>158</v>
      </c>
      <c r="M3" s="87"/>
      <c r="Q3" s="88"/>
    </row>
    <row r="4" spans="1:24" s="3" customFormat="1" ht="14.25" customHeight="1" x14ac:dyDescent="0.2">
      <c r="C4" s="3" t="s">
        <v>16</v>
      </c>
      <c r="J4" s="3" t="s">
        <v>17</v>
      </c>
      <c r="K4" s="2" t="s">
        <v>164</v>
      </c>
      <c r="M4" s="3">
        <v>1</v>
      </c>
      <c r="N4" s="74"/>
      <c r="O4" s="74"/>
      <c r="P4" s="74"/>
      <c r="S4" s="3">
        <f>M4</f>
        <v>1</v>
      </c>
      <c r="V4" s="3" t="s">
        <v>18</v>
      </c>
    </row>
    <row r="5" spans="1:24" ht="14.25" customHeight="1" thickBot="1" x14ac:dyDescent="0.25">
      <c r="D5" s="1" t="s">
        <v>0</v>
      </c>
      <c r="E5" s="1" t="s">
        <v>3</v>
      </c>
      <c r="F5" s="1" t="s">
        <v>12</v>
      </c>
      <c r="J5" s="76" t="s">
        <v>163</v>
      </c>
      <c r="K5" s="76" t="s">
        <v>13</v>
      </c>
      <c r="L5" s="76" t="s">
        <v>11</v>
      </c>
      <c r="M5" s="76" t="s">
        <v>12</v>
      </c>
      <c r="N5" s="76" t="s">
        <v>5</v>
      </c>
      <c r="O5" s="3"/>
      <c r="P5" s="76" t="s">
        <v>163</v>
      </c>
      <c r="Q5" s="76" t="s">
        <v>13</v>
      </c>
      <c r="R5" s="76" t="s">
        <v>11</v>
      </c>
      <c r="S5" s="76" t="s">
        <v>12</v>
      </c>
      <c r="T5" s="76" t="s">
        <v>5</v>
      </c>
      <c r="V5" s="76" t="s">
        <v>13</v>
      </c>
      <c r="W5" s="76" t="s">
        <v>126</v>
      </c>
      <c r="X5" s="76" t="s">
        <v>127</v>
      </c>
    </row>
    <row r="6" spans="1:24" ht="14.25" customHeight="1" x14ac:dyDescent="0.2">
      <c r="D6" s="1" t="s">
        <v>1</v>
      </c>
      <c r="E6" s="1" t="s">
        <v>4</v>
      </c>
      <c r="F6" s="1" t="s">
        <v>11</v>
      </c>
      <c r="J6" s="86">
        <v>1</v>
      </c>
      <c r="K6" s="86" t="s">
        <v>3</v>
      </c>
      <c r="L6" s="86">
        <f>VLOOKUP($K6,$D$16:$G$21,MATCH(L$5,$D$16:$G$16,0),0)</f>
        <v>6.25</v>
      </c>
      <c r="M6" s="86">
        <f>VLOOKUP($K6,$D$16:$G$21,MATCH(M$5,$D$16:$G$16,0),0)*M4</f>
        <v>143.75</v>
      </c>
      <c r="N6" s="86">
        <f t="shared" ref="N6" si="0">VLOOKUP($K6,$D$16:$G$21,MATCH(N$5,$D$16:$G$16,0),0)</f>
        <v>3.53</v>
      </c>
      <c r="P6" s="86">
        <v>1</v>
      </c>
      <c r="Q6" s="86" t="s">
        <v>81</v>
      </c>
      <c r="R6" s="86">
        <f>VLOOKUP($Q6,$D$16:$G$21,MATCH(R$5,$D$16:$G$16,0),0)*S4</f>
        <v>6.25</v>
      </c>
      <c r="S6" s="86">
        <f t="shared" ref="S6:T10" si="1">VLOOKUP($Q6,$D$16:$G$21,MATCH(S$5,$D$16:$G$16,0),0)</f>
        <v>143.75</v>
      </c>
      <c r="T6" s="86">
        <f t="shared" si="1"/>
        <v>3.53</v>
      </c>
      <c r="V6" s="77" t="s">
        <v>3</v>
      </c>
      <c r="W6" s="86">
        <v>2</v>
      </c>
      <c r="X6" s="86">
        <v>3</v>
      </c>
    </row>
    <row r="7" spans="1:24" ht="14.25" customHeight="1" x14ac:dyDescent="0.2">
      <c r="D7" s="1" t="s">
        <v>2</v>
      </c>
      <c r="E7" s="1" t="s">
        <v>5</v>
      </c>
      <c r="F7" s="1" t="s">
        <v>5</v>
      </c>
      <c r="J7" s="1">
        <v>1</v>
      </c>
      <c r="K7" s="1" t="s">
        <v>4</v>
      </c>
      <c r="L7" s="86">
        <f>VLOOKUP($K7,$D$16:$G$21,MATCH(L$5,$D$16:$G$16,0),0)*M4</f>
        <v>14.375</v>
      </c>
      <c r="M7" s="86">
        <f t="shared" ref="L7:N10" si="2">VLOOKUP($K7,$D$16:$G$21,MATCH(M$5,$D$16:$G$16,0),0)</f>
        <v>50</v>
      </c>
      <c r="N7" s="86">
        <f t="shared" si="2"/>
        <v>0</v>
      </c>
      <c r="P7" s="1">
        <v>1</v>
      </c>
      <c r="Q7" s="1" t="s">
        <v>82</v>
      </c>
      <c r="R7" s="86">
        <f t="shared" ref="R7:R10" si="3">VLOOKUP($Q7,$D$16:$G$21,MATCH(R$5,$D$16:$G$16,0),0)</f>
        <v>14.375</v>
      </c>
      <c r="S7" s="86">
        <f>VLOOKUP($Q7,$D$16:$G$21,MATCH(S$5,$D$16:$G$16,0),0)*S4</f>
        <v>50</v>
      </c>
      <c r="T7" s="86">
        <f t="shared" si="1"/>
        <v>0</v>
      </c>
      <c r="V7" s="1" t="s">
        <v>4</v>
      </c>
      <c r="W7" s="1">
        <v>1</v>
      </c>
      <c r="X7" s="11">
        <v>3</v>
      </c>
    </row>
    <row r="8" spans="1:24" ht="14.25" customHeight="1" x14ac:dyDescent="0.2">
      <c r="D8" s="2" t="s">
        <v>159</v>
      </c>
      <c r="J8" s="1">
        <v>2</v>
      </c>
      <c r="K8" s="1" t="s">
        <v>3</v>
      </c>
      <c r="L8" s="86">
        <f t="shared" si="2"/>
        <v>6.25</v>
      </c>
      <c r="M8" s="86">
        <f>VLOOKUP($K8,$D$16:$G$21,MATCH(M$5,$D$16:$G$16,0),0)*M4</f>
        <v>143.75</v>
      </c>
      <c r="N8" s="86">
        <f t="shared" si="2"/>
        <v>3.53</v>
      </c>
      <c r="P8" s="1">
        <v>2</v>
      </c>
      <c r="Q8" s="1" t="s">
        <v>3</v>
      </c>
      <c r="R8" s="86">
        <f>VLOOKUP($Q8,$D$16:$G$21,MATCH(R$5,$D$16:$G$16,0),0)*S4</f>
        <v>6.25</v>
      </c>
      <c r="S8" s="86">
        <f t="shared" si="1"/>
        <v>143.75</v>
      </c>
      <c r="T8" s="86">
        <f t="shared" si="1"/>
        <v>3.53</v>
      </c>
      <c r="V8" s="1" t="s">
        <v>5</v>
      </c>
      <c r="W8" s="1">
        <v>0</v>
      </c>
      <c r="X8" s="1">
        <v>2</v>
      </c>
    </row>
    <row r="9" spans="1:24" ht="14.25" customHeight="1" x14ac:dyDescent="0.2">
      <c r="J9" s="1">
        <v>2</v>
      </c>
      <c r="K9" s="1" t="s">
        <v>4</v>
      </c>
      <c r="L9" s="86">
        <f>VLOOKUP($K9,$D$16:$G$21,MATCH(L$5,$D$16:$G$16,0),0)*M4</f>
        <v>14.375</v>
      </c>
      <c r="M9" s="86">
        <f t="shared" si="2"/>
        <v>50</v>
      </c>
      <c r="N9" s="86">
        <f t="shared" si="2"/>
        <v>0</v>
      </c>
      <c r="P9" s="1">
        <v>2</v>
      </c>
      <c r="Q9" s="1" t="s">
        <v>82</v>
      </c>
      <c r="R9" s="86">
        <f t="shared" si="3"/>
        <v>14.375</v>
      </c>
      <c r="S9" s="86">
        <f>VLOOKUP($Q9,$D$16:$G$21,MATCH(S$5,$D$16:$G$16,0),0)*S4</f>
        <v>50</v>
      </c>
      <c r="T9" s="86">
        <f t="shared" si="1"/>
        <v>0</v>
      </c>
      <c r="V9" s="2" t="s">
        <v>69</v>
      </c>
    </row>
    <row r="10" spans="1:24" ht="14.25" customHeight="1" thickBot="1" x14ac:dyDescent="0.25">
      <c r="D10" s="76" t="s">
        <v>13</v>
      </c>
      <c r="E10" s="76" t="s">
        <v>11</v>
      </c>
      <c r="F10" s="76" t="s">
        <v>12</v>
      </c>
      <c r="G10" s="76" t="s">
        <v>5</v>
      </c>
      <c r="J10" s="1">
        <v>0</v>
      </c>
      <c r="K10" s="1" t="s">
        <v>5</v>
      </c>
      <c r="L10" s="86">
        <f t="shared" si="2"/>
        <v>5</v>
      </c>
      <c r="M10" s="86">
        <f t="shared" si="2"/>
        <v>50</v>
      </c>
      <c r="N10" s="86">
        <f>VLOOKUP($K10,$D$16:$G$21,MATCH(N$5,$D$16:$G$16,0),0)*M4</f>
        <v>12.1785</v>
      </c>
      <c r="P10" s="1">
        <v>0</v>
      </c>
      <c r="Q10" s="1" t="s">
        <v>83</v>
      </c>
      <c r="R10" s="86">
        <f t="shared" si="3"/>
        <v>5</v>
      </c>
      <c r="S10" s="86">
        <f t="shared" si="1"/>
        <v>50</v>
      </c>
      <c r="T10" s="86">
        <f>VLOOKUP($Q10,$D$16:$G$21,MATCH(T$5,$D$16:$G$16,0),0)*S4</f>
        <v>12.1785</v>
      </c>
    </row>
    <row r="11" spans="1:24" ht="14.25" customHeight="1" x14ac:dyDescent="0.2">
      <c r="D11" s="86" t="s">
        <v>3</v>
      </c>
      <c r="E11" s="14">
        <v>5</v>
      </c>
      <c r="F11" s="14">
        <v>100</v>
      </c>
      <c r="G11" s="14">
        <v>2</v>
      </c>
      <c r="I11" s="6"/>
    </row>
    <row r="12" spans="1:24" ht="14.25" customHeight="1" x14ac:dyDescent="0.2">
      <c r="D12" s="1" t="s">
        <v>4</v>
      </c>
      <c r="E12" s="6">
        <v>10</v>
      </c>
      <c r="F12" s="6">
        <v>40</v>
      </c>
      <c r="G12" s="6">
        <v>0</v>
      </c>
      <c r="I12" s="6"/>
      <c r="K12" s="1">
        <v>2</v>
      </c>
      <c r="L12" s="1">
        <f>SUM(L6:L$7)+L$10/2</f>
        <v>23.125</v>
      </c>
      <c r="M12" s="1">
        <f>SUM(M6:M$7)</f>
        <v>193.75</v>
      </c>
      <c r="N12" s="1">
        <f>SUM(N6:N$7)+N$10/2</f>
        <v>9.6192499999999992</v>
      </c>
      <c r="Q12" s="1">
        <v>2</v>
      </c>
      <c r="R12" s="1">
        <f>SUM(R6:R$7)+R$10/2</f>
        <v>23.125</v>
      </c>
      <c r="S12" s="1">
        <f>SUM(S6:S$7)</f>
        <v>193.75</v>
      </c>
      <c r="T12" s="1">
        <f>SUM(T6:T$7)+T$10/2</f>
        <v>9.6192499999999992</v>
      </c>
    </row>
    <row r="13" spans="1:24" ht="14.25" customHeight="1" x14ac:dyDescent="0.2">
      <c r="D13" s="1" t="s">
        <v>5</v>
      </c>
      <c r="E13" s="6">
        <v>4</v>
      </c>
      <c r="F13" s="6">
        <v>50</v>
      </c>
      <c r="G13" s="6">
        <v>6</v>
      </c>
      <c r="I13" s="6"/>
      <c r="K13" s="1">
        <v>1</v>
      </c>
      <c r="L13" s="1">
        <f>SUM(L7:L$7)+L$10/2</f>
        <v>16.875</v>
      </c>
      <c r="M13" s="1">
        <f>SUM(M7:M$7)</f>
        <v>50</v>
      </c>
      <c r="N13" s="1">
        <f>SUM(N7:N$7)+N$10/2</f>
        <v>6.0892499999999998</v>
      </c>
      <c r="Q13" s="1">
        <v>1</v>
      </c>
      <c r="R13" s="1">
        <f>SUM(R7:R$7)+R$10/2</f>
        <v>16.875</v>
      </c>
      <c r="S13" s="1">
        <f>SUM(S7:S$7)</f>
        <v>50</v>
      </c>
      <c r="T13" s="1">
        <f>SUM(T7:T$7)+T$10/2</f>
        <v>6.0892499999999998</v>
      </c>
    </row>
    <row r="14" spans="1:24" ht="14.25" customHeight="1" x14ac:dyDescent="0.2">
      <c r="I14" s="6"/>
      <c r="K14" s="1">
        <v>2</v>
      </c>
      <c r="L14" s="1">
        <f>SUM(L8:L$9)+L$10/2</f>
        <v>23.125</v>
      </c>
      <c r="M14" s="1">
        <f>SUM(M8:M$9)</f>
        <v>193.75</v>
      </c>
      <c r="N14" s="1">
        <f>SUM(N8:N$9)+N$10/2</f>
        <v>9.6192499999999992</v>
      </c>
      <c r="Q14" s="1">
        <v>2</v>
      </c>
      <c r="R14" s="1">
        <f>SUM(R8:R$9)+R$10/2</f>
        <v>23.125</v>
      </c>
      <c r="S14" s="1">
        <f>SUM(S8:S$9)</f>
        <v>193.75</v>
      </c>
      <c r="T14" s="1">
        <f>SUM(T8:T$9)+T$10/2</f>
        <v>9.6192499999999992</v>
      </c>
    </row>
    <row r="15" spans="1:24" s="3" customFormat="1" ht="14.25" customHeight="1" x14ac:dyDescent="0.2">
      <c r="C15" s="3" t="s">
        <v>128</v>
      </c>
      <c r="G15" s="3">
        <v>1</v>
      </c>
      <c r="I15" s="6"/>
      <c r="K15" s="1">
        <v>1</v>
      </c>
      <c r="L15" s="1">
        <f>SUM(L9:L$9)+L$10/2</f>
        <v>16.875</v>
      </c>
      <c r="M15" s="1">
        <f>SUM(M9:M$9)</f>
        <v>50</v>
      </c>
      <c r="N15" s="1">
        <f>SUM(N9:N$9)+N$10/2</f>
        <v>6.0892499999999998</v>
      </c>
      <c r="Q15" s="1">
        <v>1</v>
      </c>
      <c r="R15" s="1">
        <f>SUM(R9:R$9)+R$10/2</f>
        <v>16.875</v>
      </c>
      <c r="S15" s="1">
        <f>SUM(S9:S$9)</f>
        <v>50</v>
      </c>
      <c r="T15" s="1">
        <f>SUM(T9:T$9)+T$10/2</f>
        <v>6.0892499999999998</v>
      </c>
    </row>
    <row r="16" spans="1:24" ht="14.25" customHeight="1" thickBot="1" x14ac:dyDescent="0.25">
      <c r="C16" s="3">
        <v>1.7649999999999999</v>
      </c>
      <c r="D16" s="76" t="s">
        <v>129</v>
      </c>
      <c r="E16" s="76" t="s">
        <v>96</v>
      </c>
      <c r="F16" s="76" t="s">
        <v>97</v>
      </c>
      <c r="G16" s="76" t="s">
        <v>83</v>
      </c>
      <c r="K16" s="1">
        <v>1</v>
      </c>
      <c r="L16" s="1">
        <f>L10</f>
        <v>5</v>
      </c>
      <c r="M16" s="1">
        <f>M10</f>
        <v>50</v>
      </c>
      <c r="N16" s="1">
        <f>IF(K10="治疗",0,N10)</f>
        <v>0</v>
      </c>
      <c r="Q16" s="1">
        <v>1</v>
      </c>
      <c r="R16" s="1">
        <f>R10</f>
        <v>5</v>
      </c>
      <c r="S16" s="1">
        <f>S10</f>
        <v>50</v>
      </c>
      <c r="T16" s="1">
        <f>IF(Q10="治疗",0,T10)</f>
        <v>0</v>
      </c>
    </row>
    <row r="17" spans="1:24" ht="14.25" customHeight="1" x14ac:dyDescent="0.2">
      <c r="A17" s="1">
        <f>1.25</f>
        <v>1.25</v>
      </c>
      <c r="B17" s="1">
        <f>1.25*1.15</f>
        <v>1.4375</v>
      </c>
      <c r="C17" s="1">
        <f>C16</f>
        <v>1.7649999999999999</v>
      </c>
      <c r="D17" s="86" t="s">
        <v>81</v>
      </c>
      <c r="E17" s="86">
        <f>VLOOKUP($D17,$D$10:$G$13,MATCH(E$16,$D$10:$G$10,0),0)*A17</f>
        <v>6.25</v>
      </c>
      <c r="F17" s="89">
        <f t="shared" ref="F17:G17" si="4">VLOOKUP($D17,$D$10:$G$13,MATCH(F$16,$D$10:$G$10,0),0)*B17</f>
        <v>143.75</v>
      </c>
      <c r="G17" s="89">
        <f t="shared" si="4"/>
        <v>3.53</v>
      </c>
      <c r="J17" s="3"/>
    </row>
    <row r="18" spans="1:24" ht="14.25" customHeight="1" x14ac:dyDescent="0.2">
      <c r="A18" s="1">
        <f>1.25*1.15</f>
        <v>1.4375</v>
      </c>
      <c r="B18" s="1">
        <f>1.25</f>
        <v>1.25</v>
      </c>
      <c r="C18" s="1">
        <f t="shared" ref="C18:C20" si="5">C17</f>
        <v>1.7649999999999999</v>
      </c>
      <c r="D18" s="1" t="s">
        <v>82</v>
      </c>
      <c r="E18" s="89">
        <f t="shared" ref="E18:E21" si="6">VLOOKUP($D18,$D$10:$G$13,MATCH(E$16,$D$10:$G$10,0),0)*A18</f>
        <v>14.375</v>
      </c>
      <c r="F18" s="89">
        <f t="shared" ref="F18:F21" si="7">VLOOKUP($D18,$D$10:$G$13,MATCH(F$16,$D$10:$G$10,0),0)*B18</f>
        <v>50</v>
      </c>
      <c r="G18" s="89">
        <f t="shared" ref="G18:G21" si="8">VLOOKUP($D18,$D$10:$G$13,MATCH(G$16,$D$10:$G$10,0),0)*C18</f>
        <v>0</v>
      </c>
      <c r="H18" s="2"/>
      <c r="O18" s="3">
        <f>M51-Q51</f>
        <v>0</v>
      </c>
      <c r="P18" s="3"/>
    </row>
    <row r="19" spans="1:24" ht="14.25" customHeight="1" x14ac:dyDescent="0.2">
      <c r="A19" s="1">
        <f>1.25</f>
        <v>1.25</v>
      </c>
      <c r="B19" s="1">
        <f>1.25*1.15</f>
        <v>1.4375</v>
      </c>
      <c r="C19" s="1">
        <f t="shared" si="5"/>
        <v>1.7649999999999999</v>
      </c>
      <c r="D19" s="1" t="s">
        <v>81</v>
      </c>
      <c r="E19" s="89">
        <f t="shared" si="6"/>
        <v>6.25</v>
      </c>
      <c r="F19" s="89">
        <f t="shared" si="7"/>
        <v>143.75</v>
      </c>
      <c r="G19" s="89">
        <f t="shared" si="8"/>
        <v>3.53</v>
      </c>
      <c r="K19" s="2" t="s">
        <v>19</v>
      </c>
      <c r="R19" s="26">
        <f>MAX(R29,R39)+R52</f>
        <v>25.279360995928574</v>
      </c>
      <c r="X19" s="1">
        <v>2.25</v>
      </c>
    </row>
    <row r="20" spans="1:24" ht="14.25" customHeight="1" x14ac:dyDescent="0.2">
      <c r="A20" s="1">
        <f>1.25*1.15</f>
        <v>1.4375</v>
      </c>
      <c r="B20" s="1">
        <f>1.25</f>
        <v>1.25</v>
      </c>
      <c r="C20" s="1">
        <f t="shared" si="5"/>
        <v>1.7649999999999999</v>
      </c>
      <c r="D20" s="1" t="s">
        <v>82</v>
      </c>
      <c r="E20" s="89">
        <f t="shared" si="6"/>
        <v>14.375</v>
      </c>
      <c r="F20" s="89">
        <f t="shared" si="7"/>
        <v>50</v>
      </c>
      <c r="G20" s="89">
        <f t="shared" si="8"/>
        <v>0</v>
      </c>
      <c r="L20" s="1" t="s">
        <v>90</v>
      </c>
      <c r="M20" s="1" t="s">
        <v>15</v>
      </c>
      <c r="Q20" s="1" t="s">
        <v>15</v>
      </c>
      <c r="W20" s="1">
        <f>E11*1.25</f>
        <v>6.25</v>
      </c>
      <c r="X20" s="1">
        <f>G11*$X$19</f>
        <v>4.5</v>
      </c>
    </row>
    <row r="21" spans="1:24" ht="14.25" customHeight="1" x14ac:dyDescent="0.2">
      <c r="A21" s="1">
        <v>1.25</v>
      </c>
      <c r="B21" s="1">
        <v>1</v>
      </c>
      <c r="C21" s="1">
        <f>C16*1.15</f>
        <v>2.0297499999999999</v>
      </c>
      <c r="D21" s="1" t="s">
        <v>83</v>
      </c>
      <c r="E21" s="89">
        <f t="shared" si="6"/>
        <v>5</v>
      </c>
      <c r="F21" s="89">
        <f t="shared" si="7"/>
        <v>50</v>
      </c>
      <c r="G21" s="89">
        <f t="shared" si="8"/>
        <v>12.1785</v>
      </c>
      <c r="M21" s="1">
        <v>2</v>
      </c>
      <c r="N21" s="6">
        <f>INDEX($M$6:$M$7,MATCH(M21,$K$12:$K$13,0))/MAX((VLOOKUP(Q21,$Q$12:$T$13,2,0)-VLOOKUP(M21,$K$12:$N$13,4,0)),1)</f>
        <v>10.64361475667771</v>
      </c>
      <c r="O21" s="10">
        <f>N21-P21</f>
        <v>0</v>
      </c>
      <c r="P21" s="6">
        <f>INDEX($S$6:$S$7,MATCH(Q21,$K$12:$K$13,0))/MAX((VLOOKUP(M21,$K$12:$N$13,2,0)-VLOOKUP(Q21,$Q$12:$T$13,4,0)),1)</f>
        <v>10.64361475667771</v>
      </c>
      <c r="Q21" s="1">
        <v>2</v>
      </c>
      <c r="R21" s="6">
        <f>IFERROR(IF(O21&gt;0,P21,N21),"")</f>
        <v>10.64361475667771</v>
      </c>
      <c r="S21" s="8"/>
      <c r="W21" s="1">
        <f t="shared" ref="W21:W22" si="9">E12*1.25</f>
        <v>12.5</v>
      </c>
      <c r="X21" s="1">
        <f t="shared" ref="X21:X22" si="10">G12*$X$19</f>
        <v>0</v>
      </c>
    </row>
    <row r="22" spans="1:24" ht="14.25" customHeight="1" x14ac:dyDescent="0.2">
      <c r="H22" s="9"/>
      <c r="I22" s="9"/>
      <c r="N22" s="13">
        <f>IFERROR(VLOOKUP(M21,K$12:N$13,2,0),0)</f>
        <v>23.125</v>
      </c>
      <c r="O22" s="6">
        <f>IFERROR(IF(O21&gt;0,O21/N21*INDEX($M$6:$M$7,MATCH(M21,$K$12:$K$13,0)),-O21/P21*INDEX($S$6:$S$7,MATCH(Q21,$K$12:$K$13,0))),O20)</f>
        <v>0</v>
      </c>
      <c r="P22" s="13">
        <f>IFERROR(VLOOKUP(Q21,Q$12:T$13,2,0),0)</f>
        <v>23.125</v>
      </c>
      <c r="W22" s="1">
        <f t="shared" si="9"/>
        <v>5</v>
      </c>
      <c r="X22" s="1">
        <f t="shared" si="10"/>
        <v>13.5</v>
      </c>
    </row>
    <row r="23" spans="1:24" ht="14.25" customHeight="1" x14ac:dyDescent="0.2">
      <c r="D23" s="1">
        <v>2</v>
      </c>
      <c r="E23" s="1">
        <f>E18+E17+E21/2</f>
        <v>23.125</v>
      </c>
      <c r="F23" s="1">
        <f>F17+F18+F21/2</f>
        <v>218.75</v>
      </c>
      <c r="G23" s="1">
        <f>G17+G21/2</f>
        <v>9.6192499999999992</v>
      </c>
      <c r="H23" s="6">
        <f>F17/(E23-G23)</f>
        <v>10.64361475667771</v>
      </c>
      <c r="I23" s="9"/>
      <c r="M23" s="1">
        <f>IF($O21&gt;0,M21,M21-1)</f>
        <v>1</v>
      </c>
      <c r="N23" s="6">
        <f>IFERROR(IF(O21&gt;0,O22,INDEX($M$6:$M$7,MATCH(M23,$K$12:$K$13,0)))/MAX((VLOOKUP(Q23,$Q$12:$T$13,2,0)-VLOOKUP(M23,$K$12:$N$13,4,0)),1),0)</f>
        <v>4.6357462392508637</v>
      </c>
      <c r="O23" s="10">
        <f>N23-P23</f>
        <v>0</v>
      </c>
      <c r="P23" s="6">
        <f>IFERROR(IF(O21&lt;0,O22,INDEX($S$6:$S$7,MATCH(Q23,$K$12:$K$13,0)))/MAX((VLOOKUP(M23,$K$12:$N$13,2,0)-VLOOKUP(Q23,$Q$12:$T$13,4,0)),1),0)</f>
        <v>4.6357462392508637</v>
      </c>
      <c r="Q23" s="1">
        <f>IF($O21&lt;0,Q21,Q21-1)</f>
        <v>1</v>
      </c>
      <c r="R23" s="6">
        <f>IFERROR(IF(O23&gt;0,P23,N23),"")</f>
        <v>4.6357462392508637</v>
      </c>
    </row>
    <row r="24" spans="1:24" ht="14.25" customHeight="1" x14ac:dyDescent="0.2">
      <c r="D24" s="1">
        <v>1</v>
      </c>
      <c r="E24" s="1">
        <f>E18+E21/2</f>
        <v>16.875</v>
      </c>
      <c r="F24" s="1">
        <f>F23-F17</f>
        <v>75</v>
      </c>
      <c r="G24" s="1">
        <f>G21/2</f>
        <v>6.0892499999999998</v>
      </c>
      <c r="H24" s="6">
        <f>F18/(E24-G24)</f>
        <v>4.6357462392508637</v>
      </c>
      <c r="I24" s="9"/>
      <c r="N24" s="13">
        <f>IFERROR(VLOOKUP(M23,K$12:N$13,2,0),0)</f>
        <v>16.875</v>
      </c>
      <c r="O24" s="6">
        <f>IFERROR(IF(O23&gt;0,O23/N23*INDEX($M$6:$M$7,MATCH(M23,$K$12:$K$13,0)),-O23/P23*INDEX($S$6:$S$7,MATCH(Q23,$K$12:$K$13,0))),O22)</f>
        <v>0</v>
      </c>
      <c r="P24" s="13">
        <f>IFERROR(VLOOKUP(Q23,Q$12:T$13,2,0),0)</f>
        <v>16.875</v>
      </c>
    </row>
    <row r="25" spans="1:24" ht="14.25" customHeight="1" x14ac:dyDescent="0.2">
      <c r="D25" s="1">
        <v>0</v>
      </c>
      <c r="E25" s="1">
        <f>E21</f>
        <v>5</v>
      </c>
      <c r="F25" s="1">
        <f>F21</f>
        <v>50</v>
      </c>
      <c r="G25" s="1">
        <v>0</v>
      </c>
      <c r="H25" s="1">
        <f>F21/(E25-G25)</f>
        <v>10</v>
      </c>
      <c r="M25" s="1">
        <f>IF($O23&gt;0,M23,M23-1)</f>
        <v>0</v>
      </c>
      <c r="N25" s="6">
        <f>IFERROR(IF(O23&gt;0,O24,INDEX($M$6:$M$7,MATCH(M25,$K$12:$K$13,0)))/MAX((VLOOKUP(Q25,$Q$12:$T$13,2,0)-VLOOKUP(M25,$K$12:$N$13,4,0)),1),0)</f>
        <v>0</v>
      </c>
      <c r="O25" s="10">
        <f>N25-P25</f>
        <v>0</v>
      </c>
      <c r="P25" s="6">
        <f>IFERROR(IF(O23&lt;0,O24,INDEX($S$6:$S$7,MATCH(Q25,$K$12:$K$13,0)))/MAX((VLOOKUP(M25,$K$12:$N$13,2,0)-VLOOKUP(Q25,$Q$12:$T$13,4,0)),1),0)</f>
        <v>0</v>
      </c>
      <c r="Q25" s="1">
        <f>IF($O23&lt;0,Q23,Q23-1)</f>
        <v>0</v>
      </c>
      <c r="R25" s="6">
        <f>IFERROR(IF(O25&gt;0,P25,N25),"")</f>
        <v>0</v>
      </c>
    </row>
    <row r="26" spans="1:24" ht="14.25" customHeight="1" x14ac:dyDescent="0.2">
      <c r="G26" s="78" t="s">
        <v>165</v>
      </c>
      <c r="H26" s="29">
        <f>SUM(H23:H25)</f>
        <v>25.279360995928574</v>
      </c>
      <c r="N26" s="13">
        <f>IFERROR(VLOOKUP(M25,K$12:N$13,2,0),0)</f>
        <v>0</v>
      </c>
      <c r="O26" s="6">
        <f>IFERROR(IF(O25&gt;0,O25/N25*INDEX($M$6:$M$7,MATCH(M25,$K$12:$K$13,0)),-O25/P25*INDEX($S$6:$S$7,MATCH(Q25,$K$12:$K$13,0))),O24)</f>
        <v>0</v>
      </c>
      <c r="P26" s="13">
        <f>IFERROR(VLOOKUP(Q25,Q$12:T$13,2,0),0)</f>
        <v>0</v>
      </c>
    </row>
    <row r="27" spans="1:24" ht="14.25" customHeight="1" thickBot="1" x14ac:dyDescent="0.25">
      <c r="C27" s="3" t="s">
        <v>176</v>
      </c>
      <c r="D27" s="76" t="s">
        <v>129</v>
      </c>
      <c r="E27" s="85" t="s">
        <v>96</v>
      </c>
      <c r="F27" s="76" t="s">
        <v>97</v>
      </c>
      <c r="G27" s="76" t="s">
        <v>83</v>
      </c>
      <c r="M27" s="1">
        <f>IF($O25&gt;0,M25,M25-1)</f>
        <v>-1</v>
      </c>
      <c r="N27" s="6">
        <f>IFERROR(IF(O25&gt;0,O26,INDEX($M$6:$M$7,MATCH(M27,$K$12:$K$13,0)))/MAX((VLOOKUP(Q27,$Q$12:$T$13,2,0)-VLOOKUP(M27,$K$12:$N$13,4,0)),1),0)</f>
        <v>0</v>
      </c>
      <c r="O27" s="10">
        <f>N27-P27</f>
        <v>0</v>
      </c>
      <c r="P27" s="6">
        <f>IFERROR(IF(O25&lt;0,O26,INDEX($S$6:$S$7,MATCH(Q27,$K$12:$K$13,0)))/MAX((VLOOKUP(M27,$K$12:$N$13,2,0)-VLOOKUP(Q27,$Q$12:$T$13,4,0)),1),0)</f>
        <v>0</v>
      </c>
      <c r="Q27" s="1">
        <f>IF($O25&lt;0,Q25,Q25-1)</f>
        <v>-1</v>
      </c>
      <c r="R27" s="6">
        <f>IFERROR(IF(O27&gt;0,P27,N27),"")</f>
        <v>0</v>
      </c>
    </row>
    <row r="28" spans="1:24" ht="14.25" customHeight="1" x14ac:dyDescent="0.2">
      <c r="D28" s="1" t="s">
        <v>81</v>
      </c>
      <c r="E28" s="6">
        <v>0.9</v>
      </c>
      <c r="F28" s="6">
        <f>1/E28</f>
        <v>1.1111111111111112</v>
      </c>
      <c r="G28" s="6">
        <v>1</v>
      </c>
      <c r="M28" s="13">
        <f>IFERROR(VLOOKUP(M27,K$12:N$13,4,0),0)</f>
        <v>0</v>
      </c>
      <c r="N28" s="13">
        <f>IFERROR(VLOOKUP(M27,K$12:N$13,2,0),0)</f>
        <v>0</v>
      </c>
      <c r="O28" s="6">
        <f>IFERROR(IF(O27&gt;0,O27/N27*INDEX($M$6:$M$7,MATCH(M27,$K$12:$K$13,0)),-O27/P27*INDEX($S$6:$S$7,MATCH(Q27,$K$12:$K$13,0))),O26)</f>
        <v>0</v>
      </c>
      <c r="P28" s="13">
        <f>IFERROR(VLOOKUP(Q27,Q$12:T$13,2,0),0)</f>
        <v>0</v>
      </c>
      <c r="Q28" s="13">
        <f>IFERROR(VLOOKUP(Q27,Q$12:T$13,4,0),0)</f>
        <v>0</v>
      </c>
    </row>
    <row r="29" spans="1:24" ht="14.25" customHeight="1" x14ac:dyDescent="0.2">
      <c r="D29" s="1" t="s">
        <v>82</v>
      </c>
      <c r="E29" s="6">
        <v>1.1000000000000001</v>
      </c>
      <c r="F29" s="6">
        <f t="shared" ref="F29:F31" si="11">1/E29</f>
        <v>0.90909090909090906</v>
      </c>
      <c r="G29" s="6">
        <v>1</v>
      </c>
      <c r="M29" s="1">
        <f>MAX(M27-Q27,0)</f>
        <v>0</v>
      </c>
      <c r="N29" s="6"/>
      <c r="O29" s="10"/>
      <c r="P29" s="6"/>
      <c r="Q29" s="1">
        <f>MAX(Q27-M27,0)</f>
        <v>0</v>
      </c>
      <c r="R29" s="6">
        <f>SUM(R21:R27)</f>
        <v>15.279360995928574</v>
      </c>
    </row>
    <row r="30" spans="1:24" ht="14.25" customHeight="1" x14ac:dyDescent="0.2">
      <c r="D30" s="1" t="s">
        <v>81</v>
      </c>
      <c r="E30" s="6">
        <v>1</v>
      </c>
      <c r="F30" s="6">
        <f t="shared" si="11"/>
        <v>1</v>
      </c>
      <c r="G30" s="6">
        <v>1</v>
      </c>
      <c r="L30" s="1" t="s">
        <v>91</v>
      </c>
      <c r="M30" s="1" t="s">
        <v>15</v>
      </c>
      <c r="N30" s="13">
        <f>IFERROR(VLOOKUP(M29,K$12:N$13,2,0),0)</f>
        <v>0</v>
      </c>
      <c r="P30" s="13">
        <f>IFERROR(VLOOKUP(Q29,Q$12:T$13,2,0),0)</f>
        <v>0</v>
      </c>
      <c r="Q30" s="1" t="s">
        <v>15</v>
      </c>
    </row>
    <row r="31" spans="1:24" ht="14.25" customHeight="1" x14ac:dyDescent="0.2">
      <c r="D31" s="1" t="s">
        <v>82</v>
      </c>
      <c r="E31" s="6">
        <v>1.2</v>
      </c>
      <c r="F31" s="6">
        <f t="shared" si="11"/>
        <v>0.83333333333333337</v>
      </c>
      <c r="G31" s="6">
        <v>1</v>
      </c>
      <c r="M31" s="1">
        <v>2</v>
      </c>
      <c r="N31" s="6">
        <f>INDEX($M$8:$M$9,MATCH(M31,$K$14:$K$15,0))/MAX((VLOOKUP(Q31,$Q$14:$T$15,2,0)-VLOOKUP(M31,$K$14:$N$15,4,0)),1)</f>
        <v>10.64361475667771</v>
      </c>
      <c r="O31" s="10">
        <f>N31-P31</f>
        <v>0</v>
      </c>
      <c r="P31" s="6">
        <f>INDEX($S$8:$S$9,MATCH(Q31,$K$14:$K$15,0))/MAX((VLOOKUP(M31,$K$14:$N$15,2,0)-VLOOKUP(Q31,$Q$14:$T$15,4,0)),1)</f>
        <v>10.64361475667771</v>
      </c>
      <c r="Q31" s="1">
        <v>2</v>
      </c>
      <c r="R31" s="6">
        <f>IFERROR(IF(O31&gt;0,P31,N31),"")</f>
        <v>10.64361475667771</v>
      </c>
    </row>
    <row r="32" spans="1:24" ht="14.25" customHeight="1" x14ac:dyDescent="0.2">
      <c r="D32" s="1" t="s">
        <v>83</v>
      </c>
      <c r="E32" s="6">
        <v>0.97</v>
      </c>
      <c r="F32" s="6">
        <f>E32</f>
        <v>0.97</v>
      </c>
      <c r="G32" s="6">
        <v>1</v>
      </c>
      <c r="N32" s="13">
        <f>IFERROR(VLOOKUP(M31,K$14:N$15,2,0),0)</f>
        <v>23.125</v>
      </c>
      <c r="O32" s="6">
        <f>IFERROR(IF(O31&gt;0,O31/N31*INDEX($M$8:$M$9,MATCH(M31,$K$14:$K$15,0)),-O31/P31*INDEX($S$8:$S$9,MATCH(Q31,$K$14:$K$15,0))),O30)</f>
        <v>0</v>
      </c>
      <c r="P32" s="13">
        <f>IFERROR(VLOOKUP(Q31,Q$14:T$15,2,0),0)</f>
        <v>23.125</v>
      </c>
    </row>
    <row r="33" spans="3:18" ht="14.25" customHeight="1" x14ac:dyDescent="0.2">
      <c r="M33" s="1">
        <f>IF($O31&gt;0,M31,M31-1)</f>
        <v>1</v>
      </c>
      <c r="N33" s="6">
        <f>IFERROR(IF(O31&gt;0,O32,INDEX($M$8:$M$9,MATCH(M33,$K$14:$K$15,0)))/MAX((VLOOKUP(Q33,$Q$14:$T$15,2,0)-VLOOKUP(M33,$K$14:$N$15,4,0)),1),0)</f>
        <v>4.6357462392508637</v>
      </c>
      <c r="O33" s="10">
        <f>N33-P33</f>
        <v>0</v>
      </c>
      <c r="P33" s="6">
        <f>IFERROR(IF(O31&lt;0,O32,INDEX($S$8:$S$9,MATCH(Q33,$K$14:$K$15,0)))/MAX((VLOOKUP(M33,$K$14:$N$15,2,0)-VLOOKUP(Q33,$Q$14:$T$15,4,0)),1),0)</f>
        <v>4.6357462392508637</v>
      </c>
      <c r="Q33" s="1">
        <f>IF($O31&lt;0,Q31,Q31-1)</f>
        <v>1</v>
      </c>
      <c r="R33" s="6">
        <f>IFERROR(IF(O33&gt;0,P33,N33),"")</f>
        <v>4.6357462392508637</v>
      </c>
    </row>
    <row r="34" spans="3:18" ht="14.25" customHeight="1" x14ac:dyDescent="0.2">
      <c r="E34" s="8">
        <f>E17*E28</f>
        <v>5.625</v>
      </c>
      <c r="F34" s="8">
        <f t="shared" ref="F34:G34" si="12">F17*F28</f>
        <v>159.72222222222223</v>
      </c>
      <c r="G34" s="8">
        <f t="shared" si="12"/>
        <v>3.53</v>
      </c>
      <c r="N34" s="13">
        <f>IFERROR(VLOOKUP(M33,K$14:N$15,2,0),0)</f>
        <v>16.875</v>
      </c>
      <c r="O34" s="6">
        <f>IFERROR(IF(O33&gt;0,O33/N33*INDEX($M$8:$M$9,MATCH(M33,$K$14:$K$15,0)),-O33/P33*INDEX($S$8:$S$9,MATCH(Q33,$K$14:$K$15,0))),O32)</f>
        <v>0</v>
      </c>
      <c r="P34" s="13">
        <f>IFERROR(VLOOKUP(Q33,Q$14:T$15,2,0),0)</f>
        <v>16.875</v>
      </c>
    </row>
    <row r="35" spans="3:18" ht="14.25" customHeight="1" x14ac:dyDescent="0.2">
      <c r="E35" s="8">
        <f t="shared" ref="E35:G38" si="13">E18*E29</f>
        <v>15.812500000000002</v>
      </c>
      <c r="F35" s="8">
        <f t="shared" si="13"/>
        <v>45.454545454545453</v>
      </c>
      <c r="G35" s="8">
        <f t="shared" si="13"/>
        <v>0</v>
      </c>
      <c r="M35" s="1">
        <f>IF($O33&gt;0,M33,M33-1)</f>
        <v>0</v>
      </c>
      <c r="N35" s="6">
        <f>IFERROR(IF(O33&gt;0,O34,INDEX($M$8:$M$9,MATCH(M35,$K$14:$K$15,0)))/MAX((VLOOKUP(Q35,$Q$14:$T$15,2,0)-VLOOKUP(M35,$K$14:$N$15,4,0)),1),0)</f>
        <v>0</v>
      </c>
      <c r="O35" s="10">
        <f>N35-P35</f>
        <v>0</v>
      </c>
      <c r="P35" s="6">
        <f>IFERROR(IF(O33&lt;0,O34,INDEX($S$8:$S$9,MATCH(Q35,$K$14:$K$15,0)))/MAX((VLOOKUP(M35,$K$14:$N$15,2,0)-VLOOKUP(Q35,$Q$14:$T$15,4,0)),1),0)</f>
        <v>0</v>
      </c>
      <c r="Q35" s="1">
        <f>IF($O33&lt;0,Q33,Q33-1)</f>
        <v>0</v>
      </c>
      <c r="R35" s="6">
        <f>IFERROR(IF(O35&gt;0,P35,N35),"")</f>
        <v>0</v>
      </c>
    </row>
    <row r="36" spans="3:18" ht="14.25" customHeight="1" x14ac:dyDescent="0.2">
      <c r="E36" s="8">
        <f t="shared" si="13"/>
        <v>6.25</v>
      </c>
      <c r="F36" s="8">
        <f t="shared" si="13"/>
        <v>143.75</v>
      </c>
      <c r="G36" s="8">
        <f t="shared" si="13"/>
        <v>3.53</v>
      </c>
      <c r="N36" s="13">
        <f>IFERROR(VLOOKUP(M35,K$14:N$15,2,0),0)</f>
        <v>0</v>
      </c>
      <c r="O36" s="6">
        <f>IFERROR(IF(O35&gt;0,O35/N35*INDEX($M$8:$M$9,MATCH(M35,$K$14:$K$15,0)),-O35/P35*INDEX($S$8:$S$9,MATCH(Q35,$K$14:$K$15,0))),O34)</f>
        <v>0</v>
      </c>
      <c r="P36" s="13">
        <f>IFERROR(VLOOKUP(Q35,Q$14:T$15,2,0),0)</f>
        <v>0</v>
      </c>
    </row>
    <row r="37" spans="3:18" ht="14.25" customHeight="1" x14ac:dyDescent="0.2">
      <c r="E37" s="8">
        <f t="shared" si="13"/>
        <v>17.25</v>
      </c>
      <c r="F37" s="8">
        <f t="shared" si="13"/>
        <v>41.666666666666671</v>
      </c>
      <c r="G37" s="8">
        <f t="shared" si="13"/>
        <v>0</v>
      </c>
      <c r="M37" s="1">
        <f>IF($O35&gt;0,M35,M35-1)</f>
        <v>-1</v>
      </c>
      <c r="N37" s="6">
        <f>IFERROR(IF(O35&gt;0,O36,INDEX($M$8:$M$9,MATCH(M37,$K$14:$K$15,0)))/MAX((VLOOKUP(Q37,$Q$14:$T$15,2,0)-VLOOKUP(M37,$K$14:$N$15,4,0)),1),0)</f>
        <v>0</v>
      </c>
      <c r="O37" s="10">
        <f>N37-P37</f>
        <v>0</v>
      </c>
      <c r="P37" s="6">
        <f>IFERROR(IF(O35&lt;0,O36,INDEX($S$8:$S$9,MATCH(Q37,$K$14:$K$15,0)))/MAX((VLOOKUP(M37,$K$14:$N$15,2,0)-VLOOKUP(Q37,$Q$14:$T$15,4,0)),1),0)</f>
        <v>0</v>
      </c>
      <c r="Q37" s="1">
        <f>IF($O35&lt;0,Q35,Q35-1)</f>
        <v>-1</v>
      </c>
      <c r="R37" s="6">
        <f>IFERROR(IF(O37&gt;0,P37,N37),"")</f>
        <v>0</v>
      </c>
    </row>
    <row r="38" spans="3:18" ht="14.25" customHeight="1" x14ac:dyDescent="0.2">
      <c r="E38" s="8">
        <f t="shared" si="13"/>
        <v>4.8499999999999996</v>
      </c>
      <c r="F38" s="8">
        <f t="shared" si="13"/>
        <v>48.5</v>
      </c>
      <c r="G38" s="8">
        <f t="shared" si="13"/>
        <v>12.1785</v>
      </c>
      <c r="M38" s="13">
        <f>IFERROR(VLOOKUP(M37,K$14:N$15,4,0),0)</f>
        <v>0</v>
      </c>
      <c r="N38" s="13">
        <f>IFERROR(VLOOKUP(M37,K$14:N$15,2,0),0)</f>
        <v>0</v>
      </c>
      <c r="O38" s="6">
        <f>IFERROR(IF(O37&gt;0,O37/N37*INDEX($M$8:$M$9,MATCH(M37,$K$14:$K$15,0)),-O37/P37*INDEX($S$8:$S$9,MATCH(Q37,$K$14:$K$15,0))),O36)</f>
        <v>0</v>
      </c>
      <c r="P38" s="13">
        <f>IFERROR(VLOOKUP(Q37,Q$14:T$15,2,0),0)</f>
        <v>0</v>
      </c>
      <c r="Q38" s="13">
        <f>IFERROR(VLOOKUP(Q37,Q$14:T$15,4,0),0)</f>
        <v>0</v>
      </c>
    </row>
    <row r="39" spans="3:18" ht="14.25" customHeight="1" x14ac:dyDescent="0.2">
      <c r="M39" s="1">
        <f>MAX(M37-Q37,0)</f>
        <v>0</v>
      </c>
      <c r="N39" s="6"/>
      <c r="O39" s="10"/>
      <c r="P39" s="6"/>
      <c r="Q39" s="1">
        <f>MAX(Q37-M37,0)</f>
        <v>0</v>
      </c>
      <c r="R39" s="6">
        <f>SUM(R31:R37)</f>
        <v>15.279360995928574</v>
      </c>
    </row>
    <row r="40" spans="3:18" ht="14.25" customHeight="1" x14ac:dyDescent="0.2">
      <c r="D40" s="1">
        <v>2</v>
      </c>
      <c r="E40" s="8">
        <f>E35+E34+E38/2</f>
        <v>23.862500000000001</v>
      </c>
      <c r="F40" s="8">
        <f>F34+F35+F38/2</f>
        <v>229.42676767676767</v>
      </c>
      <c r="G40" s="1">
        <f>G34+G38/2</f>
        <v>9.6192499999999992</v>
      </c>
      <c r="H40" s="6">
        <f>F34/(E40-G40)</f>
        <v>11.213888840132849</v>
      </c>
      <c r="N40" s="13">
        <f>IFERROR(VLOOKUP(M39,K$14:N$15,2,0),0)</f>
        <v>0</v>
      </c>
      <c r="P40" s="13">
        <f>IFERROR(VLOOKUP(Q39,Q$14:T$15,2,0),0)</f>
        <v>0</v>
      </c>
    </row>
    <row r="41" spans="3:18" ht="14.25" customHeight="1" x14ac:dyDescent="0.2">
      <c r="D41" s="1">
        <v>1</v>
      </c>
      <c r="E41" s="8">
        <f>E35+E38/2</f>
        <v>18.237500000000001</v>
      </c>
      <c r="F41" s="8">
        <f>F40-F34</f>
        <v>69.704545454545439</v>
      </c>
      <c r="G41" s="1">
        <f>G38/2</f>
        <v>6.0892499999999998</v>
      </c>
      <c r="H41" s="6">
        <f>F35/(E41-G41)</f>
        <v>3.7416537735513717</v>
      </c>
      <c r="L41" s="1" t="s">
        <v>11</v>
      </c>
      <c r="M41" s="1" t="s">
        <v>12</v>
      </c>
      <c r="N41" s="1" t="s">
        <v>5</v>
      </c>
      <c r="O41" s="10"/>
      <c r="P41" s="1" t="s">
        <v>11</v>
      </c>
      <c r="Q41" s="1" t="s">
        <v>12</v>
      </c>
      <c r="R41" s="1" t="s">
        <v>5</v>
      </c>
    </row>
    <row r="42" spans="3:18" x14ac:dyDescent="0.2">
      <c r="D42" s="1">
        <v>0</v>
      </c>
      <c r="E42" s="8">
        <f>E38</f>
        <v>4.8499999999999996</v>
      </c>
      <c r="F42" s="8">
        <f>F38</f>
        <v>48.5</v>
      </c>
      <c r="G42" s="1">
        <v>0</v>
      </c>
      <c r="H42" s="1">
        <f>F38/(E42-G42)</f>
        <v>10</v>
      </c>
      <c r="K42" s="1" t="str">
        <f>IF(L42&lt;&gt;0,COUNTIF($L$42:$L$44,"&gt;0"),"")</f>
        <v/>
      </c>
      <c r="L42" s="1">
        <f>N30</f>
        <v>0</v>
      </c>
      <c r="M42" s="6">
        <f>IF(L42=0,0,O28)</f>
        <v>0</v>
      </c>
      <c r="N42" s="1">
        <f>M28</f>
        <v>0</v>
      </c>
      <c r="O42" s="1" t="str">
        <f>IF(P42&lt;&gt;0,COUNTIF($P$42:$P$44,"&gt;0"),"")</f>
        <v/>
      </c>
      <c r="P42" s="1">
        <f>P30</f>
        <v>0</v>
      </c>
      <c r="Q42" s="14">
        <f>IF(P42=0,0,O28)</f>
        <v>0</v>
      </c>
      <c r="R42" s="1">
        <f>Q28</f>
        <v>0</v>
      </c>
    </row>
    <row r="43" spans="3:18" x14ac:dyDescent="0.2">
      <c r="G43" s="78" t="s">
        <v>177</v>
      </c>
      <c r="H43" s="29">
        <f>SUM(H40:H42)</f>
        <v>24.955542613684223</v>
      </c>
      <c r="K43" s="1" t="str">
        <f>IF(K42&lt;&gt;"",IF(L43&lt;&gt;0,COUNTIF($L$42:$L$44,"&gt;0")-1,""),IF(L43&lt;&gt;0,COUNTIF($L$42:$L$44,"&gt;0"),""))</f>
        <v/>
      </c>
      <c r="L43" s="1">
        <f>N40</f>
        <v>0</v>
      </c>
      <c r="M43" s="6">
        <f>IF(L43=0,0,O38)</f>
        <v>0</v>
      </c>
      <c r="N43" s="1">
        <f>M38</f>
        <v>0</v>
      </c>
      <c r="O43" s="1" t="str">
        <f>IF(O42&lt;&gt;"",IF(P43&lt;&gt;0,COUNTIF($P$42:$P$44,"&gt;0")-1,""),IF(P43&lt;&gt;0,COUNTIF($P$42:$P$44,"&gt;0"),""))</f>
        <v/>
      </c>
      <c r="P43" s="1">
        <f>P40</f>
        <v>0</v>
      </c>
      <c r="Q43" s="6">
        <f>IF(P43=0,0,O38)</f>
        <v>0</v>
      </c>
      <c r="R43" s="1">
        <f>Q38</f>
        <v>0</v>
      </c>
    </row>
    <row r="44" spans="3:18" x14ac:dyDescent="0.2">
      <c r="K44" s="1">
        <v>1</v>
      </c>
      <c r="L44" s="1">
        <f>L16</f>
        <v>5</v>
      </c>
      <c r="M44" s="1">
        <f>M16</f>
        <v>50</v>
      </c>
      <c r="N44" s="1">
        <f>N16</f>
        <v>0</v>
      </c>
      <c r="O44" s="1">
        <v>1</v>
      </c>
      <c r="P44" s="1">
        <f>R16</f>
        <v>5</v>
      </c>
      <c r="Q44" s="1">
        <f t="shared" ref="Q44:R44" si="14">S16</f>
        <v>50</v>
      </c>
      <c r="R44" s="1">
        <f t="shared" si="14"/>
        <v>0</v>
      </c>
    </row>
    <row r="45" spans="3:18" ht="15" thickBot="1" x14ac:dyDescent="0.25">
      <c r="C45" s="3" t="s">
        <v>157</v>
      </c>
      <c r="D45" s="76" t="s">
        <v>160</v>
      </c>
      <c r="E45" s="76" t="s">
        <v>161</v>
      </c>
      <c r="F45" s="76" t="s">
        <v>162</v>
      </c>
    </row>
    <row r="46" spans="3:18" x14ac:dyDescent="0.2">
      <c r="D46" s="99" t="s">
        <v>5</v>
      </c>
      <c r="E46" s="86" t="s">
        <v>4</v>
      </c>
      <c r="F46" s="86" t="s">
        <v>3</v>
      </c>
      <c r="L46" s="1" t="s">
        <v>68</v>
      </c>
      <c r="M46" s="6" t="s">
        <v>15</v>
      </c>
      <c r="Q46" s="6" t="s">
        <v>15</v>
      </c>
    </row>
    <row r="47" spans="3:18" x14ac:dyDescent="0.2">
      <c r="D47" s="100"/>
      <c r="E47" s="1" t="s">
        <v>4</v>
      </c>
      <c r="F47" s="1" t="s">
        <v>3</v>
      </c>
      <c r="M47" s="9">
        <f>COUNTIF(L42:L44,"&gt;0")</f>
        <v>1</v>
      </c>
      <c r="N47" s="6">
        <f>IFERROR(VLOOKUP(M47,$K$41:$R$44,3,0)/MAX((VLOOKUP(Q47,$O$41:$R$44,2,0)-VLOOKUP(M47,$K$41:$R$44,4,0)),1),0)</f>
        <v>10</v>
      </c>
      <c r="O47" s="10">
        <f>N47-P47</f>
        <v>0</v>
      </c>
      <c r="P47" s="6">
        <f>IFERROR(VLOOKUP(Q47,$O$41:$R$44,3,0)/MAX((VLOOKUP(M47,$K$41:$R$44,2,0)-VLOOKUP(Q47,$O$41:$R$44,4,0)),1),0)</f>
        <v>10</v>
      </c>
      <c r="Q47" s="9">
        <f>COUNTIF(P42:P44,"&gt;0")</f>
        <v>1</v>
      </c>
      <c r="R47" s="6">
        <f>IFERROR(IF(O47&gt;0,P47,N47),"")</f>
        <v>10</v>
      </c>
    </row>
    <row r="48" spans="3:18" ht="14.25" customHeight="1" x14ac:dyDescent="0.2">
      <c r="N48" s="13">
        <f>IFERROR(VLOOKUP(M47,K$14:N$15,2,0),0)</f>
        <v>16.875</v>
      </c>
      <c r="O48" s="6">
        <f>IFERROR(IF(O47&gt;0,O47/N47*VLOOKUP(M47,$K$41:$R$44,3,0),-O47/P47*VLOOKUP(Q47,$O$41:$R$44,3,0)),O46)</f>
        <v>0</v>
      </c>
      <c r="P48" s="13">
        <f>IFERROR(VLOOKUP(Q47,Q$14:T$15,2,0),0)</f>
        <v>16.875</v>
      </c>
    </row>
    <row r="49" spans="3:18" ht="14.25" customHeight="1" x14ac:dyDescent="0.2">
      <c r="M49" s="1">
        <f>IF($O47&gt;0,M47,M47-1)</f>
        <v>0</v>
      </c>
      <c r="N49" s="6">
        <f>IFERROR(VLOOKUP(M49,$K$41:$R$44,3,0)/MAX((VLOOKUP(Q49,$O$41:$R$44,2,0)-VLOOKUP(M49,$K$41:$R$44,4,0)),1),0)</f>
        <v>0</v>
      </c>
      <c r="O49" s="10">
        <f>N49-P49</f>
        <v>0</v>
      </c>
      <c r="P49" s="6">
        <f>IFERROR(VLOOKUP(Q49,$O$41:$R$44,3,0)/MAX((VLOOKUP(M49,$K$41:$R$44,2,0)-VLOOKUP(Q49,$O$41:$R$44,4,0)),1),0)</f>
        <v>0</v>
      </c>
      <c r="Q49" s="1">
        <f>IF($O47&lt;0,Q47,Q47-1)</f>
        <v>0</v>
      </c>
      <c r="R49" s="6">
        <f>IFERROR(IF(O49&gt;0,P49,N49),"")</f>
        <v>0</v>
      </c>
    </row>
    <row r="50" spans="3:18" ht="14.25" customHeight="1" x14ac:dyDescent="0.2">
      <c r="C50" s="7"/>
      <c r="E50" s="1" t="s">
        <v>11</v>
      </c>
      <c r="F50" s="3"/>
      <c r="M50" s="6"/>
      <c r="N50" s="13">
        <f>IFERROR(VLOOKUP(M49,K$14:N$15,2,0),0)</f>
        <v>0</v>
      </c>
      <c r="O50" s="6">
        <f>IFERROR(IF(O49&gt;0,O49/N49*VLOOKUP(M49,$K$41:$R$44,3,0),-O49/P49*VLOOKUP(Q49,$O$41:$R$44,3,0)),O48)</f>
        <v>0</v>
      </c>
      <c r="P50" s="13">
        <f>IFERROR(VLOOKUP(Q49,Q$14:T$15,2,0),0)</f>
        <v>0</v>
      </c>
      <c r="Q50" s="6"/>
      <c r="R50" s="6"/>
    </row>
    <row r="51" spans="3:18" ht="14.25" customHeight="1" x14ac:dyDescent="0.2">
      <c r="D51" s="1" t="s">
        <v>81</v>
      </c>
      <c r="E51" s="8">
        <f>H23*E17</f>
        <v>66.522592229235684</v>
      </c>
      <c r="F51" s="5">
        <f>E51/SUM($E$51:$E$55)</f>
        <v>9.5205873264856897E-2</v>
      </c>
      <c r="M51" s="1">
        <f>IF($O49&gt;0,M49,M49-1)</f>
        <v>-1</v>
      </c>
      <c r="N51" s="6">
        <f>IFERROR(VLOOKUP(M51,$K$41:$R$44,3,0)/MAX((VLOOKUP(Q51,$O$41:$R$44,2,0)-VLOOKUP(M51,$K$41:$R$44,4,0)),1),0)</f>
        <v>0</v>
      </c>
      <c r="O51" s="10">
        <f>N51-P51</f>
        <v>0</v>
      </c>
      <c r="P51" s="6">
        <f>IFERROR(VLOOKUP(Q51,$O$41:$R$44,3,0)/MAX((VLOOKUP(M51,$K$41:$R$44,2,0)-VLOOKUP(Q51,$O$41:$R$44,4,0)),1),0)</f>
        <v>0</v>
      </c>
      <c r="Q51" s="1">
        <f>IF($O49&lt;0,Q49,Q49-1)</f>
        <v>-1</v>
      </c>
      <c r="R51" s="6">
        <f>IFERROR(IF(O51&gt;0,P51,N51),"")</f>
        <v>0</v>
      </c>
    </row>
    <row r="52" spans="3:18" x14ac:dyDescent="0.2">
      <c r="D52" s="1" t="s">
        <v>82</v>
      </c>
      <c r="E52" s="8">
        <f>H24*E18+E18*H23</f>
        <v>219.64081431647324</v>
      </c>
      <c r="F52" s="5">
        <f>E52/SUM($E$51:$E$55)</f>
        <v>0.31434577082541898</v>
      </c>
      <c r="M52" s="6"/>
      <c r="N52" s="13">
        <f>IFERROR(VLOOKUP(M51,K$14:N$15,2,0),0)</f>
        <v>0</v>
      </c>
      <c r="O52" s="6">
        <f>IFERROR(IF(O51&gt;0,O51/N51*VLOOKUP(M51,$K$41:$R$44,3,0),-O51/P51*VLOOKUP(Q51,$O$41:$R$44,3,0)),O50)</f>
        <v>0</v>
      </c>
      <c r="P52" s="13">
        <f>IFERROR(VLOOKUP(Q51,Q$14:T$15,2,0),0)</f>
        <v>0</v>
      </c>
      <c r="Q52" s="6"/>
      <c r="R52" s="6">
        <f>SUM(R47:R51)</f>
        <v>10</v>
      </c>
    </row>
    <row r="53" spans="3:18" x14ac:dyDescent="0.2">
      <c r="D53" s="1" t="s">
        <v>81</v>
      </c>
      <c r="E53" s="8">
        <f>E51</f>
        <v>66.522592229235684</v>
      </c>
      <c r="F53" s="5">
        <f>E53/SUM($E$51:$E$55)</f>
        <v>9.5205873264856897E-2</v>
      </c>
      <c r="N53" s="6"/>
      <c r="O53" s="6"/>
      <c r="P53" s="6"/>
      <c r="Q53" s="6"/>
    </row>
    <row r="54" spans="3:18" x14ac:dyDescent="0.2">
      <c r="D54" s="1" t="s">
        <v>82</v>
      </c>
      <c r="E54" s="8">
        <f>E52</f>
        <v>219.64081431647324</v>
      </c>
      <c r="F54" s="5">
        <f>E54/SUM($E$51:$E$55)</f>
        <v>0.31434577082541898</v>
      </c>
      <c r="Q54" s="6"/>
      <c r="R54" s="6"/>
    </row>
    <row r="55" spans="3:18" x14ac:dyDescent="0.2">
      <c r="D55" s="1" t="s">
        <v>83</v>
      </c>
      <c r="E55" s="8">
        <f>E21*SUM(H23:H25)</f>
        <v>126.39680497964287</v>
      </c>
      <c r="F55" s="5">
        <f>E55/SUM($E$51:$E$55)</f>
        <v>0.18089671181944819</v>
      </c>
      <c r="Q55" s="6"/>
    </row>
    <row r="56" spans="3:18" x14ac:dyDescent="0.2">
      <c r="H56" s="6"/>
    </row>
    <row r="57" spans="3:18" x14ac:dyDescent="0.2">
      <c r="D57" s="1" t="s">
        <v>81</v>
      </c>
      <c r="E57" s="27">
        <f>F53+F51</f>
        <v>0.19041174652971379</v>
      </c>
      <c r="H57" s="6"/>
      <c r="Q57" s="6"/>
      <c r="R57" s="6"/>
    </row>
    <row r="58" spans="3:18" x14ac:dyDescent="0.2">
      <c r="D58" s="1" t="s">
        <v>82</v>
      </c>
      <c r="E58" s="27">
        <f>F54+F52</f>
        <v>0.62869154165083796</v>
      </c>
      <c r="H58" s="6"/>
      <c r="Q58" s="10"/>
    </row>
    <row r="59" spans="3:18" x14ac:dyDescent="0.2">
      <c r="D59" s="1" t="s">
        <v>83</v>
      </c>
      <c r="E59" s="27">
        <f>F55</f>
        <v>0.18089671181944819</v>
      </c>
      <c r="H59" s="6"/>
      <c r="R59" s="6"/>
    </row>
    <row r="60" spans="3:18" x14ac:dyDescent="0.2">
      <c r="H60" s="6"/>
      <c r="Q60" s="10"/>
    </row>
    <row r="61" spans="3:18" x14ac:dyDescent="0.2">
      <c r="H61" s="6"/>
    </row>
    <row r="62" spans="3:18" x14ac:dyDescent="0.2">
      <c r="H62" s="6"/>
    </row>
    <row r="63" spans="3:18" x14ac:dyDescent="0.2">
      <c r="H63" s="6"/>
    </row>
    <row r="69" spans="16:19" x14ac:dyDescent="0.2">
      <c r="P69" s="6"/>
      <c r="S69" s="6"/>
    </row>
    <row r="70" spans="16:19" x14ac:dyDescent="0.2">
      <c r="S70" s="6"/>
    </row>
    <row r="71" spans="16:19" x14ac:dyDescent="0.2">
      <c r="S71" s="6"/>
    </row>
  </sheetData>
  <mergeCells count="2">
    <mergeCell ref="A1:B2"/>
    <mergeCell ref="D46:D47"/>
  </mergeCells>
  <phoneticPr fontId="1" type="noConversion"/>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E2CF2-C5AF-4FBC-A2AC-E659AD390C3C}">
  <sheetPr codeName="Sheet2"/>
  <dimension ref="A1:X71"/>
  <sheetViews>
    <sheetView workbookViewId="0">
      <pane xSplit="2" ySplit="8" topLeftCell="C9" activePane="bottomRight" state="frozen"/>
      <selection pane="topRight" activeCell="C1" sqref="C1"/>
      <selection pane="bottomLeft" activeCell="A9" sqref="A9"/>
      <selection pane="bottomRight" activeCell="H18" sqref="H18"/>
    </sheetView>
  </sheetViews>
  <sheetFormatPr defaultRowHeight="14.25" x14ac:dyDescent="0.2"/>
  <cols>
    <col min="1" max="8" width="9" style="1"/>
    <col min="9" max="9" width="2.5" style="1" customWidth="1"/>
    <col min="10" max="20" width="9" style="1"/>
    <col min="21" max="21" width="2.5" style="1" customWidth="1"/>
    <col min="22" max="16384" width="9" style="1"/>
  </cols>
  <sheetData>
    <row r="1" spans="1:24" ht="14.25" customHeight="1" x14ac:dyDescent="0.2">
      <c r="A1" s="95" t="s">
        <v>14</v>
      </c>
      <c r="B1" s="96"/>
    </row>
    <row r="2" spans="1:24" ht="14.25" customHeight="1" x14ac:dyDescent="0.2">
      <c r="A2" s="97"/>
      <c r="B2" s="98"/>
      <c r="M2" s="67"/>
      <c r="Q2" s="68"/>
    </row>
    <row r="3" spans="1:24" x14ac:dyDescent="0.2">
      <c r="D3" s="2" t="s">
        <v>158</v>
      </c>
      <c r="M3" s="67"/>
      <c r="Q3" s="68"/>
    </row>
    <row r="4" spans="1:24" s="3" customFormat="1" ht="14.25" customHeight="1" x14ac:dyDescent="0.2">
      <c r="C4" s="3" t="s">
        <v>16</v>
      </c>
      <c r="J4" s="3" t="s">
        <v>17</v>
      </c>
      <c r="K4" s="2" t="s">
        <v>164</v>
      </c>
      <c r="N4" s="74"/>
      <c r="O4" s="74"/>
      <c r="P4" s="74"/>
      <c r="V4" s="3" t="s">
        <v>18</v>
      </c>
    </row>
    <row r="5" spans="1:24" ht="14.25" customHeight="1" thickBot="1" x14ac:dyDescent="0.25">
      <c r="D5" s="1" t="s">
        <v>0</v>
      </c>
      <c r="E5" s="1" t="s">
        <v>3</v>
      </c>
      <c r="F5" s="1" t="s">
        <v>12</v>
      </c>
      <c r="J5" s="76" t="s">
        <v>163</v>
      </c>
      <c r="K5" s="76" t="s">
        <v>13</v>
      </c>
      <c r="L5" s="76" t="s">
        <v>11</v>
      </c>
      <c r="M5" s="76" t="s">
        <v>12</v>
      </c>
      <c r="N5" s="76" t="s">
        <v>5</v>
      </c>
      <c r="O5" s="3"/>
      <c r="P5" s="76" t="s">
        <v>163</v>
      </c>
      <c r="Q5" s="76" t="s">
        <v>13</v>
      </c>
      <c r="R5" s="76" t="s">
        <v>11</v>
      </c>
      <c r="S5" s="76" t="s">
        <v>12</v>
      </c>
      <c r="T5" s="76" t="s">
        <v>5</v>
      </c>
      <c r="V5" s="76" t="s">
        <v>13</v>
      </c>
      <c r="W5" s="76" t="s">
        <v>126</v>
      </c>
      <c r="X5" s="76" t="s">
        <v>127</v>
      </c>
    </row>
    <row r="6" spans="1:24" ht="14.25" customHeight="1" x14ac:dyDescent="0.2">
      <c r="D6" s="1" t="s">
        <v>1</v>
      </c>
      <c r="E6" s="1" t="s">
        <v>4</v>
      </c>
      <c r="F6" s="1" t="s">
        <v>11</v>
      </c>
      <c r="J6" s="65">
        <v>1</v>
      </c>
      <c r="K6" s="65" t="s">
        <v>3</v>
      </c>
      <c r="L6" s="65">
        <f t="shared" ref="L6:N10" si="0">VLOOKUP($K6,$D$10:$G$13,MATCH(L$5,$D$10:$G$10,0),0)</f>
        <v>5</v>
      </c>
      <c r="M6" s="65">
        <f t="shared" si="0"/>
        <v>100</v>
      </c>
      <c r="N6" s="65">
        <f t="shared" si="0"/>
        <v>2</v>
      </c>
      <c r="P6" s="65">
        <v>1</v>
      </c>
      <c r="Q6" s="65" t="s">
        <v>81</v>
      </c>
      <c r="R6" s="65">
        <f t="shared" ref="R6:T10" si="1">VLOOKUP($Q6,$D$10:$G$13,MATCH(R$5,$D$10:$G$10,0),0)</f>
        <v>5</v>
      </c>
      <c r="S6" s="65">
        <f t="shared" si="1"/>
        <v>100</v>
      </c>
      <c r="T6" s="65">
        <f t="shared" si="1"/>
        <v>2</v>
      </c>
      <c r="V6" s="77" t="s">
        <v>3</v>
      </c>
      <c r="W6" s="65">
        <v>2</v>
      </c>
      <c r="X6" s="65">
        <v>3</v>
      </c>
    </row>
    <row r="7" spans="1:24" ht="14.25" customHeight="1" x14ac:dyDescent="0.2">
      <c r="D7" s="1" t="s">
        <v>2</v>
      </c>
      <c r="E7" s="1" t="s">
        <v>5</v>
      </c>
      <c r="F7" s="1" t="s">
        <v>5</v>
      </c>
      <c r="J7" s="1">
        <v>1</v>
      </c>
      <c r="K7" s="1" t="s">
        <v>4</v>
      </c>
      <c r="L7" s="1">
        <f t="shared" si="0"/>
        <v>10</v>
      </c>
      <c r="M7" s="1">
        <f t="shared" si="0"/>
        <v>40</v>
      </c>
      <c r="N7" s="1">
        <f t="shared" si="0"/>
        <v>0</v>
      </c>
      <c r="P7" s="1">
        <v>1</v>
      </c>
      <c r="Q7" s="1" t="s">
        <v>82</v>
      </c>
      <c r="R7" s="1">
        <f t="shared" si="1"/>
        <v>10</v>
      </c>
      <c r="S7" s="1">
        <f t="shared" si="1"/>
        <v>40</v>
      </c>
      <c r="T7" s="1">
        <f t="shared" si="1"/>
        <v>0</v>
      </c>
      <c r="V7" s="1" t="s">
        <v>4</v>
      </c>
      <c r="W7" s="1">
        <v>1</v>
      </c>
      <c r="X7" s="11">
        <v>3</v>
      </c>
    </row>
    <row r="8" spans="1:24" ht="14.25" customHeight="1" x14ac:dyDescent="0.2">
      <c r="D8" s="2" t="s">
        <v>159</v>
      </c>
      <c r="J8" s="1">
        <v>2</v>
      </c>
      <c r="K8" s="1" t="s">
        <v>3</v>
      </c>
      <c r="L8" s="1">
        <f t="shared" si="0"/>
        <v>5</v>
      </c>
      <c r="M8" s="1">
        <f t="shared" si="0"/>
        <v>100</v>
      </c>
      <c r="N8" s="1">
        <f t="shared" si="0"/>
        <v>2</v>
      </c>
      <c r="P8" s="1">
        <v>2</v>
      </c>
      <c r="Q8" s="1" t="s">
        <v>81</v>
      </c>
      <c r="R8" s="1">
        <f t="shared" si="1"/>
        <v>5</v>
      </c>
      <c r="S8" s="1">
        <f t="shared" si="1"/>
        <v>100</v>
      </c>
      <c r="T8" s="1">
        <f t="shared" si="1"/>
        <v>2</v>
      </c>
      <c r="V8" s="1" t="s">
        <v>5</v>
      </c>
      <c r="W8" s="1">
        <v>0</v>
      </c>
      <c r="X8" s="1">
        <v>2</v>
      </c>
    </row>
    <row r="9" spans="1:24" ht="14.25" customHeight="1" x14ac:dyDescent="0.2">
      <c r="J9" s="1">
        <v>2</v>
      </c>
      <c r="K9" s="1" t="s">
        <v>4</v>
      </c>
      <c r="L9" s="1">
        <f t="shared" si="0"/>
        <v>10</v>
      </c>
      <c r="M9" s="1">
        <f t="shared" si="0"/>
        <v>40</v>
      </c>
      <c r="N9" s="1">
        <f t="shared" si="0"/>
        <v>0</v>
      </c>
      <c r="P9" s="1">
        <v>2</v>
      </c>
      <c r="Q9" s="1" t="s">
        <v>82</v>
      </c>
      <c r="R9" s="1">
        <f t="shared" si="1"/>
        <v>10</v>
      </c>
      <c r="S9" s="1">
        <f t="shared" si="1"/>
        <v>40</v>
      </c>
      <c r="T9" s="1">
        <f t="shared" si="1"/>
        <v>0</v>
      </c>
      <c r="V9" s="2" t="s">
        <v>69</v>
      </c>
    </row>
    <row r="10" spans="1:24" ht="14.25" customHeight="1" thickBot="1" x14ac:dyDescent="0.25">
      <c r="D10" s="76" t="s">
        <v>13</v>
      </c>
      <c r="E10" s="76" t="s">
        <v>11</v>
      </c>
      <c r="F10" s="76" t="s">
        <v>12</v>
      </c>
      <c r="G10" s="76" t="s">
        <v>5</v>
      </c>
      <c r="J10" s="1">
        <v>0</v>
      </c>
      <c r="K10" s="1" t="s">
        <v>5</v>
      </c>
      <c r="L10" s="1">
        <f t="shared" si="0"/>
        <v>4</v>
      </c>
      <c r="M10" s="1">
        <f t="shared" si="0"/>
        <v>50</v>
      </c>
      <c r="N10" s="1">
        <f t="shared" si="0"/>
        <v>6</v>
      </c>
      <c r="P10" s="1">
        <v>0</v>
      </c>
      <c r="Q10" s="1" t="s">
        <v>83</v>
      </c>
      <c r="R10" s="1">
        <f t="shared" si="1"/>
        <v>4</v>
      </c>
      <c r="S10" s="1">
        <f t="shared" si="1"/>
        <v>50</v>
      </c>
      <c r="T10" s="1">
        <f t="shared" si="1"/>
        <v>6</v>
      </c>
    </row>
    <row r="11" spans="1:24" ht="14.25" customHeight="1" x14ac:dyDescent="0.2">
      <c r="D11" s="65" t="s">
        <v>3</v>
      </c>
      <c r="E11" s="14">
        <v>5</v>
      </c>
      <c r="F11" s="14">
        <v>100</v>
      </c>
      <c r="G11" s="14">
        <v>2</v>
      </c>
      <c r="I11" s="6"/>
    </row>
    <row r="12" spans="1:24" ht="14.25" customHeight="1" x14ac:dyDescent="0.2">
      <c r="D12" s="1" t="s">
        <v>4</v>
      </c>
      <c r="E12" s="6">
        <v>10</v>
      </c>
      <c r="F12" s="6">
        <v>40</v>
      </c>
      <c r="G12" s="6">
        <v>0</v>
      </c>
      <c r="I12" s="6"/>
      <c r="K12" s="1">
        <v>2</v>
      </c>
      <c r="L12" s="1">
        <f>SUM(L6:L$7)+L$10/2</f>
        <v>17</v>
      </c>
      <c r="M12" s="1">
        <f>SUM(M6:M$7)</f>
        <v>140</v>
      </c>
      <c r="N12" s="1">
        <f>SUM(N6:N$7)+N$10/2</f>
        <v>5</v>
      </c>
      <c r="Q12" s="1">
        <v>2</v>
      </c>
      <c r="R12" s="1">
        <f>SUM(R6:R$7)+R$10/2</f>
        <v>17</v>
      </c>
      <c r="S12" s="1">
        <f>SUM(S6:S$7)</f>
        <v>140</v>
      </c>
      <c r="T12" s="1">
        <f>SUM(T6:T$7)+T$10/2</f>
        <v>5</v>
      </c>
    </row>
    <row r="13" spans="1:24" ht="14.25" customHeight="1" x14ac:dyDescent="0.2">
      <c r="D13" s="1" t="s">
        <v>5</v>
      </c>
      <c r="E13" s="6">
        <v>4</v>
      </c>
      <c r="F13" s="6">
        <v>50</v>
      </c>
      <c r="G13" s="6">
        <v>6</v>
      </c>
      <c r="I13" s="6"/>
      <c r="K13" s="1">
        <v>1</v>
      </c>
      <c r="L13" s="1">
        <f>SUM(L7:L$7)+L$10/2</f>
        <v>12</v>
      </c>
      <c r="M13" s="1">
        <f>SUM(M7:M$7)</f>
        <v>40</v>
      </c>
      <c r="N13" s="1">
        <f>SUM(N7:N$7)+N$10/2</f>
        <v>3</v>
      </c>
      <c r="Q13" s="1">
        <v>1</v>
      </c>
      <c r="R13" s="1">
        <f>SUM(R7:R$7)+R$10/2</f>
        <v>12</v>
      </c>
      <c r="S13" s="1">
        <f>SUM(S7:S$7)</f>
        <v>40</v>
      </c>
      <c r="T13" s="1">
        <f>SUM(T7:T$7)+T$10/2</f>
        <v>3</v>
      </c>
    </row>
    <row r="14" spans="1:24" ht="14.25" customHeight="1" x14ac:dyDescent="0.2">
      <c r="I14" s="6"/>
      <c r="K14" s="1">
        <v>2</v>
      </c>
      <c r="L14" s="1">
        <f>SUM(L8:L$9)+L$10/2</f>
        <v>17</v>
      </c>
      <c r="M14" s="1">
        <f>SUM(M8:M$9)</f>
        <v>140</v>
      </c>
      <c r="N14" s="1">
        <f>SUM(N8:N$9)+N$10/2</f>
        <v>5</v>
      </c>
      <c r="Q14" s="1">
        <v>2</v>
      </c>
      <c r="R14" s="1">
        <f>SUM(R8:R$9)+R$10/2</f>
        <v>17</v>
      </c>
      <c r="S14" s="1">
        <f>SUM(S8:S$9)</f>
        <v>140</v>
      </c>
      <c r="T14" s="1">
        <f>SUM(T8:T$9)+T$10/2</f>
        <v>5</v>
      </c>
    </row>
    <row r="15" spans="1:24" s="3" customFormat="1" ht="14.25" customHeight="1" x14ac:dyDescent="0.2">
      <c r="C15" s="3" t="s">
        <v>128</v>
      </c>
      <c r="I15" s="6"/>
      <c r="K15" s="1">
        <v>1</v>
      </c>
      <c r="L15" s="1">
        <f>SUM(L9:L$9)+L$10/2</f>
        <v>12</v>
      </c>
      <c r="M15" s="1">
        <f>SUM(M9:M$9)</f>
        <v>40</v>
      </c>
      <c r="N15" s="1">
        <f>SUM(N9:N$9)+N$10/2</f>
        <v>3</v>
      </c>
      <c r="Q15" s="1">
        <v>1</v>
      </c>
      <c r="R15" s="1">
        <f>SUM(R9:R$9)+R$10/2</f>
        <v>12</v>
      </c>
      <c r="S15" s="1">
        <f>SUM(S9:S$9)</f>
        <v>40</v>
      </c>
      <c r="T15" s="1">
        <f>SUM(T9:T$9)+T$10/2</f>
        <v>3</v>
      </c>
    </row>
    <row r="16" spans="1:24" ht="14.25" customHeight="1" thickBot="1" x14ac:dyDescent="0.25">
      <c r="C16" s="3"/>
      <c r="D16" s="76" t="s">
        <v>129</v>
      </c>
      <c r="E16" s="76" t="s">
        <v>96</v>
      </c>
      <c r="F16" s="76" t="s">
        <v>97</v>
      </c>
      <c r="G16" s="76" t="s">
        <v>83</v>
      </c>
      <c r="K16" s="1">
        <v>1</v>
      </c>
      <c r="L16" s="1">
        <f>L10</f>
        <v>4</v>
      </c>
      <c r="M16" s="1">
        <f>M10</f>
        <v>50</v>
      </c>
      <c r="N16" s="1">
        <f>IF(K10="治疗",0,N10)</f>
        <v>0</v>
      </c>
      <c r="Q16" s="1">
        <v>1</v>
      </c>
      <c r="R16" s="1">
        <f>R10</f>
        <v>4</v>
      </c>
      <c r="S16" s="1">
        <f>S10</f>
        <v>50</v>
      </c>
      <c r="T16" s="1">
        <f>IF(Q10="治疗",0,T10)</f>
        <v>0</v>
      </c>
    </row>
    <row r="17" spans="3:19" ht="14.25" customHeight="1" x14ac:dyDescent="0.2">
      <c r="D17" s="65" t="s">
        <v>81</v>
      </c>
      <c r="E17" s="65">
        <f t="shared" ref="E17:G21" si="2">VLOOKUP($D17,$D$10:$G$13,MATCH(E$16,$D$10:$G$10,0),0)</f>
        <v>5</v>
      </c>
      <c r="F17" s="65">
        <f t="shared" si="2"/>
        <v>100</v>
      </c>
      <c r="G17" s="65">
        <f t="shared" si="2"/>
        <v>2</v>
      </c>
      <c r="H17" s="1">
        <f>F17/E23</f>
        <v>5.882352941176471</v>
      </c>
      <c r="J17" s="3"/>
    </row>
    <row r="18" spans="3:19" ht="14.25" customHeight="1" x14ac:dyDescent="0.2">
      <c r="D18" s="1" t="s">
        <v>82</v>
      </c>
      <c r="E18" s="1">
        <f t="shared" si="2"/>
        <v>10</v>
      </c>
      <c r="F18" s="1">
        <f t="shared" si="2"/>
        <v>40</v>
      </c>
      <c r="G18" s="1">
        <f t="shared" si="2"/>
        <v>0</v>
      </c>
      <c r="H18" s="2"/>
      <c r="O18" s="3">
        <f>M51-Q51</f>
        <v>0</v>
      </c>
      <c r="P18" s="3"/>
    </row>
    <row r="19" spans="3:19" ht="14.25" customHeight="1" x14ac:dyDescent="0.2">
      <c r="D19" s="1" t="s">
        <v>81</v>
      </c>
      <c r="E19" s="1">
        <f t="shared" si="2"/>
        <v>5</v>
      </c>
      <c r="F19" s="1">
        <f t="shared" si="2"/>
        <v>100</v>
      </c>
      <c r="G19" s="1">
        <f t="shared" si="2"/>
        <v>2</v>
      </c>
      <c r="K19" s="2" t="s">
        <v>19</v>
      </c>
      <c r="R19" s="26">
        <f>MAX(R29,R39)+R52</f>
        <v>25.277777777777779</v>
      </c>
    </row>
    <row r="20" spans="3:19" ht="14.25" customHeight="1" x14ac:dyDescent="0.2">
      <c r="D20" s="1" t="s">
        <v>82</v>
      </c>
      <c r="E20" s="1">
        <f t="shared" si="2"/>
        <v>10</v>
      </c>
      <c r="F20" s="1">
        <f t="shared" si="2"/>
        <v>40</v>
      </c>
      <c r="G20" s="1">
        <f t="shared" si="2"/>
        <v>0</v>
      </c>
      <c r="L20" s="1" t="s">
        <v>90</v>
      </c>
      <c r="M20" s="1" t="s">
        <v>15</v>
      </c>
      <c r="Q20" s="1" t="s">
        <v>15</v>
      </c>
    </row>
    <row r="21" spans="3:19" ht="14.25" customHeight="1" x14ac:dyDescent="0.2">
      <c r="D21" s="1" t="s">
        <v>83</v>
      </c>
      <c r="E21" s="1">
        <f t="shared" si="2"/>
        <v>4</v>
      </c>
      <c r="F21" s="1">
        <f t="shared" si="2"/>
        <v>50</v>
      </c>
      <c r="G21" s="1">
        <f t="shared" si="2"/>
        <v>6</v>
      </c>
      <c r="M21" s="1">
        <v>2</v>
      </c>
      <c r="N21" s="6">
        <f>INDEX($M$6:$M$7,MATCH(M21,$K$12:$K$13,0))/MAX((VLOOKUP(Q21,$Q$12:$T$13,2,0)-VLOOKUP(M21,$K$12:$N$13,4,0)),1)</f>
        <v>8.3333333333333339</v>
      </c>
      <c r="O21" s="10">
        <f>N21-P21</f>
        <v>0</v>
      </c>
      <c r="P21" s="6">
        <f>INDEX($S$6:$S$7,MATCH(Q21,$K$12:$K$13,0))/MAX((VLOOKUP(M21,$K$12:$N$13,2,0)-VLOOKUP(Q21,$Q$12:$T$13,4,0)),1)</f>
        <v>8.3333333333333339</v>
      </c>
      <c r="Q21" s="1">
        <v>2</v>
      </c>
      <c r="R21" s="6">
        <f>IFERROR(IF(O21&gt;0,P21,N21),"")</f>
        <v>8.3333333333333339</v>
      </c>
      <c r="S21" s="8"/>
    </row>
    <row r="22" spans="3:19" ht="14.25" customHeight="1" x14ac:dyDescent="0.2">
      <c r="H22" s="9"/>
      <c r="I22" s="9"/>
      <c r="N22" s="13">
        <f>IFERROR(VLOOKUP(M21,K$12:N$13,2,0),0)</f>
        <v>17</v>
      </c>
      <c r="O22" s="6">
        <f>IFERROR(IF(O21&gt;0,O21/N21*INDEX($M$6:$M$7,MATCH(M21,$K$12:$K$13,0)),-O21/P21*INDEX($S$6:$S$7,MATCH(Q21,$K$12:$K$13,0))),O20)</f>
        <v>0</v>
      </c>
      <c r="P22" s="13">
        <f>IFERROR(VLOOKUP(Q21,Q$12:T$13,2,0),0)</f>
        <v>17</v>
      </c>
    </row>
    <row r="23" spans="3:19" ht="14.25" customHeight="1" x14ac:dyDescent="0.2">
      <c r="D23" s="1">
        <v>2</v>
      </c>
      <c r="E23" s="1">
        <f>E18+E17+E21/2</f>
        <v>17</v>
      </c>
      <c r="F23" s="1">
        <f>F17+F18+F21/2</f>
        <v>165</v>
      </c>
      <c r="G23" s="1">
        <f>G17+G21/2</f>
        <v>5</v>
      </c>
      <c r="H23" s="6">
        <f>F17/(E23-G23)</f>
        <v>8.3333333333333339</v>
      </c>
      <c r="I23" s="9"/>
      <c r="M23" s="1">
        <f>IF($O21&gt;0,M21,M21-1)</f>
        <v>1</v>
      </c>
      <c r="N23" s="6">
        <f>IFERROR(IF(O21&gt;0,O22,INDEX($M$6:$M$7,MATCH(M23,$K$12:$K$13,0)))/MAX((VLOOKUP(Q23,$Q$12:$T$13,2,0)-VLOOKUP(M23,$K$12:$N$13,4,0)),1),0)</f>
        <v>4.4444444444444446</v>
      </c>
      <c r="O23" s="10">
        <f>N23-P23</f>
        <v>0</v>
      </c>
      <c r="P23" s="6">
        <f>IFERROR(IF(O21&lt;0,O22,INDEX($S$6:$S$7,MATCH(Q23,$K$12:$K$13,0)))/MAX((VLOOKUP(M23,$K$12:$N$13,2,0)-VLOOKUP(Q23,$Q$12:$T$13,4,0)),1),0)</f>
        <v>4.4444444444444446</v>
      </c>
      <c r="Q23" s="1">
        <f>IF($O21&lt;0,Q21,Q21-1)</f>
        <v>1</v>
      </c>
      <c r="R23" s="6">
        <f>IFERROR(IF(O23&gt;0,P23,N23),"")</f>
        <v>4.4444444444444446</v>
      </c>
    </row>
    <row r="24" spans="3:19" ht="14.25" customHeight="1" x14ac:dyDescent="0.2">
      <c r="D24" s="1">
        <v>1</v>
      </c>
      <c r="E24" s="1">
        <f>E18+E21/2</f>
        <v>12</v>
      </c>
      <c r="F24" s="1">
        <f>F23-F17</f>
        <v>65</v>
      </c>
      <c r="G24" s="1">
        <f>G21/2</f>
        <v>3</v>
      </c>
      <c r="H24" s="6">
        <f>F18/(E24-G24)</f>
        <v>4.4444444444444446</v>
      </c>
      <c r="I24" s="9"/>
      <c r="N24" s="13">
        <f>IFERROR(VLOOKUP(M23,K$12:N$13,2,0),0)</f>
        <v>12</v>
      </c>
      <c r="O24" s="6">
        <f>IFERROR(IF(O23&gt;0,O23/N23*INDEX($M$6:$M$7,MATCH(M23,$K$12:$K$13,0)),-O23/P23*INDEX($S$6:$S$7,MATCH(Q23,$K$12:$K$13,0))),O22)</f>
        <v>0</v>
      </c>
      <c r="P24" s="13">
        <f>IFERROR(VLOOKUP(Q23,Q$12:T$13,2,0),0)</f>
        <v>12</v>
      </c>
    </row>
    <row r="25" spans="3:19" ht="14.25" customHeight="1" x14ac:dyDescent="0.2">
      <c r="D25" s="1">
        <v>0</v>
      </c>
      <c r="E25" s="1">
        <f>E21</f>
        <v>4</v>
      </c>
      <c r="F25" s="1">
        <f>F21</f>
        <v>50</v>
      </c>
      <c r="G25" s="1">
        <v>0</v>
      </c>
      <c r="H25" s="1">
        <f>F21/(E25-G25)</f>
        <v>12.5</v>
      </c>
      <c r="M25" s="1">
        <f>IF($O23&gt;0,M23,M23-1)</f>
        <v>0</v>
      </c>
      <c r="N25" s="6">
        <f>IFERROR(IF(O23&gt;0,O24,INDEX($M$6:$M$7,MATCH(M25,$K$12:$K$13,0)))/MAX((VLOOKUP(Q25,$Q$12:$T$13,2,0)-VLOOKUP(M25,$K$12:$N$13,4,0)),1),0)</f>
        <v>0</v>
      </c>
      <c r="O25" s="10">
        <f>N25-P25</f>
        <v>0</v>
      </c>
      <c r="P25" s="6">
        <f>IFERROR(IF(O23&lt;0,O24,INDEX($S$6:$S$7,MATCH(Q25,$K$12:$K$13,0)))/MAX((VLOOKUP(M25,$K$12:$N$13,2,0)-VLOOKUP(Q25,$Q$12:$T$13,4,0)),1),0)</f>
        <v>0</v>
      </c>
      <c r="Q25" s="1">
        <f>IF($O23&lt;0,Q23,Q23-1)</f>
        <v>0</v>
      </c>
      <c r="R25" s="6">
        <f>IFERROR(IF(O25&gt;0,P25,N25),"")</f>
        <v>0</v>
      </c>
    </row>
    <row r="26" spans="3:19" ht="14.25" customHeight="1" x14ac:dyDescent="0.2">
      <c r="G26" s="78" t="s">
        <v>165</v>
      </c>
      <c r="H26" s="29">
        <f>SUM(H23:H25)</f>
        <v>25.277777777777779</v>
      </c>
      <c r="N26" s="13">
        <f>IFERROR(VLOOKUP(M25,K$12:N$13,2,0),0)</f>
        <v>0</v>
      </c>
      <c r="O26" s="6">
        <f>IFERROR(IF(O25&gt;0,O25/N25*INDEX($M$6:$M$7,MATCH(M25,$K$12:$K$13,0)),-O25/P25*INDEX($S$6:$S$7,MATCH(Q25,$K$12:$K$13,0))),O24)</f>
        <v>0</v>
      </c>
      <c r="P26" s="13">
        <f>IFERROR(VLOOKUP(Q25,Q$12:T$13,2,0),0)</f>
        <v>0</v>
      </c>
    </row>
    <row r="27" spans="3:19" ht="14.25" customHeight="1" thickBot="1" x14ac:dyDescent="0.25">
      <c r="C27" s="3" t="s">
        <v>176</v>
      </c>
      <c r="D27" s="76" t="s">
        <v>129</v>
      </c>
      <c r="E27" s="85" t="s">
        <v>96</v>
      </c>
      <c r="F27" s="76" t="s">
        <v>97</v>
      </c>
      <c r="G27" s="76" t="s">
        <v>83</v>
      </c>
      <c r="M27" s="1">
        <f>IF($O25&gt;0,M25,M25-1)</f>
        <v>-1</v>
      </c>
      <c r="N27" s="6">
        <f>IFERROR(IF(O25&gt;0,O26,INDEX($M$6:$M$7,MATCH(M27,$K$12:$K$13,0)))/MAX((VLOOKUP(Q27,$Q$12:$T$13,2,0)-VLOOKUP(M27,$K$12:$N$13,4,0)),1),0)</f>
        <v>0</v>
      </c>
      <c r="O27" s="10">
        <f>N27-P27</f>
        <v>0</v>
      </c>
      <c r="P27" s="6">
        <f>IFERROR(IF(O25&lt;0,O26,INDEX($S$6:$S$7,MATCH(Q27,$K$12:$K$13,0)))/MAX((VLOOKUP(M27,$K$12:$N$13,2,0)-VLOOKUP(Q27,$Q$12:$T$13,4,0)),1),0)</f>
        <v>0</v>
      </c>
      <c r="Q27" s="1">
        <f>IF($O25&lt;0,Q25,Q25-1)</f>
        <v>-1</v>
      </c>
      <c r="R27" s="6">
        <f>IFERROR(IF(O27&gt;0,P27,N27),"")</f>
        <v>0</v>
      </c>
    </row>
    <row r="28" spans="3:19" ht="14.25" customHeight="1" x14ac:dyDescent="0.2">
      <c r="D28" s="1" t="s">
        <v>81</v>
      </c>
      <c r="E28" s="6">
        <v>0.9</v>
      </c>
      <c r="F28" s="6">
        <f>1/E28</f>
        <v>1.1111111111111112</v>
      </c>
      <c r="G28" s="6">
        <v>1</v>
      </c>
      <c r="M28" s="13">
        <f>IFERROR(VLOOKUP(M27,K$12:N$13,4,0),0)</f>
        <v>0</v>
      </c>
      <c r="N28" s="13">
        <f>IFERROR(VLOOKUP(M27,K$12:N$13,2,0),0)</f>
        <v>0</v>
      </c>
      <c r="O28" s="6">
        <f>IFERROR(IF(O27&gt;0,O27/N27*INDEX($M$6:$M$7,MATCH(M27,$K$12:$K$13,0)),-O27/P27*INDEX($S$6:$S$7,MATCH(Q27,$K$12:$K$13,0))),O26)</f>
        <v>0</v>
      </c>
      <c r="P28" s="13">
        <f>IFERROR(VLOOKUP(Q27,Q$12:T$13,2,0),0)</f>
        <v>0</v>
      </c>
      <c r="Q28" s="13">
        <f>IFERROR(VLOOKUP(Q27,Q$12:T$13,4,0),0)</f>
        <v>0</v>
      </c>
    </row>
    <row r="29" spans="3:19" ht="14.25" customHeight="1" x14ac:dyDescent="0.2">
      <c r="D29" s="1" t="s">
        <v>82</v>
      </c>
      <c r="E29" s="6">
        <v>1.1000000000000001</v>
      </c>
      <c r="F29" s="6">
        <f t="shared" ref="F29:F31" si="3">1/E29</f>
        <v>0.90909090909090906</v>
      </c>
      <c r="G29" s="6">
        <v>1</v>
      </c>
      <c r="M29" s="1">
        <f>MAX(M27-Q27,0)</f>
        <v>0</v>
      </c>
      <c r="N29" s="6"/>
      <c r="O29" s="10"/>
      <c r="P29" s="6"/>
      <c r="Q29" s="1">
        <f>MAX(Q27-M27,0)</f>
        <v>0</v>
      </c>
      <c r="R29" s="6">
        <f>SUM(R21:R27)</f>
        <v>12.777777777777779</v>
      </c>
    </row>
    <row r="30" spans="3:19" ht="14.25" customHeight="1" x14ac:dyDescent="0.2">
      <c r="D30" s="1" t="s">
        <v>81</v>
      </c>
      <c r="E30" s="6">
        <v>1</v>
      </c>
      <c r="F30" s="6">
        <f t="shared" si="3"/>
        <v>1</v>
      </c>
      <c r="G30" s="6">
        <v>1</v>
      </c>
      <c r="L30" s="1" t="s">
        <v>91</v>
      </c>
      <c r="M30" s="1" t="s">
        <v>15</v>
      </c>
      <c r="N30" s="13">
        <f>IFERROR(VLOOKUP(M29,K$12:N$13,2,0),0)</f>
        <v>0</v>
      </c>
      <c r="P30" s="13">
        <f>IFERROR(VLOOKUP(Q29,Q$12:T$13,2,0),0)</f>
        <v>0</v>
      </c>
      <c r="Q30" s="1" t="s">
        <v>15</v>
      </c>
    </row>
    <row r="31" spans="3:19" ht="14.25" customHeight="1" x14ac:dyDescent="0.2">
      <c r="D31" s="1" t="s">
        <v>82</v>
      </c>
      <c r="E31" s="6">
        <v>1.2</v>
      </c>
      <c r="F31" s="6">
        <f t="shared" si="3"/>
        <v>0.83333333333333337</v>
      </c>
      <c r="G31" s="6">
        <v>1</v>
      </c>
      <c r="M31" s="1">
        <v>2</v>
      </c>
      <c r="N31" s="6">
        <f>INDEX($M$8:$M$9,MATCH(M31,$K$14:$K$15,0))/MAX((VLOOKUP(Q31,$Q$14:$T$15,2,0)-VLOOKUP(M31,$K$14:$N$15,4,0)),1)</f>
        <v>8.3333333333333339</v>
      </c>
      <c r="O31" s="10">
        <f>N31-P31</f>
        <v>0</v>
      </c>
      <c r="P31" s="6">
        <f>INDEX($S$8:$S$9,MATCH(Q31,$K$14:$K$15,0))/MAX((VLOOKUP(M31,$K$14:$N$15,2,0)-VLOOKUP(Q31,$Q$14:$T$15,4,0)),1)</f>
        <v>8.3333333333333339</v>
      </c>
      <c r="Q31" s="1">
        <v>2</v>
      </c>
      <c r="R31" s="6">
        <f>IFERROR(IF(O31&gt;0,P31,N31),"")</f>
        <v>8.3333333333333339</v>
      </c>
    </row>
    <row r="32" spans="3:19" ht="14.25" customHeight="1" x14ac:dyDescent="0.2">
      <c r="D32" s="1" t="s">
        <v>83</v>
      </c>
      <c r="E32" s="6">
        <v>0.97</v>
      </c>
      <c r="F32" s="6">
        <f>E32</f>
        <v>0.97</v>
      </c>
      <c r="G32" s="6">
        <v>1</v>
      </c>
      <c r="N32" s="13">
        <f>IFERROR(VLOOKUP(M31,K$14:N$15,2,0),0)</f>
        <v>17</v>
      </c>
      <c r="O32" s="6">
        <f>IFERROR(IF(O31&gt;0,O31/N31*INDEX($M$8:$M$9,MATCH(M31,$K$14:$K$15,0)),-O31/P31*INDEX($S$8:$S$9,MATCH(Q31,$K$14:$K$15,0))),O30)</f>
        <v>0</v>
      </c>
      <c r="P32" s="13">
        <f>IFERROR(VLOOKUP(Q31,Q$14:T$15,2,0),0)</f>
        <v>17</v>
      </c>
    </row>
    <row r="33" spans="3:18" ht="14.25" customHeight="1" x14ac:dyDescent="0.2">
      <c r="M33" s="1">
        <f>IF($O31&gt;0,M31,M31-1)</f>
        <v>1</v>
      </c>
      <c r="N33" s="6">
        <f>IFERROR(IF(O31&gt;0,O32,INDEX($M$8:$M$9,MATCH(M33,$K$14:$K$15,0)))/MAX((VLOOKUP(Q33,$Q$14:$T$15,2,0)-VLOOKUP(M33,$K$14:$N$15,4,0)),1),0)</f>
        <v>4.4444444444444446</v>
      </c>
      <c r="O33" s="10">
        <f>N33-P33</f>
        <v>0</v>
      </c>
      <c r="P33" s="6">
        <f>IFERROR(IF(O31&lt;0,O32,INDEX($S$8:$S$9,MATCH(Q33,$K$14:$K$15,0)))/MAX((VLOOKUP(M33,$K$14:$N$15,2,0)-VLOOKUP(Q33,$Q$14:$T$15,4,0)),1),0)</f>
        <v>4.4444444444444446</v>
      </c>
      <c r="Q33" s="1">
        <f>IF($O31&lt;0,Q31,Q31-1)</f>
        <v>1</v>
      </c>
      <c r="R33" s="6">
        <f>IFERROR(IF(O33&gt;0,P33,N33),"")</f>
        <v>4.4444444444444446</v>
      </c>
    </row>
    <row r="34" spans="3:18" ht="14.25" customHeight="1" x14ac:dyDescent="0.2">
      <c r="E34" s="8">
        <f>E17*E28</f>
        <v>4.5</v>
      </c>
      <c r="F34" s="8">
        <f t="shared" ref="F34:G34" si="4">F17*F28</f>
        <v>111.11111111111111</v>
      </c>
      <c r="G34" s="8">
        <f t="shared" si="4"/>
        <v>2</v>
      </c>
      <c r="N34" s="13">
        <f>IFERROR(VLOOKUP(M33,K$14:N$15,2,0),0)</f>
        <v>12</v>
      </c>
      <c r="O34" s="6">
        <f>IFERROR(IF(O33&gt;0,O33/N33*INDEX($M$8:$M$9,MATCH(M33,$K$14:$K$15,0)),-O33/P33*INDEX($S$8:$S$9,MATCH(Q33,$K$14:$K$15,0))),O32)</f>
        <v>0</v>
      </c>
      <c r="P34" s="13">
        <f>IFERROR(VLOOKUP(Q33,Q$14:T$15,2,0),0)</f>
        <v>12</v>
      </c>
    </row>
    <row r="35" spans="3:18" ht="14.25" customHeight="1" x14ac:dyDescent="0.2">
      <c r="E35" s="8">
        <f t="shared" ref="E35:G35" si="5">E18*E29</f>
        <v>11</v>
      </c>
      <c r="F35" s="8">
        <f t="shared" si="5"/>
        <v>36.36363636363636</v>
      </c>
      <c r="G35" s="8">
        <f t="shared" si="5"/>
        <v>0</v>
      </c>
      <c r="M35" s="1">
        <f>IF($O33&gt;0,M33,M33-1)</f>
        <v>0</v>
      </c>
      <c r="N35" s="6">
        <f>IFERROR(IF(O33&gt;0,O34,INDEX($M$8:$M$9,MATCH(M35,$K$14:$K$15,0)))/MAX((VLOOKUP(Q35,$Q$14:$T$15,2,0)-VLOOKUP(M35,$K$14:$N$15,4,0)),1),0)</f>
        <v>0</v>
      </c>
      <c r="O35" s="10">
        <f>N35-P35</f>
        <v>0</v>
      </c>
      <c r="P35" s="6">
        <f>IFERROR(IF(O33&lt;0,O34,INDEX($S$8:$S$9,MATCH(Q35,$K$14:$K$15,0)))/MAX((VLOOKUP(M35,$K$14:$N$15,2,0)-VLOOKUP(Q35,$Q$14:$T$15,4,0)),1),0)</f>
        <v>0</v>
      </c>
      <c r="Q35" s="1">
        <f>IF($O33&lt;0,Q33,Q33-1)</f>
        <v>0</v>
      </c>
      <c r="R35" s="6">
        <f>IFERROR(IF(O35&gt;0,P35,N35),"")</f>
        <v>0</v>
      </c>
    </row>
    <row r="36" spans="3:18" ht="14.25" customHeight="1" x14ac:dyDescent="0.2">
      <c r="E36" s="8">
        <f t="shared" ref="E36:G36" si="6">E19*E30</f>
        <v>5</v>
      </c>
      <c r="F36" s="8">
        <f t="shared" si="6"/>
        <v>100</v>
      </c>
      <c r="G36" s="8">
        <f t="shared" si="6"/>
        <v>2</v>
      </c>
      <c r="N36" s="13">
        <f>IFERROR(VLOOKUP(M35,K$14:N$15,2,0),0)</f>
        <v>0</v>
      </c>
      <c r="O36" s="6">
        <f>IFERROR(IF(O35&gt;0,O35/N35*INDEX($M$8:$M$9,MATCH(M35,$K$14:$K$15,0)),-O35/P35*INDEX($S$8:$S$9,MATCH(Q35,$K$14:$K$15,0))),O34)</f>
        <v>0</v>
      </c>
      <c r="P36" s="13">
        <f>IFERROR(VLOOKUP(Q35,Q$14:T$15,2,0),0)</f>
        <v>0</v>
      </c>
    </row>
    <row r="37" spans="3:18" ht="14.25" customHeight="1" x14ac:dyDescent="0.2">
      <c r="E37" s="8">
        <f t="shared" ref="E37:G37" si="7">E20*E31</f>
        <v>12</v>
      </c>
      <c r="F37" s="8">
        <f t="shared" si="7"/>
        <v>33.333333333333336</v>
      </c>
      <c r="G37" s="8">
        <f t="shared" si="7"/>
        <v>0</v>
      </c>
      <c r="M37" s="1">
        <f>IF($O35&gt;0,M35,M35-1)</f>
        <v>-1</v>
      </c>
      <c r="N37" s="6">
        <f>IFERROR(IF(O35&gt;0,O36,INDEX($M$8:$M$9,MATCH(M37,$K$14:$K$15,0)))/MAX((VLOOKUP(Q37,$Q$14:$T$15,2,0)-VLOOKUP(M37,$K$14:$N$15,4,0)),1),0)</f>
        <v>0</v>
      </c>
      <c r="O37" s="10">
        <f>N37-P37</f>
        <v>0</v>
      </c>
      <c r="P37" s="6">
        <f>IFERROR(IF(O35&lt;0,O36,INDEX($S$8:$S$9,MATCH(Q37,$K$14:$K$15,0)))/MAX((VLOOKUP(M37,$K$14:$N$15,2,0)-VLOOKUP(Q37,$Q$14:$T$15,4,0)),1),0)</f>
        <v>0</v>
      </c>
      <c r="Q37" s="1">
        <f>IF($O35&lt;0,Q35,Q35-1)</f>
        <v>-1</v>
      </c>
      <c r="R37" s="6">
        <f>IFERROR(IF(O37&gt;0,P37,N37),"")</f>
        <v>0</v>
      </c>
    </row>
    <row r="38" spans="3:18" ht="14.25" customHeight="1" x14ac:dyDescent="0.2">
      <c r="E38" s="8">
        <f t="shared" ref="E38:G38" si="8">E21*E32</f>
        <v>3.88</v>
      </c>
      <c r="F38" s="8">
        <f t="shared" si="8"/>
        <v>48.5</v>
      </c>
      <c r="G38" s="8">
        <f t="shared" si="8"/>
        <v>6</v>
      </c>
      <c r="M38" s="13">
        <f>IFERROR(VLOOKUP(M37,K$14:N$15,4,0),0)</f>
        <v>0</v>
      </c>
      <c r="N38" s="13">
        <f>IFERROR(VLOOKUP(M37,K$14:N$15,2,0),0)</f>
        <v>0</v>
      </c>
      <c r="O38" s="6">
        <f>IFERROR(IF(O37&gt;0,O37/N37*INDEX($M$8:$M$9,MATCH(M37,$K$14:$K$15,0)),-O37/P37*INDEX($S$8:$S$9,MATCH(Q37,$K$14:$K$15,0))),O36)</f>
        <v>0</v>
      </c>
      <c r="P38" s="13">
        <f>IFERROR(VLOOKUP(Q37,Q$14:T$15,2,0),0)</f>
        <v>0</v>
      </c>
      <c r="Q38" s="13">
        <f>IFERROR(VLOOKUP(Q37,Q$14:T$15,4,0),0)</f>
        <v>0</v>
      </c>
    </row>
    <row r="39" spans="3:18" ht="14.25" customHeight="1" x14ac:dyDescent="0.2">
      <c r="M39" s="1">
        <f>MAX(M37-Q37,0)</f>
        <v>0</v>
      </c>
      <c r="N39" s="6"/>
      <c r="O39" s="10"/>
      <c r="P39" s="6"/>
      <c r="Q39" s="1">
        <f>MAX(Q37-M37,0)</f>
        <v>0</v>
      </c>
      <c r="R39" s="6">
        <f>SUM(R31:R37)</f>
        <v>12.777777777777779</v>
      </c>
    </row>
    <row r="40" spans="3:18" ht="14.25" customHeight="1" x14ac:dyDescent="0.2">
      <c r="D40" s="1">
        <v>2</v>
      </c>
      <c r="E40" s="8">
        <f>E35+E34+E38/2</f>
        <v>17.440000000000001</v>
      </c>
      <c r="F40" s="8">
        <f>F34+F35+F38/2</f>
        <v>171.72474747474746</v>
      </c>
      <c r="G40" s="1">
        <f>G34+G38/2</f>
        <v>5</v>
      </c>
      <c r="H40" s="6">
        <f>F34/(E40-G40)</f>
        <v>8.9317613433369054</v>
      </c>
      <c r="N40" s="13">
        <f>IFERROR(VLOOKUP(M39,K$14:N$15,2,0),0)</f>
        <v>0</v>
      </c>
      <c r="P40" s="13">
        <f>IFERROR(VLOOKUP(Q39,Q$14:T$15,2,0),0)</f>
        <v>0</v>
      </c>
    </row>
    <row r="41" spans="3:18" ht="14.25" customHeight="1" x14ac:dyDescent="0.2">
      <c r="D41" s="1">
        <v>1</v>
      </c>
      <c r="E41" s="8">
        <f>E35+E38/2</f>
        <v>12.94</v>
      </c>
      <c r="F41" s="8">
        <f>F40-F34</f>
        <v>60.613636363636346</v>
      </c>
      <c r="G41" s="1">
        <f>G38/2</f>
        <v>3</v>
      </c>
      <c r="H41" s="6">
        <f>F35/(E41-G41)</f>
        <v>3.6583135174684469</v>
      </c>
      <c r="L41" s="1" t="s">
        <v>11</v>
      </c>
      <c r="M41" s="1" t="s">
        <v>12</v>
      </c>
      <c r="N41" s="1" t="s">
        <v>5</v>
      </c>
      <c r="O41" s="10"/>
      <c r="P41" s="1" t="s">
        <v>11</v>
      </c>
      <c r="Q41" s="1" t="s">
        <v>12</v>
      </c>
      <c r="R41" s="1" t="s">
        <v>5</v>
      </c>
    </row>
    <row r="42" spans="3:18" x14ac:dyDescent="0.2">
      <c r="D42" s="1">
        <v>0</v>
      </c>
      <c r="E42" s="8">
        <f>E38</f>
        <v>3.88</v>
      </c>
      <c r="F42" s="8">
        <f>F38</f>
        <v>48.5</v>
      </c>
      <c r="G42" s="1">
        <v>0</v>
      </c>
      <c r="H42" s="1">
        <f>F38/(E42-G42)</f>
        <v>12.5</v>
      </c>
      <c r="K42" s="1" t="str">
        <f>IF(L42&lt;&gt;0,COUNTIF($L$42:$L$44,"&gt;0"),"")</f>
        <v/>
      </c>
      <c r="L42" s="1">
        <f>N30</f>
        <v>0</v>
      </c>
      <c r="M42" s="6">
        <f>IF(L42=0,0,O28)</f>
        <v>0</v>
      </c>
      <c r="N42" s="1">
        <f>M28</f>
        <v>0</v>
      </c>
      <c r="O42" s="1" t="str">
        <f>IF(P42&lt;&gt;0,COUNTIF($P$42:$P$44,"&gt;0"),"")</f>
        <v/>
      </c>
      <c r="P42" s="1">
        <f>P30</f>
        <v>0</v>
      </c>
      <c r="Q42" s="14">
        <f>IF(P42=0,0,O28)</f>
        <v>0</v>
      </c>
      <c r="R42" s="1">
        <f>Q28</f>
        <v>0</v>
      </c>
    </row>
    <row r="43" spans="3:18" x14ac:dyDescent="0.2">
      <c r="G43" s="78" t="s">
        <v>177</v>
      </c>
      <c r="H43" s="29">
        <f>SUM(H40:H42)</f>
        <v>25.090074860805352</v>
      </c>
      <c r="K43" s="1" t="str">
        <f>IF(K42&lt;&gt;"",IF(L43&lt;&gt;0,COUNTIF($L$42:$L$44,"&gt;0")-1,""),IF(L43&lt;&gt;0,COUNTIF($L$42:$L$44,"&gt;0"),""))</f>
        <v/>
      </c>
      <c r="L43" s="1">
        <f>N40</f>
        <v>0</v>
      </c>
      <c r="M43" s="6">
        <f>IF(L43=0,0,O38)</f>
        <v>0</v>
      </c>
      <c r="N43" s="1">
        <f>M38</f>
        <v>0</v>
      </c>
      <c r="O43" s="1" t="str">
        <f>IF(O42&lt;&gt;"",IF(P43&lt;&gt;0,COUNTIF($P$42:$P$44,"&gt;0")-1,""),IF(P43&lt;&gt;0,COUNTIF($P$42:$P$44,"&gt;0"),""))</f>
        <v/>
      </c>
      <c r="P43" s="1">
        <f>P40</f>
        <v>0</v>
      </c>
      <c r="Q43" s="6">
        <f>IF(P43=0,0,O38)</f>
        <v>0</v>
      </c>
      <c r="R43" s="1">
        <f>Q38</f>
        <v>0</v>
      </c>
    </row>
    <row r="44" spans="3:18" x14ac:dyDescent="0.2">
      <c r="K44" s="1">
        <v>1</v>
      </c>
      <c r="L44" s="1">
        <f>L16</f>
        <v>4</v>
      </c>
      <c r="M44" s="1">
        <f>M16</f>
        <v>50</v>
      </c>
      <c r="N44" s="1">
        <f>N16</f>
        <v>0</v>
      </c>
      <c r="O44" s="1">
        <v>1</v>
      </c>
      <c r="P44" s="1">
        <f>R16</f>
        <v>4</v>
      </c>
      <c r="Q44" s="1">
        <f t="shared" ref="Q44:R44" si="9">S16</f>
        <v>50</v>
      </c>
      <c r="R44" s="1">
        <f t="shared" si="9"/>
        <v>0</v>
      </c>
    </row>
    <row r="45" spans="3:18" ht="15" thickBot="1" x14ac:dyDescent="0.25">
      <c r="C45" s="3" t="s">
        <v>157</v>
      </c>
      <c r="D45" s="76" t="s">
        <v>160</v>
      </c>
      <c r="E45" s="76" t="s">
        <v>161</v>
      </c>
      <c r="F45" s="76" t="s">
        <v>162</v>
      </c>
    </row>
    <row r="46" spans="3:18" x14ac:dyDescent="0.2">
      <c r="D46" s="99" t="s">
        <v>5</v>
      </c>
      <c r="E46" s="81" t="s">
        <v>4</v>
      </c>
      <c r="F46" s="81" t="s">
        <v>3</v>
      </c>
      <c r="L46" s="1" t="s">
        <v>68</v>
      </c>
      <c r="M46" s="6" t="s">
        <v>15</v>
      </c>
      <c r="Q46" s="6" t="s">
        <v>15</v>
      </c>
    </row>
    <row r="47" spans="3:18" x14ac:dyDescent="0.2">
      <c r="D47" s="100"/>
      <c r="E47" s="1" t="s">
        <v>4</v>
      </c>
      <c r="F47" s="1" t="s">
        <v>3</v>
      </c>
      <c r="M47" s="9">
        <f>COUNTIF(L42:L44,"&gt;0")</f>
        <v>1</v>
      </c>
      <c r="N47" s="6">
        <f>IFERROR(VLOOKUP(M47,$K$41:$R$44,3,0)/MAX((VLOOKUP(Q47,$O$41:$R$44,2,0)-VLOOKUP(M47,$K$41:$R$44,4,0)),1),0)</f>
        <v>12.5</v>
      </c>
      <c r="O47" s="10">
        <f>N47-P47</f>
        <v>0</v>
      </c>
      <c r="P47" s="6">
        <f>IFERROR(VLOOKUP(Q47,$O$41:$R$44,3,0)/MAX((VLOOKUP(M47,$K$41:$R$44,2,0)-VLOOKUP(Q47,$O$41:$R$44,4,0)),1),0)</f>
        <v>12.5</v>
      </c>
      <c r="Q47" s="9">
        <f>COUNTIF(P42:P44,"&gt;0")</f>
        <v>1</v>
      </c>
      <c r="R47" s="6">
        <f>IFERROR(IF(O47&gt;0,P47,N47),"")</f>
        <v>12.5</v>
      </c>
    </row>
    <row r="48" spans="3:18" ht="14.25" customHeight="1" x14ac:dyDescent="0.2">
      <c r="N48" s="13">
        <f>IFERROR(VLOOKUP(M47,K$14:N$15,2,0),0)</f>
        <v>12</v>
      </c>
      <c r="O48" s="6">
        <f>IFERROR(IF(O47&gt;0,O47/N47*VLOOKUP(M47,$K$41:$R$44,3,0),-O47/P47*VLOOKUP(Q47,$O$41:$R$44,3,0)),O46)</f>
        <v>0</v>
      </c>
      <c r="P48" s="13">
        <f>IFERROR(VLOOKUP(Q47,Q$14:T$15,2,0),0)</f>
        <v>12</v>
      </c>
    </row>
    <row r="49" spans="3:18" ht="14.25" customHeight="1" x14ac:dyDescent="0.2">
      <c r="M49" s="1">
        <f>IF($O47&gt;0,M47,M47-1)</f>
        <v>0</v>
      </c>
      <c r="N49" s="6">
        <f>IFERROR(VLOOKUP(M49,$K$41:$R$44,3,0)/MAX((VLOOKUP(Q49,$O$41:$R$44,2,0)-VLOOKUP(M49,$K$41:$R$44,4,0)),1),0)</f>
        <v>0</v>
      </c>
      <c r="O49" s="10">
        <f>N49-P49</f>
        <v>0</v>
      </c>
      <c r="P49" s="6">
        <f>IFERROR(VLOOKUP(Q49,$O$41:$R$44,3,0)/MAX((VLOOKUP(M49,$K$41:$R$44,2,0)-VLOOKUP(Q49,$O$41:$R$44,4,0)),1),0)</f>
        <v>0</v>
      </c>
      <c r="Q49" s="1">
        <f>IF($O47&lt;0,Q47,Q47-1)</f>
        <v>0</v>
      </c>
      <c r="R49" s="6">
        <f>IFERROR(IF(O49&gt;0,P49,N49),"")</f>
        <v>0</v>
      </c>
    </row>
    <row r="50" spans="3:18" ht="14.25" customHeight="1" x14ac:dyDescent="0.2">
      <c r="C50" s="7"/>
      <c r="E50" s="1" t="s">
        <v>11</v>
      </c>
      <c r="F50" s="3"/>
      <c r="M50" s="6"/>
      <c r="N50" s="13">
        <f>IFERROR(VLOOKUP(M49,K$14:N$15,2,0),0)</f>
        <v>0</v>
      </c>
      <c r="O50" s="6">
        <f>IFERROR(IF(O49&gt;0,O49/N49*VLOOKUP(M49,$K$41:$R$44,3,0),-O49/P49*VLOOKUP(Q49,$O$41:$R$44,3,0)),O48)</f>
        <v>0</v>
      </c>
      <c r="P50" s="13">
        <f>IFERROR(VLOOKUP(Q49,Q$14:T$15,2,0),0)</f>
        <v>0</v>
      </c>
      <c r="Q50" s="6"/>
      <c r="R50" s="6"/>
    </row>
    <row r="51" spans="3:18" ht="14.25" customHeight="1" x14ac:dyDescent="0.2">
      <c r="D51" s="1" t="s">
        <v>81</v>
      </c>
      <c r="E51" s="8">
        <f>H23*E17</f>
        <v>41.666666666666671</v>
      </c>
      <c r="F51" s="5">
        <f>E51/SUM($E$51:$E$55)</f>
        <v>9.469696969696971E-2</v>
      </c>
      <c r="M51" s="1">
        <f>IF($O49&gt;0,M49,M49-1)</f>
        <v>-1</v>
      </c>
      <c r="N51" s="6">
        <f>IFERROR(VLOOKUP(M51,$K$41:$R$44,3,0)/MAX((VLOOKUP(Q51,$O$41:$R$44,2,0)-VLOOKUP(M51,$K$41:$R$44,4,0)),1),0)</f>
        <v>0</v>
      </c>
      <c r="O51" s="10">
        <f>N51-P51</f>
        <v>0</v>
      </c>
      <c r="P51" s="6">
        <f>IFERROR(VLOOKUP(Q51,$O$41:$R$44,3,0)/MAX((VLOOKUP(M51,$K$41:$R$44,2,0)-VLOOKUP(Q51,$O$41:$R$44,4,0)),1),0)</f>
        <v>0</v>
      </c>
      <c r="Q51" s="1">
        <f>IF($O49&lt;0,Q49,Q49-1)</f>
        <v>-1</v>
      </c>
      <c r="R51" s="6">
        <f>IFERROR(IF(O51&gt;0,P51,N51),"")</f>
        <v>0</v>
      </c>
    </row>
    <row r="52" spans="3:18" x14ac:dyDescent="0.2">
      <c r="D52" s="1" t="s">
        <v>82</v>
      </c>
      <c r="E52" s="8">
        <f>H24*E18+E18*H23</f>
        <v>127.77777777777779</v>
      </c>
      <c r="F52" s="5">
        <f>E52/SUM($E$51:$E$55)</f>
        <v>0.29040404040404044</v>
      </c>
      <c r="M52" s="6"/>
      <c r="N52" s="13">
        <f>IFERROR(VLOOKUP(M51,K$14:N$15,2,0),0)</f>
        <v>0</v>
      </c>
      <c r="O52" s="6">
        <f>IFERROR(IF(O51&gt;0,O51/N51*VLOOKUP(M51,$K$41:$R$44,3,0),-O51/P51*VLOOKUP(Q51,$O$41:$R$44,3,0)),O50)</f>
        <v>0</v>
      </c>
      <c r="P52" s="13">
        <f>IFERROR(VLOOKUP(Q51,Q$14:T$15,2,0),0)</f>
        <v>0</v>
      </c>
      <c r="Q52" s="6"/>
      <c r="R52" s="6">
        <f>SUM(R47:R51)</f>
        <v>12.5</v>
      </c>
    </row>
    <row r="53" spans="3:18" x14ac:dyDescent="0.2">
      <c r="D53" s="1" t="s">
        <v>81</v>
      </c>
      <c r="E53" s="8">
        <f>E51</f>
        <v>41.666666666666671</v>
      </c>
      <c r="F53" s="5">
        <f>E53/SUM($E$51:$E$55)</f>
        <v>9.469696969696971E-2</v>
      </c>
      <c r="N53" s="6"/>
      <c r="O53" s="6"/>
      <c r="P53" s="6"/>
      <c r="Q53" s="6"/>
    </row>
    <row r="54" spans="3:18" x14ac:dyDescent="0.2">
      <c r="D54" s="1" t="s">
        <v>82</v>
      </c>
      <c r="E54" s="8">
        <f>E52</f>
        <v>127.77777777777779</v>
      </c>
      <c r="F54" s="5">
        <f>E54/SUM($E$51:$E$55)</f>
        <v>0.29040404040404044</v>
      </c>
      <c r="Q54" s="6"/>
      <c r="R54" s="6"/>
    </row>
    <row r="55" spans="3:18" x14ac:dyDescent="0.2">
      <c r="D55" s="1" t="s">
        <v>83</v>
      </c>
      <c r="E55" s="8">
        <f>E21*SUM(H23:H25)</f>
        <v>101.11111111111111</v>
      </c>
      <c r="F55" s="5">
        <f>E55/SUM($E$51:$E$55)</f>
        <v>0.22979797979797981</v>
      </c>
      <c r="Q55" s="6"/>
    </row>
    <row r="56" spans="3:18" x14ac:dyDescent="0.2">
      <c r="H56" s="6"/>
    </row>
    <row r="57" spans="3:18" x14ac:dyDescent="0.2">
      <c r="D57" s="1" t="s">
        <v>81</v>
      </c>
      <c r="E57" s="27">
        <f>F53+F51</f>
        <v>0.18939393939393942</v>
      </c>
      <c r="H57" s="6"/>
      <c r="Q57" s="6"/>
      <c r="R57" s="6"/>
    </row>
    <row r="58" spans="3:18" x14ac:dyDescent="0.2">
      <c r="D58" s="1" t="s">
        <v>82</v>
      </c>
      <c r="E58" s="27">
        <f>F54+F52</f>
        <v>0.58080808080808088</v>
      </c>
      <c r="H58" s="6"/>
      <c r="Q58" s="10"/>
    </row>
    <row r="59" spans="3:18" x14ac:dyDescent="0.2">
      <c r="D59" s="1" t="s">
        <v>83</v>
      </c>
      <c r="E59" s="27">
        <f>F55</f>
        <v>0.22979797979797981</v>
      </c>
      <c r="H59" s="6"/>
      <c r="R59" s="6"/>
    </row>
    <row r="60" spans="3:18" x14ac:dyDescent="0.2">
      <c r="H60" s="6"/>
      <c r="Q60" s="10"/>
    </row>
    <row r="61" spans="3:18" x14ac:dyDescent="0.2">
      <c r="H61" s="6"/>
    </row>
    <row r="62" spans="3:18" x14ac:dyDescent="0.2">
      <c r="H62" s="6"/>
    </row>
    <row r="63" spans="3:18" x14ac:dyDescent="0.2">
      <c r="H63" s="6"/>
    </row>
    <row r="69" spans="16:19" x14ac:dyDescent="0.2">
      <c r="P69" s="6"/>
      <c r="S69" s="6"/>
    </row>
    <row r="70" spans="16:19" x14ac:dyDescent="0.2">
      <c r="S70" s="6"/>
    </row>
    <row r="71" spans="16:19" x14ac:dyDescent="0.2">
      <c r="S71" s="6"/>
    </row>
  </sheetData>
  <mergeCells count="2">
    <mergeCell ref="A1:B2"/>
    <mergeCell ref="D46:D47"/>
  </mergeCells>
  <phoneticPr fontId="1"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054E0-0AD6-4977-92DC-701FB0265883}">
  <sheetPr codeName="Sheet3"/>
  <dimension ref="A1:Q54"/>
  <sheetViews>
    <sheetView workbookViewId="0">
      <pane xSplit="3" ySplit="8" topLeftCell="D9" activePane="bottomRight" state="frozen"/>
      <selection pane="topRight" activeCell="D1" sqref="D1"/>
      <selection pane="bottomLeft" activeCell="A10" sqref="A10"/>
      <selection pane="bottomRight" activeCell="A18" sqref="A18"/>
    </sheetView>
  </sheetViews>
  <sheetFormatPr defaultRowHeight="14.25" customHeight="1" x14ac:dyDescent="0.2"/>
  <cols>
    <col min="1" max="2" width="9" style="1"/>
    <col min="3" max="3" width="11.75" style="1" customWidth="1"/>
    <col min="4" max="16384" width="9" style="1"/>
  </cols>
  <sheetData>
    <row r="1" spans="1:17" ht="14.25" customHeight="1" x14ac:dyDescent="0.2">
      <c r="A1" s="95" t="s">
        <v>20</v>
      </c>
      <c r="B1" s="96"/>
    </row>
    <row r="2" spans="1:17" ht="14.25" customHeight="1" x14ac:dyDescent="0.2">
      <c r="A2" s="97"/>
      <c r="B2" s="98"/>
    </row>
    <row r="3" spans="1:17" ht="14.25" customHeight="1" x14ac:dyDescent="0.2">
      <c r="C3" s="79" t="s">
        <v>6</v>
      </c>
      <c r="D3" s="2"/>
    </row>
    <row r="4" spans="1:17" ht="14.25" customHeight="1" x14ac:dyDescent="0.2">
      <c r="C4" s="2" t="s">
        <v>7</v>
      </c>
      <c r="D4" s="2"/>
    </row>
    <row r="5" spans="1:17" ht="14.25" customHeight="1" x14ac:dyDescent="0.2">
      <c r="C5" s="79" t="s">
        <v>8</v>
      </c>
    </row>
    <row r="6" spans="1:17" ht="14.25" customHeight="1" x14ac:dyDescent="0.2">
      <c r="C6" s="2" t="s">
        <v>166</v>
      </c>
    </row>
    <row r="7" spans="1:17" ht="14.25" customHeight="1" x14ac:dyDescent="0.2">
      <c r="C7" s="2"/>
    </row>
    <row r="9" spans="1:17" ht="14.25" customHeight="1" thickBot="1" x14ac:dyDescent="0.25">
      <c r="D9" s="76" t="s">
        <v>21</v>
      </c>
      <c r="E9" s="76" t="s">
        <v>32</v>
      </c>
      <c r="F9" s="76" t="s">
        <v>36</v>
      </c>
      <c r="G9" s="75" t="s">
        <v>43</v>
      </c>
      <c r="H9" s="124" t="s">
        <v>38</v>
      </c>
      <c r="I9" s="125"/>
      <c r="J9" s="125"/>
      <c r="K9" s="125"/>
      <c r="L9" s="125"/>
      <c r="M9" s="125"/>
      <c r="N9" s="125"/>
      <c r="O9" s="125"/>
      <c r="P9" s="125"/>
      <c r="Q9" s="126"/>
    </row>
    <row r="10" spans="1:17" ht="14.25" customHeight="1" x14ac:dyDescent="0.2">
      <c r="C10" s="113" t="s">
        <v>22</v>
      </c>
      <c r="D10" s="65" t="s">
        <v>23</v>
      </c>
      <c r="E10" s="65" t="s">
        <v>33</v>
      </c>
      <c r="F10" s="65" t="s">
        <v>37</v>
      </c>
      <c r="G10" s="66" t="s">
        <v>51</v>
      </c>
      <c r="H10" s="121" t="s">
        <v>39</v>
      </c>
      <c r="I10" s="122"/>
      <c r="J10" s="122"/>
      <c r="K10" s="122"/>
      <c r="L10" s="122"/>
      <c r="M10" s="122"/>
      <c r="N10" s="122"/>
      <c r="O10" s="122"/>
      <c r="P10" s="122"/>
      <c r="Q10" s="123"/>
    </row>
    <row r="11" spans="1:17" ht="14.25" customHeight="1" x14ac:dyDescent="0.2">
      <c r="C11" s="114"/>
      <c r="D11" s="1" t="s">
        <v>24</v>
      </c>
      <c r="E11" s="1" t="s">
        <v>33</v>
      </c>
      <c r="F11" s="1" t="s">
        <v>37</v>
      </c>
      <c r="G11" s="12" t="s">
        <v>51</v>
      </c>
      <c r="H11" s="127" t="s">
        <v>40</v>
      </c>
      <c r="I11" s="128"/>
      <c r="J11" s="128"/>
      <c r="K11" s="128"/>
      <c r="L11" s="128"/>
      <c r="M11" s="128"/>
      <c r="N11" s="128"/>
      <c r="O11" s="128"/>
      <c r="P11" s="128"/>
      <c r="Q11" s="129"/>
    </row>
    <row r="12" spans="1:17" ht="14.25" customHeight="1" x14ac:dyDescent="0.2">
      <c r="C12" s="114"/>
      <c r="D12" s="1" t="s">
        <v>25</v>
      </c>
      <c r="E12" s="1" t="s">
        <v>33</v>
      </c>
      <c r="F12" s="1" t="s">
        <v>37</v>
      </c>
      <c r="G12" s="12" t="s">
        <v>51</v>
      </c>
      <c r="H12" s="127" t="s">
        <v>41</v>
      </c>
      <c r="I12" s="128"/>
      <c r="J12" s="128"/>
      <c r="K12" s="128"/>
      <c r="L12" s="128"/>
      <c r="M12" s="128"/>
      <c r="N12" s="128"/>
      <c r="O12" s="128"/>
      <c r="P12" s="128"/>
      <c r="Q12" s="129"/>
    </row>
    <row r="13" spans="1:17" ht="14.25" customHeight="1" x14ac:dyDescent="0.2">
      <c r="C13" s="114"/>
      <c r="D13" s="1" t="s">
        <v>26</v>
      </c>
      <c r="E13" s="1" t="s">
        <v>33</v>
      </c>
      <c r="F13" s="1" t="s">
        <v>37</v>
      </c>
      <c r="G13" s="12" t="s">
        <v>44</v>
      </c>
      <c r="H13" s="127" t="s">
        <v>42</v>
      </c>
      <c r="I13" s="128"/>
      <c r="J13" s="128"/>
      <c r="K13" s="128"/>
      <c r="L13" s="128"/>
      <c r="M13" s="128"/>
      <c r="N13" s="128"/>
      <c r="O13" s="128"/>
      <c r="P13" s="128"/>
      <c r="Q13" s="129"/>
    </row>
    <row r="14" spans="1:17" ht="14.25" customHeight="1" x14ac:dyDescent="0.2">
      <c r="C14" s="114"/>
      <c r="D14" s="1" t="s">
        <v>46</v>
      </c>
      <c r="E14" s="1" t="s">
        <v>33</v>
      </c>
      <c r="F14" s="1" t="s">
        <v>37</v>
      </c>
      <c r="G14" s="12" t="s">
        <v>45</v>
      </c>
      <c r="H14" s="127" t="s">
        <v>47</v>
      </c>
      <c r="I14" s="128"/>
      <c r="J14" s="128"/>
      <c r="K14" s="128"/>
      <c r="L14" s="128"/>
      <c r="M14" s="128"/>
      <c r="N14" s="128"/>
      <c r="O14" s="128"/>
      <c r="P14" s="128"/>
      <c r="Q14" s="129"/>
    </row>
    <row r="15" spans="1:17" ht="14.25" customHeight="1" x14ac:dyDescent="0.2">
      <c r="C15" s="100"/>
      <c r="D15" s="1" t="s">
        <v>9</v>
      </c>
      <c r="E15" s="1" t="s">
        <v>33</v>
      </c>
      <c r="F15" s="1" t="s">
        <v>37</v>
      </c>
      <c r="G15" s="12" t="s">
        <v>48</v>
      </c>
      <c r="H15" s="127" t="s">
        <v>49</v>
      </c>
      <c r="I15" s="128"/>
      <c r="J15" s="128"/>
      <c r="K15" s="128"/>
      <c r="L15" s="128"/>
      <c r="M15" s="128"/>
      <c r="N15" s="128"/>
      <c r="O15" s="128"/>
      <c r="P15" s="128"/>
      <c r="Q15" s="129"/>
    </row>
    <row r="16" spans="1:17" ht="14.25" customHeight="1" x14ac:dyDescent="0.2">
      <c r="C16" s="113" t="s">
        <v>27</v>
      </c>
      <c r="D16" s="1" t="s">
        <v>28</v>
      </c>
      <c r="E16" s="1" t="s">
        <v>34</v>
      </c>
      <c r="F16" s="1" t="s">
        <v>37</v>
      </c>
      <c r="G16" s="12" t="s">
        <v>52</v>
      </c>
      <c r="H16" s="115" t="s">
        <v>50</v>
      </c>
      <c r="I16" s="116"/>
      <c r="J16" s="116"/>
      <c r="K16" s="116"/>
      <c r="L16" s="116"/>
      <c r="M16" s="116"/>
      <c r="N16" s="116"/>
      <c r="O16" s="116"/>
      <c r="P16" s="116"/>
      <c r="Q16" s="117"/>
    </row>
    <row r="17" spans="3:17" ht="14.25" customHeight="1" x14ac:dyDescent="0.2">
      <c r="C17" s="114"/>
      <c r="D17" s="1" t="s">
        <v>29</v>
      </c>
      <c r="E17" s="1" t="s">
        <v>34</v>
      </c>
      <c r="F17" s="1" t="s">
        <v>37</v>
      </c>
      <c r="G17" s="12" t="s">
        <v>52</v>
      </c>
      <c r="H17" s="118"/>
      <c r="I17" s="119"/>
      <c r="J17" s="119"/>
      <c r="K17" s="119"/>
      <c r="L17" s="119"/>
      <c r="M17" s="119"/>
      <c r="N17" s="119"/>
      <c r="O17" s="119"/>
      <c r="P17" s="119"/>
      <c r="Q17" s="120"/>
    </row>
    <row r="18" spans="3:17" ht="14.25" customHeight="1" x14ac:dyDescent="0.2">
      <c r="C18" s="100"/>
      <c r="D18" s="1" t="s">
        <v>30</v>
      </c>
      <c r="E18" s="1" t="s">
        <v>34</v>
      </c>
      <c r="F18" s="1" t="s">
        <v>37</v>
      </c>
      <c r="G18" s="12" t="s">
        <v>52</v>
      </c>
      <c r="H18" s="121"/>
      <c r="I18" s="122"/>
      <c r="J18" s="122"/>
      <c r="K18" s="122"/>
      <c r="L18" s="122"/>
      <c r="M18" s="122"/>
      <c r="N18" s="122"/>
      <c r="O18" s="122"/>
      <c r="P18" s="122"/>
      <c r="Q18" s="123"/>
    </row>
    <row r="19" spans="3:17" ht="14.25" customHeight="1" x14ac:dyDescent="0.2">
      <c r="C19" s="113" t="s">
        <v>31</v>
      </c>
      <c r="D19" s="1" t="s">
        <v>59</v>
      </c>
      <c r="E19" s="1" t="s">
        <v>34</v>
      </c>
      <c r="F19" s="1" t="s">
        <v>37</v>
      </c>
      <c r="G19" s="1" t="s">
        <v>53</v>
      </c>
      <c r="H19" s="115" t="s">
        <v>54</v>
      </c>
      <c r="I19" s="116"/>
      <c r="J19" s="116"/>
      <c r="K19" s="116"/>
      <c r="L19" s="116"/>
      <c r="M19" s="116"/>
      <c r="N19" s="116"/>
      <c r="O19" s="116"/>
      <c r="P19" s="116"/>
      <c r="Q19" s="117"/>
    </row>
    <row r="20" spans="3:17" ht="14.25" customHeight="1" x14ac:dyDescent="0.2">
      <c r="C20" s="114"/>
      <c r="D20" s="1" t="s">
        <v>85</v>
      </c>
      <c r="E20" s="1" t="s">
        <v>34</v>
      </c>
      <c r="F20" s="1" t="s">
        <v>37</v>
      </c>
      <c r="G20" s="1" t="s">
        <v>80</v>
      </c>
      <c r="H20" s="118"/>
      <c r="I20" s="119"/>
      <c r="J20" s="119"/>
      <c r="K20" s="119"/>
      <c r="L20" s="119"/>
      <c r="M20" s="119"/>
      <c r="N20" s="119"/>
      <c r="O20" s="119"/>
      <c r="P20" s="119"/>
      <c r="Q20" s="120"/>
    </row>
    <row r="21" spans="3:17" ht="14.25" customHeight="1" x14ac:dyDescent="0.2">
      <c r="C21" s="100"/>
      <c r="D21" s="1" t="s">
        <v>79</v>
      </c>
      <c r="E21" s="1" t="s">
        <v>34</v>
      </c>
      <c r="F21" s="1" t="s">
        <v>37</v>
      </c>
      <c r="G21" s="1" t="s">
        <v>80</v>
      </c>
      <c r="H21" s="121"/>
      <c r="I21" s="122"/>
      <c r="J21" s="122"/>
      <c r="K21" s="122"/>
      <c r="L21" s="122"/>
      <c r="M21" s="122"/>
      <c r="N21" s="122"/>
      <c r="O21" s="122"/>
      <c r="P21" s="122"/>
      <c r="Q21" s="123"/>
    </row>
    <row r="22" spans="3:17" ht="14.25" customHeight="1" x14ac:dyDescent="0.2">
      <c r="D22" s="15"/>
    </row>
    <row r="23" spans="3:17" ht="14.25" customHeight="1" x14ac:dyDescent="0.2">
      <c r="D23" s="15"/>
    </row>
    <row r="24" spans="3:17" ht="14.25" customHeight="1" x14ac:dyDescent="0.2">
      <c r="C24" s="80" t="s">
        <v>167</v>
      </c>
      <c r="D24" s="2" t="s">
        <v>184</v>
      </c>
    </row>
    <row r="25" spans="3:17" ht="14.25" customHeight="1" x14ac:dyDescent="0.2">
      <c r="D25" s="2" t="s">
        <v>183</v>
      </c>
    </row>
    <row r="26" spans="3:17" ht="14.25" customHeight="1" x14ac:dyDescent="0.2">
      <c r="C26" s="110" t="s">
        <v>186</v>
      </c>
      <c r="D26" s="101" t="s">
        <v>185</v>
      </c>
      <c r="E26" s="102"/>
      <c r="F26" s="102"/>
      <c r="G26" s="102"/>
      <c r="H26" s="102"/>
      <c r="I26" s="102"/>
      <c r="J26" s="102"/>
      <c r="K26" s="102"/>
      <c r="L26" s="102"/>
      <c r="M26" s="102"/>
      <c r="N26" s="102"/>
      <c r="O26" s="102"/>
      <c r="P26" s="102"/>
      <c r="Q26" s="103"/>
    </row>
    <row r="27" spans="3:17" ht="14.25" customHeight="1" x14ac:dyDescent="0.2">
      <c r="C27" s="111"/>
      <c r="D27" s="104"/>
      <c r="E27" s="105"/>
      <c r="F27" s="105"/>
      <c r="G27" s="105"/>
      <c r="H27" s="105"/>
      <c r="I27" s="105"/>
      <c r="J27" s="105"/>
      <c r="K27" s="105"/>
      <c r="L27" s="105"/>
      <c r="M27" s="105"/>
      <c r="N27" s="105"/>
      <c r="O27" s="105"/>
      <c r="P27" s="105"/>
      <c r="Q27" s="106"/>
    </row>
    <row r="28" spans="3:17" ht="14.25" customHeight="1" x14ac:dyDescent="0.2">
      <c r="C28" s="111"/>
      <c r="D28" s="104"/>
      <c r="E28" s="105"/>
      <c r="F28" s="105"/>
      <c r="G28" s="105"/>
      <c r="H28" s="105"/>
      <c r="I28" s="105"/>
      <c r="J28" s="105"/>
      <c r="K28" s="105"/>
      <c r="L28" s="105"/>
      <c r="M28" s="105"/>
      <c r="N28" s="105"/>
      <c r="O28" s="105"/>
      <c r="P28" s="105"/>
      <c r="Q28" s="106"/>
    </row>
    <row r="29" spans="3:17" ht="14.25" customHeight="1" x14ac:dyDescent="0.2">
      <c r="C29" s="111"/>
      <c r="D29" s="104"/>
      <c r="E29" s="105"/>
      <c r="F29" s="105"/>
      <c r="G29" s="105"/>
      <c r="H29" s="105"/>
      <c r="I29" s="105"/>
      <c r="J29" s="105"/>
      <c r="K29" s="105"/>
      <c r="L29" s="105"/>
      <c r="M29" s="105"/>
      <c r="N29" s="105"/>
      <c r="O29" s="105"/>
      <c r="P29" s="105"/>
      <c r="Q29" s="106"/>
    </row>
    <row r="30" spans="3:17" ht="14.25" customHeight="1" x14ac:dyDescent="0.2">
      <c r="C30" s="111"/>
      <c r="D30" s="104"/>
      <c r="E30" s="105"/>
      <c r="F30" s="105"/>
      <c r="G30" s="105"/>
      <c r="H30" s="105"/>
      <c r="I30" s="105"/>
      <c r="J30" s="105"/>
      <c r="K30" s="105"/>
      <c r="L30" s="105"/>
      <c r="M30" s="105"/>
      <c r="N30" s="105"/>
      <c r="O30" s="105"/>
      <c r="P30" s="105"/>
      <c r="Q30" s="106"/>
    </row>
    <row r="31" spans="3:17" ht="14.25" customHeight="1" x14ac:dyDescent="0.2">
      <c r="C31" s="112"/>
      <c r="D31" s="107"/>
      <c r="E31" s="108"/>
      <c r="F31" s="108"/>
      <c r="G31" s="108"/>
      <c r="H31" s="108"/>
      <c r="I31" s="108"/>
      <c r="J31" s="108"/>
      <c r="K31" s="108"/>
      <c r="L31" s="108"/>
      <c r="M31" s="108"/>
      <c r="N31" s="108"/>
      <c r="O31" s="108"/>
      <c r="P31" s="108"/>
      <c r="Q31" s="109"/>
    </row>
    <row r="32" spans="3:17" s="3" customFormat="1" ht="14.25" customHeight="1" x14ac:dyDescent="0.2">
      <c r="C32" s="3" t="s">
        <v>20</v>
      </c>
      <c r="D32" s="2" t="s">
        <v>64</v>
      </c>
      <c r="L32" s="3" t="s">
        <v>13</v>
      </c>
      <c r="M32" s="3" t="s">
        <v>86</v>
      </c>
      <c r="Q32" s="15" t="s">
        <v>35</v>
      </c>
    </row>
    <row r="33" spans="3:13" ht="14.25" customHeight="1" x14ac:dyDescent="0.2">
      <c r="D33" s="3" t="s">
        <v>55</v>
      </c>
      <c r="E33" s="3" t="s">
        <v>180</v>
      </c>
      <c r="L33" s="1" t="s">
        <v>3</v>
      </c>
      <c r="M33" s="7" t="s">
        <v>87</v>
      </c>
    </row>
    <row r="34" spans="3:13" ht="14.25" customHeight="1" x14ac:dyDescent="0.2">
      <c r="D34" s="1" t="s">
        <v>10</v>
      </c>
      <c r="E34" s="7"/>
      <c r="L34" s="1" t="s">
        <v>4</v>
      </c>
      <c r="M34" s="7" t="s">
        <v>88</v>
      </c>
    </row>
    <row r="35" spans="3:13" ht="14.25" customHeight="1" x14ac:dyDescent="0.2">
      <c r="D35" s="1" t="s">
        <v>58</v>
      </c>
      <c r="E35" s="7" t="s">
        <v>56</v>
      </c>
      <c r="L35" s="1" t="s">
        <v>5</v>
      </c>
      <c r="M35" s="7" t="s">
        <v>89</v>
      </c>
    </row>
    <row r="36" spans="3:13" ht="14.25" customHeight="1" x14ac:dyDescent="0.2">
      <c r="D36" s="1" t="s">
        <v>57</v>
      </c>
      <c r="E36" s="7" t="s">
        <v>181</v>
      </c>
      <c r="I36" s="2" t="s">
        <v>172</v>
      </c>
    </row>
    <row r="37" spans="3:13" ht="14.25" customHeight="1" x14ac:dyDescent="0.2">
      <c r="D37" s="1" t="s">
        <v>11</v>
      </c>
      <c r="E37" s="7" t="s">
        <v>60</v>
      </c>
    </row>
    <row r="38" spans="3:13" ht="14.25" customHeight="1" x14ac:dyDescent="0.2">
      <c r="D38" s="3" t="s">
        <v>61</v>
      </c>
      <c r="E38" s="7" t="s">
        <v>62</v>
      </c>
    </row>
    <row r="39" spans="3:13" ht="14.25" customHeight="1" x14ac:dyDescent="0.2">
      <c r="D39" s="3" t="s">
        <v>66</v>
      </c>
      <c r="E39" s="7" t="s">
        <v>63</v>
      </c>
    </row>
    <row r="40" spans="3:13" ht="14.25" customHeight="1" x14ac:dyDescent="0.2">
      <c r="D40" s="3" t="s">
        <v>65</v>
      </c>
      <c r="E40" s="7" t="s">
        <v>67</v>
      </c>
    </row>
    <row r="42" spans="3:13" ht="14.25" customHeight="1" x14ac:dyDescent="0.2">
      <c r="C42" s="3" t="s">
        <v>70</v>
      </c>
      <c r="D42" s="1" t="s">
        <v>84</v>
      </c>
      <c r="E42" s="1">
        <v>25</v>
      </c>
    </row>
    <row r="43" spans="3:13" ht="14.25" customHeight="1" thickBot="1" x14ac:dyDescent="0.25">
      <c r="D43" s="76" t="s">
        <v>21</v>
      </c>
      <c r="E43" s="76" t="s">
        <v>72</v>
      </c>
    </row>
    <row r="44" spans="3:13" ht="14.25" customHeight="1" x14ac:dyDescent="0.2">
      <c r="D44" s="65" t="s">
        <v>23</v>
      </c>
      <c r="E44" s="65">
        <f>E46*E42</f>
        <v>25</v>
      </c>
    </row>
    <row r="45" spans="3:13" ht="14.25" customHeight="1" x14ac:dyDescent="0.2">
      <c r="D45" s="1" t="s">
        <v>24</v>
      </c>
      <c r="E45" s="24">
        <f>1/100000</f>
        <v>1.0000000000000001E-5</v>
      </c>
      <c r="F45" s="7" t="s">
        <v>168</v>
      </c>
    </row>
    <row r="46" spans="3:13" ht="14.25" customHeight="1" x14ac:dyDescent="0.2">
      <c r="D46" s="1" t="s">
        <v>25</v>
      </c>
      <c r="E46" s="16">
        <v>1</v>
      </c>
    </row>
    <row r="47" spans="3:13" ht="14.25" customHeight="1" x14ac:dyDescent="0.2">
      <c r="D47" s="1" t="s">
        <v>26</v>
      </c>
      <c r="E47" s="4">
        <f>0.5*0.01</f>
        <v>5.0000000000000001E-3</v>
      </c>
      <c r="F47" s="7" t="s">
        <v>169</v>
      </c>
    </row>
    <row r="48" spans="3:13" ht="14.25" customHeight="1" x14ac:dyDescent="0.2">
      <c r="D48" s="1" t="s">
        <v>71</v>
      </c>
      <c r="E48" s="5">
        <f>0.75*0.01</f>
        <v>7.4999999999999997E-3</v>
      </c>
      <c r="F48" s="7" t="s">
        <v>169</v>
      </c>
    </row>
    <row r="49" spans="4:6" ht="14.25" customHeight="1" x14ac:dyDescent="0.2">
      <c r="E49" s="5"/>
      <c r="F49" s="7"/>
    </row>
    <row r="50" spans="4:6" ht="14.25" customHeight="1" x14ac:dyDescent="0.2">
      <c r="E50" s="5"/>
      <c r="F50" s="7"/>
    </row>
    <row r="51" spans="4:6" ht="14.25" customHeight="1" x14ac:dyDescent="0.2">
      <c r="D51" s="2" t="s">
        <v>171</v>
      </c>
    </row>
    <row r="52" spans="4:6" ht="14.25" customHeight="1" x14ac:dyDescent="0.2">
      <c r="D52" s="7" t="s">
        <v>178</v>
      </c>
    </row>
    <row r="53" spans="4:6" ht="14.25" customHeight="1" x14ac:dyDescent="0.2">
      <c r="D53" s="7" t="s">
        <v>179</v>
      </c>
    </row>
    <row r="54" spans="4:6" ht="14.25" customHeight="1" x14ac:dyDescent="0.2">
      <c r="D54" s="7" t="s">
        <v>170</v>
      </c>
    </row>
  </sheetData>
  <mergeCells count="15">
    <mergeCell ref="H13:Q13"/>
    <mergeCell ref="H14:Q14"/>
    <mergeCell ref="H15:Q15"/>
    <mergeCell ref="C10:C15"/>
    <mergeCell ref="C16:C18"/>
    <mergeCell ref="A1:B2"/>
    <mergeCell ref="H9:Q9"/>
    <mergeCell ref="H10:Q10"/>
    <mergeCell ref="H11:Q11"/>
    <mergeCell ref="H12:Q12"/>
    <mergeCell ref="D26:Q31"/>
    <mergeCell ref="C26:C31"/>
    <mergeCell ref="C19:C21"/>
    <mergeCell ref="H19:Q21"/>
    <mergeCell ref="H16:Q18"/>
  </mergeCells>
  <phoneticPr fontId="1" type="noConversion"/>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C0A73-392F-432F-A623-56EEF77FAB61}">
  <sheetPr codeName="Sheet5"/>
  <dimension ref="A1:AM32"/>
  <sheetViews>
    <sheetView workbookViewId="0">
      <pane xSplit="3" ySplit="8" topLeftCell="D9" activePane="bottomRight" state="frozen"/>
      <selection pane="topRight" activeCell="D1" sqref="D1"/>
      <selection pane="bottomLeft" activeCell="A10" sqref="A10"/>
      <selection pane="bottomRight" activeCell="U20" sqref="U20:V32"/>
    </sheetView>
  </sheetViews>
  <sheetFormatPr defaultRowHeight="14.25" customHeight="1" x14ac:dyDescent="0.2"/>
  <cols>
    <col min="1" max="16384" width="9" style="1"/>
  </cols>
  <sheetData>
    <row r="1" spans="1:30" ht="14.25" customHeight="1" x14ac:dyDescent="0.2">
      <c r="A1" s="95" t="s">
        <v>216</v>
      </c>
      <c r="B1" s="96"/>
      <c r="AD1" s="9"/>
    </row>
    <row r="2" spans="1:30" ht="14.25" customHeight="1" x14ac:dyDescent="0.2">
      <c r="A2" s="97"/>
      <c r="B2" s="98"/>
      <c r="D2" s="2" t="s">
        <v>202</v>
      </c>
      <c r="AD2" s="9"/>
    </row>
    <row r="3" spans="1:30" ht="14.25" customHeight="1" x14ac:dyDescent="0.2">
      <c r="C3" s="3" t="s">
        <v>75</v>
      </c>
      <c r="D3" s="2" t="s">
        <v>203</v>
      </c>
      <c r="M3" s="21">
        <f>SUMPRODUCT($E$5:$E$12,M5:M12)</f>
        <v>0.49666666666666676</v>
      </c>
      <c r="N3" s="21">
        <f>SUMPRODUCT($E$5:$E$12,N5:N12)</f>
        <v>1</v>
      </c>
      <c r="O3" s="6">
        <f>N3/M3</f>
        <v>2.0134228187919461</v>
      </c>
      <c r="AD3" s="9"/>
    </row>
    <row r="4" spans="1:30" s="3" customFormat="1" ht="14.25" customHeight="1" x14ac:dyDescent="0.2">
      <c r="D4" s="3" t="s">
        <v>55</v>
      </c>
      <c r="E4" s="3" t="s">
        <v>210</v>
      </c>
      <c r="F4" s="3" t="s">
        <v>211</v>
      </c>
      <c r="G4" s="1"/>
      <c r="H4" s="69"/>
      <c r="I4" s="13"/>
      <c r="J4" s="2"/>
      <c r="K4" s="1"/>
      <c r="L4" s="1"/>
      <c r="M4" s="1" t="s">
        <v>221</v>
      </c>
      <c r="N4" s="1" t="s">
        <v>222</v>
      </c>
      <c r="O4" s="2"/>
      <c r="W4" s="1"/>
      <c r="X4" s="1"/>
      <c r="AB4" s="1"/>
      <c r="AC4" s="1"/>
      <c r="AD4" s="9"/>
    </row>
    <row r="5" spans="1:30" ht="14.25" customHeight="1" x14ac:dyDescent="0.2">
      <c r="D5" s="1" t="s">
        <v>77</v>
      </c>
      <c r="E5" s="92">
        <v>0.25</v>
      </c>
      <c r="F5" s="21"/>
      <c r="G5" s="94" t="s">
        <v>212</v>
      </c>
      <c r="H5" s="70"/>
      <c r="I5" s="71"/>
      <c r="J5" s="17"/>
      <c r="K5" s="17"/>
      <c r="L5" s="17"/>
      <c r="M5" s="28">
        <v>1</v>
      </c>
      <c r="N5" s="28">
        <v>1</v>
      </c>
      <c r="AD5" s="9"/>
    </row>
    <row r="6" spans="1:30" ht="14.25" customHeight="1" x14ac:dyDescent="0.2">
      <c r="D6" s="1" t="s">
        <v>108</v>
      </c>
      <c r="E6" s="93">
        <f>(1-$E$5)*F6/SUM($F$6:$F$12)</f>
        <v>0.25</v>
      </c>
      <c r="F6" s="91">
        <v>0.75</v>
      </c>
      <c r="G6" s="94" t="s">
        <v>213</v>
      </c>
      <c r="H6" s="70"/>
      <c r="I6" s="72"/>
      <c r="J6" s="27"/>
      <c r="K6" s="27"/>
      <c r="M6" s="1">
        <v>0.1</v>
      </c>
      <c r="N6" s="1">
        <v>1</v>
      </c>
      <c r="O6" s="94" t="s">
        <v>223</v>
      </c>
      <c r="AD6" s="9"/>
    </row>
    <row r="7" spans="1:30" ht="14.25" customHeight="1" x14ac:dyDescent="0.2">
      <c r="D7" s="1" t="s">
        <v>204</v>
      </c>
      <c r="E7" s="93">
        <f t="shared" ref="E7:E12" si="0">(1-$E$5)*F7/SUM($F$6:$F$12)</f>
        <v>0.16666666666666666</v>
      </c>
      <c r="F7" s="91">
        <v>0.5</v>
      </c>
      <c r="G7" s="94" t="s">
        <v>214</v>
      </c>
      <c r="H7" s="70"/>
      <c r="I7" s="72"/>
      <c r="J7" s="27"/>
      <c r="K7" s="27"/>
      <c r="M7" s="1">
        <v>0.9</v>
      </c>
      <c r="N7" s="1">
        <v>1</v>
      </c>
      <c r="O7" s="94" t="s">
        <v>226</v>
      </c>
      <c r="AD7" s="9"/>
    </row>
    <row r="8" spans="1:30" ht="14.25" customHeight="1" x14ac:dyDescent="0.2">
      <c r="D8" s="1" t="s">
        <v>205</v>
      </c>
      <c r="E8" s="93">
        <f t="shared" si="0"/>
        <v>9.9999999999999992E-2</v>
      </c>
      <c r="F8" s="91">
        <v>0.3</v>
      </c>
      <c r="G8" s="94" t="s">
        <v>215</v>
      </c>
      <c r="H8" s="13"/>
      <c r="I8" s="73"/>
      <c r="J8" s="27"/>
      <c r="K8" s="27"/>
      <c r="M8" s="1">
        <v>0.1</v>
      </c>
      <c r="N8" s="1">
        <v>1</v>
      </c>
      <c r="O8" s="94" t="s">
        <v>224</v>
      </c>
      <c r="AD8" s="9"/>
    </row>
    <row r="9" spans="1:30" ht="14.25" customHeight="1" x14ac:dyDescent="0.2">
      <c r="D9" s="1" t="s">
        <v>206</v>
      </c>
      <c r="E9" s="93">
        <f t="shared" si="0"/>
        <v>8.3333333333333329E-2</v>
      </c>
      <c r="F9" s="91">
        <v>0.25</v>
      </c>
      <c r="G9" s="94" t="s">
        <v>215</v>
      </c>
      <c r="H9" s="13"/>
      <c r="I9" s="73"/>
      <c r="J9" s="27"/>
      <c r="K9" s="27"/>
      <c r="M9" s="1">
        <v>0.5</v>
      </c>
      <c r="N9" s="1">
        <v>1</v>
      </c>
      <c r="O9" s="94" t="s">
        <v>227</v>
      </c>
      <c r="AD9" s="9"/>
    </row>
    <row r="10" spans="1:30" ht="14.25" customHeight="1" x14ac:dyDescent="0.2">
      <c r="D10" s="1" t="s">
        <v>207</v>
      </c>
      <c r="E10" s="93">
        <f t="shared" si="0"/>
        <v>3.333333333333334E-2</v>
      </c>
      <c r="F10" s="91">
        <v>0.1</v>
      </c>
      <c r="G10" s="94" t="s">
        <v>215</v>
      </c>
      <c r="H10" s="13"/>
      <c r="I10" s="73"/>
      <c r="J10" s="27"/>
      <c r="K10" s="27"/>
      <c r="M10" s="1">
        <v>0.1</v>
      </c>
      <c r="N10" s="1">
        <v>1</v>
      </c>
      <c r="O10" s="94" t="s">
        <v>225</v>
      </c>
      <c r="AD10" s="9"/>
    </row>
    <row r="11" spans="1:30" ht="14.25" customHeight="1" x14ac:dyDescent="0.2">
      <c r="D11" s="1" t="s">
        <v>208</v>
      </c>
      <c r="E11" s="93">
        <f t="shared" si="0"/>
        <v>3.333333333333334E-2</v>
      </c>
      <c r="F11" s="91">
        <v>0.1</v>
      </c>
      <c r="G11" s="94" t="s">
        <v>215</v>
      </c>
      <c r="H11" s="4"/>
      <c r="I11" s="73"/>
      <c r="J11" s="27"/>
      <c r="K11" s="27"/>
      <c r="M11" s="1">
        <v>0.5</v>
      </c>
      <c r="N11" s="1">
        <v>1</v>
      </c>
      <c r="O11" s="94" t="s">
        <v>228</v>
      </c>
      <c r="AD11" s="9"/>
    </row>
    <row r="12" spans="1:30" ht="14.25" customHeight="1" x14ac:dyDescent="0.2">
      <c r="D12" s="1" t="s">
        <v>209</v>
      </c>
      <c r="E12" s="93">
        <f t="shared" si="0"/>
        <v>8.3333333333333329E-2</v>
      </c>
      <c r="F12" s="91">
        <v>0.25</v>
      </c>
      <c r="G12" s="94" t="s">
        <v>215</v>
      </c>
      <c r="H12" s="13"/>
      <c r="I12" s="73"/>
      <c r="J12" s="27"/>
      <c r="K12" s="27"/>
      <c r="L12" s="21"/>
      <c r="M12" s="1">
        <v>0</v>
      </c>
      <c r="N12" s="1">
        <v>1</v>
      </c>
      <c r="O12" s="94" t="s">
        <v>225</v>
      </c>
      <c r="V12" s="17"/>
      <c r="W12" s="17"/>
      <c r="AD12" s="9"/>
    </row>
    <row r="13" spans="1:30" ht="14.25" customHeight="1" x14ac:dyDescent="0.2">
      <c r="F13" s="21"/>
      <c r="G13" s="4"/>
      <c r="H13" s="13"/>
      <c r="I13" s="73"/>
      <c r="J13" s="27"/>
      <c r="K13" s="27"/>
      <c r="L13" s="21"/>
      <c r="M13" s="4"/>
      <c r="O13" s="6"/>
      <c r="V13" s="18"/>
      <c r="W13" s="18"/>
      <c r="X13" s="23"/>
      <c r="Y13" s="23"/>
      <c r="AD13" s="9"/>
    </row>
    <row r="14" spans="1:30" ht="14.25" customHeight="1" x14ac:dyDescent="0.2">
      <c r="F14" s="21"/>
      <c r="G14" s="4"/>
      <c r="H14" s="13"/>
      <c r="I14" s="73"/>
      <c r="J14" s="27"/>
      <c r="K14" s="27"/>
      <c r="L14" s="21"/>
      <c r="M14" s="4"/>
      <c r="O14" s="6"/>
      <c r="R14" s="17"/>
      <c r="S14" s="17"/>
      <c r="T14" s="17"/>
      <c r="V14" s="18"/>
      <c r="W14" s="18"/>
      <c r="X14" s="23"/>
      <c r="Y14" s="23"/>
      <c r="AD14" s="9"/>
    </row>
    <row r="15" spans="1:30" ht="14.25" customHeight="1" x14ac:dyDescent="0.2">
      <c r="C15" s="3" t="s">
        <v>217</v>
      </c>
      <c r="F15" s="21"/>
      <c r="G15" s="4"/>
      <c r="H15" s="13"/>
      <c r="I15" s="73"/>
      <c r="J15" s="27"/>
      <c r="K15" s="27"/>
      <c r="L15" s="21"/>
      <c r="M15" s="4"/>
      <c r="O15" s="6"/>
      <c r="Q15" s="10"/>
      <c r="R15" s="28"/>
      <c r="S15" s="17"/>
      <c r="T15" s="17"/>
      <c r="V15" s="18"/>
      <c r="W15" s="18"/>
      <c r="X15" s="23"/>
      <c r="Y15" s="23"/>
      <c r="AD15" s="9"/>
    </row>
    <row r="16" spans="1:30" ht="14.25" customHeight="1" x14ac:dyDescent="0.2">
      <c r="D16" s="3" t="s">
        <v>55</v>
      </c>
      <c r="E16" s="3" t="s">
        <v>218</v>
      </c>
      <c r="F16" s="2" t="s">
        <v>219</v>
      </c>
      <c r="G16" s="4"/>
      <c r="H16" s="13"/>
      <c r="I16" s="73"/>
      <c r="J16" s="27"/>
      <c r="K16" s="27"/>
      <c r="M16" s="6"/>
      <c r="O16" s="6"/>
      <c r="R16" s="18"/>
      <c r="AD16" s="9"/>
    </row>
    <row r="17" spans="3:39" ht="14.25" customHeight="1" x14ac:dyDescent="0.2">
      <c r="D17" s="1" t="s">
        <v>77</v>
      </c>
      <c r="E17" s="1">
        <v>90</v>
      </c>
      <c r="F17" s="24">
        <f>E17/10</f>
        <v>9</v>
      </c>
      <c r="G17" s="4"/>
      <c r="H17" s="13"/>
      <c r="I17" s="73"/>
      <c r="J17" s="27"/>
      <c r="K17" s="27"/>
      <c r="N17" s="18"/>
      <c r="O17" s="6"/>
      <c r="AD17" s="9"/>
    </row>
    <row r="18" spans="3:39" ht="14.25" customHeight="1" x14ac:dyDescent="0.2">
      <c r="D18" s="1" t="s">
        <v>108</v>
      </c>
      <c r="E18" s="1">
        <v>300</v>
      </c>
      <c r="F18" s="24">
        <f>E18/10</f>
        <v>30</v>
      </c>
      <c r="G18" s="94" t="s">
        <v>220</v>
      </c>
      <c r="H18" s="13"/>
      <c r="I18" s="73"/>
      <c r="J18" s="27"/>
      <c r="K18" s="27"/>
      <c r="N18" s="18"/>
      <c r="O18" s="6"/>
      <c r="AD18" s="9"/>
    </row>
    <row r="19" spans="3:39" ht="14.25" customHeight="1" x14ac:dyDescent="0.2">
      <c r="D19" s="1" t="s">
        <v>204</v>
      </c>
      <c r="E19" s="1">
        <v>150</v>
      </c>
      <c r="F19" s="24">
        <f>E19/10</f>
        <v>15</v>
      </c>
      <c r="G19" s="94" t="s">
        <v>229</v>
      </c>
      <c r="N19" s="18"/>
      <c r="AD19" s="9"/>
    </row>
    <row r="20" spans="3:39" ht="14.25" customHeight="1" x14ac:dyDescent="0.2">
      <c r="D20" s="1" t="s">
        <v>205</v>
      </c>
      <c r="E20" s="1">
        <v>150</v>
      </c>
      <c r="F20" s="1">
        <f>E20/30</f>
        <v>5</v>
      </c>
      <c r="G20" s="94" t="s">
        <v>230</v>
      </c>
      <c r="N20" s="18"/>
      <c r="P20" s="23"/>
      <c r="AD20" s="9"/>
    </row>
    <row r="21" spans="3:39" ht="14.25" customHeight="1" x14ac:dyDescent="0.2">
      <c r="D21" s="1" t="s">
        <v>206</v>
      </c>
      <c r="E21" s="2"/>
      <c r="G21" s="94" t="s">
        <v>231</v>
      </c>
      <c r="N21" s="18"/>
      <c r="AD21" s="9"/>
    </row>
    <row r="22" spans="3:39" ht="14.25" customHeight="1" x14ac:dyDescent="0.2">
      <c r="D22" s="1" t="s">
        <v>207</v>
      </c>
      <c r="E22" s="1">
        <f>F18*60</f>
        <v>1800</v>
      </c>
      <c r="G22" s="94" t="s">
        <v>232</v>
      </c>
      <c r="K22" s="2"/>
      <c r="AD22" s="9"/>
    </row>
    <row r="23" spans="3:39" ht="14.25" customHeight="1" x14ac:dyDescent="0.2">
      <c r="C23" s="3"/>
      <c r="D23" s="1" t="s">
        <v>208</v>
      </c>
      <c r="E23" s="2"/>
      <c r="G23" s="94" t="s">
        <v>233</v>
      </c>
      <c r="R23" s="3"/>
      <c r="AD23" s="4"/>
    </row>
    <row r="24" spans="3:39" ht="14.25" customHeight="1" x14ac:dyDescent="0.2">
      <c r="D24" s="1" t="s">
        <v>209</v>
      </c>
      <c r="G24" s="94" t="s">
        <v>234</v>
      </c>
      <c r="M24" s="6"/>
      <c r="N24" s="6"/>
      <c r="U24" s="6"/>
      <c r="V24" s="6"/>
      <c r="AK24" s="9"/>
      <c r="AL24" s="9"/>
      <c r="AM24" s="9"/>
    </row>
    <row r="25" spans="3:39" ht="14.25" customHeight="1" x14ac:dyDescent="0.2">
      <c r="M25" s="6"/>
      <c r="N25" s="6"/>
    </row>
    <row r="27" spans="3:39" ht="14.25" customHeight="1" x14ac:dyDescent="0.2">
      <c r="M27" s="8"/>
      <c r="N27" s="8"/>
    </row>
    <row r="31" spans="3:39" ht="14.25" customHeight="1" x14ac:dyDescent="0.2">
      <c r="E31" s="21"/>
    </row>
    <row r="32" spans="3:39" ht="14.25" customHeight="1" x14ac:dyDescent="0.2">
      <c r="E32" s="17"/>
    </row>
  </sheetData>
  <mergeCells count="1">
    <mergeCell ref="A1:B2"/>
  </mergeCells>
  <phoneticPr fontId="1"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84DDA-0919-4F88-A7F9-D77BA1363D33}">
  <sheetPr codeName="Sheet4"/>
  <dimension ref="A1:V47"/>
  <sheetViews>
    <sheetView tabSelected="1" topLeftCell="A13" workbookViewId="0">
      <selection activeCell="L39" sqref="L39"/>
    </sheetView>
  </sheetViews>
  <sheetFormatPr defaultRowHeight="14.25" customHeight="1" x14ac:dyDescent="0.2"/>
  <cols>
    <col min="1" max="16384" width="9" style="1"/>
  </cols>
  <sheetData>
    <row r="1" spans="1:19" ht="14.25" customHeight="1" x14ac:dyDescent="0.2">
      <c r="A1" s="95" t="s">
        <v>235</v>
      </c>
      <c r="B1" s="96"/>
    </row>
    <row r="2" spans="1:19" ht="14.25" customHeight="1" x14ac:dyDescent="0.2">
      <c r="A2" s="97"/>
      <c r="B2" s="98"/>
    </row>
    <row r="3" spans="1:19" ht="14.25" customHeight="1" x14ac:dyDescent="0.2">
      <c r="C3" s="3" t="s">
        <v>236</v>
      </c>
      <c r="D3" s="2" t="s">
        <v>237</v>
      </c>
      <c r="I3" s="2" t="s">
        <v>244</v>
      </c>
    </row>
    <row r="4" spans="1:19" ht="14.25" customHeight="1" x14ac:dyDescent="0.2">
      <c r="D4" s="1" t="s">
        <v>218</v>
      </c>
      <c r="E4" s="1">
        <f>150</f>
        <v>150</v>
      </c>
      <c r="F4" s="1">
        <f>E4*24*60/5</f>
        <v>43200</v>
      </c>
      <c r="J4" s="2" t="s">
        <v>242</v>
      </c>
    </row>
    <row r="5" spans="1:19" ht="14.25" customHeight="1" x14ac:dyDescent="0.2">
      <c r="D5" s="1" t="s">
        <v>240</v>
      </c>
      <c r="E5" s="1">
        <v>1</v>
      </c>
      <c r="J5" s="2" t="s">
        <v>243</v>
      </c>
    </row>
    <row r="6" spans="1:19" ht="14.25" customHeight="1" x14ac:dyDescent="0.2">
      <c r="D6" s="1" t="s">
        <v>241</v>
      </c>
      <c r="E6" s="25">
        <f>E5*E4*24*3600</f>
        <v>12960000</v>
      </c>
      <c r="F6" s="25"/>
      <c r="J6" s="2" t="s">
        <v>245</v>
      </c>
    </row>
    <row r="7" spans="1:19" ht="14.25" customHeight="1" x14ac:dyDescent="0.2">
      <c r="J7" s="2" t="s">
        <v>246</v>
      </c>
    </row>
    <row r="8" spans="1:19" ht="14.25" customHeight="1" x14ac:dyDescent="0.2">
      <c r="J8" s="2" t="s">
        <v>247</v>
      </c>
    </row>
    <row r="10" spans="1:19" ht="14.25" customHeight="1" x14ac:dyDescent="0.2">
      <c r="J10" s="2" t="s">
        <v>248</v>
      </c>
    </row>
    <row r="11" spans="1:19" ht="14.25" customHeight="1" x14ac:dyDescent="0.2">
      <c r="K11" s="2" t="s">
        <v>249</v>
      </c>
    </row>
    <row r="12" spans="1:19" ht="14.25" customHeight="1" x14ac:dyDescent="0.2">
      <c r="K12" s="2" t="s">
        <v>250</v>
      </c>
    </row>
    <row r="13" spans="1:19" ht="14.25" customHeight="1" x14ac:dyDescent="0.2">
      <c r="K13" s="2" t="s">
        <v>251</v>
      </c>
    </row>
    <row r="14" spans="1:19" ht="14.25" customHeight="1" x14ac:dyDescent="0.2">
      <c r="D14" s="1" t="s">
        <v>238</v>
      </c>
      <c r="E14" s="1" t="s">
        <v>239</v>
      </c>
    </row>
    <row r="16" spans="1:19" ht="14.25" customHeight="1" x14ac:dyDescent="0.2">
      <c r="I16" s="1">
        <v>1</v>
      </c>
      <c r="J16" s="6">
        <v>1</v>
      </c>
      <c r="K16" s="1">
        <v>1.05</v>
      </c>
      <c r="L16" s="6">
        <v>1</v>
      </c>
      <c r="M16" s="1">
        <v>1.1000000000000001</v>
      </c>
      <c r="N16" s="4">
        <f>J16/L16</f>
        <v>1</v>
      </c>
      <c r="Q16" s="1">
        <v>500</v>
      </c>
      <c r="R16" s="1">
        <v>27</v>
      </c>
      <c r="S16" s="1">
        <f>Q16/R16</f>
        <v>18.518518518518519</v>
      </c>
    </row>
    <row r="17" spans="9:22" ht="14.25" customHeight="1" x14ac:dyDescent="0.2">
      <c r="I17" s="1">
        <v>2</v>
      </c>
      <c r="J17" s="6">
        <f>J16*K17</f>
        <v>1.05</v>
      </c>
      <c r="K17" s="1">
        <v>1.05</v>
      </c>
      <c r="L17" s="6">
        <f>L16*M17</f>
        <v>1.1000000000000001</v>
      </c>
      <c r="M17" s="1">
        <v>1.1000000000000001</v>
      </c>
      <c r="N17" s="4">
        <f t="shared" ref="N17:N35" si="0">J17/L17</f>
        <v>0.95454545454545447</v>
      </c>
      <c r="Q17" s="1">
        <v>3189</v>
      </c>
      <c r="R17" s="1">
        <v>35</v>
      </c>
      <c r="S17" s="1">
        <f>Q17/R17</f>
        <v>91.114285714285714</v>
      </c>
      <c r="T17" s="1">
        <f>S17/(5*60)</f>
        <v>0.30371428571428571</v>
      </c>
    </row>
    <row r="18" spans="9:22" ht="14.25" customHeight="1" x14ac:dyDescent="0.2">
      <c r="I18" s="1">
        <v>3</v>
      </c>
      <c r="J18" s="6">
        <f t="shared" ref="J18:L35" si="1">J17*K18</f>
        <v>1.1025</v>
      </c>
      <c r="K18" s="1">
        <v>1.05</v>
      </c>
      <c r="L18" s="6">
        <f t="shared" si="1"/>
        <v>1.2100000000000002</v>
      </c>
      <c r="M18" s="1">
        <v>1.1000000000000001</v>
      </c>
      <c r="N18" s="4">
        <f t="shared" si="0"/>
        <v>0.91115702479338834</v>
      </c>
      <c r="Q18" s="1">
        <v>1131</v>
      </c>
      <c r="R18" s="1">
        <v>17</v>
      </c>
      <c r="S18" s="1">
        <f>Q18/R18</f>
        <v>66.529411764705884</v>
      </c>
    </row>
    <row r="19" spans="9:22" ht="14.25" customHeight="1" x14ac:dyDescent="0.2">
      <c r="I19" s="1">
        <v>4</v>
      </c>
      <c r="J19" s="6">
        <f t="shared" si="1"/>
        <v>1.1576250000000001</v>
      </c>
      <c r="K19" s="1">
        <v>1.05</v>
      </c>
      <c r="L19" s="6">
        <f t="shared" si="1"/>
        <v>1.3310000000000004</v>
      </c>
      <c r="M19" s="1">
        <v>1.1000000000000001</v>
      </c>
      <c r="N19" s="4">
        <f t="shared" si="0"/>
        <v>0.86974079639368873</v>
      </c>
    </row>
    <row r="20" spans="9:22" ht="14.25" customHeight="1" x14ac:dyDescent="0.2">
      <c r="I20" s="1">
        <v>5</v>
      </c>
      <c r="J20" s="6">
        <f t="shared" si="1"/>
        <v>1.2155062500000002</v>
      </c>
      <c r="K20" s="1">
        <v>1.05</v>
      </c>
      <c r="L20" s="6">
        <f t="shared" si="1"/>
        <v>1.4641000000000006</v>
      </c>
      <c r="M20" s="1">
        <v>1.1000000000000001</v>
      </c>
      <c r="N20" s="4">
        <f t="shared" si="0"/>
        <v>0.83020712383033923</v>
      </c>
    </row>
    <row r="21" spans="9:22" ht="14.25" customHeight="1" x14ac:dyDescent="0.2">
      <c r="I21" s="1">
        <v>6</v>
      </c>
      <c r="J21" s="6">
        <f t="shared" si="1"/>
        <v>1.2762815625000004</v>
      </c>
      <c r="K21" s="1">
        <v>1.05</v>
      </c>
      <c r="L21" s="6">
        <f t="shared" si="1"/>
        <v>1.6105100000000008</v>
      </c>
      <c r="M21" s="1">
        <v>1.1000000000000001</v>
      </c>
      <c r="N21" s="4">
        <f t="shared" si="0"/>
        <v>0.79247043638350567</v>
      </c>
    </row>
    <row r="22" spans="9:22" ht="14.25" customHeight="1" x14ac:dyDescent="0.2">
      <c r="I22" s="1">
        <v>7</v>
      </c>
      <c r="J22" s="6">
        <f t="shared" si="1"/>
        <v>1.3400956406250004</v>
      </c>
      <c r="K22" s="1">
        <v>1.05</v>
      </c>
      <c r="L22" s="6">
        <f t="shared" si="1"/>
        <v>1.7715610000000011</v>
      </c>
      <c r="M22" s="1">
        <v>1.1000000000000001</v>
      </c>
      <c r="N22" s="4">
        <f t="shared" si="0"/>
        <v>0.75644905291152809</v>
      </c>
      <c r="R22" s="1">
        <v>5626</v>
      </c>
      <c r="S22" s="1">
        <v>220000</v>
      </c>
      <c r="V22" s="1">
        <f>S22/R22</f>
        <v>39.104159260575898</v>
      </c>
    </row>
    <row r="23" spans="9:22" ht="14.25" customHeight="1" x14ac:dyDescent="0.2">
      <c r="I23" s="1">
        <v>8</v>
      </c>
      <c r="J23" s="6">
        <f t="shared" si="1"/>
        <v>1.4071004226562505</v>
      </c>
      <c r="K23" s="1">
        <v>1.05</v>
      </c>
      <c r="L23" s="6">
        <f t="shared" si="1"/>
        <v>1.9487171000000014</v>
      </c>
      <c r="M23" s="1">
        <v>1.1000000000000001</v>
      </c>
      <c r="N23" s="4">
        <f t="shared" si="0"/>
        <v>0.72206500505191307</v>
      </c>
      <c r="R23" s="1">
        <v>2262</v>
      </c>
      <c r="S23" s="1">
        <v>18</v>
      </c>
      <c r="T23" s="1">
        <f>S23*3</f>
        <v>54</v>
      </c>
      <c r="V23" s="1">
        <f>R23/T23</f>
        <v>41.888888888888886</v>
      </c>
    </row>
    <row r="24" spans="9:22" ht="14.25" customHeight="1" x14ac:dyDescent="0.2">
      <c r="I24" s="1">
        <v>9</v>
      </c>
      <c r="J24" s="6">
        <f t="shared" si="1"/>
        <v>1.477455443789063</v>
      </c>
      <c r="K24" s="1">
        <v>1.05</v>
      </c>
      <c r="L24" s="6">
        <f t="shared" si="1"/>
        <v>2.1435888100000016</v>
      </c>
      <c r="M24" s="1">
        <v>1.1000000000000001</v>
      </c>
      <c r="N24" s="4">
        <f t="shared" si="0"/>
        <v>0.68924386845864438</v>
      </c>
      <c r="R24" s="1">
        <v>312</v>
      </c>
      <c r="S24" s="1">
        <v>9</v>
      </c>
      <c r="T24" s="1">
        <f>S24*3</f>
        <v>27</v>
      </c>
      <c r="V24" s="1">
        <f>R24/T24</f>
        <v>11.555555555555555</v>
      </c>
    </row>
    <row r="25" spans="9:22" ht="14.25" customHeight="1" x14ac:dyDescent="0.2">
      <c r="I25" s="1">
        <v>10</v>
      </c>
      <c r="J25" s="6">
        <f t="shared" si="1"/>
        <v>1.5513282159785162</v>
      </c>
      <c r="K25" s="1">
        <v>1.05</v>
      </c>
      <c r="L25" s="6">
        <f t="shared" si="1"/>
        <v>2.3579476910000019</v>
      </c>
      <c r="M25" s="1">
        <v>1.1000000000000001</v>
      </c>
      <c r="N25" s="4">
        <f t="shared" si="0"/>
        <v>0.65791460171052407</v>
      </c>
    </row>
    <row r="26" spans="9:22" ht="14.25" customHeight="1" x14ac:dyDescent="0.2">
      <c r="I26" s="1">
        <v>11</v>
      </c>
      <c r="J26" s="6">
        <f t="shared" si="1"/>
        <v>1.628894626777442</v>
      </c>
      <c r="K26" s="1">
        <v>1.05</v>
      </c>
      <c r="L26" s="6">
        <f t="shared" si="1"/>
        <v>2.3579476910000019</v>
      </c>
      <c r="M26" s="1">
        <v>1</v>
      </c>
      <c r="N26" s="4">
        <f t="shared" si="0"/>
        <v>0.69081033179605034</v>
      </c>
    </row>
    <row r="27" spans="9:22" ht="14.25" customHeight="1" x14ac:dyDescent="0.2">
      <c r="I27" s="1">
        <v>12</v>
      </c>
      <c r="J27" s="6">
        <f t="shared" si="1"/>
        <v>1.7103393581163142</v>
      </c>
      <c r="K27" s="1">
        <v>1.05</v>
      </c>
      <c r="L27" s="6">
        <f t="shared" si="1"/>
        <v>2.3579476910000019</v>
      </c>
      <c r="M27" s="1">
        <v>1</v>
      </c>
      <c r="N27" s="4">
        <f t="shared" si="0"/>
        <v>0.72535084838585284</v>
      </c>
    </row>
    <row r="28" spans="9:22" ht="14.25" customHeight="1" x14ac:dyDescent="0.2">
      <c r="I28" s="1">
        <v>13</v>
      </c>
      <c r="J28" s="6">
        <f t="shared" si="1"/>
        <v>1.7958563260221301</v>
      </c>
      <c r="K28" s="1">
        <v>1.05</v>
      </c>
      <c r="L28" s="6">
        <f t="shared" si="1"/>
        <v>2.3579476910000019</v>
      </c>
      <c r="M28" s="1">
        <v>1</v>
      </c>
      <c r="N28" s="4">
        <f t="shared" si="0"/>
        <v>0.7616183908051456</v>
      </c>
    </row>
    <row r="29" spans="9:22" ht="14.25" customHeight="1" x14ac:dyDescent="0.2">
      <c r="I29" s="1">
        <v>14</v>
      </c>
      <c r="J29" s="6">
        <f t="shared" si="1"/>
        <v>1.8856491423232367</v>
      </c>
      <c r="K29" s="1">
        <v>1.05</v>
      </c>
      <c r="L29" s="6">
        <f t="shared" si="1"/>
        <v>2.3579476910000019</v>
      </c>
      <c r="M29" s="1">
        <v>1</v>
      </c>
      <c r="N29" s="4">
        <f t="shared" si="0"/>
        <v>0.79969931034540287</v>
      </c>
    </row>
    <row r="30" spans="9:22" ht="14.25" customHeight="1" x14ac:dyDescent="0.2">
      <c r="I30" s="1">
        <v>15</v>
      </c>
      <c r="J30" s="6">
        <f t="shared" si="1"/>
        <v>1.9799315994393987</v>
      </c>
      <c r="K30" s="1">
        <v>1.05</v>
      </c>
      <c r="L30" s="6">
        <f t="shared" si="1"/>
        <v>2.3579476910000019</v>
      </c>
      <c r="M30" s="1">
        <v>1</v>
      </c>
      <c r="N30" s="4">
        <f t="shared" si="0"/>
        <v>0.83968427586267314</v>
      </c>
    </row>
    <row r="31" spans="9:22" ht="14.25" customHeight="1" x14ac:dyDescent="0.2">
      <c r="I31" s="1">
        <v>16</v>
      </c>
      <c r="J31" s="6">
        <f t="shared" si="1"/>
        <v>2.0789281794113688</v>
      </c>
      <c r="K31" s="1">
        <v>1.05</v>
      </c>
      <c r="L31" s="6">
        <f t="shared" si="1"/>
        <v>2.3579476910000019</v>
      </c>
      <c r="M31" s="1">
        <v>1</v>
      </c>
      <c r="N31" s="4">
        <f t="shared" si="0"/>
        <v>0.8816684896558068</v>
      </c>
      <c r="R31" s="1">
        <f>14*400</f>
        <v>5600</v>
      </c>
      <c r="S31" s="1">
        <v>18</v>
      </c>
      <c r="T31" s="1">
        <f>S31*3</f>
        <v>54</v>
      </c>
      <c r="V31" s="1">
        <f>R31/T31</f>
        <v>103.70370370370371</v>
      </c>
    </row>
    <row r="32" spans="9:22" ht="14.25" customHeight="1" x14ac:dyDescent="0.2">
      <c r="I32" s="1">
        <v>17</v>
      </c>
      <c r="J32" s="6">
        <f t="shared" si="1"/>
        <v>2.1828745883819374</v>
      </c>
      <c r="K32" s="1">
        <v>1.05</v>
      </c>
      <c r="L32" s="6">
        <f t="shared" si="1"/>
        <v>2.3579476910000019</v>
      </c>
      <c r="M32" s="1">
        <v>1</v>
      </c>
      <c r="N32" s="4">
        <f t="shared" si="0"/>
        <v>0.92575191413859725</v>
      </c>
      <c r="R32" s="1">
        <f>12*150</f>
        <v>1800</v>
      </c>
      <c r="S32" s="1">
        <v>10</v>
      </c>
      <c r="T32" s="1">
        <f>S32*3</f>
        <v>30</v>
      </c>
      <c r="V32" s="1">
        <f>R32/T32</f>
        <v>60</v>
      </c>
    </row>
    <row r="33" spans="9:14" ht="14.25" customHeight="1" x14ac:dyDescent="0.2">
      <c r="I33" s="1">
        <v>18</v>
      </c>
      <c r="J33" s="6">
        <f t="shared" si="1"/>
        <v>2.2920183178010345</v>
      </c>
      <c r="K33" s="1">
        <v>1.05</v>
      </c>
      <c r="L33" s="6">
        <f t="shared" si="1"/>
        <v>2.3579476910000019</v>
      </c>
      <c r="M33" s="1">
        <v>1</v>
      </c>
      <c r="N33" s="4">
        <f t="shared" si="0"/>
        <v>0.97203950984552723</v>
      </c>
    </row>
    <row r="34" spans="9:14" ht="14.25" customHeight="1" x14ac:dyDescent="0.2">
      <c r="I34" s="1">
        <v>19</v>
      </c>
      <c r="J34" s="6">
        <f t="shared" si="1"/>
        <v>2.4066192336910861</v>
      </c>
      <c r="K34" s="1">
        <v>1.05</v>
      </c>
      <c r="L34" s="6">
        <f t="shared" si="1"/>
        <v>2.3579476910000019</v>
      </c>
      <c r="M34" s="1">
        <v>1</v>
      </c>
      <c r="N34" s="4">
        <f t="shared" si="0"/>
        <v>1.0206414853378034</v>
      </c>
    </row>
    <row r="35" spans="9:14" ht="14.25" customHeight="1" x14ac:dyDescent="0.2">
      <c r="I35" s="1">
        <v>20</v>
      </c>
      <c r="J35" s="6">
        <f t="shared" si="1"/>
        <v>2.5269501953756404</v>
      </c>
      <c r="K35" s="1">
        <v>1.05</v>
      </c>
      <c r="L35" s="6">
        <f t="shared" si="1"/>
        <v>2.3579476910000019</v>
      </c>
      <c r="M35" s="1">
        <v>1</v>
      </c>
      <c r="N35" s="4">
        <f t="shared" si="0"/>
        <v>1.0716735596046936</v>
      </c>
    </row>
    <row r="37" spans="9:14" ht="14.25" customHeight="1" x14ac:dyDescent="0.2">
      <c r="K37" s="1" t="s">
        <v>252</v>
      </c>
      <c r="L37" s="1" t="s">
        <v>254</v>
      </c>
      <c r="M37" s="1" t="s">
        <v>253</v>
      </c>
    </row>
    <row r="38" spans="9:14" ht="14.25" customHeight="1" x14ac:dyDescent="0.2">
      <c r="J38" s="1" t="s">
        <v>255</v>
      </c>
      <c r="K38" s="1">
        <v>1</v>
      </c>
      <c r="L38" s="1">
        <v>10</v>
      </c>
      <c r="M38" s="1">
        <v>1</v>
      </c>
      <c r="N38" s="24">
        <f>L38/M38</f>
        <v>10</v>
      </c>
    </row>
    <row r="39" spans="9:14" ht="14.25" customHeight="1" x14ac:dyDescent="0.2">
      <c r="J39" s="1" t="s">
        <v>256</v>
      </c>
      <c r="K39" s="1">
        <v>1</v>
      </c>
      <c r="L39" s="1">
        <v>10</v>
      </c>
      <c r="M39" s="1">
        <v>1</v>
      </c>
      <c r="N39" s="24">
        <f>L39/M39</f>
        <v>10</v>
      </c>
    </row>
    <row r="40" spans="9:14" ht="14.25" customHeight="1" x14ac:dyDescent="0.2">
      <c r="L40" s="6"/>
      <c r="N40" s="133"/>
    </row>
    <row r="41" spans="9:14" ht="14.25" customHeight="1" x14ac:dyDescent="0.2">
      <c r="L41" s="6"/>
      <c r="N41" s="133"/>
    </row>
    <row r="42" spans="9:14" ht="14.25" customHeight="1" x14ac:dyDescent="0.2">
      <c r="L42" s="6"/>
      <c r="N42" s="133"/>
    </row>
    <row r="43" spans="9:14" ht="14.25" customHeight="1" x14ac:dyDescent="0.2">
      <c r="L43" s="6"/>
      <c r="N43" s="133"/>
    </row>
    <row r="44" spans="9:14" ht="14.25" customHeight="1" x14ac:dyDescent="0.2">
      <c r="L44" s="6"/>
      <c r="N44" s="133"/>
    </row>
    <row r="45" spans="9:14" ht="14.25" customHeight="1" x14ac:dyDescent="0.2">
      <c r="L45" s="6"/>
      <c r="N45" s="133"/>
    </row>
    <row r="46" spans="9:14" ht="14.25" customHeight="1" x14ac:dyDescent="0.2">
      <c r="L46" s="6"/>
      <c r="N46" s="133"/>
    </row>
    <row r="47" spans="9:14" ht="14.25" customHeight="1" x14ac:dyDescent="0.2">
      <c r="L47" s="6"/>
      <c r="N47" s="133"/>
    </row>
  </sheetData>
  <mergeCells count="1">
    <mergeCell ref="A1:B2"/>
  </mergeCells>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011D5-9AD7-4695-94D9-52154B25E213}">
  <sheetPr codeName="Sheet6"/>
  <dimension ref="A1:AK122"/>
  <sheetViews>
    <sheetView workbookViewId="0">
      <selection activeCell="E19" sqref="E19"/>
    </sheetView>
  </sheetViews>
  <sheetFormatPr defaultRowHeight="14.25" x14ac:dyDescent="0.2"/>
  <cols>
    <col min="1" max="16384" width="9" style="1"/>
  </cols>
  <sheetData>
    <row r="1" spans="1:33" ht="14.25" customHeight="1" x14ac:dyDescent="0.2">
      <c r="A1" s="95" t="s">
        <v>110</v>
      </c>
      <c r="B1" s="96"/>
      <c r="AB1" s="9"/>
    </row>
    <row r="2" spans="1:33" ht="14.25" customHeight="1" x14ac:dyDescent="0.2">
      <c r="A2" s="97"/>
      <c r="B2" s="98"/>
      <c r="E2" s="21"/>
      <c r="AB2" s="9"/>
    </row>
    <row r="3" spans="1:33" ht="14.25" customHeight="1" x14ac:dyDescent="0.2">
      <c r="C3" s="3" t="s">
        <v>109</v>
      </c>
      <c r="D3" s="22" t="s">
        <v>76</v>
      </c>
      <c r="E3" s="3" t="s">
        <v>78</v>
      </c>
      <c r="AB3" s="9"/>
    </row>
    <row r="4" spans="1:33" ht="14.25" customHeight="1" x14ac:dyDescent="0.2">
      <c r="C4" s="1">
        <v>0</v>
      </c>
      <c r="D4" s="1">
        <v>10</v>
      </c>
      <c r="E4" s="4">
        <f>D4/$D$14</f>
        <v>0.5</v>
      </c>
      <c r="AB4" s="9"/>
    </row>
    <row r="5" spans="1:33" s="3" customFormat="1" ht="14.25" customHeight="1" x14ac:dyDescent="0.2">
      <c r="C5" s="1">
        <v>1</v>
      </c>
      <c r="D5" s="1">
        <v>11</v>
      </c>
      <c r="E5" s="4">
        <f t="shared" ref="E5:E14" si="0">D5/$D$14</f>
        <v>0.55000000000000004</v>
      </c>
      <c r="G5" s="1"/>
      <c r="H5" s="1"/>
      <c r="I5" s="1"/>
      <c r="J5" s="1"/>
      <c r="K5" s="1"/>
      <c r="L5" s="1"/>
      <c r="M5" s="1"/>
      <c r="Z5" s="1"/>
      <c r="AA5" s="1"/>
      <c r="AB5" s="9"/>
    </row>
    <row r="6" spans="1:33" ht="14.25" customHeight="1" x14ac:dyDescent="0.2">
      <c r="C6" s="1">
        <v>2</v>
      </c>
      <c r="D6" s="1">
        <v>12</v>
      </c>
      <c r="E6" s="4">
        <f t="shared" si="0"/>
        <v>0.6</v>
      </c>
      <c r="F6" s="17"/>
      <c r="G6" s="17"/>
      <c r="H6" s="17"/>
      <c r="I6" s="17"/>
      <c r="J6" s="17"/>
      <c r="Z6" s="9"/>
    </row>
    <row r="7" spans="1:33" ht="14.25" customHeight="1" x14ac:dyDescent="0.2">
      <c r="C7" s="1">
        <v>3</v>
      </c>
      <c r="D7" s="1">
        <v>13</v>
      </c>
      <c r="E7" s="4">
        <f t="shared" si="0"/>
        <v>0.65</v>
      </c>
      <c r="F7" s="27"/>
      <c r="G7" s="27"/>
      <c r="Z7" s="9"/>
    </row>
    <row r="8" spans="1:33" ht="14.25" customHeight="1" x14ac:dyDescent="0.2">
      <c r="C8" s="1">
        <v>4</v>
      </c>
      <c r="D8" s="1">
        <v>14</v>
      </c>
      <c r="E8" s="4">
        <f t="shared" si="0"/>
        <v>0.7</v>
      </c>
      <c r="F8" s="27"/>
      <c r="G8" s="27"/>
      <c r="Z8" s="9"/>
    </row>
    <row r="9" spans="1:33" ht="14.25" customHeight="1" x14ac:dyDescent="0.2">
      <c r="C9" s="1">
        <v>5</v>
      </c>
      <c r="D9" s="1">
        <v>15</v>
      </c>
      <c r="E9" s="4">
        <f t="shared" si="0"/>
        <v>0.75</v>
      </c>
      <c r="F9" s="27"/>
      <c r="G9" s="27"/>
      <c r="K9" s="6"/>
      <c r="Z9" s="9"/>
    </row>
    <row r="10" spans="1:33" ht="14.25" customHeight="1" x14ac:dyDescent="0.2">
      <c r="C10" s="1">
        <v>6</v>
      </c>
      <c r="D10" s="1">
        <v>16</v>
      </c>
      <c r="E10" s="4">
        <f t="shared" si="0"/>
        <v>0.8</v>
      </c>
      <c r="Z10" s="9"/>
    </row>
    <row r="11" spans="1:33" ht="14.25" customHeight="1" x14ac:dyDescent="0.2">
      <c r="C11" s="1">
        <v>7</v>
      </c>
      <c r="D11" s="1">
        <v>17</v>
      </c>
      <c r="E11" s="4">
        <f t="shared" si="0"/>
        <v>0.85</v>
      </c>
      <c r="L11" s="23"/>
      <c r="Z11" s="9"/>
    </row>
    <row r="12" spans="1:33" ht="14.25" customHeight="1" x14ac:dyDescent="0.2">
      <c r="C12" s="1">
        <v>8</v>
      </c>
      <c r="D12" s="1">
        <v>18</v>
      </c>
      <c r="E12" s="4">
        <f t="shared" si="0"/>
        <v>0.9</v>
      </c>
      <c r="AB12" s="9"/>
    </row>
    <row r="13" spans="1:33" ht="14.25" customHeight="1" x14ac:dyDescent="0.2">
      <c r="C13" s="1">
        <v>9</v>
      </c>
      <c r="D13" s="1">
        <v>19</v>
      </c>
      <c r="E13" s="4">
        <f t="shared" si="0"/>
        <v>0.95</v>
      </c>
      <c r="I13" s="2"/>
      <c r="AB13" s="9"/>
    </row>
    <row r="14" spans="1:33" ht="14.25" customHeight="1" x14ac:dyDescent="0.2">
      <c r="C14" s="1">
        <v>10</v>
      </c>
      <c r="D14" s="24">
        <v>20</v>
      </c>
      <c r="E14" s="4">
        <f t="shared" si="0"/>
        <v>1</v>
      </c>
      <c r="J14" s="2"/>
      <c r="P14" s="3"/>
      <c r="AB14" s="4"/>
    </row>
    <row r="15" spans="1:33" ht="14.25" customHeight="1" x14ac:dyDescent="0.2">
      <c r="E15" s="6"/>
      <c r="L15" s="8"/>
      <c r="M15" s="8"/>
      <c r="AF15" s="9"/>
      <c r="AG15" s="9"/>
    </row>
    <row r="16" spans="1:33" ht="14.25" customHeight="1" x14ac:dyDescent="0.2">
      <c r="C16" s="29" t="s">
        <v>112</v>
      </c>
      <c r="D16" s="30" t="s">
        <v>111</v>
      </c>
      <c r="N16" s="6"/>
      <c r="O16" s="8"/>
      <c r="P16" s="8"/>
      <c r="Q16" s="8"/>
      <c r="R16" s="8"/>
      <c r="S16" s="8"/>
      <c r="T16" s="8"/>
      <c r="U16" s="8"/>
      <c r="V16" s="8"/>
      <c r="W16" s="8"/>
      <c r="X16" s="8"/>
      <c r="Y16" s="8"/>
      <c r="Z16" s="8"/>
      <c r="AA16" s="6"/>
    </row>
    <row r="17" spans="2:37" ht="14.25" customHeight="1" x14ac:dyDescent="0.2">
      <c r="C17" s="6" t="s">
        <v>103</v>
      </c>
      <c r="D17" s="1">
        <v>0.6</v>
      </c>
      <c r="E17" s="23"/>
      <c r="AC17" s="19"/>
    </row>
    <row r="18" spans="2:37" ht="14.25" customHeight="1" x14ac:dyDescent="0.2">
      <c r="C18" s="6" t="s">
        <v>113</v>
      </c>
      <c r="D18" s="1">
        <v>0.8</v>
      </c>
    </row>
    <row r="19" spans="2:37" ht="14.25" customHeight="1" x14ac:dyDescent="0.2">
      <c r="C19" s="6" t="s">
        <v>114</v>
      </c>
      <c r="D19" s="1">
        <v>1</v>
      </c>
      <c r="E19" s="6"/>
      <c r="F19" s="6"/>
      <c r="G19" s="6"/>
      <c r="H19" s="6"/>
      <c r="I19" s="23"/>
      <c r="J19" s="6"/>
      <c r="K19" s="6"/>
      <c r="L19" s="6"/>
      <c r="M19" s="6"/>
      <c r="N19" s="6"/>
      <c r="O19" s="6"/>
      <c r="P19" s="6"/>
      <c r="Q19" s="28"/>
      <c r="R19" s="6"/>
      <c r="S19" s="6"/>
      <c r="T19" s="6"/>
      <c r="U19" s="6"/>
      <c r="V19" s="6"/>
      <c r="W19" s="6"/>
      <c r="X19" s="6"/>
      <c r="Y19" s="6"/>
      <c r="Z19" s="6"/>
      <c r="AA19" s="6"/>
      <c r="AB19" s="6"/>
      <c r="AC19" s="19"/>
      <c r="AF19" s="9"/>
      <c r="AG19" s="9"/>
      <c r="AH19" s="9"/>
    </row>
    <row r="20" spans="2:37" ht="14.25" customHeight="1" x14ac:dyDescent="0.2">
      <c r="C20" s="6" t="s">
        <v>115</v>
      </c>
      <c r="D20" s="1">
        <v>1.2</v>
      </c>
      <c r="E20" s="6"/>
      <c r="F20" s="6"/>
      <c r="G20" s="6"/>
      <c r="H20" s="6"/>
      <c r="I20" s="23"/>
      <c r="J20" s="6"/>
      <c r="K20" s="6"/>
      <c r="L20" s="6"/>
      <c r="M20" s="6"/>
      <c r="N20" s="6"/>
      <c r="O20" s="6"/>
      <c r="P20" s="6"/>
      <c r="Q20" s="28"/>
      <c r="R20" s="6"/>
      <c r="S20" s="6"/>
      <c r="T20" s="6"/>
      <c r="U20" s="6"/>
      <c r="V20" s="6"/>
      <c r="W20" s="6"/>
      <c r="X20" s="6"/>
      <c r="Y20" s="6"/>
      <c r="Z20" s="6"/>
      <c r="AA20" s="6"/>
      <c r="AB20" s="6"/>
      <c r="AC20" s="19"/>
      <c r="AD20" s="19"/>
      <c r="AE20" s="19"/>
      <c r="AF20" s="9"/>
      <c r="AG20" s="9"/>
      <c r="AH20" s="9"/>
      <c r="AI20" s="9"/>
      <c r="AJ20" s="9"/>
      <c r="AK20" s="9"/>
    </row>
    <row r="21" spans="2:37" ht="14.25" customHeight="1" x14ac:dyDescent="0.2">
      <c r="C21" s="6"/>
      <c r="E21" s="6"/>
      <c r="F21" s="6"/>
      <c r="G21" s="6"/>
      <c r="H21" s="6"/>
      <c r="I21" s="23"/>
      <c r="J21" s="6"/>
      <c r="K21" s="6"/>
      <c r="L21" s="6"/>
      <c r="M21" s="6"/>
      <c r="N21" s="6"/>
      <c r="O21" s="6"/>
      <c r="P21" s="6"/>
      <c r="Q21" s="28"/>
      <c r="R21" s="6"/>
      <c r="S21" s="6"/>
      <c r="T21" s="6"/>
      <c r="U21" s="6"/>
      <c r="V21" s="6"/>
      <c r="W21" s="6"/>
      <c r="X21" s="6"/>
      <c r="Y21" s="6"/>
      <c r="Z21" s="6"/>
      <c r="AA21" s="6"/>
      <c r="AB21" s="6"/>
      <c r="AC21" s="19"/>
      <c r="AD21" s="19"/>
      <c r="AE21" s="19"/>
      <c r="AF21" s="9"/>
      <c r="AG21" s="9"/>
      <c r="AH21" s="9"/>
      <c r="AI21" s="9"/>
      <c r="AJ21" s="9"/>
      <c r="AK21" s="9"/>
    </row>
    <row r="22" spans="2:37" ht="14.25" customHeight="1" x14ac:dyDescent="0.2">
      <c r="B22" s="6"/>
      <c r="E22" s="6"/>
      <c r="F22" s="6"/>
      <c r="G22" s="6"/>
      <c r="H22" s="6"/>
      <c r="I22" s="23"/>
      <c r="J22" s="6"/>
      <c r="K22" s="6"/>
      <c r="L22" s="6"/>
      <c r="M22" s="6"/>
      <c r="N22" s="6"/>
      <c r="O22" s="6"/>
      <c r="P22" s="6"/>
      <c r="Q22" s="28"/>
      <c r="R22" s="6"/>
      <c r="S22" s="6"/>
      <c r="T22" s="6"/>
      <c r="U22" s="6"/>
      <c r="V22" s="6"/>
      <c r="W22" s="6"/>
      <c r="X22" s="6"/>
      <c r="Y22" s="6"/>
      <c r="Z22" s="6"/>
      <c r="AA22" s="6"/>
      <c r="AB22" s="6"/>
      <c r="AC22" s="19"/>
      <c r="AD22" s="19"/>
      <c r="AE22" s="19"/>
      <c r="AF22" s="9"/>
      <c r="AG22" s="9"/>
      <c r="AH22" s="9"/>
      <c r="AI22" s="9"/>
      <c r="AJ22" s="9"/>
      <c r="AK22" s="9"/>
    </row>
    <row r="23" spans="2:37" ht="14.25" customHeight="1" x14ac:dyDescent="0.2">
      <c r="B23" s="6"/>
      <c r="C23" s="6"/>
      <c r="E23" s="6"/>
      <c r="F23" s="6"/>
      <c r="G23" s="6"/>
      <c r="H23" s="6"/>
      <c r="I23" s="23"/>
      <c r="J23" s="6"/>
      <c r="K23" s="6"/>
      <c r="L23" s="6"/>
      <c r="M23" s="6"/>
      <c r="N23" s="6"/>
      <c r="O23" s="6"/>
      <c r="P23" s="6"/>
      <c r="Q23" s="28"/>
      <c r="R23" s="6"/>
      <c r="S23" s="6"/>
      <c r="T23" s="6"/>
      <c r="U23" s="6"/>
      <c r="V23" s="6"/>
      <c r="W23" s="6"/>
      <c r="X23" s="6"/>
      <c r="Y23" s="6"/>
      <c r="Z23" s="6"/>
      <c r="AA23" s="6"/>
      <c r="AB23" s="6"/>
      <c r="AC23" s="19"/>
      <c r="AD23" s="19"/>
      <c r="AE23" s="19"/>
      <c r="AF23" s="9"/>
      <c r="AG23" s="9"/>
      <c r="AH23" s="9"/>
      <c r="AI23" s="9"/>
      <c r="AJ23" s="9"/>
      <c r="AK23" s="9"/>
    </row>
    <row r="24" spans="2:37" ht="14.25" customHeight="1" x14ac:dyDescent="0.2">
      <c r="C24" s="6"/>
      <c r="E24" s="6"/>
      <c r="F24" s="6"/>
      <c r="G24" s="6"/>
      <c r="H24" s="6"/>
      <c r="I24" s="23"/>
      <c r="J24" s="6"/>
      <c r="K24" s="6"/>
      <c r="L24" s="6"/>
      <c r="M24" s="6"/>
      <c r="N24" s="6"/>
      <c r="O24" s="6"/>
      <c r="P24" s="6"/>
      <c r="Q24" s="28"/>
      <c r="R24" s="6"/>
      <c r="S24" s="6"/>
      <c r="T24" s="6"/>
      <c r="U24" s="6"/>
      <c r="V24" s="6"/>
      <c r="W24" s="6"/>
      <c r="X24" s="6"/>
      <c r="Y24" s="6"/>
      <c r="Z24" s="6"/>
      <c r="AA24" s="6"/>
      <c r="AB24" s="6"/>
      <c r="AC24" s="19"/>
      <c r="AD24" s="19"/>
      <c r="AE24" s="19"/>
      <c r="AF24" s="9"/>
      <c r="AG24" s="9"/>
      <c r="AH24" s="9"/>
      <c r="AI24" s="9"/>
      <c r="AJ24" s="9"/>
      <c r="AK24" s="9"/>
    </row>
    <row r="25" spans="2:37" ht="14.25" customHeight="1" x14ac:dyDescent="0.2">
      <c r="E25" s="6"/>
      <c r="F25" s="6"/>
      <c r="G25" s="6"/>
      <c r="H25" s="6"/>
      <c r="I25" s="23"/>
      <c r="J25" s="6"/>
      <c r="K25" s="6"/>
      <c r="L25" s="6"/>
      <c r="M25" s="6"/>
      <c r="N25" s="6"/>
      <c r="O25" s="6"/>
      <c r="P25" s="6"/>
      <c r="Q25" s="28"/>
      <c r="R25" s="6"/>
      <c r="S25" s="6"/>
      <c r="T25" s="6"/>
      <c r="U25" s="6"/>
      <c r="V25" s="6"/>
      <c r="W25" s="6"/>
      <c r="X25" s="6"/>
      <c r="Y25" s="6"/>
      <c r="Z25" s="6"/>
      <c r="AA25" s="6"/>
      <c r="AB25" s="6"/>
      <c r="AC25" s="19"/>
      <c r="AD25" s="19"/>
      <c r="AE25" s="19"/>
      <c r="AF25" s="9"/>
      <c r="AG25" s="9"/>
      <c r="AH25" s="9"/>
      <c r="AI25" s="9"/>
      <c r="AJ25" s="9"/>
      <c r="AK25" s="9"/>
    </row>
    <row r="26" spans="2:37" ht="14.25" customHeight="1" x14ac:dyDescent="0.2">
      <c r="B26" s="25"/>
      <c r="C26" s="6"/>
      <c r="E26" s="6"/>
      <c r="F26" s="6"/>
      <c r="G26" s="6"/>
      <c r="H26" s="6"/>
      <c r="I26" s="23"/>
      <c r="J26" s="6"/>
      <c r="K26" s="6"/>
      <c r="L26" s="6"/>
      <c r="M26" s="6"/>
      <c r="N26" s="6"/>
      <c r="O26" s="6"/>
      <c r="P26" s="6"/>
      <c r="Q26" s="28"/>
      <c r="R26" s="6"/>
      <c r="S26" s="6"/>
      <c r="T26" s="6"/>
      <c r="U26" s="6"/>
      <c r="V26" s="6"/>
      <c r="W26" s="6"/>
      <c r="X26" s="6"/>
      <c r="Y26" s="6"/>
      <c r="Z26" s="6"/>
      <c r="AA26" s="6"/>
      <c r="AB26" s="6"/>
      <c r="AC26" s="19"/>
      <c r="AD26" s="19"/>
      <c r="AE26" s="19"/>
      <c r="AF26" s="9"/>
      <c r="AG26" s="9"/>
      <c r="AH26" s="9"/>
      <c r="AI26" s="9"/>
      <c r="AJ26" s="9"/>
      <c r="AK26" s="9"/>
    </row>
    <row r="27" spans="2:37" ht="14.25" customHeight="1" x14ac:dyDescent="0.2">
      <c r="B27" s="25"/>
      <c r="C27" s="6"/>
      <c r="E27" s="6"/>
      <c r="F27" s="6"/>
      <c r="G27" s="6"/>
      <c r="H27" s="6"/>
      <c r="I27" s="23"/>
      <c r="J27" s="6"/>
      <c r="K27" s="6"/>
      <c r="L27" s="6"/>
      <c r="M27" s="6"/>
      <c r="N27" s="6"/>
      <c r="O27" s="6"/>
      <c r="P27" s="6"/>
      <c r="Q27" s="28"/>
      <c r="R27" s="6"/>
      <c r="S27" s="6"/>
      <c r="T27" s="6"/>
      <c r="U27" s="6"/>
      <c r="V27" s="6"/>
      <c r="W27" s="6"/>
      <c r="X27" s="6"/>
      <c r="Y27" s="6"/>
      <c r="Z27" s="6"/>
      <c r="AA27" s="6"/>
      <c r="AB27" s="6"/>
      <c r="AC27" s="19"/>
      <c r="AD27" s="19"/>
      <c r="AE27" s="19"/>
      <c r="AF27" s="9"/>
      <c r="AG27" s="9"/>
      <c r="AH27" s="9"/>
      <c r="AI27" s="9"/>
      <c r="AJ27" s="9"/>
      <c r="AK27" s="9"/>
    </row>
    <row r="28" spans="2:37" ht="14.25" customHeight="1" x14ac:dyDescent="0.2">
      <c r="B28" s="25"/>
      <c r="C28" s="6"/>
      <c r="E28" s="6"/>
      <c r="F28" s="6"/>
      <c r="G28" s="6"/>
      <c r="H28" s="6"/>
      <c r="I28" s="23"/>
      <c r="J28" s="6"/>
      <c r="K28" s="6"/>
      <c r="L28" s="6"/>
      <c r="M28" s="6"/>
      <c r="N28" s="6"/>
      <c r="O28" s="6"/>
      <c r="P28" s="6"/>
      <c r="Q28" s="28"/>
      <c r="R28" s="6"/>
      <c r="S28" s="6"/>
      <c r="T28" s="6"/>
      <c r="U28" s="6"/>
      <c r="V28" s="6"/>
      <c r="W28" s="6"/>
      <c r="X28" s="6"/>
      <c r="Y28" s="6"/>
      <c r="Z28" s="6"/>
      <c r="AA28" s="6"/>
      <c r="AB28" s="6"/>
      <c r="AC28" s="19"/>
      <c r="AD28" s="19"/>
      <c r="AE28" s="19"/>
      <c r="AF28" s="9"/>
      <c r="AG28" s="9"/>
      <c r="AH28" s="9"/>
      <c r="AI28" s="9"/>
      <c r="AJ28" s="9"/>
      <c r="AK28" s="9"/>
    </row>
    <row r="29" spans="2:37" ht="14.25" customHeight="1" x14ac:dyDescent="0.2">
      <c r="B29" s="25"/>
      <c r="C29" s="6"/>
      <c r="E29" s="6"/>
      <c r="F29" s="6"/>
      <c r="G29" s="6"/>
      <c r="H29" s="6"/>
      <c r="I29" s="23"/>
      <c r="J29" s="6"/>
      <c r="K29" s="6"/>
      <c r="L29" s="6"/>
      <c r="M29" s="6"/>
      <c r="N29" s="6"/>
      <c r="O29" s="6"/>
      <c r="P29" s="6"/>
      <c r="Q29" s="28"/>
      <c r="R29" s="6"/>
      <c r="S29" s="6"/>
      <c r="T29" s="6"/>
      <c r="U29" s="6"/>
      <c r="V29" s="6"/>
      <c r="W29" s="6"/>
      <c r="X29" s="6"/>
      <c r="Y29" s="6"/>
      <c r="Z29" s="6"/>
      <c r="AA29" s="6"/>
      <c r="AB29" s="6"/>
      <c r="AC29" s="19"/>
      <c r="AD29" s="19"/>
      <c r="AE29" s="19"/>
      <c r="AF29" s="9"/>
      <c r="AG29" s="9"/>
      <c r="AH29" s="9"/>
      <c r="AI29" s="9"/>
      <c r="AJ29" s="9"/>
      <c r="AK29" s="9"/>
    </row>
    <row r="30" spans="2:37" ht="14.25" customHeight="1" x14ac:dyDescent="0.2">
      <c r="B30" s="25"/>
      <c r="C30" s="6"/>
      <c r="E30" s="6"/>
      <c r="F30" s="6"/>
      <c r="G30" s="6"/>
      <c r="H30" s="6"/>
      <c r="I30" s="23"/>
      <c r="J30" s="6"/>
      <c r="K30" s="6"/>
      <c r="L30" s="6"/>
      <c r="M30" s="6"/>
      <c r="N30" s="6"/>
      <c r="O30" s="6"/>
      <c r="P30" s="6"/>
      <c r="Q30" s="28"/>
      <c r="R30" s="6"/>
      <c r="S30" s="6"/>
      <c r="T30" s="6"/>
      <c r="U30" s="6"/>
      <c r="V30" s="6"/>
      <c r="W30" s="6"/>
      <c r="X30" s="6"/>
      <c r="Y30" s="6"/>
      <c r="Z30" s="6"/>
      <c r="AA30" s="6"/>
      <c r="AB30" s="6"/>
      <c r="AC30" s="19"/>
      <c r="AD30" s="19"/>
      <c r="AE30" s="19"/>
      <c r="AF30" s="9"/>
      <c r="AG30" s="9"/>
      <c r="AH30" s="9"/>
      <c r="AI30" s="9"/>
      <c r="AJ30" s="9"/>
      <c r="AK30" s="9"/>
    </row>
    <row r="31" spans="2:37" ht="14.25" customHeight="1" x14ac:dyDescent="0.2">
      <c r="B31" s="25"/>
      <c r="C31" s="6"/>
      <c r="E31" s="6"/>
      <c r="F31" s="6"/>
      <c r="G31" s="6"/>
      <c r="H31" s="6"/>
      <c r="I31" s="23"/>
      <c r="J31" s="6"/>
      <c r="K31" s="6"/>
      <c r="L31" s="6"/>
      <c r="M31" s="6"/>
      <c r="N31" s="6"/>
      <c r="O31" s="6"/>
      <c r="P31" s="6"/>
      <c r="Q31" s="28"/>
      <c r="R31" s="6"/>
      <c r="S31" s="6"/>
      <c r="T31" s="6"/>
      <c r="U31" s="6"/>
      <c r="V31" s="6"/>
      <c r="W31" s="6"/>
      <c r="X31" s="6"/>
      <c r="Y31" s="6"/>
      <c r="Z31" s="6"/>
      <c r="AA31" s="6"/>
      <c r="AB31" s="6"/>
      <c r="AC31" s="19"/>
      <c r="AD31" s="19"/>
      <c r="AE31" s="19"/>
      <c r="AF31" s="9"/>
      <c r="AG31" s="9"/>
      <c r="AH31" s="9"/>
      <c r="AI31" s="9"/>
      <c r="AJ31" s="9"/>
      <c r="AK31" s="9"/>
    </row>
    <row r="32" spans="2:37" ht="14.25" customHeight="1" x14ac:dyDescent="0.2">
      <c r="B32" s="6"/>
      <c r="E32" s="6"/>
      <c r="F32" s="6"/>
      <c r="G32" s="6"/>
      <c r="H32" s="6"/>
      <c r="I32" s="23"/>
      <c r="J32" s="6"/>
      <c r="K32" s="6"/>
      <c r="L32" s="6"/>
      <c r="M32" s="6"/>
      <c r="N32" s="6"/>
      <c r="O32" s="6"/>
      <c r="P32" s="6"/>
      <c r="Q32" s="28"/>
      <c r="R32" s="6"/>
      <c r="S32" s="6"/>
      <c r="T32" s="6"/>
      <c r="U32" s="6"/>
      <c r="V32" s="6"/>
      <c r="W32" s="6"/>
      <c r="X32" s="6"/>
      <c r="Y32" s="6"/>
      <c r="Z32" s="6"/>
      <c r="AA32" s="6"/>
      <c r="AB32" s="6"/>
      <c r="AC32" s="19"/>
      <c r="AD32" s="19"/>
      <c r="AE32" s="19"/>
      <c r="AF32" s="9"/>
      <c r="AG32" s="9"/>
      <c r="AH32" s="9"/>
      <c r="AI32" s="9"/>
      <c r="AJ32" s="9"/>
      <c r="AK32" s="9"/>
    </row>
    <row r="33" spans="2:37" ht="14.25" customHeight="1" x14ac:dyDescent="0.2">
      <c r="B33" s="6"/>
      <c r="E33" s="6"/>
      <c r="F33" s="6"/>
      <c r="G33" s="6"/>
      <c r="H33" s="6"/>
      <c r="I33" s="23"/>
      <c r="J33" s="6"/>
      <c r="K33" s="6"/>
      <c r="L33" s="6"/>
      <c r="M33" s="6"/>
      <c r="N33" s="6"/>
      <c r="O33" s="6"/>
      <c r="P33" s="6"/>
      <c r="Q33" s="28"/>
      <c r="R33" s="6"/>
      <c r="S33" s="6"/>
      <c r="T33" s="6"/>
      <c r="U33" s="6"/>
      <c r="V33" s="6"/>
      <c r="W33" s="6"/>
      <c r="X33" s="6"/>
      <c r="Y33" s="6"/>
      <c r="Z33" s="6"/>
      <c r="AA33" s="6"/>
      <c r="AB33" s="6"/>
      <c r="AC33" s="19"/>
      <c r="AD33" s="19"/>
      <c r="AE33" s="19"/>
      <c r="AF33" s="9"/>
      <c r="AG33" s="9"/>
      <c r="AH33" s="9"/>
      <c r="AI33" s="9"/>
      <c r="AJ33" s="9"/>
      <c r="AK33" s="9"/>
    </row>
    <row r="34" spans="2:37" ht="14.25" customHeight="1" x14ac:dyDescent="0.2">
      <c r="E34" s="6"/>
      <c r="F34" s="6"/>
      <c r="G34" s="6"/>
      <c r="H34" s="6"/>
      <c r="I34" s="23"/>
      <c r="J34" s="6"/>
      <c r="K34" s="6"/>
      <c r="L34" s="6"/>
      <c r="M34" s="6"/>
      <c r="N34" s="6"/>
      <c r="O34" s="6"/>
      <c r="P34" s="6"/>
      <c r="Q34" s="28"/>
      <c r="R34" s="6"/>
      <c r="S34" s="6"/>
      <c r="T34" s="6"/>
      <c r="U34" s="6"/>
      <c r="V34" s="6"/>
      <c r="W34" s="6"/>
      <c r="X34" s="6"/>
      <c r="Y34" s="6"/>
      <c r="Z34" s="6"/>
      <c r="AA34" s="6"/>
      <c r="AB34" s="6"/>
      <c r="AC34" s="19"/>
      <c r="AD34" s="19"/>
      <c r="AE34" s="19"/>
      <c r="AF34" s="9"/>
      <c r="AG34" s="9"/>
      <c r="AH34" s="9"/>
      <c r="AI34" s="9"/>
      <c r="AJ34" s="9"/>
      <c r="AK34" s="9"/>
    </row>
    <row r="35" spans="2:37" ht="14.25" customHeight="1" x14ac:dyDescent="0.2">
      <c r="E35" s="6"/>
      <c r="F35" s="6"/>
      <c r="G35" s="6"/>
      <c r="H35" s="6"/>
      <c r="I35" s="23"/>
      <c r="J35" s="6"/>
      <c r="K35" s="6"/>
      <c r="L35" s="6"/>
      <c r="M35" s="6"/>
      <c r="N35" s="6"/>
      <c r="O35" s="6"/>
      <c r="P35" s="6"/>
      <c r="Q35" s="28"/>
      <c r="R35" s="6"/>
      <c r="S35" s="6"/>
      <c r="T35" s="6"/>
      <c r="U35" s="6"/>
      <c r="V35" s="6"/>
      <c r="W35" s="6"/>
      <c r="X35" s="6"/>
      <c r="Y35" s="6"/>
      <c r="Z35" s="6"/>
      <c r="AA35" s="6"/>
      <c r="AB35" s="6"/>
      <c r="AC35" s="19"/>
      <c r="AD35" s="19"/>
      <c r="AE35" s="19"/>
      <c r="AF35" s="9"/>
      <c r="AG35" s="9"/>
      <c r="AH35" s="9"/>
      <c r="AI35" s="9"/>
      <c r="AJ35" s="9"/>
      <c r="AK35" s="9"/>
    </row>
    <row r="36" spans="2:37" ht="14.25" customHeight="1" x14ac:dyDescent="0.2">
      <c r="E36" s="6"/>
      <c r="F36" s="6"/>
      <c r="G36" s="6"/>
      <c r="H36" s="6"/>
      <c r="I36" s="23"/>
      <c r="J36" s="6"/>
      <c r="K36" s="6"/>
      <c r="L36" s="6"/>
      <c r="M36" s="6"/>
      <c r="N36" s="6"/>
      <c r="O36" s="6"/>
      <c r="P36" s="6"/>
      <c r="Q36" s="28"/>
      <c r="R36" s="6"/>
      <c r="S36" s="6"/>
      <c r="T36" s="6"/>
      <c r="U36" s="6"/>
      <c r="V36" s="6"/>
      <c r="W36" s="6"/>
      <c r="X36" s="6"/>
      <c r="Y36" s="6"/>
      <c r="Z36" s="6"/>
      <c r="AA36" s="6"/>
      <c r="AB36" s="6"/>
      <c r="AC36" s="19"/>
      <c r="AD36" s="19"/>
      <c r="AE36" s="19"/>
      <c r="AF36" s="9"/>
      <c r="AG36" s="9"/>
      <c r="AH36" s="9"/>
      <c r="AI36" s="9"/>
      <c r="AJ36" s="9"/>
      <c r="AK36" s="9"/>
    </row>
    <row r="37" spans="2:37" ht="14.25" customHeight="1" x14ac:dyDescent="0.2">
      <c r="E37" s="6"/>
      <c r="F37" s="6"/>
      <c r="G37" s="6"/>
      <c r="H37" s="6"/>
      <c r="I37" s="23"/>
      <c r="J37" s="6"/>
      <c r="K37" s="6"/>
      <c r="L37" s="6"/>
      <c r="M37" s="6"/>
      <c r="N37" s="6"/>
      <c r="O37" s="6"/>
      <c r="P37" s="6"/>
      <c r="Q37" s="28"/>
      <c r="R37" s="6"/>
      <c r="S37" s="6"/>
      <c r="T37" s="6"/>
      <c r="U37" s="6"/>
      <c r="V37" s="6"/>
      <c r="W37" s="6"/>
      <c r="X37" s="6"/>
      <c r="Y37" s="6"/>
      <c r="Z37" s="6"/>
      <c r="AA37" s="6"/>
      <c r="AB37" s="6"/>
      <c r="AC37" s="19"/>
      <c r="AD37" s="19"/>
      <c r="AE37" s="19"/>
      <c r="AF37" s="9"/>
      <c r="AG37" s="9"/>
      <c r="AH37" s="9"/>
      <c r="AI37" s="9"/>
      <c r="AJ37" s="9"/>
      <c r="AK37" s="9"/>
    </row>
    <row r="38" spans="2:37" ht="14.25" customHeight="1" x14ac:dyDescent="0.2">
      <c r="E38" s="6"/>
      <c r="F38" s="6"/>
      <c r="G38" s="6"/>
      <c r="H38" s="6"/>
      <c r="I38" s="23"/>
      <c r="J38" s="6"/>
      <c r="K38" s="6"/>
      <c r="L38" s="6"/>
      <c r="M38" s="6"/>
      <c r="N38" s="6"/>
      <c r="O38" s="6"/>
      <c r="P38" s="6"/>
      <c r="Q38" s="28"/>
      <c r="R38" s="6"/>
      <c r="S38" s="6"/>
      <c r="T38" s="6"/>
      <c r="U38" s="6"/>
      <c r="V38" s="6"/>
      <c r="W38" s="6"/>
      <c r="X38" s="6"/>
      <c r="Y38" s="6"/>
      <c r="Z38" s="6"/>
      <c r="AA38" s="6"/>
      <c r="AB38" s="6"/>
      <c r="AC38" s="19"/>
      <c r="AD38" s="19"/>
      <c r="AE38" s="19"/>
      <c r="AF38" s="9"/>
      <c r="AG38" s="9"/>
      <c r="AH38" s="9"/>
      <c r="AI38" s="9"/>
      <c r="AJ38" s="9"/>
      <c r="AK38" s="9"/>
    </row>
    <row r="39" spans="2:37" ht="14.25" customHeight="1" x14ac:dyDescent="0.2">
      <c r="E39" s="6"/>
      <c r="F39" s="6"/>
      <c r="G39" s="6"/>
      <c r="H39" s="6"/>
      <c r="I39" s="23"/>
      <c r="J39" s="6"/>
      <c r="K39" s="6"/>
      <c r="L39" s="6"/>
      <c r="M39" s="6"/>
      <c r="N39" s="6"/>
      <c r="O39" s="6"/>
      <c r="P39" s="6"/>
      <c r="Q39" s="28"/>
      <c r="R39" s="6"/>
      <c r="S39" s="6"/>
      <c r="T39" s="6"/>
      <c r="U39" s="6"/>
      <c r="V39" s="6"/>
      <c r="W39" s="6"/>
      <c r="X39" s="6"/>
      <c r="Y39" s="6"/>
      <c r="Z39" s="6"/>
      <c r="AA39" s="6"/>
      <c r="AB39" s="6"/>
      <c r="AC39" s="19"/>
      <c r="AD39" s="19"/>
      <c r="AE39" s="19"/>
      <c r="AF39" s="9"/>
      <c r="AG39" s="9"/>
      <c r="AH39" s="9"/>
      <c r="AI39" s="9"/>
      <c r="AJ39" s="9"/>
      <c r="AK39" s="9"/>
    </row>
    <row r="40" spans="2:37" ht="14.25" customHeight="1" x14ac:dyDescent="0.2">
      <c r="E40" s="6"/>
      <c r="F40" s="6"/>
      <c r="G40" s="6"/>
      <c r="H40" s="6"/>
      <c r="I40" s="23"/>
      <c r="J40" s="6"/>
      <c r="K40" s="6"/>
      <c r="L40" s="6"/>
      <c r="M40" s="6"/>
      <c r="N40" s="6"/>
      <c r="O40" s="6"/>
      <c r="P40" s="6"/>
      <c r="Q40" s="28"/>
      <c r="R40" s="6"/>
      <c r="S40" s="6"/>
      <c r="T40" s="6"/>
      <c r="U40" s="6"/>
      <c r="V40" s="6"/>
      <c r="W40" s="6"/>
      <c r="X40" s="6"/>
      <c r="Y40" s="6"/>
      <c r="Z40" s="6"/>
      <c r="AA40" s="6"/>
      <c r="AB40" s="6"/>
      <c r="AC40" s="19"/>
      <c r="AD40" s="19"/>
      <c r="AE40" s="19"/>
      <c r="AF40" s="9"/>
      <c r="AG40" s="9"/>
      <c r="AH40" s="9"/>
      <c r="AI40" s="9"/>
      <c r="AJ40" s="9"/>
      <c r="AK40" s="9"/>
    </row>
    <row r="41" spans="2:37" ht="14.25" customHeight="1" x14ac:dyDescent="0.2">
      <c r="E41" s="6"/>
      <c r="F41" s="6"/>
      <c r="G41" s="6"/>
      <c r="H41" s="6"/>
      <c r="I41" s="23"/>
      <c r="J41" s="6"/>
      <c r="K41" s="6"/>
      <c r="L41" s="6"/>
      <c r="M41" s="6"/>
      <c r="N41" s="6"/>
      <c r="O41" s="6"/>
      <c r="P41" s="6"/>
      <c r="Q41" s="28"/>
      <c r="R41" s="6"/>
      <c r="S41" s="6"/>
      <c r="T41" s="6"/>
      <c r="U41" s="6"/>
      <c r="V41" s="6"/>
      <c r="W41" s="6"/>
      <c r="X41" s="6"/>
      <c r="Y41" s="6"/>
      <c r="Z41" s="6"/>
      <c r="AA41" s="6"/>
      <c r="AB41" s="6"/>
      <c r="AC41" s="19"/>
      <c r="AD41" s="19"/>
      <c r="AE41" s="19"/>
      <c r="AF41" s="9"/>
      <c r="AG41" s="9"/>
      <c r="AH41" s="9"/>
      <c r="AI41" s="9"/>
      <c r="AJ41" s="9"/>
      <c r="AK41" s="9"/>
    </row>
    <row r="42" spans="2:37" ht="14.25" customHeight="1" x14ac:dyDescent="0.2">
      <c r="E42" s="6"/>
      <c r="F42" s="6"/>
      <c r="G42" s="6"/>
      <c r="H42" s="6"/>
      <c r="I42" s="23"/>
      <c r="J42" s="6"/>
      <c r="K42" s="6"/>
      <c r="L42" s="6"/>
      <c r="M42" s="6"/>
      <c r="N42" s="6"/>
      <c r="O42" s="6"/>
      <c r="P42" s="6"/>
      <c r="Q42" s="28"/>
      <c r="R42" s="6"/>
      <c r="S42" s="6"/>
      <c r="T42" s="6"/>
      <c r="U42" s="6"/>
      <c r="V42" s="6"/>
      <c r="W42" s="6"/>
      <c r="X42" s="6"/>
      <c r="Y42" s="6"/>
      <c r="Z42" s="6"/>
      <c r="AA42" s="6"/>
      <c r="AB42" s="6"/>
      <c r="AC42" s="19"/>
      <c r="AD42" s="19"/>
      <c r="AE42" s="19"/>
      <c r="AF42" s="9"/>
      <c r="AG42" s="9"/>
      <c r="AH42" s="9"/>
      <c r="AI42" s="9"/>
      <c r="AJ42" s="9"/>
      <c r="AK42" s="9"/>
    </row>
    <row r="43" spans="2:37" ht="14.25" customHeight="1" x14ac:dyDescent="0.2">
      <c r="E43" s="6"/>
      <c r="F43" s="6"/>
      <c r="G43" s="6"/>
      <c r="H43" s="6"/>
      <c r="I43" s="23"/>
      <c r="J43" s="6"/>
      <c r="K43" s="6"/>
      <c r="L43" s="6"/>
      <c r="M43" s="6"/>
      <c r="N43" s="6"/>
      <c r="O43" s="6"/>
      <c r="P43" s="6"/>
      <c r="Q43" s="28"/>
      <c r="R43" s="6"/>
      <c r="S43" s="6"/>
      <c r="T43" s="6"/>
      <c r="U43" s="6"/>
      <c r="V43" s="6"/>
      <c r="W43" s="6"/>
      <c r="X43" s="6"/>
      <c r="Y43" s="6"/>
      <c r="Z43" s="6"/>
      <c r="AA43" s="6"/>
      <c r="AB43" s="6"/>
      <c r="AC43" s="19"/>
      <c r="AD43" s="19"/>
      <c r="AE43" s="19"/>
      <c r="AF43" s="9"/>
      <c r="AG43" s="9"/>
      <c r="AH43" s="9"/>
      <c r="AI43" s="9"/>
      <c r="AJ43" s="9"/>
      <c r="AK43" s="9"/>
    </row>
    <row r="44" spans="2:37" ht="14.25" customHeight="1" x14ac:dyDescent="0.2">
      <c r="E44" s="6"/>
      <c r="F44" s="6"/>
      <c r="G44" s="6"/>
      <c r="H44" s="6"/>
      <c r="I44" s="23"/>
      <c r="J44" s="6"/>
      <c r="K44" s="6"/>
      <c r="L44" s="6"/>
      <c r="M44" s="6"/>
      <c r="N44" s="6"/>
      <c r="O44" s="6"/>
      <c r="P44" s="6"/>
      <c r="Q44" s="28"/>
      <c r="R44" s="6"/>
      <c r="S44" s="6"/>
      <c r="T44" s="6"/>
      <c r="U44" s="6"/>
      <c r="V44" s="6"/>
      <c r="W44" s="6"/>
      <c r="X44" s="6"/>
      <c r="Y44" s="6"/>
      <c r="Z44" s="6"/>
      <c r="AA44" s="6"/>
      <c r="AB44" s="6"/>
      <c r="AC44" s="19"/>
      <c r="AD44" s="19"/>
      <c r="AE44" s="19"/>
      <c r="AF44" s="9"/>
      <c r="AG44" s="9"/>
      <c r="AH44" s="9"/>
      <c r="AI44" s="9"/>
      <c r="AJ44" s="9"/>
      <c r="AK44" s="9"/>
    </row>
    <row r="45" spans="2:37" ht="14.25" customHeight="1" x14ac:dyDescent="0.2">
      <c r="E45" s="6"/>
      <c r="F45" s="6"/>
      <c r="G45" s="6"/>
      <c r="H45" s="6"/>
      <c r="I45" s="23"/>
      <c r="J45" s="6"/>
      <c r="K45" s="6"/>
      <c r="L45" s="6"/>
      <c r="M45" s="6"/>
      <c r="N45" s="6"/>
      <c r="O45" s="6"/>
      <c r="P45" s="6"/>
      <c r="Q45" s="28"/>
      <c r="R45" s="6"/>
      <c r="S45" s="6"/>
      <c r="T45" s="6"/>
      <c r="U45" s="6"/>
      <c r="V45" s="6"/>
      <c r="W45" s="6"/>
      <c r="X45" s="6"/>
      <c r="Y45" s="6"/>
      <c r="Z45" s="6"/>
      <c r="AA45" s="6"/>
      <c r="AB45" s="6"/>
      <c r="AC45" s="19"/>
      <c r="AD45" s="19"/>
      <c r="AE45" s="19"/>
      <c r="AF45" s="9"/>
      <c r="AG45" s="9"/>
      <c r="AH45" s="9"/>
      <c r="AI45" s="9"/>
      <c r="AJ45" s="9"/>
      <c r="AK45" s="9"/>
    </row>
    <row r="46" spans="2:37" ht="14.25" customHeight="1" x14ac:dyDescent="0.2">
      <c r="E46" s="6"/>
      <c r="F46" s="6"/>
      <c r="G46" s="6"/>
      <c r="H46" s="6"/>
      <c r="I46" s="23"/>
      <c r="J46" s="6"/>
      <c r="K46" s="6"/>
      <c r="L46" s="6"/>
      <c r="M46" s="6"/>
      <c r="N46" s="6"/>
      <c r="O46" s="6"/>
      <c r="P46" s="6"/>
      <c r="Q46" s="28"/>
      <c r="R46" s="6"/>
      <c r="S46" s="6"/>
      <c r="T46" s="6"/>
      <c r="U46" s="6"/>
      <c r="V46" s="6"/>
      <c r="W46" s="6"/>
      <c r="X46" s="6"/>
      <c r="Y46" s="6"/>
      <c r="Z46" s="6"/>
      <c r="AA46" s="6"/>
      <c r="AB46" s="6"/>
      <c r="AC46" s="19"/>
      <c r="AD46" s="19"/>
      <c r="AE46" s="19"/>
      <c r="AF46" s="9"/>
      <c r="AG46" s="9"/>
      <c r="AH46" s="9"/>
      <c r="AI46" s="9"/>
      <c r="AJ46" s="9"/>
      <c r="AK46" s="9"/>
    </row>
    <row r="47" spans="2:37" ht="14.25" customHeight="1" x14ac:dyDescent="0.2">
      <c r="E47" s="6"/>
      <c r="F47" s="6"/>
      <c r="G47" s="6"/>
      <c r="H47" s="6"/>
      <c r="I47" s="23"/>
      <c r="J47" s="6"/>
      <c r="K47" s="6"/>
      <c r="L47" s="6"/>
      <c r="M47" s="6"/>
      <c r="N47" s="6"/>
      <c r="O47" s="6"/>
      <c r="P47" s="6"/>
      <c r="Q47" s="28"/>
      <c r="R47" s="6"/>
      <c r="S47" s="6"/>
      <c r="T47" s="6"/>
      <c r="U47" s="6"/>
      <c r="V47" s="6"/>
      <c r="W47" s="6"/>
      <c r="X47" s="6"/>
      <c r="Y47" s="6"/>
      <c r="Z47" s="6"/>
      <c r="AA47" s="6"/>
      <c r="AB47" s="6"/>
      <c r="AC47" s="19"/>
      <c r="AD47" s="19"/>
      <c r="AE47" s="19"/>
      <c r="AF47" s="9"/>
      <c r="AG47" s="9"/>
      <c r="AH47" s="9"/>
      <c r="AI47" s="9"/>
      <c r="AJ47" s="9"/>
      <c r="AK47" s="9"/>
    </row>
    <row r="48" spans="2:37" ht="14.25" customHeight="1" x14ac:dyDescent="0.2">
      <c r="E48" s="6"/>
      <c r="F48" s="6"/>
      <c r="G48" s="6"/>
      <c r="H48" s="6"/>
      <c r="I48" s="23"/>
      <c r="J48" s="6"/>
      <c r="K48" s="6"/>
      <c r="L48" s="6"/>
      <c r="M48" s="6"/>
      <c r="N48" s="6"/>
      <c r="O48" s="6"/>
      <c r="P48" s="6"/>
      <c r="Q48" s="28"/>
      <c r="R48" s="6"/>
      <c r="S48" s="6"/>
      <c r="T48" s="6"/>
      <c r="U48" s="6"/>
      <c r="V48" s="6"/>
      <c r="W48" s="6"/>
      <c r="X48" s="6"/>
      <c r="Y48" s="6"/>
      <c r="Z48" s="6"/>
      <c r="AA48" s="6"/>
      <c r="AB48" s="6"/>
      <c r="AC48" s="19"/>
      <c r="AD48" s="19"/>
      <c r="AE48" s="19"/>
      <c r="AF48" s="9"/>
      <c r="AG48" s="9"/>
      <c r="AH48" s="9"/>
      <c r="AI48" s="9"/>
      <c r="AJ48" s="9"/>
      <c r="AK48" s="9"/>
    </row>
    <row r="49" spans="5:37" ht="14.25" customHeight="1" x14ac:dyDescent="0.2">
      <c r="E49" s="6"/>
      <c r="F49" s="6"/>
      <c r="G49" s="6"/>
      <c r="H49" s="6"/>
      <c r="I49" s="23"/>
      <c r="J49" s="6"/>
      <c r="K49" s="6"/>
      <c r="L49" s="6"/>
      <c r="M49" s="6"/>
      <c r="N49" s="6"/>
      <c r="O49" s="6"/>
      <c r="P49" s="6"/>
      <c r="Q49" s="28"/>
      <c r="R49" s="6"/>
      <c r="S49" s="6"/>
      <c r="T49" s="6"/>
      <c r="U49" s="6"/>
      <c r="V49" s="6"/>
      <c r="W49" s="6"/>
      <c r="X49" s="6"/>
      <c r="Y49" s="6"/>
      <c r="Z49" s="6"/>
      <c r="AA49" s="6"/>
      <c r="AB49" s="6"/>
      <c r="AC49" s="19"/>
      <c r="AD49" s="19"/>
      <c r="AE49" s="19"/>
      <c r="AF49" s="9"/>
      <c r="AG49" s="9"/>
      <c r="AH49" s="9"/>
      <c r="AI49" s="9"/>
      <c r="AJ49" s="9"/>
      <c r="AK49" s="9"/>
    </row>
    <row r="50" spans="5:37" ht="14.25" customHeight="1" x14ac:dyDescent="0.2">
      <c r="E50" s="6"/>
      <c r="F50" s="6"/>
      <c r="G50" s="6"/>
      <c r="H50" s="6"/>
      <c r="I50" s="23"/>
      <c r="J50" s="6"/>
      <c r="K50" s="6"/>
      <c r="L50" s="6"/>
      <c r="M50" s="6"/>
      <c r="N50" s="6"/>
      <c r="O50" s="6"/>
      <c r="P50" s="6"/>
      <c r="Q50" s="28"/>
      <c r="R50" s="6"/>
      <c r="S50" s="6"/>
      <c r="T50" s="6"/>
      <c r="U50" s="6"/>
      <c r="V50" s="6"/>
      <c r="W50" s="6"/>
      <c r="X50" s="6"/>
      <c r="Y50" s="6"/>
      <c r="Z50" s="6"/>
      <c r="AA50" s="6"/>
      <c r="AB50" s="6"/>
      <c r="AC50" s="19"/>
      <c r="AD50" s="19"/>
      <c r="AE50" s="19"/>
      <c r="AF50" s="9"/>
      <c r="AG50" s="9"/>
      <c r="AH50" s="9"/>
      <c r="AI50" s="9"/>
      <c r="AJ50" s="9"/>
      <c r="AK50" s="9"/>
    </row>
    <row r="51" spans="5:37" ht="14.25" customHeight="1" x14ac:dyDescent="0.2">
      <c r="E51" s="6"/>
      <c r="F51" s="6"/>
      <c r="G51" s="6"/>
      <c r="H51" s="6"/>
      <c r="I51" s="23"/>
      <c r="J51" s="6"/>
      <c r="K51" s="6"/>
      <c r="L51" s="6"/>
      <c r="M51" s="6"/>
      <c r="N51" s="6"/>
      <c r="O51" s="6"/>
      <c r="P51" s="6"/>
      <c r="Q51" s="28"/>
      <c r="R51" s="6"/>
      <c r="S51" s="6"/>
      <c r="T51" s="6"/>
      <c r="U51" s="6"/>
      <c r="V51" s="6"/>
      <c r="W51" s="6"/>
      <c r="X51" s="6"/>
      <c r="Y51" s="6"/>
      <c r="Z51" s="6"/>
      <c r="AA51" s="6"/>
      <c r="AB51" s="6"/>
      <c r="AC51" s="19"/>
      <c r="AD51" s="19"/>
      <c r="AE51" s="19"/>
      <c r="AF51" s="9"/>
      <c r="AG51" s="9"/>
      <c r="AH51" s="9"/>
      <c r="AI51" s="9"/>
      <c r="AJ51" s="9"/>
      <c r="AK51" s="9"/>
    </row>
    <row r="52" spans="5:37" ht="14.25" customHeight="1" x14ac:dyDescent="0.2">
      <c r="E52" s="6"/>
      <c r="F52" s="6"/>
      <c r="G52" s="6"/>
      <c r="H52" s="6"/>
      <c r="I52" s="23"/>
      <c r="J52" s="6"/>
      <c r="K52" s="6"/>
      <c r="L52" s="6"/>
      <c r="M52" s="6"/>
      <c r="N52" s="6"/>
      <c r="O52" s="6"/>
      <c r="P52" s="6"/>
      <c r="Q52" s="28"/>
      <c r="R52" s="6"/>
      <c r="S52" s="6"/>
      <c r="T52" s="6"/>
      <c r="U52" s="6"/>
      <c r="V52" s="6"/>
      <c r="W52" s="6"/>
      <c r="X52" s="6"/>
      <c r="Y52" s="6"/>
      <c r="Z52" s="6"/>
      <c r="AA52" s="6"/>
      <c r="AB52" s="6"/>
      <c r="AC52" s="19"/>
      <c r="AD52" s="19"/>
      <c r="AE52" s="19"/>
      <c r="AF52" s="9"/>
      <c r="AG52" s="9"/>
      <c r="AH52" s="9"/>
      <c r="AI52" s="9"/>
      <c r="AJ52" s="9"/>
      <c r="AK52" s="9"/>
    </row>
    <row r="53" spans="5:37" ht="14.25" customHeight="1" x14ac:dyDescent="0.2">
      <c r="E53" s="6"/>
      <c r="F53" s="6"/>
      <c r="G53" s="6"/>
      <c r="H53" s="6"/>
      <c r="I53" s="23"/>
      <c r="J53" s="6"/>
      <c r="K53" s="6"/>
      <c r="L53" s="6"/>
      <c r="M53" s="6"/>
      <c r="N53" s="6"/>
      <c r="O53" s="6"/>
      <c r="P53" s="6"/>
      <c r="Q53" s="28"/>
      <c r="R53" s="6"/>
      <c r="S53" s="6"/>
      <c r="T53" s="6"/>
      <c r="U53" s="6"/>
      <c r="V53" s="6"/>
      <c r="W53" s="6"/>
      <c r="X53" s="6"/>
      <c r="Y53" s="6"/>
      <c r="Z53" s="6"/>
      <c r="AA53" s="6"/>
      <c r="AB53" s="6"/>
      <c r="AC53" s="19"/>
      <c r="AD53" s="19"/>
      <c r="AE53" s="19"/>
      <c r="AF53" s="9"/>
      <c r="AG53" s="9"/>
      <c r="AH53" s="9"/>
      <c r="AI53" s="9"/>
      <c r="AJ53" s="9"/>
      <c r="AK53" s="9"/>
    </row>
    <row r="54" spans="5:37" ht="14.25" customHeight="1" x14ac:dyDescent="0.2">
      <c r="E54" s="6"/>
      <c r="F54" s="6"/>
      <c r="G54" s="6"/>
      <c r="H54" s="6"/>
      <c r="I54" s="23"/>
      <c r="J54" s="6"/>
      <c r="K54" s="6"/>
      <c r="L54" s="6"/>
      <c r="M54" s="6"/>
      <c r="N54" s="6"/>
      <c r="O54" s="6"/>
      <c r="P54" s="6"/>
      <c r="Q54" s="28"/>
      <c r="R54" s="6"/>
      <c r="S54" s="6"/>
      <c r="T54" s="6"/>
      <c r="U54" s="6"/>
      <c r="V54" s="6"/>
      <c r="W54" s="6"/>
      <c r="X54" s="6"/>
      <c r="Y54" s="6"/>
      <c r="Z54" s="6"/>
      <c r="AA54" s="6"/>
      <c r="AB54" s="6"/>
      <c r="AC54" s="19"/>
      <c r="AD54" s="19"/>
      <c r="AE54" s="19"/>
      <c r="AF54" s="9"/>
      <c r="AG54" s="9"/>
      <c r="AH54" s="9"/>
      <c r="AI54" s="9"/>
      <c r="AJ54" s="9"/>
      <c r="AK54" s="9"/>
    </row>
    <row r="55" spans="5:37" ht="14.25" customHeight="1" x14ac:dyDescent="0.2">
      <c r="E55" s="6"/>
      <c r="F55" s="6"/>
      <c r="G55" s="6"/>
      <c r="H55" s="6"/>
      <c r="I55" s="23"/>
      <c r="J55" s="6"/>
      <c r="K55" s="6"/>
      <c r="L55" s="6"/>
      <c r="M55" s="6"/>
      <c r="N55" s="6"/>
      <c r="O55" s="6"/>
      <c r="P55" s="6"/>
      <c r="Q55" s="28"/>
      <c r="R55" s="6"/>
      <c r="S55" s="6"/>
      <c r="T55" s="6"/>
      <c r="U55" s="6"/>
      <c r="V55" s="6"/>
      <c r="W55" s="6"/>
      <c r="X55" s="6"/>
      <c r="Y55" s="6"/>
      <c r="Z55" s="6"/>
      <c r="AA55" s="6"/>
      <c r="AB55" s="6"/>
      <c r="AC55" s="19"/>
      <c r="AD55" s="19"/>
      <c r="AE55" s="19"/>
      <c r="AF55" s="9"/>
      <c r="AG55" s="9"/>
      <c r="AH55" s="9"/>
      <c r="AI55" s="9"/>
      <c r="AJ55" s="9"/>
      <c r="AK55" s="9"/>
    </row>
    <row r="56" spans="5:37" ht="14.25" customHeight="1" x14ac:dyDescent="0.2">
      <c r="E56" s="6"/>
      <c r="F56" s="6"/>
      <c r="G56" s="6"/>
      <c r="H56" s="6"/>
      <c r="I56" s="23"/>
      <c r="J56" s="6"/>
      <c r="K56" s="6"/>
      <c r="L56" s="6"/>
      <c r="M56" s="6"/>
      <c r="N56" s="6"/>
      <c r="O56" s="6"/>
      <c r="P56" s="6"/>
      <c r="Q56" s="28"/>
      <c r="R56" s="6"/>
      <c r="S56" s="6"/>
      <c r="T56" s="6"/>
      <c r="U56" s="6"/>
      <c r="V56" s="6"/>
      <c r="W56" s="6"/>
      <c r="X56" s="6"/>
      <c r="Y56" s="6"/>
      <c r="Z56" s="6"/>
      <c r="AA56" s="6"/>
      <c r="AB56" s="6"/>
      <c r="AC56" s="19"/>
      <c r="AD56" s="19"/>
      <c r="AE56" s="19"/>
      <c r="AF56" s="9"/>
      <c r="AG56" s="9"/>
      <c r="AH56" s="9"/>
      <c r="AI56" s="9"/>
      <c r="AJ56" s="9"/>
      <c r="AK56" s="9"/>
    </row>
    <row r="57" spans="5:37" ht="14.25" customHeight="1" x14ac:dyDescent="0.2">
      <c r="E57" s="6"/>
      <c r="F57" s="6"/>
      <c r="G57" s="6"/>
      <c r="H57" s="6"/>
      <c r="I57" s="23"/>
      <c r="J57" s="6"/>
      <c r="K57" s="6"/>
      <c r="L57" s="6"/>
      <c r="M57" s="6"/>
      <c r="N57" s="6"/>
      <c r="O57" s="6"/>
      <c r="P57" s="6"/>
      <c r="Q57" s="28"/>
      <c r="R57" s="6"/>
      <c r="S57" s="6"/>
      <c r="T57" s="6"/>
      <c r="U57" s="6"/>
      <c r="V57" s="6"/>
      <c r="W57" s="6"/>
      <c r="X57" s="6"/>
      <c r="Y57" s="6"/>
      <c r="Z57" s="6"/>
      <c r="AA57" s="6"/>
      <c r="AB57" s="6"/>
      <c r="AC57" s="19"/>
      <c r="AD57" s="19"/>
      <c r="AE57" s="19"/>
      <c r="AF57" s="9"/>
      <c r="AG57" s="9"/>
      <c r="AH57" s="9"/>
      <c r="AI57" s="9"/>
      <c r="AJ57" s="9"/>
      <c r="AK57" s="9"/>
    </row>
    <row r="58" spans="5:37" ht="14.25" customHeight="1" x14ac:dyDescent="0.2">
      <c r="E58" s="6"/>
      <c r="F58" s="6"/>
      <c r="G58" s="6"/>
      <c r="H58" s="6"/>
      <c r="I58" s="23"/>
      <c r="J58" s="6"/>
      <c r="K58" s="6"/>
      <c r="L58" s="6"/>
      <c r="M58" s="6"/>
      <c r="N58" s="6"/>
      <c r="O58" s="6"/>
      <c r="P58" s="6"/>
      <c r="Q58" s="28"/>
      <c r="R58" s="6"/>
      <c r="S58" s="6"/>
      <c r="T58" s="6"/>
      <c r="U58" s="6"/>
      <c r="V58" s="6"/>
      <c r="W58" s="6"/>
      <c r="X58" s="6"/>
      <c r="Y58" s="6"/>
      <c r="Z58" s="6"/>
      <c r="AA58" s="6"/>
      <c r="AB58" s="6"/>
      <c r="AC58" s="19"/>
      <c r="AD58" s="19"/>
      <c r="AE58" s="19"/>
      <c r="AF58" s="9"/>
      <c r="AG58" s="9"/>
      <c r="AH58" s="9"/>
      <c r="AI58" s="9"/>
      <c r="AJ58" s="9"/>
      <c r="AK58" s="9"/>
    </row>
    <row r="59" spans="5:37" ht="14.25" customHeight="1" x14ac:dyDescent="0.2">
      <c r="E59" s="6"/>
      <c r="F59" s="6"/>
      <c r="G59" s="6"/>
      <c r="H59" s="6"/>
      <c r="I59" s="23"/>
      <c r="J59" s="6"/>
      <c r="K59" s="6"/>
      <c r="L59" s="6"/>
      <c r="M59" s="6"/>
      <c r="N59" s="6"/>
      <c r="O59" s="6"/>
      <c r="P59" s="6"/>
      <c r="Q59" s="28"/>
      <c r="R59" s="6"/>
      <c r="S59" s="6"/>
      <c r="T59" s="6"/>
      <c r="U59" s="6"/>
      <c r="V59" s="6"/>
      <c r="W59" s="6"/>
      <c r="X59" s="6"/>
      <c r="Y59" s="6"/>
      <c r="Z59" s="6"/>
      <c r="AA59" s="6"/>
      <c r="AB59" s="6"/>
      <c r="AC59" s="19"/>
      <c r="AD59" s="19"/>
      <c r="AE59" s="19"/>
      <c r="AF59" s="9"/>
      <c r="AG59" s="9"/>
      <c r="AH59" s="9"/>
      <c r="AI59" s="9"/>
      <c r="AJ59" s="9"/>
      <c r="AK59" s="9"/>
    </row>
    <row r="60" spans="5:37" ht="14.25" customHeight="1" x14ac:dyDescent="0.2">
      <c r="E60" s="6"/>
      <c r="F60" s="6"/>
      <c r="G60" s="6"/>
      <c r="H60" s="6"/>
      <c r="I60" s="23"/>
      <c r="J60" s="6"/>
      <c r="K60" s="6"/>
      <c r="L60" s="6"/>
      <c r="M60" s="6"/>
      <c r="N60" s="6"/>
      <c r="O60" s="6"/>
      <c r="P60" s="6"/>
      <c r="Q60" s="28"/>
      <c r="R60" s="6"/>
      <c r="S60" s="6"/>
      <c r="T60" s="6"/>
      <c r="U60" s="6"/>
      <c r="V60" s="6"/>
      <c r="W60" s="6"/>
      <c r="X60" s="6"/>
      <c r="Y60" s="6"/>
      <c r="Z60" s="6"/>
      <c r="AA60" s="6"/>
      <c r="AB60" s="6"/>
      <c r="AC60" s="19"/>
      <c r="AD60" s="19"/>
      <c r="AE60" s="19"/>
      <c r="AF60" s="9"/>
      <c r="AG60" s="9"/>
      <c r="AH60" s="9"/>
      <c r="AI60" s="9"/>
      <c r="AJ60" s="9"/>
      <c r="AK60" s="9"/>
    </row>
    <row r="61" spans="5:37" ht="14.25" customHeight="1" x14ac:dyDescent="0.2">
      <c r="E61" s="6"/>
      <c r="F61" s="6"/>
      <c r="G61" s="6"/>
      <c r="H61" s="6"/>
      <c r="I61" s="23"/>
      <c r="J61" s="6"/>
      <c r="K61" s="6"/>
      <c r="L61" s="6"/>
      <c r="M61" s="6"/>
      <c r="N61" s="6"/>
      <c r="O61" s="6"/>
      <c r="P61" s="6"/>
      <c r="Q61" s="28"/>
      <c r="R61" s="6"/>
      <c r="S61" s="6"/>
      <c r="T61" s="6"/>
      <c r="U61" s="6"/>
      <c r="V61" s="6"/>
      <c r="W61" s="6"/>
      <c r="X61" s="6"/>
      <c r="Y61" s="6"/>
      <c r="Z61" s="6"/>
      <c r="AA61" s="6"/>
      <c r="AB61" s="6"/>
      <c r="AC61" s="19"/>
      <c r="AD61" s="19"/>
      <c r="AE61" s="19"/>
      <c r="AF61" s="9"/>
      <c r="AG61" s="9"/>
      <c r="AH61" s="9"/>
      <c r="AI61" s="9"/>
      <c r="AJ61" s="9"/>
      <c r="AK61" s="9"/>
    </row>
    <row r="62" spans="5:37" ht="14.25" customHeight="1" x14ac:dyDescent="0.2">
      <c r="E62" s="6"/>
      <c r="F62" s="6"/>
      <c r="G62" s="6"/>
      <c r="H62" s="6"/>
      <c r="I62" s="23"/>
      <c r="J62" s="6"/>
      <c r="K62" s="6"/>
      <c r="L62" s="6"/>
      <c r="M62" s="6"/>
      <c r="N62" s="6"/>
      <c r="O62" s="6"/>
      <c r="P62" s="6"/>
      <c r="Q62" s="28"/>
      <c r="R62" s="6"/>
      <c r="S62" s="6"/>
      <c r="T62" s="6"/>
      <c r="U62" s="6"/>
      <c r="V62" s="6"/>
      <c r="W62" s="6"/>
      <c r="X62" s="6"/>
      <c r="Y62" s="6"/>
      <c r="Z62" s="6"/>
      <c r="AA62" s="6"/>
      <c r="AB62" s="6"/>
      <c r="AC62" s="19"/>
      <c r="AD62" s="19"/>
      <c r="AE62" s="19"/>
      <c r="AF62" s="9"/>
      <c r="AG62" s="9"/>
      <c r="AH62" s="9"/>
      <c r="AI62" s="9"/>
      <c r="AJ62" s="9"/>
      <c r="AK62" s="9"/>
    </row>
    <row r="63" spans="5:37" ht="14.25" customHeight="1" x14ac:dyDescent="0.2">
      <c r="E63" s="6"/>
      <c r="F63" s="6"/>
      <c r="G63" s="6"/>
      <c r="H63" s="6"/>
      <c r="I63" s="23"/>
      <c r="J63" s="6"/>
      <c r="K63" s="6"/>
      <c r="L63" s="6"/>
      <c r="M63" s="6"/>
      <c r="N63" s="6"/>
      <c r="O63" s="6"/>
      <c r="P63" s="6"/>
      <c r="Q63" s="28"/>
      <c r="R63" s="6"/>
      <c r="S63" s="6"/>
      <c r="T63" s="6"/>
      <c r="U63" s="6"/>
      <c r="V63" s="6"/>
      <c r="W63" s="6"/>
      <c r="X63" s="6"/>
      <c r="Y63" s="6"/>
      <c r="Z63" s="6"/>
      <c r="AA63" s="6"/>
      <c r="AB63" s="6"/>
      <c r="AC63" s="19"/>
      <c r="AD63" s="19"/>
      <c r="AE63" s="19"/>
      <c r="AF63" s="9"/>
      <c r="AG63" s="9"/>
      <c r="AH63" s="9"/>
      <c r="AI63" s="9"/>
      <c r="AJ63" s="9"/>
      <c r="AK63" s="9"/>
    </row>
    <row r="64" spans="5:37" ht="14.25" customHeight="1" x14ac:dyDescent="0.2">
      <c r="E64" s="6"/>
      <c r="F64" s="6"/>
      <c r="G64" s="6"/>
      <c r="H64" s="6"/>
      <c r="I64" s="23"/>
      <c r="J64" s="6"/>
      <c r="K64" s="6"/>
      <c r="L64" s="6"/>
      <c r="M64" s="6"/>
      <c r="N64" s="6"/>
      <c r="O64" s="6"/>
      <c r="P64" s="6"/>
      <c r="Q64" s="28"/>
      <c r="R64" s="6"/>
      <c r="S64" s="6"/>
      <c r="T64" s="6"/>
      <c r="U64" s="6"/>
      <c r="V64" s="6"/>
      <c r="W64" s="6"/>
      <c r="X64" s="6"/>
      <c r="Y64" s="6"/>
      <c r="Z64" s="6"/>
      <c r="AA64" s="6"/>
      <c r="AB64" s="6"/>
      <c r="AC64" s="19"/>
      <c r="AD64" s="19"/>
      <c r="AE64" s="19"/>
      <c r="AF64" s="9"/>
      <c r="AG64" s="9"/>
      <c r="AH64" s="9"/>
      <c r="AI64" s="9"/>
      <c r="AJ64" s="9"/>
      <c r="AK64" s="9"/>
    </row>
    <row r="65" spans="5:37" ht="14.25" customHeight="1" x14ac:dyDescent="0.2">
      <c r="E65" s="6"/>
      <c r="F65" s="6"/>
      <c r="G65" s="6"/>
      <c r="H65" s="6"/>
      <c r="I65" s="23"/>
      <c r="J65" s="6"/>
      <c r="K65" s="6"/>
      <c r="L65" s="6"/>
      <c r="M65" s="6"/>
      <c r="N65" s="6"/>
      <c r="O65" s="6"/>
      <c r="P65" s="6"/>
      <c r="Q65" s="28"/>
      <c r="R65" s="6"/>
      <c r="S65" s="6"/>
      <c r="T65" s="6"/>
      <c r="U65" s="6"/>
      <c r="V65" s="6"/>
      <c r="W65" s="6"/>
      <c r="X65" s="6"/>
      <c r="Y65" s="6"/>
      <c r="Z65" s="6"/>
      <c r="AA65" s="6"/>
      <c r="AB65" s="6"/>
      <c r="AC65" s="19"/>
      <c r="AD65" s="19"/>
      <c r="AE65" s="19"/>
      <c r="AF65" s="9"/>
      <c r="AG65" s="9"/>
      <c r="AH65" s="9"/>
      <c r="AI65" s="9"/>
      <c r="AJ65" s="9"/>
      <c r="AK65" s="9"/>
    </row>
    <row r="66" spans="5:37" ht="14.25" customHeight="1" x14ac:dyDescent="0.2">
      <c r="E66" s="6"/>
      <c r="F66" s="6"/>
      <c r="G66" s="6"/>
      <c r="H66" s="6"/>
      <c r="I66" s="23"/>
      <c r="J66" s="6"/>
      <c r="K66" s="6"/>
      <c r="L66" s="6"/>
      <c r="M66" s="6"/>
      <c r="N66" s="6"/>
      <c r="O66" s="6"/>
      <c r="P66" s="6"/>
      <c r="Q66" s="28"/>
      <c r="R66" s="6"/>
      <c r="S66" s="6"/>
      <c r="T66" s="6"/>
      <c r="U66" s="6"/>
      <c r="V66" s="6"/>
      <c r="W66" s="6"/>
      <c r="X66" s="6"/>
      <c r="Y66" s="6"/>
      <c r="Z66" s="6"/>
      <c r="AA66" s="6"/>
      <c r="AB66" s="6"/>
      <c r="AC66" s="19"/>
      <c r="AD66" s="19"/>
      <c r="AE66" s="19"/>
      <c r="AF66" s="9"/>
      <c r="AG66" s="9"/>
      <c r="AH66" s="9"/>
      <c r="AI66" s="9"/>
      <c r="AJ66" s="9"/>
      <c r="AK66" s="9"/>
    </row>
    <row r="67" spans="5:37" ht="14.25" customHeight="1" x14ac:dyDescent="0.2">
      <c r="E67" s="6"/>
      <c r="F67" s="6"/>
      <c r="G67" s="6"/>
      <c r="H67" s="6"/>
      <c r="I67" s="23"/>
      <c r="J67" s="6"/>
      <c r="K67" s="6"/>
      <c r="L67" s="6"/>
      <c r="M67" s="6"/>
      <c r="N67" s="6"/>
      <c r="O67" s="6"/>
      <c r="P67" s="6"/>
      <c r="Q67" s="28"/>
      <c r="R67" s="6"/>
      <c r="S67" s="6"/>
      <c r="T67" s="6"/>
      <c r="U67" s="6"/>
      <c r="V67" s="6"/>
      <c r="W67" s="6"/>
      <c r="X67" s="6"/>
      <c r="Y67" s="6"/>
      <c r="Z67" s="6"/>
      <c r="AA67" s="6"/>
      <c r="AB67" s="6"/>
      <c r="AC67" s="19"/>
      <c r="AD67" s="19"/>
      <c r="AE67" s="19"/>
      <c r="AF67" s="9"/>
      <c r="AG67" s="9"/>
      <c r="AH67" s="9"/>
      <c r="AI67" s="9"/>
      <c r="AJ67" s="9"/>
      <c r="AK67" s="9"/>
    </row>
    <row r="68" spans="5:37" ht="14.25" customHeight="1" x14ac:dyDescent="0.2">
      <c r="E68" s="6"/>
      <c r="F68" s="6"/>
      <c r="G68" s="6"/>
      <c r="H68" s="6"/>
      <c r="I68" s="23"/>
      <c r="J68" s="6"/>
      <c r="K68" s="6"/>
      <c r="L68" s="6"/>
      <c r="M68" s="6"/>
      <c r="N68" s="6"/>
      <c r="O68" s="6"/>
      <c r="P68" s="6"/>
      <c r="Q68" s="28"/>
      <c r="R68" s="6"/>
      <c r="S68" s="6"/>
      <c r="T68" s="6"/>
      <c r="U68" s="6"/>
      <c r="V68" s="6"/>
      <c r="W68" s="6"/>
      <c r="X68" s="6"/>
      <c r="Y68" s="6"/>
      <c r="Z68" s="6"/>
      <c r="AA68" s="6"/>
      <c r="AB68" s="6"/>
      <c r="AC68" s="19"/>
      <c r="AD68" s="19"/>
      <c r="AE68" s="19"/>
      <c r="AF68" s="9"/>
      <c r="AG68" s="9"/>
      <c r="AH68" s="9"/>
      <c r="AI68" s="9"/>
      <c r="AJ68" s="9"/>
      <c r="AK68" s="9"/>
    </row>
    <row r="69" spans="5:37" ht="14.25" customHeight="1" x14ac:dyDescent="0.2">
      <c r="E69" s="6"/>
      <c r="F69" s="6"/>
      <c r="G69" s="6"/>
      <c r="H69" s="6"/>
      <c r="I69" s="23"/>
      <c r="J69" s="6"/>
      <c r="K69" s="6"/>
      <c r="L69" s="6"/>
      <c r="M69" s="6"/>
      <c r="N69" s="6"/>
      <c r="O69" s="6"/>
      <c r="P69" s="6"/>
      <c r="Q69" s="28"/>
      <c r="R69" s="6"/>
      <c r="S69" s="6"/>
      <c r="T69" s="6"/>
      <c r="U69" s="6"/>
      <c r="V69" s="6"/>
      <c r="W69" s="6"/>
      <c r="X69" s="6"/>
      <c r="Y69" s="6"/>
      <c r="Z69" s="6"/>
      <c r="AA69" s="6"/>
      <c r="AB69" s="6"/>
      <c r="AC69" s="19"/>
      <c r="AD69" s="19"/>
      <c r="AE69" s="19"/>
      <c r="AF69" s="9"/>
      <c r="AG69" s="9"/>
      <c r="AH69" s="9"/>
      <c r="AI69" s="9"/>
      <c r="AJ69" s="9"/>
      <c r="AK69" s="9"/>
    </row>
    <row r="70" spans="5:37" ht="14.25" customHeight="1" x14ac:dyDescent="0.2">
      <c r="E70" s="6"/>
      <c r="F70" s="6"/>
      <c r="G70" s="6"/>
      <c r="H70" s="6"/>
      <c r="I70" s="23"/>
      <c r="J70" s="6"/>
      <c r="K70" s="6"/>
      <c r="L70" s="6"/>
      <c r="M70" s="6"/>
      <c r="N70" s="6"/>
      <c r="O70" s="6"/>
      <c r="P70" s="6"/>
      <c r="Q70" s="28"/>
      <c r="R70" s="6"/>
      <c r="S70" s="6"/>
      <c r="T70" s="6"/>
      <c r="U70" s="6"/>
      <c r="V70" s="6"/>
      <c r="W70" s="6"/>
      <c r="X70" s="6"/>
      <c r="Y70" s="6"/>
      <c r="Z70" s="6"/>
      <c r="AA70" s="6"/>
      <c r="AB70" s="6"/>
      <c r="AC70" s="19"/>
      <c r="AD70" s="19"/>
      <c r="AE70" s="19"/>
      <c r="AF70" s="9"/>
      <c r="AG70" s="9"/>
      <c r="AH70" s="9"/>
      <c r="AI70" s="9"/>
      <c r="AJ70" s="9"/>
      <c r="AK70" s="9"/>
    </row>
    <row r="71" spans="5:37" ht="14.25" customHeight="1" x14ac:dyDescent="0.2">
      <c r="E71" s="6"/>
      <c r="F71" s="6"/>
      <c r="G71" s="6"/>
      <c r="H71" s="6"/>
      <c r="I71" s="23"/>
      <c r="J71" s="6"/>
      <c r="K71" s="6"/>
      <c r="L71" s="6"/>
      <c r="M71" s="6"/>
      <c r="N71" s="6"/>
      <c r="O71" s="6"/>
      <c r="P71" s="6"/>
      <c r="Q71" s="28"/>
      <c r="R71" s="6"/>
      <c r="S71" s="6"/>
      <c r="T71" s="6"/>
      <c r="U71" s="6"/>
      <c r="V71" s="6"/>
      <c r="W71" s="6"/>
      <c r="X71" s="6"/>
      <c r="Y71" s="6"/>
      <c r="Z71" s="6"/>
      <c r="AA71" s="6"/>
      <c r="AB71" s="6"/>
      <c r="AC71" s="19"/>
      <c r="AD71" s="19"/>
      <c r="AE71" s="19"/>
      <c r="AF71" s="9"/>
      <c r="AG71" s="9"/>
      <c r="AH71" s="9"/>
      <c r="AI71" s="9"/>
      <c r="AJ71" s="9"/>
      <c r="AK71" s="9"/>
    </row>
    <row r="72" spans="5:37" ht="14.25" customHeight="1" x14ac:dyDescent="0.2">
      <c r="E72" s="6"/>
      <c r="F72" s="6"/>
      <c r="G72" s="6"/>
      <c r="H72" s="6"/>
      <c r="I72" s="23"/>
      <c r="J72" s="6"/>
      <c r="K72" s="6"/>
      <c r="L72" s="6"/>
      <c r="M72" s="6"/>
      <c r="N72" s="6"/>
      <c r="O72" s="6"/>
      <c r="P72" s="6"/>
      <c r="Q72" s="28"/>
      <c r="R72" s="6"/>
      <c r="S72" s="6"/>
      <c r="T72" s="6"/>
      <c r="U72" s="6"/>
      <c r="V72" s="6"/>
      <c r="W72" s="6"/>
      <c r="X72" s="6"/>
      <c r="Y72" s="6"/>
      <c r="Z72" s="6"/>
      <c r="AA72" s="6"/>
      <c r="AB72" s="6"/>
      <c r="AC72" s="19"/>
      <c r="AD72" s="19"/>
      <c r="AE72" s="19"/>
      <c r="AF72" s="9"/>
      <c r="AG72" s="9"/>
      <c r="AH72" s="9"/>
      <c r="AI72" s="9"/>
      <c r="AJ72" s="9"/>
      <c r="AK72" s="9"/>
    </row>
    <row r="73" spans="5:37" ht="14.25" customHeight="1" x14ac:dyDescent="0.2">
      <c r="E73" s="6"/>
      <c r="F73" s="6"/>
      <c r="G73" s="6"/>
      <c r="H73" s="6"/>
      <c r="I73" s="23"/>
      <c r="J73" s="6"/>
      <c r="K73" s="6"/>
      <c r="L73" s="6"/>
      <c r="M73" s="6"/>
      <c r="N73" s="6"/>
      <c r="O73" s="6"/>
      <c r="P73" s="6"/>
      <c r="Q73" s="28"/>
      <c r="R73" s="6"/>
      <c r="S73" s="6"/>
      <c r="T73" s="6"/>
      <c r="U73" s="6"/>
      <c r="V73" s="6"/>
      <c r="W73" s="6"/>
      <c r="X73" s="6"/>
      <c r="Y73" s="6"/>
      <c r="Z73" s="6"/>
      <c r="AA73" s="6"/>
      <c r="AB73" s="6"/>
      <c r="AC73" s="19"/>
      <c r="AD73" s="19"/>
      <c r="AE73" s="19"/>
      <c r="AF73" s="9"/>
      <c r="AG73" s="9"/>
      <c r="AH73" s="9"/>
      <c r="AI73" s="9"/>
      <c r="AJ73" s="9"/>
      <c r="AK73" s="9"/>
    </row>
    <row r="74" spans="5:37" ht="14.25" customHeight="1" x14ac:dyDescent="0.2">
      <c r="E74" s="6"/>
      <c r="F74" s="6"/>
      <c r="G74" s="6"/>
      <c r="H74" s="6"/>
      <c r="I74" s="23"/>
      <c r="J74" s="6"/>
      <c r="K74" s="6"/>
      <c r="L74" s="6"/>
      <c r="M74" s="6"/>
      <c r="N74" s="6"/>
      <c r="O74" s="6"/>
      <c r="P74" s="6"/>
      <c r="Q74" s="28"/>
      <c r="R74" s="6"/>
      <c r="S74" s="6"/>
      <c r="T74" s="6"/>
      <c r="U74" s="6"/>
      <c r="V74" s="6"/>
      <c r="W74" s="6"/>
      <c r="X74" s="6"/>
      <c r="Y74" s="6"/>
      <c r="Z74" s="6"/>
      <c r="AA74" s="6"/>
      <c r="AB74" s="6"/>
      <c r="AC74" s="19"/>
      <c r="AD74" s="19"/>
      <c r="AE74" s="19"/>
      <c r="AF74" s="9"/>
      <c r="AG74" s="9"/>
      <c r="AH74" s="9"/>
      <c r="AI74" s="9"/>
      <c r="AJ74" s="9"/>
      <c r="AK74" s="9"/>
    </row>
    <row r="75" spans="5:37" ht="14.25" customHeight="1" x14ac:dyDescent="0.2">
      <c r="E75" s="6"/>
      <c r="F75" s="6"/>
      <c r="G75" s="6"/>
      <c r="H75" s="6"/>
      <c r="I75" s="23"/>
      <c r="J75" s="6"/>
      <c r="K75" s="6"/>
      <c r="L75" s="6"/>
      <c r="M75" s="6"/>
      <c r="N75" s="6"/>
      <c r="O75" s="6"/>
      <c r="P75" s="6"/>
      <c r="Q75" s="28"/>
      <c r="R75" s="6"/>
      <c r="S75" s="6"/>
      <c r="T75" s="6"/>
      <c r="U75" s="6"/>
      <c r="V75" s="6"/>
      <c r="W75" s="6"/>
      <c r="X75" s="6"/>
      <c r="Y75" s="6"/>
      <c r="Z75" s="6"/>
      <c r="AA75" s="6"/>
      <c r="AB75" s="6"/>
      <c r="AC75" s="19"/>
      <c r="AD75" s="19"/>
      <c r="AE75" s="19"/>
      <c r="AF75" s="9"/>
      <c r="AG75" s="9"/>
      <c r="AH75" s="9"/>
      <c r="AI75" s="9"/>
      <c r="AJ75" s="9"/>
      <c r="AK75" s="9"/>
    </row>
    <row r="76" spans="5:37" ht="14.25" customHeight="1" x14ac:dyDescent="0.2">
      <c r="E76" s="6"/>
      <c r="F76" s="6"/>
      <c r="G76" s="6"/>
      <c r="H76" s="6"/>
      <c r="I76" s="23"/>
      <c r="J76" s="6"/>
      <c r="K76" s="6"/>
      <c r="L76" s="6"/>
      <c r="M76" s="6"/>
      <c r="N76" s="6"/>
      <c r="O76" s="6"/>
      <c r="P76" s="6"/>
      <c r="Q76" s="28"/>
      <c r="R76" s="6"/>
      <c r="S76" s="6"/>
      <c r="T76" s="6"/>
      <c r="U76" s="6"/>
      <c r="V76" s="6"/>
      <c r="W76" s="6"/>
      <c r="X76" s="6"/>
      <c r="Y76" s="6"/>
      <c r="Z76" s="6"/>
      <c r="AA76" s="6"/>
      <c r="AB76" s="6"/>
      <c r="AC76" s="19"/>
      <c r="AD76" s="19"/>
      <c r="AE76" s="19"/>
      <c r="AF76" s="9"/>
      <c r="AG76" s="9"/>
      <c r="AH76" s="9"/>
      <c r="AI76" s="9"/>
      <c r="AJ76" s="9"/>
      <c r="AK76" s="9"/>
    </row>
    <row r="77" spans="5:37" ht="14.25" customHeight="1" x14ac:dyDescent="0.2">
      <c r="E77" s="6"/>
      <c r="F77" s="6"/>
      <c r="G77" s="6"/>
      <c r="H77" s="6"/>
      <c r="I77" s="23"/>
      <c r="J77" s="6"/>
      <c r="K77" s="6"/>
      <c r="L77" s="6"/>
      <c r="M77" s="6"/>
      <c r="N77" s="6"/>
      <c r="O77" s="6"/>
      <c r="P77" s="6"/>
      <c r="Q77" s="28"/>
      <c r="R77" s="6"/>
      <c r="S77" s="6"/>
      <c r="T77" s="6"/>
      <c r="U77" s="6"/>
      <c r="V77" s="6"/>
      <c r="W77" s="6"/>
      <c r="X77" s="6"/>
      <c r="Y77" s="6"/>
      <c r="Z77" s="6"/>
      <c r="AA77" s="6"/>
      <c r="AB77" s="6"/>
      <c r="AC77" s="19"/>
      <c r="AD77" s="19"/>
      <c r="AE77" s="19"/>
      <c r="AF77" s="9"/>
      <c r="AG77" s="9"/>
      <c r="AH77" s="9"/>
      <c r="AI77" s="9"/>
      <c r="AJ77" s="9"/>
      <c r="AK77" s="9"/>
    </row>
    <row r="78" spans="5:37" ht="14.25" customHeight="1" x14ac:dyDescent="0.2">
      <c r="E78" s="6"/>
      <c r="F78" s="6"/>
      <c r="G78" s="6"/>
      <c r="H78" s="6"/>
      <c r="I78" s="23"/>
      <c r="J78" s="6"/>
      <c r="K78" s="6"/>
      <c r="L78" s="6"/>
      <c r="M78" s="6"/>
      <c r="N78" s="6"/>
      <c r="O78" s="6"/>
      <c r="P78" s="6"/>
      <c r="Q78" s="28"/>
      <c r="R78" s="6"/>
      <c r="S78" s="6"/>
      <c r="T78" s="6"/>
      <c r="U78" s="6"/>
      <c r="V78" s="6"/>
      <c r="W78" s="6"/>
      <c r="X78" s="6"/>
      <c r="Y78" s="6"/>
      <c r="Z78" s="6"/>
      <c r="AA78" s="6"/>
      <c r="AB78" s="6"/>
      <c r="AC78" s="19"/>
      <c r="AD78" s="19"/>
      <c r="AE78" s="19"/>
      <c r="AF78" s="9"/>
      <c r="AG78" s="9"/>
      <c r="AH78" s="9"/>
      <c r="AI78" s="9"/>
      <c r="AJ78" s="9"/>
      <c r="AK78" s="9"/>
    </row>
    <row r="79" spans="5:37" ht="14.25" customHeight="1" x14ac:dyDescent="0.2">
      <c r="E79" s="6"/>
      <c r="F79" s="6"/>
      <c r="G79" s="6"/>
      <c r="H79" s="6"/>
      <c r="I79" s="23"/>
      <c r="J79" s="6"/>
      <c r="K79" s="6"/>
      <c r="L79" s="6"/>
      <c r="M79" s="6"/>
      <c r="N79" s="6"/>
      <c r="O79" s="6"/>
      <c r="P79" s="6"/>
      <c r="Q79" s="28"/>
      <c r="R79" s="6"/>
      <c r="S79" s="6"/>
      <c r="T79" s="6"/>
      <c r="U79" s="6"/>
      <c r="V79" s="6"/>
      <c r="W79" s="6"/>
      <c r="X79" s="6"/>
      <c r="Y79" s="6"/>
      <c r="Z79" s="6"/>
      <c r="AA79" s="6"/>
      <c r="AB79" s="6"/>
      <c r="AC79" s="19"/>
      <c r="AD79" s="19"/>
      <c r="AE79" s="19"/>
      <c r="AF79" s="9"/>
      <c r="AG79" s="9"/>
      <c r="AH79" s="9"/>
      <c r="AI79" s="9"/>
      <c r="AJ79" s="9"/>
      <c r="AK79" s="9"/>
    </row>
    <row r="80" spans="5:37" ht="14.25" customHeight="1" x14ac:dyDescent="0.2">
      <c r="E80" s="6"/>
      <c r="F80" s="6"/>
      <c r="G80" s="6"/>
      <c r="H80" s="6"/>
      <c r="I80" s="23"/>
      <c r="J80" s="6"/>
      <c r="K80" s="6"/>
      <c r="L80" s="6"/>
      <c r="M80" s="6"/>
      <c r="N80" s="6"/>
      <c r="O80" s="6"/>
      <c r="P80" s="6"/>
      <c r="Q80" s="28"/>
      <c r="R80" s="6"/>
      <c r="S80" s="6"/>
      <c r="T80" s="6"/>
      <c r="U80" s="6"/>
      <c r="V80" s="6"/>
      <c r="W80" s="6"/>
      <c r="X80" s="6"/>
      <c r="Y80" s="6"/>
      <c r="Z80" s="6"/>
      <c r="AA80" s="6"/>
      <c r="AB80" s="6"/>
      <c r="AC80" s="19"/>
      <c r="AD80" s="19"/>
      <c r="AE80" s="19"/>
      <c r="AF80" s="9"/>
      <c r="AG80" s="9"/>
      <c r="AH80" s="9"/>
      <c r="AI80" s="9"/>
      <c r="AJ80" s="9"/>
      <c r="AK80" s="9"/>
    </row>
    <row r="81" spans="5:37" ht="14.25" customHeight="1" x14ac:dyDescent="0.2">
      <c r="E81" s="6"/>
      <c r="F81" s="6"/>
      <c r="G81" s="6"/>
      <c r="H81" s="6"/>
      <c r="I81" s="23"/>
      <c r="J81" s="6"/>
      <c r="K81" s="6"/>
      <c r="L81" s="6"/>
      <c r="M81" s="6"/>
      <c r="N81" s="6"/>
      <c r="O81" s="6"/>
      <c r="P81" s="6"/>
      <c r="Q81" s="28"/>
      <c r="R81" s="6"/>
      <c r="S81" s="6"/>
      <c r="T81" s="6"/>
      <c r="U81" s="6"/>
      <c r="V81" s="6"/>
      <c r="W81" s="6"/>
      <c r="X81" s="6"/>
      <c r="Y81" s="6"/>
      <c r="Z81" s="6"/>
      <c r="AA81" s="6"/>
      <c r="AB81" s="6"/>
      <c r="AC81" s="19"/>
      <c r="AD81" s="19"/>
      <c r="AE81" s="19"/>
      <c r="AF81" s="9"/>
      <c r="AG81" s="9"/>
      <c r="AH81" s="9"/>
      <c r="AI81" s="9"/>
      <c r="AJ81" s="9"/>
      <c r="AK81" s="9"/>
    </row>
    <row r="82" spans="5:37" ht="14.25" customHeight="1" x14ac:dyDescent="0.2">
      <c r="E82" s="6"/>
      <c r="F82" s="6"/>
      <c r="G82" s="6"/>
      <c r="H82" s="6"/>
      <c r="I82" s="23"/>
      <c r="J82" s="6"/>
      <c r="K82" s="6"/>
      <c r="L82" s="6"/>
      <c r="M82" s="6"/>
      <c r="N82" s="6"/>
      <c r="O82" s="6"/>
      <c r="P82" s="6"/>
      <c r="Q82" s="28"/>
      <c r="R82" s="6"/>
      <c r="S82" s="6"/>
      <c r="T82" s="6"/>
      <c r="U82" s="6"/>
      <c r="V82" s="6"/>
      <c r="W82" s="6"/>
      <c r="X82" s="6"/>
      <c r="Y82" s="6"/>
      <c r="Z82" s="6"/>
      <c r="AA82" s="6"/>
      <c r="AB82" s="6"/>
      <c r="AC82" s="19"/>
      <c r="AD82" s="19"/>
      <c r="AE82" s="19"/>
      <c r="AF82" s="9"/>
      <c r="AG82" s="9"/>
      <c r="AH82" s="9"/>
      <c r="AI82" s="9"/>
      <c r="AJ82" s="9"/>
      <c r="AK82" s="9"/>
    </row>
    <row r="83" spans="5:37" ht="14.25" customHeight="1" x14ac:dyDescent="0.2">
      <c r="E83" s="6"/>
      <c r="F83" s="6"/>
      <c r="G83" s="6"/>
      <c r="H83" s="6"/>
      <c r="I83" s="23"/>
      <c r="J83" s="6"/>
      <c r="K83" s="6"/>
      <c r="L83" s="6"/>
      <c r="M83" s="6"/>
      <c r="N83" s="6"/>
      <c r="O83" s="6"/>
      <c r="P83" s="6"/>
      <c r="Q83" s="28"/>
      <c r="R83" s="6"/>
      <c r="S83" s="6"/>
      <c r="T83" s="6"/>
      <c r="U83" s="6"/>
      <c r="V83" s="6"/>
      <c r="W83" s="6"/>
      <c r="X83" s="6"/>
      <c r="Y83" s="6"/>
      <c r="Z83" s="6"/>
      <c r="AA83" s="6"/>
      <c r="AB83" s="6"/>
      <c r="AC83" s="19"/>
      <c r="AD83" s="19"/>
      <c r="AE83" s="19"/>
      <c r="AF83" s="9"/>
      <c r="AG83" s="9"/>
      <c r="AH83" s="9"/>
      <c r="AI83" s="9"/>
      <c r="AJ83" s="9"/>
      <c r="AK83" s="9"/>
    </row>
    <row r="84" spans="5:37" ht="14.25" customHeight="1" x14ac:dyDescent="0.2">
      <c r="E84" s="6"/>
      <c r="F84" s="6"/>
      <c r="G84" s="6"/>
      <c r="H84" s="6"/>
      <c r="I84" s="23"/>
      <c r="J84" s="6"/>
      <c r="K84" s="6"/>
      <c r="L84" s="6"/>
      <c r="M84" s="6"/>
      <c r="N84" s="6"/>
      <c r="O84" s="6"/>
      <c r="P84" s="6"/>
      <c r="Q84" s="28"/>
      <c r="R84" s="6"/>
      <c r="S84" s="6"/>
      <c r="T84" s="6"/>
      <c r="U84" s="6"/>
      <c r="V84" s="6"/>
      <c r="W84" s="6"/>
      <c r="X84" s="6"/>
      <c r="Y84" s="6"/>
      <c r="Z84" s="6"/>
      <c r="AA84" s="6"/>
      <c r="AB84" s="6"/>
      <c r="AC84" s="19"/>
      <c r="AD84" s="19"/>
      <c r="AE84" s="19"/>
      <c r="AF84" s="9"/>
      <c r="AG84" s="9"/>
      <c r="AH84" s="9"/>
      <c r="AI84" s="9"/>
      <c r="AJ84" s="9"/>
      <c r="AK84" s="9"/>
    </row>
    <row r="85" spans="5:37" ht="14.25" customHeight="1" x14ac:dyDescent="0.2">
      <c r="E85" s="6"/>
      <c r="F85" s="6"/>
      <c r="G85" s="6"/>
      <c r="H85" s="6"/>
      <c r="I85" s="23"/>
      <c r="J85" s="6"/>
      <c r="K85" s="6"/>
      <c r="L85" s="6"/>
      <c r="M85" s="6"/>
      <c r="N85" s="6"/>
      <c r="O85" s="6"/>
      <c r="P85" s="6"/>
      <c r="Q85" s="28"/>
      <c r="R85" s="6"/>
      <c r="S85" s="6"/>
      <c r="T85" s="6"/>
      <c r="U85" s="6"/>
      <c r="V85" s="6"/>
      <c r="W85" s="6"/>
      <c r="X85" s="6"/>
      <c r="Y85" s="6"/>
      <c r="Z85" s="6"/>
      <c r="AA85" s="6"/>
      <c r="AB85" s="6"/>
      <c r="AC85" s="19"/>
      <c r="AD85" s="19"/>
      <c r="AE85" s="19"/>
      <c r="AF85" s="9"/>
      <c r="AG85" s="9"/>
      <c r="AH85" s="9"/>
      <c r="AI85" s="9"/>
      <c r="AJ85" s="9"/>
      <c r="AK85" s="9"/>
    </row>
    <row r="86" spans="5:37" ht="14.25" customHeight="1" x14ac:dyDescent="0.2">
      <c r="E86" s="6"/>
      <c r="F86" s="6"/>
      <c r="G86" s="6"/>
      <c r="H86" s="6"/>
      <c r="I86" s="23"/>
      <c r="J86" s="6"/>
      <c r="K86" s="6"/>
      <c r="L86" s="6"/>
      <c r="M86" s="6"/>
      <c r="N86" s="6"/>
      <c r="O86" s="6"/>
      <c r="P86" s="6"/>
      <c r="Q86" s="28"/>
      <c r="R86" s="6"/>
      <c r="S86" s="6"/>
      <c r="T86" s="6"/>
      <c r="U86" s="6"/>
      <c r="V86" s="6"/>
      <c r="W86" s="6"/>
      <c r="X86" s="6"/>
      <c r="Y86" s="6"/>
      <c r="Z86" s="6"/>
      <c r="AA86" s="6"/>
      <c r="AB86" s="6"/>
      <c r="AC86" s="19"/>
      <c r="AD86" s="19"/>
      <c r="AE86" s="19"/>
      <c r="AF86" s="9"/>
      <c r="AG86" s="9"/>
      <c r="AH86" s="9"/>
      <c r="AI86" s="9"/>
      <c r="AJ86" s="9"/>
      <c r="AK86" s="9"/>
    </row>
    <row r="87" spans="5:37" ht="14.25" customHeight="1" x14ac:dyDescent="0.2">
      <c r="E87" s="6"/>
      <c r="F87" s="6"/>
      <c r="G87" s="6"/>
      <c r="H87" s="6"/>
      <c r="I87" s="23"/>
      <c r="J87" s="6"/>
      <c r="K87" s="6"/>
      <c r="L87" s="6"/>
      <c r="M87" s="6"/>
      <c r="N87" s="6"/>
      <c r="O87" s="6"/>
      <c r="P87" s="6"/>
      <c r="Q87" s="28"/>
      <c r="R87" s="6"/>
      <c r="S87" s="6"/>
      <c r="T87" s="6"/>
      <c r="U87" s="6"/>
      <c r="V87" s="6"/>
      <c r="W87" s="6"/>
      <c r="X87" s="6"/>
      <c r="Y87" s="6"/>
      <c r="Z87" s="6"/>
      <c r="AA87" s="6"/>
      <c r="AB87" s="6"/>
      <c r="AC87" s="19"/>
      <c r="AD87" s="19"/>
      <c r="AE87" s="19"/>
      <c r="AF87" s="9"/>
      <c r="AG87" s="9"/>
      <c r="AH87" s="9"/>
      <c r="AI87" s="9"/>
      <c r="AJ87" s="9"/>
      <c r="AK87" s="9"/>
    </row>
    <row r="88" spans="5:37" ht="14.25" customHeight="1" x14ac:dyDescent="0.2">
      <c r="E88" s="6"/>
      <c r="F88" s="6"/>
      <c r="G88" s="6"/>
      <c r="H88" s="6"/>
      <c r="I88" s="23"/>
      <c r="J88" s="6"/>
      <c r="K88" s="6"/>
      <c r="L88" s="6"/>
      <c r="M88" s="6"/>
      <c r="N88" s="6"/>
      <c r="O88" s="6"/>
      <c r="P88" s="6"/>
      <c r="Q88" s="28"/>
      <c r="R88" s="6"/>
      <c r="S88" s="6"/>
      <c r="T88" s="6"/>
      <c r="U88" s="6"/>
      <c r="V88" s="6"/>
      <c r="W88" s="6"/>
      <c r="X88" s="6"/>
      <c r="Y88" s="6"/>
      <c r="Z88" s="6"/>
      <c r="AA88" s="6"/>
      <c r="AB88" s="6"/>
      <c r="AC88" s="19"/>
      <c r="AD88" s="19"/>
      <c r="AE88" s="19"/>
      <c r="AF88" s="9"/>
      <c r="AG88" s="9"/>
      <c r="AH88" s="9"/>
      <c r="AI88" s="9"/>
      <c r="AJ88" s="9"/>
      <c r="AK88" s="9"/>
    </row>
    <row r="89" spans="5:37" ht="14.25" customHeight="1" x14ac:dyDescent="0.2">
      <c r="E89" s="6"/>
      <c r="F89" s="6"/>
      <c r="G89" s="6"/>
      <c r="H89" s="6"/>
      <c r="I89" s="23"/>
      <c r="J89" s="6"/>
      <c r="K89" s="6"/>
      <c r="L89" s="6"/>
      <c r="M89" s="6"/>
      <c r="N89" s="6"/>
      <c r="O89" s="6"/>
      <c r="P89" s="6"/>
      <c r="Q89" s="28"/>
      <c r="R89" s="6"/>
      <c r="S89" s="6"/>
      <c r="T89" s="6"/>
      <c r="U89" s="6"/>
      <c r="V89" s="6"/>
      <c r="W89" s="6"/>
      <c r="X89" s="6"/>
      <c r="Y89" s="6"/>
      <c r="Z89" s="6"/>
      <c r="AA89" s="6"/>
      <c r="AB89" s="6"/>
      <c r="AC89" s="19"/>
      <c r="AD89" s="19"/>
      <c r="AE89" s="19"/>
      <c r="AF89" s="9"/>
      <c r="AG89" s="9"/>
      <c r="AH89" s="9"/>
      <c r="AI89" s="9"/>
      <c r="AJ89" s="9"/>
      <c r="AK89" s="9"/>
    </row>
    <row r="90" spans="5:37" ht="14.25" customHeight="1" x14ac:dyDescent="0.2">
      <c r="E90" s="6"/>
      <c r="F90" s="6"/>
      <c r="G90" s="6"/>
      <c r="H90" s="6"/>
      <c r="I90" s="23"/>
      <c r="J90" s="6"/>
      <c r="K90" s="6"/>
      <c r="L90" s="6"/>
      <c r="M90" s="6"/>
      <c r="N90" s="6"/>
      <c r="O90" s="6"/>
      <c r="P90" s="6"/>
      <c r="Q90" s="28"/>
      <c r="R90" s="6"/>
      <c r="S90" s="6"/>
      <c r="T90" s="6"/>
      <c r="U90" s="6"/>
      <c r="V90" s="6"/>
      <c r="W90" s="6"/>
      <c r="X90" s="6"/>
      <c r="Y90" s="6"/>
      <c r="Z90" s="6"/>
      <c r="AA90" s="6"/>
      <c r="AB90" s="6"/>
      <c r="AC90" s="19"/>
      <c r="AD90" s="19"/>
      <c r="AE90" s="19"/>
      <c r="AF90" s="9"/>
      <c r="AG90" s="9"/>
      <c r="AH90" s="9"/>
      <c r="AI90" s="9"/>
      <c r="AJ90" s="9"/>
      <c r="AK90" s="9"/>
    </row>
    <row r="91" spans="5:37" ht="14.25" customHeight="1" x14ac:dyDescent="0.2">
      <c r="E91" s="6"/>
      <c r="F91" s="6"/>
      <c r="G91" s="6"/>
      <c r="H91" s="6"/>
      <c r="I91" s="23"/>
      <c r="J91" s="6"/>
      <c r="K91" s="6"/>
      <c r="L91" s="6"/>
      <c r="M91" s="6"/>
      <c r="N91" s="6"/>
      <c r="O91" s="6"/>
      <c r="P91" s="6"/>
      <c r="Q91" s="28"/>
      <c r="R91" s="6"/>
      <c r="S91" s="6"/>
      <c r="T91" s="6"/>
      <c r="U91" s="6"/>
      <c r="V91" s="6"/>
      <c r="W91" s="6"/>
      <c r="X91" s="6"/>
      <c r="Y91" s="6"/>
      <c r="Z91" s="6"/>
      <c r="AA91" s="6"/>
      <c r="AB91" s="6"/>
      <c r="AC91" s="19"/>
      <c r="AD91" s="19"/>
      <c r="AE91" s="19"/>
      <c r="AF91" s="9"/>
      <c r="AG91" s="9"/>
      <c r="AH91" s="9"/>
      <c r="AI91" s="9"/>
      <c r="AJ91" s="9"/>
      <c r="AK91" s="9"/>
    </row>
    <row r="92" spans="5:37" ht="14.25" customHeight="1" x14ac:dyDescent="0.2">
      <c r="E92" s="6"/>
      <c r="F92" s="6"/>
      <c r="G92" s="6"/>
      <c r="H92" s="6"/>
      <c r="I92" s="23"/>
      <c r="J92" s="6"/>
      <c r="K92" s="6"/>
      <c r="L92" s="6"/>
      <c r="M92" s="6"/>
      <c r="N92" s="6"/>
      <c r="O92" s="6"/>
      <c r="P92" s="6"/>
      <c r="Q92" s="28"/>
      <c r="R92" s="6"/>
      <c r="S92" s="6"/>
      <c r="T92" s="6"/>
      <c r="U92" s="6"/>
      <c r="V92" s="6"/>
      <c r="W92" s="6"/>
      <c r="X92" s="6"/>
      <c r="Y92" s="6"/>
      <c r="Z92" s="6"/>
      <c r="AA92" s="6"/>
      <c r="AB92" s="6"/>
      <c r="AC92" s="19"/>
      <c r="AD92" s="19"/>
      <c r="AE92" s="19"/>
      <c r="AF92" s="9"/>
      <c r="AG92" s="9"/>
      <c r="AH92" s="9"/>
      <c r="AI92" s="9"/>
      <c r="AJ92" s="9"/>
      <c r="AK92" s="9"/>
    </row>
    <row r="93" spans="5:37" ht="14.25" customHeight="1" x14ac:dyDescent="0.2">
      <c r="E93" s="6"/>
      <c r="F93" s="6"/>
      <c r="G93" s="6"/>
      <c r="H93" s="6"/>
      <c r="I93" s="23"/>
      <c r="J93" s="6"/>
      <c r="K93" s="6"/>
      <c r="L93" s="6"/>
      <c r="M93" s="6"/>
      <c r="N93" s="6"/>
      <c r="O93" s="6"/>
      <c r="P93" s="6"/>
      <c r="Q93" s="28"/>
      <c r="R93" s="6"/>
      <c r="S93" s="6"/>
      <c r="T93" s="6"/>
      <c r="U93" s="6"/>
      <c r="V93" s="6"/>
      <c r="W93" s="6"/>
      <c r="X93" s="6"/>
      <c r="Y93" s="6"/>
      <c r="Z93" s="6"/>
      <c r="AA93" s="6"/>
      <c r="AB93" s="6"/>
      <c r="AC93" s="19"/>
      <c r="AD93" s="19"/>
      <c r="AE93" s="19"/>
      <c r="AF93" s="9"/>
      <c r="AG93" s="9"/>
      <c r="AH93" s="9"/>
      <c r="AI93" s="9"/>
      <c r="AJ93" s="9"/>
      <c r="AK93" s="9"/>
    </row>
    <row r="94" spans="5:37" ht="14.25" customHeight="1" x14ac:dyDescent="0.2">
      <c r="E94" s="6"/>
      <c r="F94" s="6"/>
      <c r="G94" s="6"/>
      <c r="H94" s="6"/>
      <c r="I94" s="23"/>
      <c r="J94" s="6"/>
      <c r="K94" s="6"/>
      <c r="L94" s="6"/>
      <c r="M94" s="6"/>
      <c r="N94" s="6"/>
      <c r="O94" s="6"/>
      <c r="P94" s="6"/>
      <c r="Q94" s="28"/>
      <c r="R94" s="6"/>
      <c r="S94" s="6"/>
      <c r="T94" s="6"/>
      <c r="U94" s="6"/>
      <c r="V94" s="6"/>
      <c r="W94" s="6"/>
      <c r="X94" s="6"/>
      <c r="Y94" s="6"/>
      <c r="Z94" s="6"/>
      <c r="AA94" s="6"/>
      <c r="AB94" s="6"/>
      <c r="AC94" s="19"/>
      <c r="AD94" s="19"/>
      <c r="AE94" s="19"/>
      <c r="AF94" s="9"/>
      <c r="AG94" s="9"/>
      <c r="AH94" s="9"/>
      <c r="AI94" s="9"/>
      <c r="AJ94" s="9"/>
      <c r="AK94" s="9"/>
    </row>
    <row r="95" spans="5:37" ht="14.25" customHeight="1" x14ac:dyDescent="0.2">
      <c r="E95" s="6"/>
      <c r="F95" s="6"/>
      <c r="G95" s="6"/>
      <c r="H95" s="6"/>
      <c r="I95" s="23"/>
      <c r="J95" s="6"/>
      <c r="K95" s="6"/>
      <c r="L95" s="6"/>
      <c r="M95" s="6"/>
      <c r="N95" s="6"/>
      <c r="O95" s="6"/>
      <c r="P95" s="6"/>
      <c r="Q95" s="28"/>
      <c r="R95" s="6"/>
      <c r="S95" s="6"/>
      <c r="T95" s="6"/>
      <c r="U95" s="6"/>
      <c r="V95" s="6"/>
      <c r="W95" s="6"/>
      <c r="X95" s="6"/>
      <c r="Y95" s="6"/>
      <c r="Z95" s="6"/>
      <c r="AA95" s="6"/>
      <c r="AB95" s="6"/>
      <c r="AC95" s="19"/>
      <c r="AD95" s="19"/>
      <c r="AE95" s="19"/>
      <c r="AF95" s="9"/>
      <c r="AG95" s="9"/>
      <c r="AH95" s="9"/>
      <c r="AI95" s="9"/>
      <c r="AJ95" s="9"/>
      <c r="AK95" s="9"/>
    </row>
    <row r="96" spans="5:37" ht="14.25" customHeight="1" x14ac:dyDescent="0.2">
      <c r="E96" s="6"/>
      <c r="F96" s="6"/>
      <c r="G96" s="6"/>
      <c r="H96" s="6"/>
      <c r="I96" s="23"/>
      <c r="J96" s="6"/>
      <c r="K96" s="6"/>
      <c r="L96" s="6"/>
      <c r="M96" s="6"/>
      <c r="N96" s="6"/>
      <c r="O96" s="6"/>
      <c r="P96" s="6"/>
      <c r="Q96" s="28"/>
      <c r="R96" s="6"/>
      <c r="S96" s="6"/>
      <c r="T96" s="6"/>
      <c r="U96" s="6"/>
      <c r="V96" s="6"/>
      <c r="W96" s="6"/>
      <c r="X96" s="6"/>
      <c r="Y96" s="6"/>
      <c r="Z96" s="6"/>
      <c r="AA96" s="6"/>
      <c r="AB96" s="6"/>
      <c r="AC96" s="19"/>
      <c r="AD96" s="19"/>
      <c r="AE96" s="19"/>
      <c r="AF96" s="9"/>
      <c r="AG96" s="9"/>
      <c r="AH96" s="9"/>
      <c r="AI96" s="9"/>
      <c r="AJ96" s="9"/>
      <c r="AK96" s="9"/>
    </row>
    <row r="97" spans="5:37" ht="14.25" customHeight="1" x14ac:dyDescent="0.2">
      <c r="E97" s="6"/>
      <c r="F97" s="6"/>
      <c r="G97" s="6"/>
      <c r="H97" s="6"/>
      <c r="I97" s="23"/>
      <c r="J97" s="6"/>
      <c r="K97" s="6"/>
      <c r="L97" s="6"/>
      <c r="M97" s="6"/>
      <c r="N97" s="6"/>
      <c r="O97" s="6"/>
      <c r="P97" s="6"/>
      <c r="Q97" s="28"/>
      <c r="R97" s="6"/>
      <c r="S97" s="6"/>
      <c r="T97" s="6"/>
      <c r="U97" s="6"/>
      <c r="V97" s="6"/>
      <c r="W97" s="6"/>
      <c r="X97" s="6"/>
      <c r="Y97" s="6"/>
      <c r="Z97" s="6"/>
      <c r="AA97" s="6"/>
      <c r="AB97" s="6"/>
      <c r="AC97" s="19"/>
      <c r="AD97" s="19"/>
      <c r="AE97" s="19"/>
      <c r="AF97" s="9"/>
      <c r="AG97" s="9"/>
      <c r="AH97" s="9"/>
      <c r="AI97" s="9"/>
      <c r="AJ97" s="9"/>
      <c r="AK97" s="9"/>
    </row>
    <row r="98" spans="5:37" ht="14.25" customHeight="1" x14ac:dyDescent="0.2">
      <c r="E98" s="6"/>
      <c r="F98" s="6"/>
      <c r="G98" s="6"/>
      <c r="H98" s="6"/>
      <c r="I98" s="23"/>
      <c r="J98" s="6"/>
      <c r="K98" s="6"/>
      <c r="L98" s="6"/>
      <c r="M98" s="6"/>
      <c r="N98" s="6"/>
      <c r="O98" s="6"/>
      <c r="P98" s="6"/>
      <c r="Q98" s="28"/>
      <c r="R98" s="6"/>
      <c r="S98" s="6"/>
      <c r="T98" s="6"/>
      <c r="U98" s="6"/>
      <c r="V98" s="6"/>
      <c r="W98" s="6"/>
      <c r="X98" s="6"/>
      <c r="Y98" s="6"/>
      <c r="Z98" s="6"/>
      <c r="AA98" s="6"/>
      <c r="AB98" s="6"/>
      <c r="AC98" s="19"/>
      <c r="AD98" s="19"/>
      <c r="AE98" s="19"/>
      <c r="AF98" s="9"/>
      <c r="AG98" s="9"/>
      <c r="AH98" s="9"/>
      <c r="AI98" s="9"/>
      <c r="AJ98" s="9"/>
      <c r="AK98" s="9"/>
    </row>
    <row r="99" spans="5:37" ht="14.25" customHeight="1" x14ac:dyDescent="0.2">
      <c r="E99" s="6"/>
      <c r="F99" s="6"/>
      <c r="G99" s="6"/>
      <c r="H99" s="6"/>
      <c r="I99" s="23"/>
      <c r="J99" s="6"/>
      <c r="K99" s="6"/>
      <c r="L99" s="6"/>
      <c r="M99" s="6"/>
      <c r="N99" s="6"/>
      <c r="O99" s="6"/>
      <c r="P99" s="6"/>
      <c r="Q99" s="28"/>
      <c r="R99" s="6"/>
      <c r="S99" s="6"/>
      <c r="T99" s="6"/>
      <c r="U99" s="6"/>
      <c r="V99" s="6"/>
      <c r="W99" s="6"/>
      <c r="X99" s="6"/>
      <c r="Y99" s="6"/>
      <c r="Z99" s="6"/>
      <c r="AA99" s="6"/>
      <c r="AB99" s="6"/>
      <c r="AC99" s="19"/>
      <c r="AD99" s="19"/>
      <c r="AE99" s="19"/>
      <c r="AF99" s="9"/>
      <c r="AG99" s="9"/>
      <c r="AH99" s="9"/>
      <c r="AI99" s="9"/>
      <c r="AJ99" s="9"/>
      <c r="AK99" s="9"/>
    </row>
    <row r="100" spans="5:37" ht="14.25" customHeight="1" x14ac:dyDescent="0.2">
      <c r="E100" s="6"/>
      <c r="F100" s="6"/>
      <c r="G100" s="6"/>
      <c r="H100" s="6"/>
      <c r="I100" s="23"/>
      <c r="J100" s="6"/>
      <c r="K100" s="6"/>
      <c r="L100" s="6"/>
      <c r="M100" s="6"/>
      <c r="N100" s="6"/>
      <c r="O100" s="6"/>
      <c r="P100" s="6"/>
      <c r="Q100" s="28"/>
      <c r="R100" s="6"/>
      <c r="S100" s="6"/>
      <c r="T100" s="6"/>
      <c r="U100" s="6"/>
      <c r="V100" s="6"/>
      <c r="W100" s="6"/>
      <c r="X100" s="6"/>
      <c r="Y100" s="6"/>
      <c r="Z100" s="6"/>
      <c r="AA100" s="6"/>
      <c r="AB100" s="6"/>
      <c r="AC100" s="19"/>
      <c r="AD100" s="19"/>
      <c r="AE100" s="19"/>
      <c r="AF100" s="9"/>
      <c r="AG100" s="9"/>
      <c r="AH100" s="9"/>
      <c r="AI100" s="9"/>
      <c r="AJ100" s="9"/>
      <c r="AK100" s="9"/>
    </row>
    <row r="101" spans="5:37" ht="14.25" customHeight="1" x14ac:dyDescent="0.2">
      <c r="E101" s="6"/>
      <c r="F101" s="6"/>
      <c r="G101" s="6"/>
      <c r="H101" s="6"/>
      <c r="I101" s="23"/>
      <c r="J101" s="6"/>
      <c r="K101" s="6"/>
      <c r="L101" s="6"/>
      <c r="M101" s="6"/>
      <c r="N101" s="6"/>
      <c r="O101" s="6"/>
      <c r="P101" s="6"/>
      <c r="Q101" s="28"/>
      <c r="R101" s="6"/>
      <c r="S101" s="6"/>
      <c r="T101" s="6"/>
      <c r="U101" s="6"/>
      <c r="V101" s="6"/>
      <c r="W101" s="6"/>
      <c r="X101" s="6"/>
      <c r="Y101" s="6"/>
      <c r="Z101" s="6"/>
      <c r="AA101" s="6"/>
      <c r="AB101" s="6"/>
      <c r="AC101" s="19"/>
      <c r="AD101" s="19"/>
      <c r="AE101" s="19"/>
      <c r="AF101" s="9"/>
      <c r="AG101" s="9"/>
      <c r="AH101" s="9"/>
      <c r="AI101" s="9"/>
      <c r="AJ101" s="9"/>
      <c r="AK101" s="9"/>
    </row>
    <row r="102" spans="5:37" ht="14.25" customHeight="1" x14ac:dyDescent="0.2">
      <c r="E102" s="6"/>
      <c r="F102" s="6"/>
      <c r="G102" s="6"/>
      <c r="H102" s="6"/>
      <c r="I102" s="23"/>
      <c r="J102" s="6"/>
      <c r="K102" s="6"/>
      <c r="L102" s="6"/>
      <c r="M102" s="6"/>
      <c r="N102" s="6"/>
      <c r="O102" s="6"/>
      <c r="P102" s="6"/>
      <c r="Q102" s="28"/>
      <c r="R102" s="6"/>
      <c r="S102" s="6"/>
      <c r="T102" s="6"/>
      <c r="U102" s="6"/>
      <c r="V102" s="6"/>
      <c r="W102" s="6"/>
      <c r="X102" s="6"/>
      <c r="Y102" s="6"/>
      <c r="Z102" s="6"/>
      <c r="AA102" s="6"/>
      <c r="AB102" s="6"/>
      <c r="AC102" s="19"/>
      <c r="AD102" s="19"/>
      <c r="AE102" s="19"/>
      <c r="AF102" s="9"/>
      <c r="AG102" s="9"/>
      <c r="AH102" s="9"/>
      <c r="AI102" s="9"/>
      <c r="AJ102" s="9"/>
      <c r="AK102" s="9"/>
    </row>
    <row r="103" spans="5:37" ht="14.25" customHeight="1" x14ac:dyDescent="0.2">
      <c r="E103" s="6"/>
      <c r="F103" s="6"/>
      <c r="G103" s="6"/>
      <c r="H103" s="6"/>
      <c r="I103" s="23"/>
      <c r="J103" s="6"/>
      <c r="K103" s="6"/>
      <c r="L103" s="6"/>
      <c r="M103" s="6"/>
      <c r="N103" s="6"/>
      <c r="O103" s="6"/>
      <c r="P103" s="6"/>
      <c r="Q103" s="28"/>
      <c r="R103" s="6"/>
      <c r="S103" s="6"/>
      <c r="T103" s="6"/>
      <c r="U103" s="6"/>
      <c r="V103" s="6"/>
      <c r="W103" s="6"/>
      <c r="X103" s="6"/>
      <c r="Y103" s="6"/>
      <c r="Z103" s="6"/>
      <c r="AA103" s="6"/>
      <c r="AB103" s="6"/>
      <c r="AC103" s="19"/>
      <c r="AD103" s="19"/>
      <c r="AE103" s="19"/>
      <c r="AF103" s="9"/>
      <c r="AG103" s="9"/>
      <c r="AH103" s="9"/>
      <c r="AI103" s="9"/>
      <c r="AJ103" s="9"/>
      <c r="AK103" s="9"/>
    </row>
    <row r="104" spans="5:37" ht="14.25" customHeight="1" x14ac:dyDescent="0.2">
      <c r="E104" s="6"/>
      <c r="F104" s="6"/>
      <c r="G104" s="6"/>
      <c r="H104" s="6"/>
      <c r="I104" s="23"/>
      <c r="J104" s="6"/>
      <c r="K104" s="6"/>
      <c r="L104" s="6"/>
      <c r="M104" s="6"/>
      <c r="N104" s="6"/>
      <c r="O104" s="6"/>
      <c r="P104" s="6"/>
      <c r="Q104" s="28"/>
      <c r="R104" s="6"/>
      <c r="S104" s="6"/>
      <c r="T104" s="6"/>
      <c r="U104" s="6"/>
      <c r="V104" s="6"/>
      <c r="W104" s="6"/>
      <c r="X104" s="6"/>
      <c r="Y104" s="6"/>
      <c r="Z104" s="6"/>
      <c r="AA104" s="6"/>
      <c r="AB104" s="6"/>
      <c r="AC104" s="19"/>
      <c r="AD104" s="19"/>
      <c r="AE104" s="19"/>
      <c r="AF104" s="9"/>
      <c r="AG104" s="9"/>
      <c r="AH104" s="9"/>
      <c r="AI104" s="9"/>
      <c r="AJ104" s="9"/>
      <c r="AK104" s="9"/>
    </row>
    <row r="105" spans="5:37" ht="14.25" customHeight="1" x14ac:dyDescent="0.2">
      <c r="E105" s="6"/>
      <c r="F105" s="6"/>
      <c r="G105" s="6"/>
      <c r="H105" s="6"/>
      <c r="I105" s="23"/>
      <c r="J105" s="6"/>
      <c r="K105" s="6"/>
      <c r="L105" s="6"/>
      <c r="M105" s="6"/>
      <c r="N105" s="6"/>
      <c r="O105" s="6"/>
      <c r="P105" s="6"/>
      <c r="Q105" s="28"/>
      <c r="R105" s="6"/>
      <c r="S105" s="6"/>
      <c r="T105" s="6"/>
      <c r="U105" s="6"/>
      <c r="V105" s="6"/>
      <c r="W105" s="6"/>
      <c r="X105" s="6"/>
      <c r="Y105" s="6"/>
      <c r="Z105" s="6"/>
      <c r="AA105" s="6"/>
      <c r="AB105" s="6"/>
      <c r="AC105" s="19"/>
      <c r="AD105" s="19"/>
      <c r="AE105" s="19"/>
      <c r="AF105" s="9"/>
      <c r="AG105" s="9"/>
      <c r="AH105" s="9"/>
      <c r="AI105" s="9"/>
      <c r="AJ105" s="9"/>
      <c r="AK105" s="9"/>
    </row>
    <row r="106" spans="5:37" ht="14.25" customHeight="1" x14ac:dyDescent="0.2">
      <c r="E106" s="6"/>
      <c r="F106" s="6"/>
      <c r="G106" s="6"/>
      <c r="H106" s="6"/>
      <c r="I106" s="23"/>
      <c r="J106" s="6"/>
      <c r="K106" s="6"/>
      <c r="L106" s="6"/>
      <c r="M106" s="6"/>
      <c r="N106" s="6"/>
      <c r="O106" s="6"/>
      <c r="P106" s="6"/>
      <c r="Q106" s="28"/>
      <c r="R106" s="6"/>
      <c r="S106" s="6"/>
      <c r="T106" s="6"/>
      <c r="U106" s="6"/>
      <c r="V106" s="6"/>
      <c r="W106" s="6"/>
      <c r="X106" s="6"/>
      <c r="Y106" s="6"/>
      <c r="Z106" s="6"/>
      <c r="AA106" s="6"/>
      <c r="AB106" s="6"/>
      <c r="AC106" s="19"/>
      <c r="AD106" s="19"/>
      <c r="AE106" s="19"/>
      <c r="AF106" s="9"/>
      <c r="AG106" s="9"/>
      <c r="AH106" s="9"/>
      <c r="AI106" s="9"/>
      <c r="AJ106" s="9"/>
      <c r="AK106" s="9"/>
    </row>
    <row r="107" spans="5:37" ht="14.25" customHeight="1" x14ac:dyDescent="0.2">
      <c r="E107" s="6"/>
      <c r="F107" s="6"/>
      <c r="G107" s="6"/>
      <c r="H107" s="6"/>
      <c r="I107" s="23"/>
      <c r="J107" s="6"/>
      <c r="K107" s="6"/>
      <c r="L107" s="6"/>
      <c r="M107" s="6"/>
      <c r="N107" s="6"/>
      <c r="O107" s="6"/>
      <c r="P107" s="6"/>
      <c r="Q107" s="28"/>
      <c r="R107" s="6"/>
      <c r="S107" s="6"/>
      <c r="T107" s="6"/>
      <c r="U107" s="6"/>
      <c r="V107" s="6"/>
      <c r="W107" s="6"/>
      <c r="X107" s="6"/>
      <c r="Y107" s="6"/>
      <c r="Z107" s="6"/>
      <c r="AA107" s="6"/>
      <c r="AB107" s="6"/>
      <c r="AC107" s="19"/>
      <c r="AD107" s="19"/>
      <c r="AE107" s="19"/>
      <c r="AF107" s="9"/>
      <c r="AG107" s="9"/>
      <c r="AH107" s="9"/>
      <c r="AI107" s="9"/>
      <c r="AJ107" s="9"/>
      <c r="AK107" s="9"/>
    </row>
    <row r="108" spans="5:37" ht="14.25" customHeight="1" x14ac:dyDescent="0.2">
      <c r="E108" s="6"/>
      <c r="F108" s="6"/>
      <c r="G108" s="6"/>
      <c r="H108" s="6"/>
      <c r="I108" s="23"/>
      <c r="J108" s="6"/>
      <c r="K108" s="6"/>
      <c r="L108" s="6"/>
      <c r="M108" s="6"/>
      <c r="N108" s="6"/>
      <c r="O108" s="6"/>
      <c r="P108" s="6"/>
      <c r="Q108" s="28"/>
      <c r="R108" s="6"/>
      <c r="S108" s="6"/>
      <c r="T108" s="6"/>
      <c r="U108" s="6"/>
      <c r="V108" s="6"/>
      <c r="W108" s="6"/>
      <c r="X108" s="6"/>
      <c r="Y108" s="6"/>
      <c r="Z108" s="6"/>
      <c r="AA108" s="6"/>
      <c r="AB108" s="6"/>
      <c r="AC108" s="19"/>
      <c r="AD108" s="19"/>
      <c r="AE108" s="19"/>
      <c r="AF108" s="9"/>
      <c r="AG108" s="9"/>
      <c r="AH108" s="9"/>
      <c r="AI108" s="9"/>
      <c r="AJ108" s="9"/>
      <c r="AK108" s="9"/>
    </row>
    <row r="109" spans="5:37" ht="14.25" customHeight="1" x14ac:dyDescent="0.2">
      <c r="E109" s="6"/>
      <c r="F109" s="6"/>
      <c r="G109" s="6"/>
      <c r="H109" s="6"/>
      <c r="I109" s="23"/>
      <c r="J109" s="6"/>
      <c r="K109" s="6"/>
      <c r="L109" s="6"/>
      <c r="M109" s="6"/>
      <c r="N109" s="6"/>
      <c r="O109" s="6"/>
      <c r="P109" s="6"/>
      <c r="Q109" s="28"/>
      <c r="R109" s="6"/>
      <c r="S109" s="6"/>
      <c r="T109" s="6"/>
      <c r="U109" s="6"/>
      <c r="V109" s="6"/>
      <c r="W109" s="6"/>
      <c r="X109" s="6"/>
      <c r="Y109" s="6"/>
      <c r="Z109" s="6"/>
      <c r="AA109" s="6"/>
      <c r="AB109" s="6"/>
      <c r="AC109" s="19"/>
      <c r="AD109" s="19"/>
      <c r="AE109" s="19"/>
      <c r="AF109" s="9"/>
      <c r="AG109" s="9"/>
      <c r="AH109" s="9"/>
      <c r="AI109" s="9"/>
      <c r="AJ109" s="9"/>
      <c r="AK109" s="9"/>
    </row>
    <row r="110" spans="5:37" ht="14.25" customHeight="1" x14ac:dyDescent="0.2">
      <c r="E110" s="6"/>
      <c r="F110" s="6"/>
      <c r="G110" s="6"/>
      <c r="H110" s="6"/>
      <c r="I110" s="23"/>
      <c r="J110" s="6"/>
      <c r="K110" s="6"/>
      <c r="L110" s="6"/>
      <c r="M110" s="6"/>
      <c r="N110" s="6"/>
      <c r="O110" s="6"/>
      <c r="P110" s="6"/>
      <c r="Q110" s="28"/>
      <c r="R110" s="6"/>
      <c r="S110" s="6"/>
      <c r="T110" s="6"/>
      <c r="U110" s="6"/>
      <c r="V110" s="6"/>
      <c r="W110" s="6"/>
      <c r="X110" s="6"/>
      <c r="Y110" s="6"/>
      <c r="Z110" s="6"/>
      <c r="AA110" s="6"/>
      <c r="AB110" s="6"/>
      <c r="AC110" s="19"/>
      <c r="AD110" s="19"/>
      <c r="AE110" s="19"/>
      <c r="AF110" s="9"/>
      <c r="AG110" s="9"/>
      <c r="AH110" s="9"/>
      <c r="AI110" s="9"/>
      <c r="AJ110" s="9"/>
      <c r="AK110" s="9"/>
    </row>
    <row r="111" spans="5:37" ht="14.25" customHeight="1" x14ac:dyDescent="0.2">
      <c r="E111" s="6"/>
      <c r="F111" s="6"/>
      <c r="G111" s="6"/>
      <c r="H111" s="6"/>
      <c r="I111" s="23"/>
      <c r="J111" s="6"/>
      <c r="K111" s="6"/>
      <c r="L111" s="6"/>
      <c r="M111" s="6"/>
      <c r="N111" s="6"/>
      <c r="O111" s="6"/>
      <c r="P111" s="6"/>
      <c r="Q111" s="28"/>
      <c r="R111" s="6"/>
      <c r="S111" s="6"/>
      <c r="T111" s="6"/>
      <c r="U111" s="6"/>
      <c r="V111" s="6"/>
      <c r="W111" s="6"/>
      <c r="X111" s="6"/>
      <c r="Y111" s="6"/>
      <c r="Z111" s="6"/>
      <c r="AA111" s="6"/>
      <c r="AB111" s="6"/>
      <c r="AC111" s="19"/>
      <c r="AD111" s="19"/>
      <c r="AE111" s="19"/>
      <c r="AF111" s="9"/>
      <c r="AG111" s="9"/>
      <c r="AH111" s="9"/>
      <c r="AI111" s="9"/>
      <c r="AJ111" s="9"/>
      <c r="AK111" s="9"/>
    </row>
    <row r="112" spans="5:37" ht="14.25" customHeight="1" x14ac:dyDescent="0.2">
      <c r="E112" s="6"/>
      <c r="F112" s="6"/>
      <c r="G112" s="6"/>
      <c r="H112" s="6"/>
      <c r="I112" s="23"/>
      <c r="J112" s="6"/>
      <c r="K112" s="6"/>
      <c r="L112" s="6"/>
      <c r="M112" s="6"/>
      <c r="N112" s="6"/>
      <c r="O112" s="6"/>
      <c r="P112" s="6"/>
      <c r="Q112" s="28"/>
      <c r="R112" s="6"/>
      <c r="S112" s="6"/>
      <c r="T112" s="6"/>
      <c r="U112" s="6"/>
      <c r="V112" s="6"/>
      <c r="W112" s="6"/>
      <c r="X112" s="6"/>
      <c r="Y112" s="6"/>
      <c r="Z112" s="6"/>
      <c r="AA112" s="6"/>
      <c r="AB112" s="6"/>
      <c r="AC112" s="19"/>
      <c r="AD112" s="19"/>
      <c r="AE112" s="19"/>
      <c r="AF112" s="9"/>
      <c r="AG112" s="9"/>
      <c r="AH112" s="9"/>
      <c r="AI112" s="9"/>
      <c r="AJ112" s="9"/>
      <c r="AK112" s="9"/>
    </row>
    <row r="113" spans="5:37" ht="14.25" customHeight="1" x14ac:dyDescent="0.2">
      <c r="E113" s="6"/>
      <c r="F113" s="6"/>
      <c r="G113" s="6"/>
      <c r="H113" s="6"/>
      <c r="I113" s="23"/>
      <c r="J113" s="6"/>
      <c r="K113" s="6"/>
      <c r="L113" s="6"/>
      <c r="M113" s="6"/>
      <c r="N113" s="6"/>
      <c r="O113" s="6"/>
      <c r="P113" s="6"/>
      <c r="Q113" s="28"/>
      <c r="R113" s="6"/>
      <c r="S113" s="6"/>
      <c r="T113" s="6"/>
      <c r="U113" s="6"/>
      <c r="V113" s="6"/>
      <c r="W113" s="6"/>
      <c r="X113" s="6"/>
      <c r="Y113" s="6"/>
      <c r="Z113" s="6"/>
      <c r="AA113" s="6"/>
      <c r="AB113" s="6"/>
      <c r="AC113" s="19"/>
      <c r="AD113" s="19"/>
      <c r="AE113" s="19"/>
      <c r="AF113" s="9"/>
      <c r="AG113" s="9"/>
      <c r="AH113" s="9"/>
      <c r="AI113" s="9"/>
      <c r="AJ113" s="9"/>
      <c r="AK113" s="9"/>
    </row>
    <row r="114" spans="5:37" ht="14.25" customHeight="1" x14ac:dyDescent="0.2">
      <c r="E114" s="6"/>
      <c r="F114" s="6"/>
      <c r="G114" s="6"/>
      <c r="H114" s="6"/>
      <c r="I114" s="23"/>
      <c r="J114" s="6"/>
      <c r="K114" s="6"/>
      <c r="L114" s="6"/>
      <c r="M114" s="6"/>
      <c r="N114" s="6"/>
      <c r="O114" s="6"/>
      <c r="P114" s="6"/>
      <c r="Q114" s="28"/>
      <c r="R114" s="6"/>
      <c r="S114" s="6"/>
      <c r="T114" s="6"/>
      <c r="U114" s="6"/>
      <c r="V114" s="6"/>
      <c r="W114" s="6"/>
      <c r="X114" s="6"/>
      <c r="Y114" s="6"/>
      <c r="Z114" s="6"/>
      <c r="AA114" s="6"/>
      <c r="AB114" s="6"/>
      <c r="AC114" s="19"/>
      <c r="AD114" s="19"/>
      <c r="AE114" s="19"/>
      <c r="AF114" s="9"/>
      <c r="AG114" s="9"/>
      <c r="AH114" s="9"/>
      <c r="AI114" s="9"/>
      <c r="AJ114" s="9"/>
      <c r="AK114" s="9"/>
    </row>
    <row r="115" spans="5:37" ht="14.25" customHeight="1" x14ac:dyDescent="0.2">
      <c r="E115" s="6"/>
      <c r="F115" s="6"/>
      <c r="G115" s="6"/>
      <c r="H115" s="6"/>
      <c r="I115" s="23"/>
      <c r="J115" s="6"/>
      <c r="K115" s="6"/>
      <c r="L115" s="6"/>
      <c r="M115" s="6"/>
      <c r="N115" s="6"/>
      <c r="O115" s="6"/>
      <c r="P115" s="6"/>
      <c r="Q115" s="28"/>
      <c r="R115" s="6"/>
      <c r="S115" s="6"/>
      <c r="T115" s="6"/>
      <c r="U115" s="6"/>
      <c r="V115" s="6"/>
      <c r="W115" s="6"/>
      <c r="X115" s="6"/>
      <c r="Y115" s="6"/>
      <c r="Z115" s="6"/>
      <c r="AA115" s="6"/>
      <c r="AB115" s="6"/>
      <c r="AC115" s="19"/>
      <c r="AD115" s="19"/>
      <c r="AE115" s="19"/>
      <c r="AF115" s="9"/>
      <c r="AG115" s="9"/>
      <c r="AH115" s="9"/>
      <c r="AI115" s="9"/>
      <c r="AJ115" s="9"/>
      <c r="AK115" s="9"/>
    </row>
    <row r="116" spans="5:37" ht="14.25" customHeight="1" x14ac:dyDescent="0.2">
      <c r="E116" s="6"/>
      <c r="F116" s="6"/>
      <c r="G116" s="6"/>
      <c r="H116" s="6"/>
      <c r="I116" s="23"/>
      <c r="J116" s="6"/>
      <c r="K116" s="6"/>
      <c r="L116" s="6"/>
      <c r="M116" s="6"/>
      <c r="N116" s="6"/>
      <c r="O116" s="6"/>
      <c r="P116" s="6"/>
      <c r="Q116" s="28"/>
      <c r="R116" s="6"/>
      <c r="S116" s="6"/>
      <c r="T116" s="6"/>
      <c r="U116" s="6"/>
      <c r="V116" s="6"/>
      <c r="W116" s="6"/>
      <c r="X116" s="6"/>
      <c r="Y116" s="6"/>
      <c r="Z116" s="6"/>
      <c r="AA116" s="6"/>
      <c r="AB116" s="6"/>
      <c r="AC116" s="19"/>
      <c r="AD116" s="19"/>
      <c r="AE116" s="19"/>
      <c r="AF116" s="9"/>
      <c r="AG116" s="9"/>
      <c r="AH116" s="9"/>
      <c r="AI116" s="9"/>
      <c r="AJ116" s="9"/>
      <c r="AK116" s="9"/>
    </row>
    <row r="117" spans="5:37" ht="14.25" customHeight="1" x14ac:dyDescent="0.2">
      <c r="E117" s="6"/>
      <c r="F117" s="6"/>
      <c r="G117" s="6"/>
      <c r="H117" s="6"/>
      <c r="I117" s="23"/>
      <c r="J117" s="6"/>
      <c r="K117" s="6"/>
      <c r="L117" s="6"/>
      <c r="M117" s="6"/>
      <c r="N117" s="6"/>
      <c r="O117" s="6"/>
      <c r="P117" s="6"/>
      <c r="Q117" s="28"/>
      <c r="R117" s="6"/>
      <c r="S117" s="6"/>
      <c r="T117" s="6"/>
      <c r="U117" s="6"/>
      <c r="V117" s="6"/>
      <c r="W117" s="6"/>
      <c r="X117" s="6"/>
      <c r="Y117" s="6"/>
      <c r="Z117" s="6"/>
      <c r="AA117" s="6"/>
      <c r="AB117" s="6"/>
      <c r="AC117" s="19"/>
      <c r="AD117" s="19"/>
      <c r="AE117" s="19"/>
      <c r="AF117" s="9"/>
      <c r="AG117" s="9"/>
      <c r="AH117" s="9"/>
      <c r="AI117" s="9"/>
      <c r="AJ117" s="9"/>
      <c r="AK117" s="9"/>
    </row>
    <row r="118" spans="5:37" ht="14.25" customHeight="1" x14ac:dyDescent="0.2">
      <c r="E118" s="6"/>
      <c r="F118" s="6"/>
      <c r="G118" s="6"/>
      <c r="H118" s="6"/>
      <c r="I118" s="23"/>
      <c r="J118" s="6"/>
      <c r="K118" s="6"/>
      <c r="L118" s="6"/>
      <c r="M118" s="6"/>
      <c r="N118" s="6"/>
      <c r="O118" s="6"/>
      <c r="P118" s="6"/>
      <c r="Q118" s="28"/>
      <c r="R118" s="6"/>
      <c r="S118" s="6"/>
      <c r="T118" s="6"/>
      <c r="U118" s="6"/>
      <c r="V118" s="6"/>
      <c r="W118" s="6"/>
      <c r="X118" s="6"/>
      <c r="Y118" s="6"/>
      <c r="Z118" s="6"/>
      <c r="AA118" s="6"/>
      <c r="AB118" s="6"/>
      <c r="AC118" s="19"/>
      <c r="AD118" s="19"/>
      <c r="AE118" s="19"/>
      <c r="AF118" s="9"/>
      <c r="AG118" s="9"/>
      <c r="AH118" s="9"/>
      <c r="AI118" s="9"/>
      <c r="AJ118" s="9"/>
      <c r="AK118" s="9"/>
    </row>
    <row r="119" spans="5:37" ht="14.25" customHeight="1" x14ac:dyDescent="0.2">
      <c r="K119" s="6"/>
      <c r="L119" s="6"/>
      <c r="S119" s="6"/>
      <c r="T119" s="6"/>
      <c r="AI119" s="9"/>
      <c r="AJ119" s="9"/>
      <c r="AK119" s="9"/>
    </row>
    <row r="120" spans="5:37" ht="14.25" customHeight="1" x14ac:dyDescent="0.2">
      <c r="J120" s="6"/>
      <c r="K120" s="6"/>
      <c r="L120" s="6"/>
    </row>
    <row r="122" spans="5:37" ht="14.25" customHeight="1" x14ac:dyDescent="0.2">
      <c r="J122" s="8"/>
      <c r="K122" s="8"/>
      <c r="L122" s="8"/>
    </row>
  </sheetData>
  <mergeCells count="1">
    <mergeCell ref="A1:B2"/>
  </mergeCells>
  <phoneticPr fontId="1"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3B07AA-6FD0-419B-BF8A-B2C3D964FE92}">
  <sheetPr codeName="Sheet8"/>
  <dimension ref="A1:R104"/>
  <sheetViews>
    <sheetView workbookViewId="0">
      <pane xSplit="2" ySplit="2" topLeftCell="C3" activePane="bottomRight" state="frozen"/>
      <selection pane="topRight" activeCell="C1" sqref="C1"/>
      <selection pane="bottomLeft" activeCell="A4" sqref="A4"/>
      <selection pane="bottomRight" activeCell="F6" sqref="F6"/>
    </sheetView>
  </sheetViews>
  <sheetFormatPr defaultRowHeight="14.25" x14ac:dyDescent="0.2"/>
  <cols>
    <col min="1" max="16384" width="9" style="1"/>
  </cols>
  <sheetData>
    <row r="1" spans="1:18" ht="14.25" customHeight="1" x14ac:dyDescent="0.2">
      <c r="A1" s="95" t="s">
        <v>116</v>
      </c>
      <c r="B1" s="96"/>
    </row>
    <row r="2" spans="1:18" ht="14.25" customHeight="1" x14ac:dyDescent="0.2">
      <c r="A2" s="97"/>
      <c r="B2" s="98"/>
      <c r="Q2" s="27"/>
      <c r="R2" s="27"/>
    </row>
    <row r="3" spans="1:18" ht="14.25" customHeight="1" x14ac:dyDescent="0.2">
      <c r="C3" s="19"/>
      <c r="D3" s="19"/>
      <c r="E3" s="19"/>
      <c r="F3" s="19"/>
      <c r="G3" s="19"/>
      <c r="H3" s="9"/>
      <c r="I3" s="9"/>
      <c r="J3" s="9"/>
      <c r="K3" s="9"/>
      <c r="L3" s="9"/>
      <c r="M3" s="9"/>
    </row>
    <row r="4" spans="1:18" ht="14.25" customHeight="1" x14ac:dyDescent="0.2">
      <c r="B4" s="6"/>
      <c r="C4" s="31" t="s">
        <v>125</v>
      </c>
      <c r="D4" s="2" t="s">
        <v>155</v>
      </c>
      <c r="E4" s="19"/>
      <c r="F4" s="19"/>
      <c r="G4" s="19"/>
      <c r="H4" s="9"/>
      <c r="I4" s="9"/>
      <c r="J4" s="9"/>
      <c r="K4" s="9"/>
      <c r="L4" s="9"/>
      <c r="M4" s="9"/>
    </row>
    <row r="5" spans="1:18" ht="14.25" customHeight="1" x14ac:dyDescent="0.2">
      <c r="B5" s="6"/>
      <c r="C5" s="19"/>
      <c r="D5" s="10">
        <v>0.2</v>
      </c>
      <c r="E5" s="2" t="s">
        <v>130</v>
      </c>
      <c r="F5" s="19"/>
      <c r="G5" s="19"/>
      <c r="H5" s="9"/>
      <c r="I5" s="9"/>
      <c r="J5" s="9"/>
      <c r="K5" s="9"/>
      <c r="L5" s="9"/>
      <c r="M5" s="18"/>
    </row>
    <row r="6" spans="1:18" ht="14.25" customHeight="1" x14ac:dyDescent="0.2">
      <c r="C6" s="19"/>
      <c r="D6" s="19" t="s">
        <v>23</v>
      </c>
      <c r="E6" s="5">
        <f>D5</f>
        <v>0.2</v>
      </c>
      <c r="F6" s="19"/>
      <c r="G6" s="19"/>
      <c r="H6" s="9"/>
      <c r="I6" s="9"/>
      <c r="J6" s="9"/>
      <c r="K6" s="9"/>
      <c r="L6" s="9"/>
      <c r="M6" s="9"/>
    </row>
    <row r="7" spans="1:18" ht="14.25" customHeight="1" x14ac:dyDescent="0.2">
      <c r="C7" s="19"/>
      <c r="D7" s="19" t="s">
        <v>26</v>
      </c>
      <c r="E7" s="5">
        <f>((1+$D$5)*(1+F7*(G7-1))-1)/(G7-1)-F7</f>
        <v>0.47999999999999987</v>
      </c>
      <c r="F7" s="21">
        <v>0.4</v>
      </c>
      <c r="G7" s="21">
        <v>1.5</v>
      </c>
      <c r="H7" s="9"/>
      <c r="I7" s="9"/>
      <c r="J7" s="9"/>
      <c r="K7" s="9"/>
      <c r="L7" s="9"/>
      <c r="M7" s="9"/>
    </row>
    <row r="8" spans="1:18" ht="14.25" customHeight="1" x14ac:dyDescent="0.2">
      <c r="B8" s="25"/>
      <c r="C8" s="19"/>
      <c r="D8" s="19" t="s">
        <v>71</v>
      </c>
      <c r="E8" s="5">
        <f>((1+$D$5)*(1+F8*(G8-1))-1)/F8+1-G8</f>
        <v>0.59999999999999964</v>
      </c>
      <c r="F8" s="21">
        <v>0.4</v>
      </c>
      <c r="G8" s="21">
        <v>1.5</v>
      </c>
      <c r="H8" s="9"/>
      <c r="I8" s="9"/>
      <c r="J8" s="6"/>
      <c r="K8" s="9"/>
      <c r="L8" s="9"/>
      <c r="M8" s="9"/>
    </row>
    <row r="9" spans="1:18" ht="14.25" customHeight="1" x14ac:dyDescent="0.2">
      <c r="B9" s="25"/>
      <c r="C9" s="19"/>
      <c r="D9" s="19" t="s">
        <v>124</v>
      </c>
      <c r="E9" s="5">
        <f>D5</f>
        <v>0.2</v>
      </c>
      <c r="G9" s="19"/>
      <c r="H9" s="9"/>
      <c r="I9" s="9"/>
      <c r="J9" s="6"/>
      <c r="K9" s="18"/>
      <c r="L9" s="9"/>
      <c r="M9" s="9"/>
      <c r="O9" s="90"/>
    </row>
    <row r="10" spans="1:18" ht="14.25" customHeight="1" x14ac:dyDescent="0.2">
      <c r="B10" s="25"/>
      <c r="C10" s="19"/>
      <c r="D10" s="19" t="s">
        <v>123</v>
      </c>
      <c r="E10" s="4">
        <f>1-(1-(1+$D$5)*(1-F10))-F10</f>
        <v>9.9999999999999978E-2</v>
      </c>
      <c r="F10" s="20">
        <v>0.5</v>
      </c>
      <c r="G10" s="19"/>
      <c r="H10" s="9"/>
      <c r="I10" s="9"/>
      <c r="J10" s="9"/>
      <c r="K10" s="9"/>
      <c r="L10" s="9"/>
      <c r="M10" s="6"/>
    </row>
    <row r="11" spans="1:18" ht="14.25" customHeight="1" x14ac:dyDescent="0.2">
      <c r="B11" s="25"/>
      <c r="C11" s="19"/>
      <c r="D11" s="19" t="s">
        <v>24</v>
      </c>
      <c r="E11" s="19">
        <f>100000/(1-E10-F10)-100000</f>
        <v>150000</v>
      </c>
      <c r="F11" s="20">
        <f>E11/G11</f>
        <v>1.5</v>
      </c>
      <c r="G11" s="19">
        <v>100000</v>
      </c>
      <c r="H11" s="9"/>
      <c r="I11" s="9"/>
      <c r="J11" s="9"/>
      <c r="K11" s="9"/>
      <c r="L11" s="9"/>
      <c r="M11" s="9"/>
    </row>
    <row r="12" spans="1:18" ht="14.25" customHeight="1" x14ac:dyDescent="0.2">
      <c r="B12" s="25"/>
      <c r="C12" s="19"/>
      <c r="D12" s="19"/>
      <c r="E12" s="19"/>
      <c r="F12" s="19"/>
      <c r="G12" s="19"/>
      <c r="H12" s="9"/>
      <c r="I12" s="9"/>
      <c r="J12" s="9"/>
      <c r="K12" s="9"/>
      <c r="L12" s="9"/>
      <c r="M12" s="9"/>
    </row>
    <row r="13" spans="1:18" ht="14.25" customHeight="1" x14ac:dyDescent="0.2">
      <c r="B13" s="25"/>
      <c r="C13" s="19"/>
      <c r="D13" s="19"/>
      <c r="E13" s="19"/>
      <c r="F13" s="19"/>
      <c r="G13" s="19"/>
      <c r="H13" s="9"/>
      <c r="I13" s="9"/>
      <c r="J13" s="9"/>
      <c r="K13" s="9"/>
      <c r="L13" s="9"/>
      <c r="M13" s="9"/>
    </row>
    <row r="14" spans="1:18" ht="14.25" customHeight="1" x14ac:dyDescent="0.2">
      <c r="B14" s="6"/>
      <c r="C14" s="19"/>
      <c r="D14" s="19"/>
      <c r="E14" s="19"/>
      <c r="F14" s="19"/>
      <c r="G14" s="19"/>
      <c r="H14" s="9"/>
      <c r="I14" s="9"/>
      <c r="J14" s="9"/>
      <c r="K14" s="9"/>
      <c r="L14" s="9"/>
      <c r="M14" s="9"/>
    </row>
    <row r="15" spans="1:18" ht="14.25" customHeight="1" x14ac:dyDescent="0.2">
      <c r="B15" s="6"/>
      <c r="C15" s="19"/>
      <c r="D15" s="19"/>
      <c r="E15" s="19"/>
      <c r="F15" s="19"/>
      <c r="G15" s="4"/>
      <c r="H15" s="9"/>
      <c r="I15" s="9"/>
      <c r="J15" s="9"/>
      <c r="K15" s="9"/>
      <c r="L15" s="9"/>
      <c r="M15" s="9"/>
    </row>
    <row r="16" spans="1:18" ht="14.25" customHeight="1" x14ac:dyDescent="0.2">
      <c r="C16" s="19"/>
      <c r="D16" s="19"/>
      <c r="E16" s="19"/>
      <c r="F16" s="19"/>
      <c r="G16" s="19"/>
      <c r="H16" s="9"/>
      <c r="I16" s="9"/>
      <c r="J16" s="9"/>
      <c r="K16" s="9"/>
      <c r="L16" s="9"/>
      <c r="M16" s="9"/>
    </row>
    <row r="17" spans="3:13" ht="14.25" customHeight="1" x14ac:dyDescent="0.2">
      <c r="C17" s="19"/>
      <c r="D17" s="19"/>
      <c r="E17" s="19"/>
      <c r="F17" s="19"/>
      <c r="G17" s="19"/>
      <c r="H17" s="9"/>
      <c r="I17" s="9"/>
      <c r="J17" s="9"/>
      <c r="K17" s="9"/>
      <c r="L17" s="9"/>
      <c r="M17" s="9"/>
    </row>
    <row r="18" spans="3:13" ht="14.25" customHeight="1" x14ac:dyDescent="0.2">
      <c r="C18" s="19"/>
      <c r="D18" s="19"/>
      <c r="E18" s="19"/>
      <c r="F18" s="19"/>
      <c r="G18" s="19"/>
      <c r="H18" s="9"/>
      <c r="I18" s="9"/>
      <c r="J18" s="9"/>
      <c r="K18" s="9"/>
      <c r="L18" s="9"/>
      <c r="M18" s="9"/>
    </row>
    <row r="19" spans="3:13" ht="14.25" customHeight="1" x14ac:dyDescent="0.2">
      <c r="C19" s="19"/>
      <c r="D19" s="19"/>
      <c r="E19" s="19"/>
      <c r="F19" s="19"/>
      <c r="G19" s="19"/>
      <c r="H19" s="9"/>
      <c r="I19" s="9"/>
      <c r="J19" s="9"/>
      <c r="K19" s="9"/>
      <c r="L19" s="9"/>
      <c r="M19" s="9"/>
    </row>
    <row r="20" spans="3:13" ht="14.25" customHeight="1" x14ac:dyDescent="0.2">
      <c r="C20" s="19"/>
      <c r="D20" s="19"/>
      <c r="E20" s="19"/>
      <c r="F20" s="19"/>
      <c r="G20" s="19"/>
      <c r="H20" s="9"/>
      <c r="I20" s="9"/>
      <c r="J20" s="9"/>
      <c r="K20" s="9"/>
      <c r="L20" s="9"/>
      <c r="M20" s="9"/>
    </row>
    <row r="21" spans="3:13" ht="14.25" customHeight="1" x14ac:dyDescent="0.2">
      <c r="C21" s="19"/>
      <c r="D21" s="19"/>
      <c r="E21" s="19"/>
      <c r="F21" s="19"/>
      <c r="G21" s="19"/>
      <c r="H21" s="9"/>
      <c r="I21" s="9"/>
      <c r="J21" s="9"/>
      <c r="K21" s="9"/>
      <c r="L21" s="9"/>
      <c r="M21" s="9"/>
    </row>
    <row r="22" spans="3:13" ht="14.25" customHeight="1" x14ac:dyDescent="0.2">
      <c r="C22" s="19"/>
      <c r="D22" s="19"/>
      <c r="E22" s="19"/>
      <c r="F22" s="19"/>
      <c r="G22" s="19"/>
      <c r="H22" s="9"/>
      <c r="I22" s="9"/>
      <c r="J22" s="9"/>
      <c r="K22" s="9"/>
      <c r="L22" s="9"/>
      <c r="M22" s="9"/>
    </row>
    <row r="23" spans="3:13" ht="14.25" customHeight="1" x14ac:dyDescent="0.2">
      <c r="C23" s="19"/>
      <c r="D23" s="19"/>
      <c r="E23" s="19"/>
      <c r="F23" s="19"/>
      <c r="G23" s="19"/>
      <c r="H23" s="9"/>
      <c r="I23" s="9"/>
      <c r="J23" s="9"/>
      <c r="K23" s="9"/>
      <c r="L23" s="9"/>
      <c r="M23" s="9"/>
    </row>
    <row r="24" spans="3:13" ht="14.25" customHeight="1" x14ac:dyDescent="0.2">
      <c r="C24" s="19"/>
      <c r="D24" s="19"/>
      <c r="E24" s="19"/>
      <c r="F24" s="19"/>
      <c r="G24" s="19"/>
      <c r="H24" s="9"/>
      <c r="I24" s="9"/>
      <c r="J24" s="9"/>
      <c r="K24" s="9"/>
      <c r="L24" s="9"/>
      <c r="M24" s="9"/>
    </row>
    <row r="25" spans="3:13" ht="14.25" customHeight="1" x14ac:dyDescent="0.2">
      <c r="C25" s="19"/>
      <c r="D25" s="19"/>
      <c r="E25" s="19"/>
      <c r="F25" s="19"/>
      <c r="G25" s="19"/>
      <c r="H25" s="9"/>
      <c r="I25" s="9"/>
      <c r="J25" s="9"/>
      <c r="K25" s="9"/>
      <c r="L25" s="9"/>
      <c r="M25" s="9"/>
    </row>
    <row r="26" spans="3:13" ht="14.25" customHeight="1" x14ac:dyDescent="0.2">
      <c r="C26" s="19"/>
      <c r="D26" s="19"/>
      <c r="E26" s="19"/>
      <c r="F26" s="19"/>
      <c r="G26" s="19"/>
      <c r="H26" s="9"/>
      <c r="I26" s="9"/>
      <c r="J26" s="9"/>
      <c r="K26" s="9"/>
      <c r="L26" s="9"/>
      <c r="M26" s="9"/>
    </row>
    <row r="27" spans="3:13" ht="14.25" customHeight="1" x14ac:dyDescent="0.2">
      <c r="C27" s="19"/>
      <c r="D27" s="19"/>
      <c r="E27" s="19"/>
      <c r="F27" s="19"/>
      <c r="G27" s="19"/>
      <c r="H27" s="9"/>
      <c r="I27" s="9"/>
      <c r="J27" s="9"/>
      <c r="K27" s="9"/>
      <c r="L27" s="9"/>
      <c r="M27" s="9"/>
    </row>
    <row r="28" spans="3:13" ht="14.25" customHeight="1" x14ac:dyDescent="0.2">
      <c r="C28" s="19"/>
      <c r="D28" s="19"/>
      <c r="E28" s="19"/>
      <c r="F28" s="19"/>
      <c r="G28" s="19"/>
      <c r="H28" s="9"/>
      <c r="I28" s="9"/>
      <c r="J28" s="9"/>
      <c r="K28" s="9"/>
      <c r="L28" s="9"/>
      <c r="M28" s="9"/>
    </row>
    <row r="29" spans="3:13" ht="14.25" customHeight="1" x14ac:dyDescent="0.2">
      <c r="C29" s="19"/>
      <c r="D29" s="19"/>
      <c r="E29" s="19"/>
      <c r="F29" s="19"/>
      <c r="G29" s="19"/>
      <c r="H29" s="9"/>
      <c r="I29" s="9"/>
      <c r="J29" s="9"/>
      <c r="K29" s="9"/>
      <c r="L29" s="9"/>
      <c r="M29" s="9"/>
    </row>
    <row r="30" spans="3:13" ht="14.25" customHeight="1" x14ac:dyDescent="0.2">
      <c r="C30" s="19"/>
      <c r="D30" s="19"/>
      <c r="E30" s="19"/>
      <c r="F30" s="19"/>
      <c r="G30" s="19"/>
      <c r="H30" s="9"/>
      <c r="I30" s="9"/>
      <c r="J30" s="9"/>
      <c r="K30" s="9"/>
      <c r="L30" s="9"/>
      <c r="M30" s="9"/>
    </row>
    <row r="31" spans="3:13" ht="14.25" customHeight="1" x14ac:dyDescent="0.2">
      <c r="C31" s="19"/>
      <c r="D31" s="19"/>
      <c r="E31" s="19"/>
      <c r="F31" s="19"/>
      <c r="G31" s="19"/>
      <c r="H31" s="9"/>
      <c r="I31" s="9"/>
      <c r="J31" s="9"/>
      <c r="K31" s="9"/>
      <c r="L31" s="9"/>
      <c r="M31" s="9"/>
    </row>
    <row r="32" spans="3:13" ht="14.25" customHeight="1" x14ac:dyDescent="0.2">
      <c r="C32" s="19"/>
      <c r="D32" s="19"/>
      <c r="E32" s="19"/>
      <c r="F32" s="19"/>
      <c r="G32" s="19"/>
      <c r="H32" s="9"/>
      <c r="I32" s="9"/>
      <c r="J32" s="9"/>
      <c r="K32" s="9"/>
      <c r="L32" s="9"/>
      <c r="M32" s="9"/>
    </row>
    <row r="33" spans="3:13" ht="14.25" customHeight="1" x14ac:dyDescent="0.2">
      <c r="C33" s="19"/>
      <c r="D33" s="19"/>
      <c r="E33" s="19"/>
      <c r="F33" s="19"/>
      <c r="G33" s="19"/>
      <c r="H33" s="9"/>
      <c r="I33" s="9"/>
      <c r="J33" s="9"/>
      <c r="K33" s="9"/>
      <c r="L33" s="9"/>
      <c r="M33" s="9"/>
    </row>
    <row r="34" spans="3:13" ht="14.25" customHeight="1" x14ac:dyDescent="0.2">
      <c r="C34" s="19"/>
      <c r="D34" s="19"/>
      <c r="E34" s="19"/>
      <c r="F34" s="19"/>
      <c r="G34" s="19"/>
      <c r="H34" s="9"/>
      <c r="I34" s="9"/>
      <c r="J34" s="9"/>
      <c r="K34" s="9"/>
      <c r="L34" s="9"/>
      <c r="M34" s="9"/>
    </row>
    <row r="35" spans="3:13" ht="14.25" customHeight="1" x14ac:dyDescent="0.2">
      <c r="C35" s="19"/>
      <c r="D35" s="19"/>
      <c r="E35" s="19"/>
      <c r="F35" s="19"/>
      <c r="G35" s="19"/>
      <c r="H35" s="9"/>
      <c r="I35" s="9"/>
      <c r="J35" s="9"/>
      <c r="K35" s="9"/>
      <c r="L35" s="9"/>
      <c r="M35" s="9"/>
    </row>
    <row r="36" spans="3:13" ht="14.25" customHeight="1" x14ac:dyDescent="0.2">
      <c r="C36" s="19"/>
      <c r="D36" s="19"/>
      <c r="E36" s="19"/>
      <c r="F36" s="19"/>
      <c r="G36" s="19"/>
      <c r="H36" s="9"/>
      <c r="I36" s="9"/>
      <c r="J36" s="9"/>
      <c r="K36" s="9"/>
      <c r="L36" s="9"/>
      <c r="M36" s="9"/>
    </row>
    <row r="37" spans="3:13" ht="14.25" customHeight="1" x14ac:dyDescent="0.2">
      <c r="C37" s="19"/>
      <c r="D37" s="19"/>
      <c r="E37" s="19"/>
      <c r="F37" s="19"/>
      <c r="G37" s="19"/>
      <c r="H37" s="9"/>
      <c r="I37" s="9"/>
      <c r="J37" s="9"/>
      <c r="K37" s="9"/>
      <c r="L37" s="9"/>
      <c r="M37" s="9"/>
    </row>
    <row r="38" spans="3:13" ht="14.25" customHeight="1" x14ac:dyDescent="0.2">
      <c r="C38" s="19"/>
      <c r="D38" s="19"/>
      <c r="E38" s="19"/>
      <c r="F38" s="19"/>
      <c r="G38" s="19"/>
      <c r="H38" s="9"/>
      <c r="I38" s="9"/>
      <c r="J38" s="9"/>
      <c r="K38" s="9"/>
      <c r="L38" s="9"/>
      <c r="M38" s="9"/>
    </row>
    <row r="39" spans="3:13" ht="14.25" customHeight="1" x14ac:dyDescent="0.2">
      <c r="C39" s="19"/>
      <c r="D39" s="19"/>
      <c r="E39" s="19"/>
      <c r="F39" s="19"/>
      <c r="G39" s="19"/>
      <c r="H39" s="9"/>
      <c r="I39" s="9"/>
      <c r="J39" s="9"/>
      <c r="K39" s="9"/>
      <c r="L39" s="9"/>
      <c r="M39" s="9"/>
    </row>
    <row r="40" spans="3:13" ht="14.25" customHeight="1" x14ac:dyDescent="0.2">
      <c r="C40" s="19"/>
      <c r="D40" s="19"/>
      <c r="E40" s="19"/>
      <c r="F40" s="19"/>
      <c r="G40" s="19"/>
      <c r="H40" s="9"/>
      <c r="I40" s="9"/>
      <c r="J40" s="9"/>
      <c r="K40" s="9"/>
      <c r="L40" s="9"/>
      <c r="M40" s="9"/>
    </row>
    <row r="41" spans="3:13" ht="14.25" customHeight="1" x14ac:dyDescent="0.2">
      <c r="C41" s="19"/>
      <c r="D41" s="19"/>
      <c r="E41" s="19"/>
      <c r="F41" s="19"/>
      <c r="G41" s="19"/>
      <c r="H41" s="9"/>
      <c r="I41" s="9"/>
      <c r="J41" s="9"/>
      <c r="K41" s="9"/>
      <c r="L41" s="9"/>
      <c r="M41" s="9"/>
    </row>
    <row r="42" spans="3:13" ht="14.25" customHeight="1" x14ac:dyDescent="0.2">
      <c r="C42" s="19"/>
      <c r="D42" s="19"/>
      <c r="E42" s="19"/>
      <c r="F42" s="19"/>
      <c r="G42" s="19"/>
      <c r="H42" s="9"/>
      <c r="I42" s="9"/>
      <c r="J42" s="9"/>
      <c r="K42" s="9"/>
      <c r="L42" s="9"/>
      <c r="M42" s="9"/>
    </row>
    <row r="43" spans="3:13" ht="14.25" customHeight="1" x14ac:dyDescent="0.2">
      <c r="C43" s="19"/>
      <c r="D43" s="19"/>
      <c r="E43" s="19"/>
      <c r="F43" s="19"/>
      <c r="G43" s="19"/>
      <c r="H43" s="9"/>
      <c r="I43" s="9"/>
      <c r="J43" s="9"/>
      <c r="K43" s="9"/>
      <c r="L43" s="9"/>
      <c r="M43" s="9"/>
    </row>
    <row r="44" spans="3:13" ht="14.25" customHeight="1" x14ac:dyDescent="0.2">
      <c r="C44" s="19"/>
      <c r="D44" s="19"/>
      <c r="E44" s="19"/>
      <c r="F44" s="19"/>
      <c r="G44" s="19"/>
      <c r="H44" s="9"/>
      <c r="I44" s="9"/>
      <c r="J44" s="9"/>
      <c r="K44" s="9"/>
      <c r="L44" s="9"/>
      <c r="M44" s="9"/>
    </row>
    <row r="45" spans="3:13" ht="14.25" customHeight="1" x14ac:dyDescent="0.2">
      <c r="C45" s="19"/>
      <c r="D45" s="19"/>
      <c r="E45" s="19"/>
      <c r="F45" s="19"/>
      <c r="G45" s="19"/>
      <c r="H45" s="9"/>
      <c r="I45" s="9"/>
      <c r="J45" s="9"/>
      <c r="K45" s="9"/>
      <c r="L45" s="9"/>
      <c r="M45" s="9"/>
    </row>
    <row r="46" spans="3:13" ht="14.25" customHeight="1" x14ac:dyDescent="0.2">
      <c r="C46" s="19"/>
      <c r="D46" s="19"/>
      <c r="E46" s="19"/>
      <c r="F46" s="19"/>
      <c r="G46" s="19"/>
      <c r="H46" s="9"/>
      <c r="I46" s="9"/>
      <c r="J46" s="9"/>
      <c r="K46" s="9"/>
      <c r="L46" s="9"/>
      <c r="M46" s="9"/>
    </row>
    <row r="47" spans="3:13" ht="14.25" customHeight="1" x14ac:dyDescent="0.2">
      <c r="C47" s="19"/>
      <c r="D47" s="19"/>
      <c r="E47" s="19"/>
      <c r="F47" s="19"/>
      <c r="G47" s="19"/>
      <c r="H47" s="9"/>
      <c r="I47" s="9"/>
      <c r="J47" s="9"/>
      <c r="K47" s="9"/>
      <c r="L47" s="9"/>
      <c r="M47" s="9"/>
    </row>
    <row r="48" spans="3:13" ht="14.25" customHeight="1" x14ac:dyDescent="0.2">
      <c r="C48" s="19"/>
      <c r="D48" s="19"/>
      <c r="E48" s="19"/>
      <c r="F48" s="19"/>
      <c r="G48" s="19"/>
      <c r="H48" s="9"/>
      <c r="I48" s="9"/>
      <c r="J48" s="9"/>
      <c r="K48" s="9"/>
      <c r="L48" s="9"/>
      <c r="M48" s="9"/>
    </row>
    <row r="49" spans="3:13" ht="14.25" customHeight="1" x14ac:dyDescent="0.2">
      <c r="C49" s="19"/>
      <c r="D49" s="19"/>
      <c r="E49" s="19"/>
      <c r="F49" s="19"/>
      <c r="G49" s="19"/>
      <c r="H49" s="9"/>
      <c r="I49" s="9"/>
      <c r="J49" s="9"/>
      <c r="K49" s="9"/>
      <c r="L49" s="9"/>
      <c r="M49" s="9"/>
    </row>
    <row r="50" spans="3:13" ht="14.25" customHeight="1" x14ac:dyDescent="0.2">
      <c r="C50" s="19"/>
      <c r="D50" s="19"/>
      <c r="E50" s="19"/>
      <c r="F50" s="19"/>
      <c r="G50" s="19"/>
      <c r="H50" s="9"/>
      <c r="I50" s="9"/>
      <c r="J50" s="9"/>
      <c r="K50" s="9"/>
      <c r="L50" s="9"/>
      <c r="M50" s="9"/>
    </row>
    <row r="51" spans="3:13" ht="14.25" customHeight="1" x14ac:dyDescent="0.2">
      <c r="C51" s="19"/>
      <c r="D51" s="19"/>
      <c r="E51" s="19"/>
      <c r="F51" s="19"/>
      <c r="G51" s="19"/>
      <c r="H51" s="9"/>
      <c r="I51" s="9"/>
      <c r="J51" s="9"/>
      <c r="K51" s="9"/>
      <c r="L51" s="9"/>
      <c r="M51" s="9"/>
    </row>
    <row r="52" spans="3:13" ht="14.25" customHeight="1" x14ac:dyDescent="0.2">
      <c r="C52" s="19"/>
      <c r="D52" s="19"/>
      <c r="E52" s="19"/>
      <c r="F52" s="19"/>
      <c r="G52" s="19"/>
      <c r="H52" s="9"/>
      <c r="I52" s="9"/>
      <c r="J52" s="9"/>
      <c r="K52" s="9"/>
      <c r="L52" s="9"/>
      <c r="M52" s="9"/>
    </row>
    <row r="53" spans="3:13" ht="14.25" customHeight="1" x14ac:dyDescent="0.2">
      <c r="C53" s="19"/>
      <c r="D53" s="19"/>
      <c r="E53" s="19"/>
      <c r="F53" s="19"/>
      <c r="G53" s="19"/>
      <c r="H53" s="9"/>
      <c r="I53" s="9"/>
      <c r="J53" s="9"/>
      <c r="K53" s="9"/>
      <c r="L53" s="9"/>
      <c r="M53" s="9"/>
    </row>
    <row r="54" spans="3:13" ht="14.25" customHeight="1" x14ac:dyDescent="0.2">
      <c r="C54" s="19"/>
      <c r="D54" s="19"/>
      <c r="E54" s="19"/>
      <c r="F54" s="19"/>
      <c r="G54" s="19"/>
      <c r="H54" s="9"/>
      <c r="I54" s="9"/>
      <c r="J54" s="9"/>
      <c r="K54" s="9"/>
      <c r="L54" s="9"/>
      <c r="M54" s="9"/>
    </row>
    <row r="55" spans="3:13" ht="14.25" customHeight="1" x14ac:dyDescent="0.2">
      <c r="C55" s="19"/>
      <c r="D55" s="19"/>
      <c r="E55" s="19"/>
      <c r="F55" s="19"/>
      <c r="G55" s="19"/>
      <c r="H55" s="9"/>
      <c r="I55" s="9"/>
      <c r="J55" s="9"/>
      <c r="K55" s="9"/>
      <c r="L55" s="9"/>
      <c r="M55" s="9"/>
    </row>
    <row r="56" spans="3:13" ht="14.25" customHeight="1" x14ac:dyDescent="0.2">
      <c r="C56" s="19"/>
      <c r="D56" s="19"/>
      <c r="E56" s="19"/>
      <c r="F56" s="19"/>
      <c r="G56" s="19"/>
      <c r="H56" s="9"/>
      <c r="I56" s="9"/>
      <c r="J56" s="9"/>
      <c r="K56" s="9"/>
      <c r="L56" s="9"/>
      <c r="M56" s="9"/>
    </row>
    <row r="57" spans="3:13" ht="14.25" customHeight="1" x14ac:dyDescent="0.2">
      <c r="C57" s="19"/>
      <c r="D57" s="19"/>
      <c r="E57" s="19"/>
      <c r="F57" s="19"/>
      <c r="G57" s="19"/>
      <c r="H57" s="9"/>
      <c r="I57" s="9"/>
      <c r="J57" s="9"/>
      <c r="K57" s="9"/>
      <c r="L57" s="9"/>
      <c r="M57" s="9"/>
    </row>
    <row r="58" spans="3:13" ht="14.25" customHeight="1" x14ac:dyDescent="0.2">
      <c r="C58" s="19"/>
      <c r="D58" s="19"/>
      <c r="E58" s="19"/>
      <c r="F58" s="19"/>
      <c r="G58" s="19"/>
      <c r="H58" s="9"/>
      <c r="I58" s="9"/>
      <c r="J58" s="9"/>
      <c r="K58" s="9"/>
      <c r="L58" s="9"/>
      <c r="M58" s="9"/>
    </row>
    <row r="59" spans="3:13" ht="14.25" customHeight="1" x14ac:dyDescent="0.2">
      <c r="C59" s="19"/>
      <c r="D59" s="19"/>
      <c r="E59" s="19"/>
      <c r="F59" s="19"/>
      <c r="G59" s="19"/>
      <c r="H59" s="9"/>
      <c r="I59" s="9"/>
      <c r="J59" s="9"/>
      <c r="K59" s="9"/>
      <c r="L59" s="9"/>
      <c r="M59" s="9"/>
    </row>
    <row r="60" spans="3:13" ht="14.25" customHeight="1" x14ac:dyDescent="0.2">
      <c r="C60" s="19"/>
      <c r="D60" s="19"/>
      <c r="E60" s="19"/>
      <c r="F60" s="19"/>
      <c r="G60" s="19"/>
      <c r="H60" s="9"/>
      <c r="I60" s="9"/>
      <c r="J60" s="9"/>
      <c r="K60" s="9"/>
      <c r="L60" s="9"/>
      <c r="M60" s="9"/>
    </row>
    <row r="61" spans="3:13" ht="14.25" customHeight="1" x14ac:dyDescent="0.2">
      <c r="C61" s="19"/>
      <c r="D61" s="19"/>
      <c r="E61" s="19"/>
      <c r="F61" s="19"/>
      <c r="G61" s="19"/>
      <c r="H61" s="9"/>
      <c r="I61" s="9"/>
      <c r="J61" s="9"/>
      <c r="K61" s="9"/>
      <c r="L61" s="9"/>
      <c r="M61" s="9"/>
    </row>
    <row r="62" spans="3:13" ht="14.25" customHeight="1" x14ac:dyDescent="0.2">
      <c r="C62" s="19"/>
      <c r="D62" s="19"/>
      <c r="E62" s="19"/>
      <c r="F62" s="19"/>
      <c r="G62" s="19"/>
      <c r="H62" s="9"/>
      <c r="I62" s="9"/>
      <c r="J62" s="9"/>
      <c r="K62" s="9"/>
      <c r="L62" s="9"/>
      <c r="M62" s="9"/>
    </row>
    <row r="63" spans="3:13" ht="14.25" customHeight="1" x14ac:dyDescent="0.2">
      <c r="C63" s="19"/>
      <c r="D63" s="19"/>
      <c r="E63" s="19"/>
      <c r="F63" s="19"/>
      <c r="G63" s="19"/>
      <c r="H63" s="9"/>
      <c r="I63" s="9"/>
      <c r="J63" s="9"/>
      <c r="K63" s="9"/>
      <c r="L63" s="9"/>
      <c r="M63" s="9"/>
    </row>
    <row r="64" spans="3:13" ht="14.25" customHeight="1" x14ac:dyDescent="0.2">
      <c r="C64" s="19"/>
      <c r="D64" s="19"/>
      <c r="E64" s="19"/>
      <c r="F64" s="19"/>
      <c r="G64" s="19"/>
      <c r="H64" s="9"/>
      <c r="I64" s="9"/>
      <c r="J64" s="9"/>
      <c r="K64" s="9"/>
      <c r="L64" s="9"/>
      <c r="M64" s="9"/>
    </row>
    <row r="65" spans="3:13" ht="14.25" customHeight="1" x14ac:dyDescent="0.2">
      <c r="C65" s="19"/>
      <c r="D65" s="19"/>
      <c r="E65" s="19"/>
      <c r="F65" s="19"/>
      <c r="G65" s="19"/>
      <c r="H65" s="9"/>
      <c r="I65" s="9"/>
      <c r="J65" s="9"/>
      <c r="K65" s="9"/>
      <c r="L65" s="9"/>
      <c r="M65" s="9"/>
    </row>
    <row r="66" spans="3:13" ht="14.25" customHeight="1" x14ac:dyDescent="0.2">
      <c r="C66" s="19"/>
      <c r="D66" s="19"/>
      <c r="E66" s="19"/>
      <c r="F66" s="19"/>
      <c r="G66" s="19"/>
      <c r="H66" s="9"/>
      <c r="I66" s="9"/>
      <c r="J66" s="9"/>
      <c r="K66" s="9"/>
      <c r="L66" s="9"/>
      <c r="M66" s="9"/>
    </row>
    <row r="67" spans="3:13" ht="14.25" customHeight="1" x14ac:dyDescent="0.2">
      <c r="C67" s="19"/>
      <c r="D67" s="19"/>
      <c r="E67" s="19"/>
      <c r="F67" s="19"/>
      <c r="G67" s="19"/>
      <c r="H67" s="9"/>
      <c r="I67" s="9"/>
      <c r="J67" s="9"/>
      <c r="K67" s="9"/>
      <c r="L67" s="9"/>
      <c r="M67" s="9"/>
    </row>
    <row r="68" spans="3:13" ht="14.25" customHeight="1" x14ac:dyDescent="0.2">
      <c r="C68" s="19"/>
      <c r="D68" s="19"/>
      <c r="E68" s="19"/>
      <c r="F68" s="19"/>
      <c r="G68" s="19"/>
      <c r="H68" s="9"/>
      <c r="I68" s="9"/>
      <c r="J68" s="9"/>
      <c r="K68" s="9"/>
      <c r="L68" s="9"/>
      <c r="M68" s="9"/>
    </row>
    <row r="69" spans="3:13" ht="14.25" customHeight="1" x14ac:dyDescent="0.2">
      <c r="C69" s="19"/>
      <c r="D69" s="19"/>
      <c r="E69" s="19"/>
      <c r="F69" s="19"/>
      <c r="G69" s="19"/>
      <c r="H69" s="9"/>
      <c r="I69" s="9"/>
      <c r="J69" s="9"/>
      <c r="K69" s="9"/>
      <c r="L69" s="9"/>
      <c r="M69" s="9"/>
    </row>
    <row r="70" spans="3:13" ht="14.25" customHeight="1" x14ac:dyDescent="0.2">
      <c r="C70" s="19"/>
      <c r="D70" s="19"/>
      <c r="E70" s="19"/>
      <c r="F70" s="19"/>
      <c r="G70" s="19"/>
      <c r="H70" s="9"/>
      <c r="I70" s="9"/>
      <c r="J70" s="9"/>
      <c r="K70" s="9"/>
      <c r="L70" s="9"/>
      <c r="M70" s="9"/>
    </row>
    <row r="71" spans="3:13" ht="14.25" customHeight="1" x14ac:dyDescent="0.2">
      <c r="C71" s="19"/>
      <c r="D71" s="19"/>
      <c r="E71" s="19"/>
      <c r="F71" s="19"/>
      <c r="G71" s="19"/>
      <c r="H71" s="9"/>
      <c r="I71" s="9"/>
      <c r="J71" s="9"/>
      <c r="K71" s="9"/>
      <c r="L71" s="9"/>
      <c r="M71" s="9"/>
    </row>
    <row r="72" spans="3:13" ht="14.25" customHeight="1" x14ac:dyDescent="0.2">
      <c r="C72" s="19"/>
      <c r="D72" s="19"/>
      <c r="E72" s="19"/>
      <c r="F72" s="19"/>
      <c r="G72" s="19"/>
      <c r="H72" s="9"/>
      <c r="I72" s="9"/>
      <c r="J72" s="9"/>
      <c r="K72" s="9"/>
      <c r="L72" s="9"/>
      <c r="M72" s="9"/>
    </row>
    <row r="73" spans="3:13" ht="14.25" customHeight="1" x14ac:dyDescent="0.2">
      <c r="C73" s="19"/>
      <c r="D73" s="19"/>
      <c r="E73" s="19"/>
      <c r="F73" s="19"/>
      <c r="G73" s="19"/>
      <c r="H73" s="9"/>
      <c r="I73" s="9"/>
      <c r="J73" s="9"/>
      <c r="K73" s="9"/>
      <c r="L73" s="9"/>
      <c r="M73" s="9"/>
    </row>
    <row r="74" spans="3:13" ht="14.25" customHeight="1" x14ac:dyDescent="0.2">
      <c r="C74" s="19"/>
      <c r="D74" s="19"/>
      <c r="E74" s="19"/>
      <c r="F74" s="19"/>
      <c r="G74" s="19"/>
      <c r="H74" s="9"/>
      <c r="I74" s="9"/>
      <c r="J74" s="9"/>
      <c r="K74" s="9"/>
      <c r="L74" s="9"/>
      <c r="M74" s="9"/>
    </row>
    <row r="75" spans="3:13" ht="14.25" customHeight="1" x14ac:dyDescent="0.2">
      <c r="C75" s="19"/>
      <c r="D75" s="19"/>
      <c r="E75" s="19"/>
      <c r="F75" s="19"/>
      <c r="G75" s="19"/>
      <c r="H75" s="9"/>
      <c r="I75" s="9"/>
      <c r="J75" s="9"/>
      <c r="K75" s="9"/>
      <c r="L75" s="9"/>
      <c r="M75" s="9"/>
    </row>
    <row r="76" spans="3:13" ht="14.25" customHeight="1" x14ac:dyDescent="0.2">
      <c r="C76" s="19"/>
      <c r="D76" s="19"/>
      <c r="E76" s="19"/>
      <c r="F76" s="19"/>
      <c r="G76" s="19"/>
      <c r="H76" s="9"/>
      <c r="I76" s="9"/>
      <c r="J76" s="9"/>
      <c r="K76" s="9"/>
      <c r="L76" s="9"/>
      <c r="M76" s="9"/>
    </row>
    <row r="77" spans="3:13" ht="14.25" customHeight="1" x14ac:dyDescent="0.2">
      <c r="C77" s="19"/>
      <c r="D77" s="19"/>
      <c r="E77" s="19"/>
      <c r="F77" s="19"/>
      <c r="G77" s="19"/>
      <c r="H77" s="9"/>
      <c r="I77" s="9"/>
      <c r="J77" s="9"/>
      <c r="K77" s="9"/>
      <c r="L77" s="9"/>
      <c r="M77" s="9"/>
    </row>
    <row r="78" spans="3:13" ht="14.25" customHeight="1" x14ac:dyDescent="0.2">
      <c r="C78" s="19"/>
      <c r="D78" s="19"/>
      <c r="E78" s="19"/>
      <c r="F78" s="19"/>
      <c r="G78" s="19"/>
      <c r="H78" s="9"/>
      <c r="I78" s="9"/>
      <c r="J78" s="9"/>
      <c r="K78" s="9"/>
      <c r="L78" s="9"/>
      <c r="M78" s="9"/>
    </row>
    <row r="79" spans="3:13" ht="14.25" customHeight="1" x14ac:dyDescent="0.2">
      <c r="C79" s="19"/>
      <c r="D79" s="19"/>
      <c r="E79" s="19"/>
      <c r="F79" s="19"/>
      <c r="G79" s="19"/>
      <c r="H79" s="9"/>
      <c r="I79" s="9"/>
      <c r="J79" s="9"/>
      <c r="K79" s="9"/>
      <c r="L79" s="9"/>
      <c r="M79" s="9"/>
    </row>
    <row r="80" spans="3:13" ht="14.25" customHeight="1" x14ac:dyDescent="0.2">
      <c r="C80" s="19"/>
      <c r="D80" s="19"/>
      <c r="E80" s="19"/>
      <c r="F80" s="19"/>
      <c r="G80" s="19"/>
      <c r="H80" s="9"/>
      <c r="I80" s="9"/>
      <c r="J80" s="9"/>
      <c r="K80" s="9"/>
      <c r="L80" s="9"/>
      <c r="M80" s="9"/>
    </row>
    <row r="81" spans="3:13" ht="14.25" customHeight="1" x14ac:dyDescent="0.2">
      <c r="C81" s="19"/>
      <c r="D81" s="19"/>
      <c r="E81" s="19"/>
      <c r="F81" s="19"/>
      <c r="G81" s="19"/>
      <c r="H81" s="9"/>
      <c r="I81" s="9"/>
      <c r="J81" s="9"/>
      <c r="K81" s="9"/>
      <c r="L81" s="9"/>
      <c r="M81" s="9"/>
    </row>
    <row r="82" spans="3:13" ht="14.25" customHeight="1" x14ac:dyDescent="0.2">
      <c r="C82" s="19"/>
      <c r="D82" s="19"/>
      <c r="E82" s="19"/>
      <c r="F82" s="19"/>
      <c r="G82" s="19"/>
      <c r="H82" s="9"/>
      <c r="I82" s="9"/>
      <c r="J82" s="9"/>
      <c r="K82" s="9"/>
      <c r="L82" s="9"/>
      <c r="M82" s="9"/>
    </row>
    <row r="83" spans="3:13" ht="14.25" customHeight="1" x14ac:dyDescent="0.2">
      <c r="C83" s="19"/>
      <c r="D83" s="19"/>
      <c r="E83" s="19"/>
      <c r="F83" s="19"/>
      <c r="G83" s="19"/>
      <c r="H83" s="9"/>
      <c r="I83" s="9"/>
      <c r="J83" s="9"/>
      <c r="K83" s="9"/>
      <c r="L83" s="9"/>
      <c r="M83" s="9"/>
    </row>
    <row r="84" spans="3:13" ht="14.25" customHeight="1" x14ac:dyDescent="0.2">
      <c r="C84" s="19"/>
      <c r="D84" s="19"/>
      <c r="E84" s="19"/>
      <c r="F84" s="19"/>
      <c r="G84" s="19"/>
      <c r="H84" s="9"/>
      <c r="I84" s="9"/>
      <c r="J84" s="9"/>
      <c r="K84" s="9"/>
      <c r="L84" s="9"/>
      <c r="M84" s="9"/>
    </row>
    <row r="85" spans="3:13" ht="14.25" customHeight="1" x14ac:dyDescent="0.2">
      <c r="C85" s="19"/>
      <c r="D85" s="19"/>
      <c r="E85" s="19"/>
      <c r="F85" s="19"/>
      <c r="G85" s="19"/>
      <c r="H85" s="9"/>
      <c r="I85" s="9"/>
      <c r="J85" s="9"/>
      <c r="K85" s="9"/>
      <c r="L85" s="9"/>
      <c r="M85" s="9"/>
    </row>
    <row r="86" spans="3:13" ht="14.25" customHeight="1" x14ac:dyDescent="0.2">
      <c r="C86" s="19"/>
      <c r="D86" s="19"/>
      <c r="E86" s="19"/>
      <c r="F86" s="19"/>
      <c r="G86" s="19"/>
      <c r="H86" s="9"/>
      <c r="I86" s="9"/>
      <c r="J86" s="9"/>
      <c r="K86" s="9"/>
      <c r="L86" s="9"/>
      <c r="M86" s="9"/>
    </row>
    <row r="87" spans="3:13" ht="14.25" customHeight="1" x14ac:dyDescent="0.2">
      <c r="C87" s="19"/>
      <c r="D87" s="19"/>
      <c r="E87" s="19"/>
      <c r="F87" s="19"/>
      <c r="G87" s="19"/>
      <c r="H87" s="9"/>
      <c r="I87" s="9"/>
      <c r="J87" s="9"/>
      <c r="K87" s="9"/>
      <c r="L87" s="9"/>
      <c r="M87" s="9"/>
    </row>
    <row r="88" spans="3:13" ht="14.25" customHeight="1" x14ac:dyDescent="0.2">
      <c r="C88" s="19"/>
      <c r="D88" s="19"/>
      <c r="E88" s="19"/>
      <c r="F88" s="19"/>
      <c r="G88" s="19"/>
      <c r="H88" s="9"/>
      <c r="I88" s="9"/>
      <c r="J88" s="9"/>
      <c r="K88" s="9"/>
      <c r="L88" s="9"/>
      <c r="M88" s="9"/>
    </row>
    <row r="89" spans="3:13" ht="14.25" customHeight="1" x14ac:dyDescent="0.2">
      <c r="C89" s="19"/>
      <c r="D89" s="19"/>
      <c r="E89" s="19"/>
      <c r="F89" s="19"/>
      <c r="G89" s="19"/>
      <c r="H89" s="9"/>
      <c r="I89" s="9"/>
      <c r="J89" s="9"/>
      <c r="K89" s="9"/>
      <c r="L89" s="9"/>
      <c r="M89" s="9"/>
    </row>
    <row r="90" spans="3:13" ht="14.25" customHeight="1" x14ac:dyDescent="0.2">
      <c r="C90" s="19"/>
      <c r="D90" s="19"/>
      <c r="E90" s="19"/>
      <c r="F90" s="19"/>
      <c r="G90" s="19"/>
      <c r="H90" s="9"/>
      <c r="I90" s="9"/>
      <c r="J90" s="9"/>
      <c r="K90" s="9"/>
      <c r="L90" s="9"/>
      <c r="M90" s="9"/>
    </row>
    <row r="91" spans="3:13" ht="14.25" customHeight="1" x14ac:dyDescent="0.2">
      <c r="C91" s="19"/>
      <c r="D91" s="19"/>
      <c r="E91" s="19"/>
      <c r="F91" s="19"/>
      <c r="G91" s="19"/>
      <c r="H91" s="9"/>
      <c r="I91" s="9"/>
      <c r="J91" s="9"/>
      <c r="K91" s="9"/>
      <c r="L91" s="9"/>
      <c r="M91" s="9"/>
    </row>
    <row r="92" spans="3:13" ht="14.25" customHeight="1" x14ac:dyDescent="0.2">
      <c r="C92" s="19"/>
      <c r="D92" s="19"/>
      <c r="E92" s="19"/>
      <c r="F92" s="19"/>
      <c r="G92" s="19"/>
      <c r="H92" s="9"/>
      <c r="I92" s="9"/>
      <c r="J92" s="9"/>
      <c r="K92" s="9"/>
      <c r="L92" s="9"/>
      <c r="M92" s="9"/>
    </row>
    <row r="93" spans="3:13" ht="14.25" customHeight="1" x14ac:dyDescent="0.2">
      <c r="C93" s="19"/>
      <c r="D93" s="19"/>
      <c r="E93" s="19"/>
      <c r="F93" s="19"/>
      <c r="G93" s="19"/>
      <c r="H93" s="9"/>
      <c r="I93" s="9"/>
      <c r="J93" s="9"/>
      <c r="K93" s="9"/>
      <c r="L93" s="9"/>
      <c r="M93" s="9"/>
    </row>
    <row r="94" spans="3:13" ht="14.25" customHeight="1" x14ac:dyDescent="0.2">
      <c r="C94" s="19"/>
      <c r="D94" s="19"/>
      <c r="E94" s="19"/>
      <c r="F94" s="19"/>
      <c r="G94" s="19"/>
      <c r="H94" s="9"/>
      <c r="I94" s="9"/>
      <c r="J94" s="9"/>
      <c r="K94" s="9"/>
      <c r="L94" s="9"/>
      <c r="M94" s="9"/>
    </row>
    <row r="95" spans="3:13" ht="14.25" customHeight="1" x14ac:dyDescent="0.2">
      <c r="C95" s="19"/>
      <c r="D95" s="19"/>
      <c r="E95" s="19"/>
      <c r="F95" s="19"/>
      <c r="G95" s="19"/>
      <c r="H95" s="9"/>
      <c r="I95" s="9"/>
      <c r="J95" s="9"/>
      <c r="K95" s="9"/>
      <c r="L95" s="9"/>
      <c r="M95" s="9"/>
    </row>
    <row r="96" spans="3:13" ht="14.25" customHeight="1" x14ac:dyDescent="0.2">
      <c r="C96" s="19"/>
      <c r="D96" s="19"/>
      <c r="E96" s="19"/>
      <c r="F96" s="19"/>
      <c r="G96" s="19"/>
      <c r="H96" s="9"/>
      <c r="I96" s="9"/>
      <c r="J96" s="9"/>
      <c r="K96" s="9"/>
      <c r="L96" s="9"/>
      <c r="M96" s="9"/>
    </row>
    <row r="97" spans="3:13" ht="14.25" customHeight="1" x14ac:dyDescent="0.2">
      <c r="C97" s="19"/>
      <c r="D97" s="19"/>
      <c r="E97" s="19"/>
      <c r="F97" s="19"/>
      <c r="G97" s="19"/>
      <c r="H97" s="9"/>
      <c r="I97" s="9"/>
      <c r="J97" s="9"/>
      <c r="K97" s="9"/>
      <c r="L97" s="9"/>
      <c r="M97" s="9"/>
    </row>
    <row r="98" spans="3:13" ht="14.25" customHeight="1" x14ac:dyDescent="0.2">
      <c r="C98" s="19"/>
      <c r="D98" s="19"/>
      <c r="E98" s="19"/>
      <c r="F98" s="19"/>
      <c r="G98" s="19"/>
      <c r="H98" s="9"/>
      <c r="I98" s="9"/>
      <c r="J98" s="9"/>
      <c r="K98" s="9"/>
      <c r="L98" s="9"/>
      <c r="M98" s="9"/>
    </row>
    <row r="99" spans="3:13" ht="14.25" customHeight="1" x14ac:dyDescent="0.2">
      <c r="C99" s="19"/>
      <c r="D99" s="19"/>
      <c r="E99" s="19"/>
      <c r="F99" s="19"/>
      <c r="G99" s="19"/>
      <c r="H99" s="9"/>
      <c r="I99" s="9"/>
      <c r="J99" s="9"/>
      <c r="K99" s="9"/>
      <c r="L99" s="9"/>
      <c r="M99" s="9"/>
    </row>
    <row r="100" spans="3:13" ht="14.25" customHeight="1" x14ac:dyDescent="0.2">
      <c r="C100" s="19"/>
      <c r="D100" s="19"/>
      <c r="E100" s="19"/>
      <c r="F100" s="19"/>
      <c r="G100" s="19"/>
      <c r="H100" s="9"/>
      <c r="I100" s="9"/>
      <c r="J100" s="9"/>
      <c r="K100" s="9"/>
      <c r="L100" s="9"/>
      <c r="M100" s="9"/>
    </row>
    <row r="101" spans="3:13" ht="14.25" customHeight="1" x14ac:dyDescent="0.2">
      <c r="K101" s="9"/>
      <c r="L101" s="9"/>
      <c r="M101" s="9"/>
    </row>
    <row r="102" spans="3:13" ht="14.25" customHeight="1" x14ac:dyDescent="0.2"/>
    <row r="104" spans="3:13" ht="14.25" customHeight="1" x14ac:dyDescent="0.2"/>
  </sheetData>
  <mergeCells count="1">
    <mergeCell ref="A1:B2"/>
  </mergeCells>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D1925-F17C-465A-A7A8-68F2FCA76537}">
  <sheetPr codeName="Sheet10"/>
  <dimension ref="A1:Z62"/>
  <sheetViews>
    <sheetView workbookViewId="0">
      <pane xSplit="3" ySplit="7" topLeftCell="D8" activePane="bottomRight" state="frozen"/>
      <selection pane="topRight" activeCell="D1" sqref="D1"/>
      <selection pane="bottomLeft" activeCell="A8" sqref="A8"/>
      <selection pane="bottomRight" activeCell="M7" sqref="M7"/>
    </sheetView>
  </sheetViews>
  <sheetFormatPr defaultRowHeight="14.25" customHeight="1" x14ac:dyDescent="0.2"/>
  <cols>
    <col min="1" max="16384" width="9" style="1"/>
  </cols>
  <sheetData>
    <row r="1" spans="1:26" ht="14.25" customHeight="1" x14ac:dyDescent="0.2">
      <c r="A1" s="95" t="s">
        <v>131</v>
      </c>
      <c r="B1" s="96"/>
      <c r="D1" s="58" t="s">
        <v>152</v>
      </c>
      <c r="G1" s="1">
        <v>1000</v>
      </c>
      <c r="J1" s="58" t="s">
        <v>153</v>
      </c>
      <c r="L1" s="6"/>
      <c r="M1" s="6"/>
    </row>
    <row r="2" spans="1:26" ht="14.25" customHeight="1" x14ac:dyDescent="0.2">
      <c r="A2" s="97"/>
      <c r="B2" s="98"/>
      <c r="D2" s="5">
        <f>D3/$G$1</f>
        <v>2.7E-2</v>
      </c>
      <c r="G2" s="5">
        <f>G3/$G$1</f>
        <v>0.94699999999999995</v>
      </c>
      <c r="J2" s="5">
        <f>J3/$G$1</f>
        <v>2.4E-2</v>
      </c>
      <c r="L2" s="6"/>
      <c r="M2" s="6"/>
    </row>
    <row r="3" spans="1:26" ht="14.25" customHeight="1" thickBot="1" x14ac:dyDescent="0.25">
      <c r="C3" s="3" t="s">
        <v>132</v>
      </c>
      <c r="D3" s="32">
        <v>27</v>
      </c>
      <c r="E3" s="32"/>
      <c r="F3" s="32">
        <v>19</v>
      </c>
      <c r="G3" s="1">
        <v>947</v>
      </c>
      <c r="H3" s="32">
        <f>G1-D3-G3-J3</f>
        <v>2</v>
      </c>
      <c r="I3" s="32"/>
      <c r="J3" s="32">
        <v>24</v>
      </c>
      <c r="L3" s="6"/>
      <c r="M3" s="6"/>
    </row>
    <row r="4" spans="1:26" ht="14.25" customHeight="1" x14ac:dyDescent="0.2">
      <c r="C4" s="35"/>
      <c r="D4" s="130" t="s">
        <v>142</v>
      </c>
      <c r="E4" s="131"/>
      <c r="F4" s="132"/>
      <c r="G4" s="36"/>
      <c r="H4" s="130" t="s">
        <v>143</v>
      </c>
      <c r="I4" s="131"/>
      <c r="J4" s="132"/>
      <c r="K4" s="57"/>
      <c r="L4" s="6">
        <f>Y10+Z10+Y13+Z13+Y17/2+Z17/2</f>
        <v>0</v>
      </c>
      <c r="M4" s="6">
        <f>0.6+0.4*1.5</f>
        <v>1.2000000000000002</v>
      </c>
      <c r="N4" s="10">
        <f>L4*M4</f>
        <v>0</v>
      </c>
      <c r="O4" s="1">
        <f>1+N10/100000</f>
        <v>1.0082500000000001</v>
      </c>
      <c r="P4" s="1">
        <f>M10*O4</f>
        <v>8333.3333333333339</v>
      </c>
    </row>
    <row r="5" spans="1:26" ht="14.25" customHeight="1" x14ac:dyDescent="0.2">
      <c r="B5" s="1" cm="1">
        <f t="array" aca="1" ref="B5" ca="1">_xll.Sum2Num(D5,F5)</f>
        <v>8</v>
      </c>
      <c r="C5" s="35"/>
      <c r="D5" s="44">
        <v>7</v>
      </c>
      <c r="E5" s="1">
        <v>4</v>
      </c>
      <c r="F5" s="55">
        <v>1</v>
      </c>
      <c r="G5" s="36"/>
      <c r="H5" s="44">
        <v>1</v>
      </c>
      <c r="I5" s="1">
        <v>4</v>
      </c>
      <c r="J5" s="55">
        <v>7</v>
      </c>
      <c r="K5" s="37"/>
      <c r="L5" s="6">
        <f>Y10+Y13+Y17/2</f>
        <v>0</v>
      </c>
      <c r="M5" s="6"/>
      <c r="N5" s="10">
        <f>L5+N4</f>
        <v>0</v>
      </c>
    </row>
    <row r="6" spans="1:26" ht="14.25" customHeight="1" x14ac:dyDescent="0.2">
      <c r="C6" s="35"/>
      <c r="D6" s="44">
        <v>8</v>
      </c>
      <c r="E6" s="1">
        <v>5</v>
      </c>
      <c r="F6" s="55">
        <v>2</v>
      </c>
      <c r="G6" s="36"/>
      <c r="H6" s="44">
        <v>2</v>
      </c>
      <c r="I6" s="1">
        <v>5</v>
      </c>
      <c r="J6" s="55">
        <v>8</v>
      </c>
      <c r="K6" s="57"/>
      <c r="L6" s="6"/>
      <c r="M6" s="6"/>
      <c r="N6" s="10"/>
    </row>
    <row r="7" spans="1:26" ht="14.25" customHeight="1" thickBot="1" x14ac:dyDescent="0.25">
      <c r="C7" s="35"/>
      <c r="D7" s="46">
        <v>9</v>
      </c>
      <c r="E7" s="47">
        <v>6</v>
      </c>
      <c r="F7" s="56">
        <v>3</v>
      </c>
      <c r="G7" s="36"/>
      <c r="H7" s="46">
        <v>3</v>
      </c>
      <c r="I7" s="47">
        <v>6</v>
      </c>
      <c r="J7" s="56">
        <v>9</v>
      </c>
      <c r="K7" s="37"/>
      <c r="L7" s="6"/>
      <c r="M7" s="6"/>
    </row>
    <row r="8" spans="1:26" ht="14.25" customHeight="1" thickBot="1" x14ac:dyDescent="0.25">
      <c r="D8" s="54">
        <v>1</v>
      </c>
      <c r="E8" s="54">
        <v>2</v>
      </c>
      <c r="F8" s="54">
        <v>3</v>
      </c>
      <c r="G8" s="38">
        <v>4</v>
      </c>
      <c r="H8" s="54">
        <v>5</v>
      </c>
      <c r="I8" s="54">
        <v>6</v>
      </c>
      <c r="J8" s="51">
        <v>1</v>
      </c>
      <c r="K8" s="39">
        <v>0</v>
      </c>
      <c r="L8" s="38">
        <v>9</v>
      </c>
      <c r="M8" s="38">
        <v>10</v>
      </c>
      <c r="N8" s="38">
        <v>11</v>
      </c>
      <c r="O8" s="38">
        <v>12</v>
      </c>
      <c r="P8" s="38">
        <v>13</v>
      </c>
      <c r="Q8" s="38">
        <v>14</v>
      </c>
      <c r="R8" s="38">
        <v>15</v>
      </c>
      <c r="S8" s="38">
        <v>16</v>
      </c>
      <c r="T8" s="38">
        <v>17</v>
      </c>
      <c r="U8" s="38">
        <v>18</v>
      </c>
      <c r="V8" s="32" t="s">
        <v>138</v>
      </c>
      <c r="W8" s="32" t="s">
        <v>139</v>
      </c>
      <c r="X8" s="32" t="s">
        <v>140</v>
      </c>
    </row>
    <row r="9" spans="1:26" ht="14.25" customHeight="1" x14ac:dyDescent="0.2">
      <c r="A9" s="4">
        <f>B9/(SUM(M10:M18)*$G$1)</f>
        <v>2.8534576853003154E-3</v>
      </c>
      <c r="B9" s="6">
        <v>70199.397795112658</v>
      </c>
      <c r="C9" s="35">
        <f>ROW(D10)</f>
        <v>10</v>
      </c>
      <c r="D9" s="40" t="s">
        <v>144</v>
      </c>
      <c r="E9" s="41" t="s">
        <v>145</v>
      </c>
      <c r="F9" s="41" t="s">
        <v>133</v>
      </c>
      <c r="G9" s="42" t="s">
        <v>98</v>
      </c>
      <c r="H9" s="41" t="s">
        <v>73</v>
      </c>
      <c r="I9" s="41" t="s">
        <v>74</v>
      </c>
      <c r="J9" s="42" t="s">
        <v>136</v>
      </c>
      <c r="K9" s="42" t="s">
        <v>137</v>
      </c>
      <c r="L9" s="41" t="s">
        <v>23</v>
      </c>
      <c r="M9" s="41" t="s">
        <v>124</v>
      </c>
      <c r="N9" s="41" t="s">
        <v>24</v>
      </c>
      <c r="O9" s="41" t="s">
        <v>93</v>
      </c>
      <c r="P9" s="41" t="s">
        <v>94</v>
      </c>
      <c r="Q9" s="41" t="s">
        <v>95</v>
      </c>
      <c r="R9" s="41" t="s">
        <v>107</v>
      </c>
      <c r="S9" s="41" t="s">
        <v>119</v>
      </c>
      <c r="T9" s="41" t="s">
        <v>150</v>
      </c>
      <c r="U9" s="41" t="s">
        <v>120</v>
      </c>
      <c r="V9" s="41" t="s">
        <v>121</v>
      </c>
      <c r="W9" s="41" t="s">
        <v>122</v>
      </c>
      <c r="X9" s="43" t="s">
        <v>135</v>
      </c>
      <c r="Y9" s="37"/>
    </row>
    <row r="10" spans="1:26" ht="14.25" customHeight="1" x14ac:dyDescent="0.2">
      <c r="C10" s="35">
        <f>COLUMN(D10)</f>
        <v>4</v>
      </c>
      <c r="D10" s="44">
        <f>IFERROR(MOD(F10+3-1,3)+1,"")</f>
        <v>1</v>
      </c>
      <c r="E10" s="1">
        <f>IFERROR(ABS(INT((F10-7)/3))+1,"")</f>
        <v>3</v>
      </c>
      <c r="F10" s="1">
        <f t="shared" ref="F10:F17" si="0">IF(G10="","",ROW(G10)-$C$9+1)</f>
        <v>1</v>
      </c>
      <c r="G10" s="1" t="s">
        <v>156</v>
      </c>
      <c r="H10" s="1" t="s">
        <v>99</v>
      </c>
      <c r="I10" s="1" t="s">
        <v>81</v>
      </c>
      <c r="J10" s="1">
        <v>1</v>
      </c>
      <c r="K10" s="1">
        <v>0</v>
      </c>
      <c r="L10" s="8">
        <v>234.375</v>
      </c>
      <c r="M10" s="8">
        <v>8265.1458798247786</v>
      </c>
      <c r="N10" s="8">
        <v>825</v>
      </c>
      <c r="O10" s="1">
        <v>0.4</v>
      </c>
      <c r="P10" s="1">
        <v>1.5</v>
      </c>
      <c r="Q10" s="1">
        <v>0.9</v>
      </c>
      <c r="R10" s="1">
        <v>0.75</v>
      </c>
      <c r="S10" s="1">
        <v>10</v>
      </c>
      <c r="T10" s="1">
        <v>5</v>
      </c>
      <c r="U10" s="6">
        <v>3.333333333333333</v>
      </c>
      <c r="V10" s="6">
        <v>0</v>
      </c>
      <c r="W10" s="6">
        <v>0.23999999999999996</v>
      </c>
      <c r="X10" s="45">
        <v>0</v>
      </c>
      <c r="Y10" s="37"/>
      <c r="Z10" s="8"/>
    </row>
    <row r="11" spans="1:26" ht="14.25" customHeight="1" x14ac:dyDescent="0.2">
      <c r="C11" s="35">
        <f>ROW(X18)</f>
        <v>18</v>
      </c>
      <c r="D11" s="44" t="str">
        <f t="shared" ref="D11:D17" si="1">IFERROR(MOD(F11+3-1,3)+1,"")</f>
        <v/>
      </c>
      <c r="E11" s="1" t="str">
        <f t="shared" ref="E11:E17" si="2">IFERROR(ABS(INT((F11-7)/3))+1,"")</f>
        <v/>
      </c>
      <c r="F11" s="1" t="str">
        <f t="shared" si="0"/>
        <v/>
      </c>
      <c r="H11" s="1" t="s">
        <v>196</v>
      </c>
      <c r="I11" s="1" t="s">
        <v>196</v>
      </c>
      <c r="J11" s="1" t="s">
        <v>196</v>
      </c>
      <c r="K11" s="1" t="s">
        <v>196</v>
      </c>
      <c r="L11" s="8" t="s">
        <v>196</v>
      </c>
      <c r="M11" s="8" t="s">
        <v>196</v>
      </c>
      <c r="N11" s="8" t="s">
        <v>196</v>
      </c>
      <c r="O11" s="1" t="s">
        <v>196</v>
      </c>
      <c r="P11" s="1" t="s">
        <v>196</v>
      </c>
      <c r="Q11" s="1" t="s">
        <v>196</v>
      </c>
      <c r="R11" s="1" t="s">
        <v>196</v>
      </c>
      <c r="S11" s="1" t="s">
        <v>196</v>
      </c>
      <c r="T11" s="1" t="s">
        <v>196</v>
      </c>
      <c r="U11" s="6" t="s">
        <v>196</v>
      </c>
      <c r="V11" s="6" t="s">
        <v>196</v>
      </c>
      <c r="W11" s="6" t="s">
        <v>196</v>
      </c>
      <c r="X11" s="45" t="s">
        <v>196</v>
      </c>
      <c r="Y11" s="84"/>
      <c r="Z11" s="84"/>
    </row>
    <row r="12" spans="1:26" ht="14.25" customHeight="1" x14ac:dyDescent="0.2">
      <c r="C12" s="35">
        <f>COLUMN(X18)</f>
        <v>24</v>
      </c>
      <c r="D12" s="44">
        <f t="shared" si="1"/>
        <v>3</v>
      </c>
      <c r="E12" s="1">
        <f t="shared" si="2"/>
        <v>3</v>
      </c>
      <c r="F12" s="1">
        <f t="shared" si="0"/>
        <v>3</v>
      </c>
      <c r="G12" s="1" t="s">
        <v>146</v>
      </c>
      <c r="H12" s="1" t="s">
        <v>99</v>
      </c>
      <c r="I12" s="1" t="s">
        <v>81</v>
      </c>
      <c r="J12" s="1">
        <v>1</v>
      </c>
      <c r="K12" s="1">
        <v>0</v>
      </c>
      <c r="L12" s="8">
        <v>260.41666666666669</v>
      </c>
      <c r="M12" s="8">
        <v>7438.6312918423</v>
      </c>
      <c r="N12" s="8">
        <v>825</v>
      </c>
      <c r="O12" s="1">
        <v>0.4</v>
      </c>
      <c r="P12" s="1">
        <v>1.5</v>
      </c>
      <c r="Q12" s="1">
        <v>0.9</v>
      </c>
      <c r="R12" s="1">
        <v>0.75</v>
      </c>
      <c r="S12" s="1">
        <v>10</v>
      </c>
      <c r="T12" s="1">
        <v>5</v>
      </c>
      <c r="U12" s="6">
        <v>3.333333333333333</v>
      </c>
      <c r="V12" s="6">
        <v>0</v>
      </c>
      <c r="W12" s="6">
        <v>0.23999999999999996</v>
      </c>
      <c r="X12" s="45">
        <v>0</v>
      </c>
      <c r="Y12" s="37"/>
    </row>
    <row r="13" spans="1:26" ht="14.25" customHeight="1" x14ac:dyDescent="0.2">
      <c r="C13" s="35"/>
      <c r="D13" s="44">
        <f t="shared" si="1"/>
        <v>1</v>
      </c>
      <c r="E13" s="1">
        <f t="shared" si="2"/>
        <v>2</v>
      </c>
      <c r="F13" s="1">
        <f t="shared" si="0"/>
        <v>4</v>
      </c>
      <c r="G13" s="1" t="s">
        <v>147</v>
      </c>
      <c r="H13" s="1" t="s">
        <v>100</v>
      </c>
      <c r="I13" s="1" t="s">
        <v>82</v>
      </c>
      <c r="J13" s="1">
        <v>1</v>
      </c>
      <c r="K13" s="1">
        <v>0</v>
      </c>
      <c r="L13" s="8">
        <v>590</v>
      </c>
      <c r="M13" s="8">
        <v>2532.8746015999327</v>
      </c>
      <c r="N13" s="8">
        <v>375</v>
      </c>
      <c r="O13" s="1">
        <v>0.4</v>
      </c>
      <c r="P13" s="1">
        <v>1.5</v>
      </c>
      <c r="Q13" s="1">
        <v>1</v>
      </c>
      <c r="R13" s="1">
        <v>0.8</v>
      </c>
      <c r="S13" s="1">
        <v>20</v>
      </c>
      <c r="T13" s="1">
        <v>10</v>
      </c>
      <c r="U13" s="6">
        <v>4.9999999999999982</v>
      </c>
      <c r="V13" s="6">
        <v>0</v>
      </c>
      <c r="W13" s="6">
        <v>0</v>
      </c>
      <c r="X13" s="45">
        <v>0</v>
      </c>
      <c r="Y13" s="82"/>
      <c r="Z13" s="8"/>
    </row>
    <row r="14" spans="1:26" ht="14.25" customHeight="1" x14ac:dyDescent="0.2">
      <c r="C14" s="35"/>
      <c r="D14" s="44" t="str">
        <f t="shared" si="1"/>
        <v/>
      </c>
      <c r="E14" s="1" t="str">
        <f t="shared" si="2"/>
        <v/>
      </c>
      <c r="F14" s="1" t="str">
        <f t="shared" si="0"/>
        <v/>
      </c>
      <c r="H14" s="1" t="s">
        <v>196</v>
      </c>
      <c r="I14" s="1" t="s">
        <v>196</v>
      </c>
      <c r="J14" s="1" t="s">
        <v>196</v>
      </c>
      <c r="K14" s="1" t="s">
        <v>196</v>
      </c>
      <c r="L14" s="8" t="s">
        <v>196</v>
      </c>
      <c r="M14" s="8" t="s">
        <v>196</v>
      </c>
      <c r="N14" s="8" t="s">
        <v>196</v>
      </c>
      <c r="O14" s="1" t="s">
        <v>196</v>
      </c>
      <c r="P14" s="1" t="s">
        <v>196</v>
      </c>
      <c r="Q14" s="1" t="s">
        <v>196</v>
      </c>
      <c r="R14" s="1" t="s">
        <v>196</v>
      </c>
      <c r="S14" s="1" t="s">
        <v>196</v>
      </c>
      <c r="T14" s="1" t="s">
        <v>196</v>
      </c>
      <c r="U14" s="6" t="s">
        <v>196</v>
      </c>
      <c r="V14" s="6" t="s">
        <v>196</v>
      </c>
      <c r="W14" s="6" t="s">
        <v>196</v>
      </c>
      <c r="X14" s="45" t="s">
        <v>196</v>
      </c>
      <c r="Y14" s="84"/>
      <c r="Z14" s="84"/>
    </row>
    <row r="15" spans="1:26" ht="14.25" customHeight="1" x14ac:dyDescent="0.2">
      <c r="C15" s="35"/>
      <c r="D15" s="44">
        <f t="shared" si="1"/>
        <v>3</v>
      </c>
      <c r="E15" s="1">
        <f t="shared" si="2"/>
        <v>2</v>
      </c>
      <c r="F15" s="1">
        <f t="shared" si="0"/>
        <v>6</v>
      </c>
      <c r="G15" s="1" t="s">
        <v>148</v>
      </c>
      <c r="H15" s="1" t="s">
        <v>101</v>
      </c>
      <c r="I15" s="1" t="s">
        <v>82</v>
      </c>
      <c r="J15" s="1">
        <v>1</v>
      </c>
      <c r="K15" s="1">
        <v>0</v>
      </c>
      <c r="L15" s="8">
        <v>521.4204545454545</v>
      </c>
      <c r="M15" s="8">
        <v>2622.7272429235545</v>
      </c>
      <c r="N15" s="8">
        <v>337.5</v>
      </c>
      <c r="O15" s="1">
        <v>0.4</v>
      </c>
      <c r="P15" s="1">
        <v>1.5</v>
      </c>
      <c r="Q15" s="1">
        <v>1.1000000000000001</v>
      </c>
      <c r="R15" s="1">
        <v>0.80500000000000005</v>
      </c>
      <c r="S15" s="1">
        <v>20</v>
      </c>
      <c r="T15" s="1">
        <v>10</v>
      </c>
      <c r="U15" s="6">
        <v>4.8447204968944071</v>
      </c>
      <c r="V15" s="6">
        <v>0</v>
      </c>
      <c r="W15" s="6">
        <v>0</v>
      </c>
      <c r="X15" s="45">
        <v>0</v>
      </c>
      <c r="Y15" s="37"/>
    </row>
    <row r="16" spans="1:26" ht="14.25" customHeight="1" x14ac:dyDescent="0.2">
      <c r="C16" s="35"/>
      <c r="D16" s="44" t="str">
        <f t="shared" si="1"/>
        <v/>
      </c>
      <c r="E16" s="1" t="str">
        <f t="shared" si="2"/>
        <v/>
      </c>
      <c r="F16" s="1" t="str">
        <f t="shared" si="0"/>
        <v/>
      </c>
      <c r="H16" s="1" t="s">
        <v>196</v>
      </c>
      <c r="I16" s="1" t="s">
        <v>196</v>
      </c>
      <c r="J16" s="1" t="s">
        <v>196</v>
      </c>
      <c r="K16" s="1" t="s">
        <v>196</v>
      </c>
      <c r="L16" s="8" t="s">
        <v>196</v>
      </c>
      <c r="M16" s="8" t="s">
        <v>196</v>
      </c>
      <c r="N16" s="8" t="s">
        <v>196</v>
      </c>
      <c r="O16" s="1" t="s">
        <v>196</v>
      </c>
      <c r="P16" s="1" t="s">
        <v>196</v>
      </c>
      <c r="Q16" s="1" t="s">
        <v>196</v>
      </c>
      <c r="R16" s="1" t="s">
        <v>196</v>
      </c>
      <c r="S16" s="1" t="s">
        <v>196</v>
      </c>
      <c r="T16" s="1" t="s">
        <v>196</v>
      </c>
      <c r="U16" s="6" t="s">
        <v>196</v>
      </c>
      <c r="V16" s="6" t="s">
        <v>196</v>
      </c>
      <c r="W16" s="6" t="s">
        <v>196</v>
      </c>
      <c r="X16" s="45" t="s">
        <v>196</v>
      </c>
      <c r="Y16" s="37"/>
    </row>
    <row r="17" spans="1:26" ht="14.25" customHeight="1" x14ac:dyDescent="0.2">
      <c r="C17" s="35"/>
      <c r="D17" s="44">
        <f t="shared" si="1"/>
        <v>2</v>
      </c>
      <c r="E17" s="1">
        <f t="shared" si="2"/>
        <v>1</v>
      </c>
      <c r="F17" s="1">
        <f t="shared" si="0"/>
        <v>8</v>
      </c>
      <c r="G17" s="1" t="s">
        <v>149</v>
      </c>
      <c r="H17" s="1" t="s">
        <v>102</v>
      </c>
      <c r="I17" s="1" t="s">
        <v>83</v>
      </c>
      <c r="J17" s="1">
        <v>1</v>
      </c>
      <c r="K17" s="1">
        <v>0</v>
      </c>
      <c r="L17" s="8">
        <v>221.66666666666669</v>
      </c>
      <c r="M17" s="8">
        <v>3742.1415028440274</v>
      </c>
      <c r="N17" s="8">
        <v>210</v>
      </c>
      <c r="O17" s="1">
        <v>0.4</v>
      </c>
      <c r="P17" s="1">
        <v>1.5</v>
      </c>
      <c r="Q17" s="1">
        <v>0.9</v>
      </c>
      <c r="R17" s="1">
        <v>0.79800000000000004</v>
      </c>
      <c r="S17" s="1">
        <v>10</v>
      </c>
      <c r="T17" s="1">
        <v>5</v>
      </c>
      <c r="U17" s="6">
        <v>2.5313283208020043</v>
      </c>
      <c r="V17" s="6">
        <v>0</v>
      </c>
      <c r="W17" s="6">
        <v>0</v>
      </c>
      <c r="X17" s="45">
        <v>0.20959661626191753</v>
      </c>
      <c r="Y17" s="82"/>
      <c r="Z17" s="8"/>
    </row>
    <row r="18" spans="1:26" ht="14.25" customHeight="1" x14ac:dyDescent="0.2">
      <c r="C18" s="35"/>
      <c r="D18" s="44" t="str">
        <f t="shared" ref="D18" si="3">IFERROR(MOD(F18+3-1,3)+1,"")</f>
        <v/>
      </c>
      <c r="E18" s="1" t="str">
        <f t="shared" ref="E18" si="4">IFERROR(ABS(INT((F18-7)/3))+1,"")</f>
        <v/>
      </c>
      <c r="F18" s="1" t="str">
        <f t="shared" ref="F18" si="5">IF(G18="","",ROW(G18)-$C$9+1)</f>
        <v/>
      </c>
      <c r="H18" s="1" t="str">
        <f>IFERROR(VLOOKUP($G18,#REF!,2,0),"")</f>
        <v/>
      </c>
      <c r="I18" s="1" t="str">
        <f>IFERROR(VLOOKUP(H18,#REF!,2,0),"")</f>
        <v/>
      </c>
      <c r="J18" s="1" t="str">
        <f t="shared" ref="J18:K18" si="6">IF($G18="","",J$8)</f>
        <v/>
      </c>
      <c r="K18" s="1" t="str">
        <f t="shared" si="6"/>
        <v/>
      </c>
      <c r="L18" s="8" t="str">
        <f>IFERROR(VLOOKUP($G18,#REF!,MATCH(玩家成长!#REF!,#REF!,0),0)*VLOOKUP($J18,玩家成长!#REF!,MATCH(玩家成长!#REF!,玩家成长!#REF!,0),0)*玩家成长!#REF!*R18/Q18/(1+O18*(P18-1)),"")</f>
        <v/>
      </c>
      <c r="M18" s="8" t="str">
        <f>IFERROR(VLOOKUP($G18,#REF!,MATCH(玩家成长!#REF!,#REF!,0),0)*VLOOKUP($J18,玩家成长!#REF!,MATCH(玩家成长!#REF!,玩家成长!#REF!,0),0)*玩家成长!#REF!/(1+N18/玩家成长!#REF!),"")</f>
        <v/>
      </c>
      <c r="N18" s="8" t="str">
        <f>IFERROR(VLOOKUP($G18,#REF!,MATCH(N$9,#REF!,0),0)*VLOOKUP($J18,玩家成长!#REF!,MATCH(N$9,玩家成长!#REF!,0),0)*玩家成长!#REF!,"")</f>
        <v/>
      </c>
      <c r="O18" s="1" t="str">
        <f>IFERROR(VLOOKUP($G18,#REF!,MATCH(O$9,#REF!,0),0)*VLOOKUP($J18,玩家成长!#REF!,MATCH(O$9,玩家成长!#REF!,0),0),"")</f>
        <v/>
      </c>
      <c r="P18" s="1" t="str">
        <f>IFERROR(VLOOKUP($G18,#REF!,MATCH(P$9,#REF!,0),0)*VLOOKUP($J18,玩家成长!#REF!,MATCH(P$9,玩家成长!#REF!,0),0),"")</f>
        <v/>
      </c>
      <c r="Q18" s="1" t="str">
        <f>IFERROR(VLOOKUP($G18,#REF!,MATCH(Q$9,#REF!,0),0)*VLOOKUP($J18,玩家成长!#REF!,MATCH(Q$9,玩家成长!#REF!,0),0),"")</f>
        <v/>
      </c>
      <c r="R18" s="1" t="str">
        <f>IFERROR(VLOOKUP($G18,#REF!,MATCH(R$9,#REF!,0),0),"")</f>
        <v/>
      </c>
      <c r="S18" s="1" t="s">
        <v>196</v>
      </c>
      <c r="T18" s="1" t="s">
        <v>196</v>
      </c>
      <c r="U18" s="6" t="s">
        <v>196</v>
      </c>
      <c r="V18" s="6" t="s">
        <v>196</v>
      </c>
      <c r="W18" s="6" t="s">
        <v>196</v>
      </c>
      <c r="X18" s="45" t="s">
        <v>196</v>
      </c>
      <c r="Y18" s="83"/>
      <c r="Z18" s="83"/>
    </row>
    <row r="19" spans="1:26" ht="14.25" customHeight="1" thickBot="1" x14ac:dyDescent="0.25">
      <c r="D19" s="33"/>
      <c r="E19" s="33"/>
      <c r="F19" s="33"/>
      <c r="G19" s="33"/>
      <c r="H19" s="33"/>
      <c r="I19" s="33"/>
      <c r="J19" s="51">
        <v>1</v>
      </c>
      <c r="K19" s="51">
        <v>0</v>
      </c>
      <c r="L19" s="52"/>
      <c r="M19" s="52"/>
      <c r="N19" s="52"/>
      <c r="O19" s="33"/>
      <c r="P19" s="33"/>
      <c r="Q19" s="33"/>
      <c r="R19" s="33"/>
      <c r="S19" s="33">
        <v>0</v>
      </c>
      <c r="T19" s="33">
        <v>0</v>
      </c>
      <c r="U19" s="53"/>
      <c r="V19" s="33" t="s">
        <v>138</v>
      </c>
      <c r="W19" s="33" t="s">
        <v>139</v>
      </c>
      <c r="X19" s="33" t="s">
        <v>140</v>
      </c>
    </row>
    <row r="20" spans="1:26" ht="14.25" customHeight="1" x14ac:dyDescent="0.2">
      <c r="A20" s="4">
        <f>B20/(SUM(M21:M29)*$G$1)</f>
        <v>3.1530920732596741E-3</v>
      </c>
      <c r="B20" s="6">
        <v>77570.859338703187</v>
      </c>
      <c r="C20" s="35">
        <f>ROW(D21)</f>
        <v>21</v>
      </c>
      <c r="D20" s="40" t="s">
        <v>144</v>
      </c>
      <c r="E20" s="41" t="s">
        <v>145</v>
      </c>
      <c r="F20" s="41" t="s">
        <v>134</v>
      </c>
      <c r="G20" s="42" t="s">
        <v>98</v>
      </c>
      <c r="H20" s="41" t="s">
        <v>73</v>
      </c>
      <c r="I20" s="41" t="s">
        <v>74</v>
      </c>
      <c r="J20" s="42" t="s">
        <v>136</v>
      </c>
      <c r="K20" s="42" t="s">
        <v>137</v>
      </c>
      <c r="L20" s="41" t="s">
        <v>23</v>
      </c>
      <c r="M20" s="41" t="s">
        <v>124</v>
      </c>
      <c r="N20" s="41" t="s">
        <v>24</v>
      </c>
      <c r="O20" s="41" t="s">
        <v>93</v>
      </c>
      <c r="P20" s="41" t="s">
        <v>94</v>
      </c>
      <c r="Q20" s="41" t="s">
        <v>95</v>
      </c>
      <c r="R20" s="41" t="s">
        <v>107</v>
      </c>
      <c r="S20" s="41" t="s">
        <v>119</v>
      </c>
      <c r="T20" s="41" t="s">
        <v>150</v>
      </c>
      <c r="U20" s="41" t="s">
        <v>120</v>
      </c>
      <c r="V20" s="41" t="s">
        <v>121</v>
      </c>
      <c r="W20" s="41" t="s">
        <v>122</v>
      </c>
      <c r="X20" s="43" t="s">
        <v>135</v>
      </c>
      <c r="Y20" s="37"/>
    </row>
    <row r="21" spans="1:26" ht="14.25" customHeight="1" x14ac:dyDescent="0.2">
      <c r="C21" s="35">
        <f>COLUMN(D21)</f>
        <v>4</v>
      </c>
      <c r="D21" s="44">
        <f>IFERROR(MOD(F21+3-1,3)+1,"")</f>
        <v>1</v>
      </c>
      <c r="E21" s="1">
        <f>IFERROR(INT((F21-1)/3)+5,"")</f>
        <v>5</v>
      </c>
      <c r="F21" s="1">
        <f t="shared" ref="F21:F28" si="7">IF(G21="","",ROW(G21)-$C$20+1)</f>
        <v>1</v>
      </c>
      <c r="G21" s="1" t="s">
        <v>156</v>
      </c>
      <c r="H21" s="1" t="s">
        <v>99</v>
      </c>
      <c r="I21" s="1" t="s">
        <v>81</v>
      </c>
      <c r="J21" s="1">
        <v>1</v>
      </c>
      <c r="K21" s="1">
        <v>0</v>
      </c>
      <c r="L21" s="8">
        <v>234.375</v>
      </c>
      <c r="M21" s="8">
        <v>8265.1458798247786</v>
      </c>
      <c r="N21" s="8">
        <v>825</v>
      </c>
      <c r="O21" s="1">
        <v>0.4</v>
      </c>
      <c r="P21" s="1">
        <v>1.5</v>
      </c>
      <c r="Q21" s="1">
        <v>0.9</v>
      </c>
      <c r="R21" s="1">
        <v>0.75</v>
      </c>
      <c r="S21" s="1">
        <v>10</v>
      </c>
      <c r="T21" s="1">
        <v>5</v>
      </c>
      <c r="U21" s="6">
        <v>3.333333333333333</v>
      </c>
      <c r="V21" s="6">
        <v>0</v>
      </c>
      <c r="W21" s="6">
        <v>0.23999999999999996</v>
      </c>
      <c r="X21" s="45">
        <v>0</v>
      </c>
      <c r="Y21" s="37"/>
    </row>
    <row r="22" spans="1:26" ht="14.25" customHeight="1" x14ac:dyDescent="0.2">
      <c r="A22" s="1" t="s">
        <v>156</v>
      </c>
      <c r="C22" s="35">
        <f>ROW(X29)</f>
        <v>29</v>
      </c>
      <c r="D22" s="44" t="str">
        <f t="shared" ref="D22:D26" si="8">IFERROR(MOD(F22+3-1,3)+1,"")</f>
        <v/>
      </c>
      <c r="E22" s="1" t="str">
        <f t="shared" ref="E22:E26" si="9">IFERROR(INT((F22-1)/3)+5,"")</f>
        <v/>
      </c>
      <c r="F22" s="1" t="str">
        <f t="shared" si="7"/>
        <v/>
      </c>
      <c r="H22" s="1" t="s">
        <v>196</v>
      </c>
      <c r="I22" s="1" t="s">
        <v>196</v>
      </c>
      <c r="J22" s="1" t="s">
        <v>196</v>
      </c>
      <c r="K22" s="1" t="s">
        <v>196</v>
      </c>
      <c r="L22" s="8" t="s">
        <v>196</v>
      </c>
      <c r="M22" s="8" t="s">
        <v>196</v>
      </c>
      <c r="N22" s="8" t="s">
        <v>196</v>
      </c>
      <c r="O22" s="1" t="s">
        <v>196</v>
      </c>
      <c r="P22" s="1" t="s">
        <v>196</v>
      </c>
      <c r="Q22" s="1" t="s">
        <v>196</v>
      </c>
      <c r="R22" s="1" t="s">
        <v>196</v>
      </c>
      <c r="S22" s="1" t="s">
        <v>196</v>
      </c>
      <c r="T22" s="1" t="s">
        <v>196</v>
      </c>
      <c r="U22" s="6" t="s">
        <v>196</v>
      </c>
      <c r="V22" s="6" t="s">
        <v>196</v>
      </c>
      <c r="W22" s="6" t="s">
        <v>196</v>
      </c>
      <c r="X22" s="45" t="s">
        <v>196</v>
      </c>
      <c r="Y22" s="37"/>
    </row>
    <row r="23" spans="1:26" ht="14.25" customHeight="1" x14ac:dyDescent="0.2">
      <c r="C23" s="35">
        <f>COLUMN(X29)</f>
        <v>24</v>
      </c>
      <c r="D23" s="44">
        <f t="shared" si="8"/>
        <v>3</v>
      </c>
      <c r="E23" s="1">
        <f t="shared" si="9"/>
        <v>5</v>
      </c>
      <c r="F23" s="1">
        <f t="shared" si="7"/>
        <v>3</v>
      </c>
      <c r="G23" s="1" t="s">
        <v>146</v>
      </c>
      <c r="H23" s="1" t="s">
        <v>99</v>
      </c>
      <c r="I23" s="1" t="s">
        <v>81</v>
      </c>
      <c r="J23" s="1">
        <v>1</v>
      </c>
      <c r="K23" s="1">
        <v>0</v>
      </c>
      <c r="L23" s="8">
        <v>260.41666666666669</v>
      </c>
      <c r="M23" s="8">
        <v>7438.6312918423</v>
      </c>
      <c r="N23" s="8">
        <v>825</v>
      </c>
      <c r="O23" s="1">
        <v>0.4</v>
      </c>
      <c r="P23" s="1">
        <v>1.5</v>
      </c>
      <c r="Q23" s="1">
        <v>0.9</v>
      </c>
      <c r="R23" s="1">
        <v>0.75</v>
      </c>
      <c r="S23" s="1">
        <v>10</v>
      </c>
      <c r="T23" s="1">
        <v>5</v>
      </c>
      <c r="U23" s="6">
        <v>3.333333333333333</v>
      </c>
      <c r="V23" s="6">
        <v>0</v>
      </c>
      <c r="W23" s="6">
        <v>0.23999999999999996</v>
      </c>
      <c r="X23" s="45">
        <v>0</v>
      </c>
      <c r="Y23" s="37"/>
    </row>
    <row r="24" spans="1:26" ht="14.25" customHeight="1" x14ac:dyDescent="0.2">
      <c r="A24" s="1" t="s">
        <v>146</v>
      </c>
      <c r="C24" s="35"/>
      <c r="D24" s="44">
        <f t="shared" si="8"/>
        <v>1</v>
      </c>
      <c r="E24" s="1">
        <f t="shared" si="9"/>
        <v>6</v>
      </c>
      <c r="F24" s="1">
        <f t="shared" si="7"/>
        <v>4</v>
      </c>
      <c r="G24" s="1" t="s">
        <v>147</v>
      </c>
      <c r="H24" s="1" t="s">
        <v>100</v>
      </c>
      <c r="I24" s="1" t="s">
        <v>82</v>
      </c>
      <c r="J24" s="1">
        <v>1</v>
      </c>
      <c r="K24" s="1">
        <v>0</v>
      </c>
      <c r="L24" s="8">
        <v>590</v>
      </c>
      <c r="M24" s="8">
        <v>2532.8746015999327</v>
      </c>
      <c r="N24" s="8">
        <v>375</v>
      </c>
      <c r="O24" s="1">
        <v>0.4</v>
      </c>
      <c r="P24" s="1">
        <v>1.5</v>
      </c>
      <c r="Q24" s="1">
        <v>1</v>
      </c>
      <c r="R24" s="1">
        <v>0.8</v>
      </c>
      <c r="S24" s="1">
        <v>20</v>
      </c>
      <c r="T24" s="1">
        <v>10</v>
      </c>
      <c r="U24" s="6">
        <v>4.9999999999999982</v>
      </c>
      <c r="V24" s="6">
        <v>0</v>
      </c>
      <c r="W24" s="6">
        <v>0</v>
      </c>
      <c r="X24" s="45">
        <v>0</v>
      </c>
      <c r="Y24" s="37"/>
    </row>
    <row r="25" spans="1:26" ht="14.25" customHeight="1" x14ac:dyDescent="0.2">
      <c r="A25" s="1" t="s">
        <v>147</v>
      </c>
      <c r="C25" s="35"/>
      <c r="D25" s="44" t="str">
        <f t="shared" si="8"/>
        <v/>
      </c>
      <c r="E25" s="1" t="str">
        <f t="shared" si="9"/>
        <v/>
      </c>
      <c r="F25" s="1" t="str">
        <f t="shared" si="7"/>
        <v/>
      </c>
      <c r="H25" s="1" t="s">
        <v>196</v>
      </c>
      <c r="I25" s="1" t="s">
        <v>196</v>
      </c>
      <c r="J25" s="1" t="s">
        <v>196</v>
      </c>
      <c r="K25" s="1" t="s">
        <v>196</v>
      </c>
      <c r="L25" s="8" t="s">
        <v>196</v>
      </c>
      <c r="M25" s="8" t="s">
        <v>196</v>
      </c>
      <c r="N25" s="8" t="s">
        <v>196</v>
      </c>
      <c r="O25" s="1" t="s">
        <v>196</v>
      </c>
      <c r="P25" s="1" t="s">
        <v>196</v>
      </c>
      <c r="Q25" s="1" t="s">
        <v>196</v>
      </c>
      <c r="R25" s="1" t="s">
        <v>196</v>
      </c>
      <c r="S25" s="1" t="s">
        <v>196</v>
      </c>
      <c r="T25" s="1" t="s">
        <v>196</v>
      </c>
      <c r="U25" s="6" t="s">
        <v>196</v>
      </c>
      <c r="V25" s="6" t="s">
        <v>196</v>
      </c>
      <c r="W25" s="6" t="s">
        <v>196</v>
      </c>
      <c r="X25" s="45" t="s">
        <v>196</v>
      </c>
      <c r="Y25" s="37"/>
    </row>
    <row r="26" spans="1:26" ht="14.25" customHeight="1" x14ac:dyDescent="0.2">
      <c r="C26" s="35"/>
      <c r="D26" s="44">
        <f t="shared" si="8"/>
        <v>3</v>
      </c>
      <c r="E26" s="1">
        <f t="shared" si="9"/>
        <v>6</v>
      </c>
      <c r="F26" s="1">
        <f t="shared" si="7"/>
        <v>6</v>
      </c>
      <c r="G26" s="1" t="s">
        <v>148</v>
      </c>
      <c r="H26" s="1" t="s">
        <v>101</v>
      </c>
      <c r="I26" s="1" t="s">
        <v>82</v>
      </c>
      <c r="J26" s="1">
        <v>1</v>
      </c>
      <c r="K26" s="1">
        <v>0</v>
      </c>
      <c r="L26" s="8">
        <v>521.4204545454545</v>
      </c>
      <c r="M26" s="8">
        <v>2622.7272429235545</v>
      </c>
      <c r="N26" s="8">
        <v>337.5</v>
      </c>
      <c r="O26" s="1">
        <v>0.4</v>
      </c>
      <c r="P26" s="1">
        <v>1.5</v>
      </c>
      <c r="Q26" s="1">
        <v>1.1000000000000001</v>
      </c>
      <c r="R26" s="1">
        <v>0.80500000000000005</v>
      </c>
      <c r="S26" s="1">
        <v>20</v>
      </c>
      <c r="T26" s="1">
        <v>10</v>
      </c>
      <c r="U26" s="6">
        <v>4.8447204968944071</v>
      </c>
      <c r="V26" s="6">
        <v>0</v>
      </c>
      <c r="W26" s="6">
        <v>0</v>
      </c>
      <c r="X26" s="45">
        <v>0</v>
      </c>
      <c r="Y26" s="37"/>
    </row>
    <row r="27" spans="1:26" ht="14.25" customHeight="1" x14ac:dyDescent="0.2">
      <c r="A27" s="1" t="s">
        <v>148</v>
      </c>
      <c r="C27" s="35"/>
      <c r="D27" s="44" t="str">
        <f t="shared" ref="D27:D29" si="10">IFERROR(MOD(F27+3-1,3)+1,"")</f>
        <v/>
      </c>
      <c r="E27" s="1" t="str">
        <f t="shared" ref="E27:E29" si="11">IFERROR(INT((F27-1)/3)+5,"")</f>
        <v/>
      </c>
      <c r="F27" s="1" t="str">
        <f t="shared" si="7"/>
        <v/>
      </c>
      <c r="H27" s="1" t="s">
        <v>196</v>
      </c>
      <c r="I27" s="1" t="s">
        <v>196</v>
      </c>
      <c r="J27" s="1" t="s">
        <v>196</v>
      </c>
      <c r="K27" s="1" t="s">
        <v>196</v>
      </c>
      <c r="L27" s="8" t="s">
        <v>196</v>
      </c>
      <c r="M27" s="8" t="s">
        <v>196</v>
      </c>
      <c r="N27" s="8" t="s">
        <v>196</v>
      </c>
      <c r="O27" s="1" t="s">
        <v>196</v>
      </c>
      <c r="P27" s="1" t="s">
        <v>196</v>
      </c>
      <c r="Q27" s="1" t="s">
        <v>196</v>
      </c>
      <c r="R27" s="1" t="s">
        <v>196</v>
      </c>
      <c r="S27" s="1" t="s">
        <v>196</v>
      </c>
      <c r="T27" s="1" t="s">
        <v>196</v>
      </c>
      <c r="U27" s="6" t="s">
        <v>196</v>
      </c>
      <c r="V27" s="6" t="s">
        <v>196</v>
      </c>
      <c r="W27" s="6" t="s">
        <v>196</v>
      </c>
      <c r="X27" s="45" t="s">
        <v>196</v>
      </c>
      <c r="Y27" s="37"/>
    </row>
    <row r="28" spans="1:26" ht="14.25" customHeight="1" x14ac:dyDescent="0.2">
      <c r="C28" s="35"/>
      <c r="D28" s="44">
        <f t="shared" si="10"/>
        <v>2</v>
      </c>
      <c r="E28" s="1">
        <f t="shared" si="11"/>
        <v>7</v>
      </c>
      <c r="F28" s="1">
        <f t="shared" si="7"/>
        <v>8</v>
      </c>
      <c r="G28" s="1" t="s">
        <v>149</v>
      </c>
      <c r="H28" s="1" t="s">
        <v>102</v>
      </c>
      <c r="I28" s="1" t="s">
        <v>83</v>
      </c>
      <c r="J28" s="1">
        <v>1</v>
      </c>
      <c r="K28" s="1">
        <v>0</v>
      </c>
      <c r="L28" s="8">
        <v>221.66666666666669</v>
      </c>
      <c r="M28" s="8">
        <v>3742.1415028440274</v>
      </c>
      <c r="N28" s="8">
        <v>210</v>
      </c>
      <c r="O28" s="1">
        <v>0.4</v>
      </c>
      <c r="P28" s="1">
        <v>1.5</v>
      </c>
      <c r="Q28" s="1">
        <v>0.9</v>
      </c>
      <c r="R28" s="1">
        <v>0.79800000000000004</v>
      </c>
      <c r="S28" s="1">
        <v>10</v>
      </c>
      <c r="T28" s="1">
        <v>5</v>
      </c>
      <c r="U28" s="6">
        <v>2.5313283208020043</v>
      </c>
      <c r="V28" s="6">
        <v>0</v>
      </c>
      <c r="W28" s="6">
        <v>0</v>
      </c>
      <c r="X28" s="45">
        <v>0.20959661626191753</v>
      </c>
      <c r="Y28" s="37"/>
    </row>
    <row r="29" spans="1:26" ht="14.25" customHeight="1" x14ac:dyDescent="0.2">
      <c r="A29" s="1" t="s">
        <v>149</v>
      </c>
      <c r="C29" s="35"/>
      <c r="D29" s="44" t="str">
        <f t="shared" si="10"/>
        <v/>
      </c>
      <c r="E29" s="1" t="str">
        <f t="shared" si="11"/>
        <v/>
      </c>
      <c r="F29" s="1" t="str">
        <f t="shared" ref="F29" si="12">IF(G29="","",ROW(G29)-$C$20+1)</f>
        <v/>
      </c>
      <c r="H29" s="1" t="str">
        <f>IFERROR(VLOOKUP($G29,#REF!,2,0),"")</f>
        <v/>
      </c>
      <c r="I29" s="1" t="str">
        <f>IFERROR(VLOOKUP(H29,#REF!,2,0),"")</f>
        <v/>
      </c>
      <c r="J29" s="1" t="str">
        <f t="shared" ref="J29:K29" si="13">IF($G29="","",J$19)</f>
        <v/>
      </c>
      <c r="K29" s="1" t="str">
        <f t="shared" si="13"/>
        <v/>
      </c>
      <c r="L29" s="8" t="str">
        <f>IFERROR(VLOOKUP($G29,#REF!,MATCH(玩家成长!#REF!,#REF!,0),0)*VLOOKUP($J29,玩家成长!#REF!,MATCH(玩家成长!#REF!,玩家成长!#REF!,0),0)*玩家成长!#REF!*R29/Q29/(1+O29*(P29-1)),"")</f>
        <v/>
      </c>
      <c r="M29" s="8" t="str">
        <f>IFERROR(VLOOKUP($G29,#REF!,MATCH(玩家成长!#REF!,#REF!,0),0)*VLOOKUP($J29,玩家成长!#REF!,MATCH(玩家成长!#REF!,玩家成长!#REF!,0),0)*玩家成长!#REF!/(1+N29/玩家成长!#REF!),"")</f>
        <v/>
      </c>
      <c r="N29" s="8" t="str">
        <f>IFERROR(VLOOKUP($G29,#REF!,MATCH(N$9,#REF!,0),0)*VLOOKUP($J29,玩家成长!#REF!,MATCH(N$9,玩家成长!#REF!,0),0)*玩家成长!#REF!,"")</f>
        <v/>
      </c>
      <c r="O29" s="1" t="str">
        <f>IFERROR(VLOOKUP($G29,#REF!,MATCH(O$9,#REF!,0),0)*VLOOKUP($J29,玩家成长!#REF!,MATCH(O$9,玩家成长!#REF!,0),0),"")</f>
        <v/>
      </c>
      <c r="P29" s="1" t="str">
        <f>IFERROR(VLOOKUP($G29,#REF!,MATCH(P$9,#REF!,0),0)*VLOOKUP($J29,玩家成长!#REF!,MATCH(P$9,玩家成长!#REF!,0),0),"")</f>
        <v/>
      </c>
      <c r="Q29" s="1" t="str">
        <f>IFERROR(VLOOKUP($G29,#REF!,MATCH(Q$9,#REF!,0),0)*VLOOKUP($J29,玩家成长!#REF!,MATCH(Q$9,玩家成长!#REF!,0),0),"")</f>
        <v/>
      </c>
      <c r="R29" s="1" t="str">
        <f>IFERROR(VLOOKUP($G29,#REF!,MATCH(R$9,#REF!,0),0),"")</f>
        <v/>
      </c>
      <c r="S29" s="1" t="s">
        <v>196</v>
      </c>
      <c r="T29" s="1" t="s">
        <v>196</v>
      </c>
      <c r="U29" s="6" t="s">
        <v>196</v>
      </c>
      <c r="V29" s="6" t="s">
        <v>196</v>
      </c>
      <c r="W29" s="6" t="s">
        <v>196</v>
      </c>
      <c r="X29" s="45" t="s">
        <v>196</v>
      </c>
      <c r="Y29" s="37"/>
    </row>
    <row r="30" spans="1:26" ht="14.25" customHeight="1" x14ac:dyDescent="0.2">
      <c r="D30" s="34"/>
      <c r="E30" s="34"/>
      <c r="F30" s="34"/>
      <c r="G30" s="34"/>
      <c r="H30" s="34"/>
      <c r="I30" s="34"/>
      <c r="J30" s="34"/>
      <c r="K30" s="34"/>
      <c r="L30" s="34"/>
      <c r="M30" s="34"/>
      <c r="N30" s="34"/>
      <c r="O30" s="34"/>
      <c r="P30" s="34"/>
      <c r="Q30" s="34"/>
      <c r="R30" s="34"/>
      <c r="S30" s="34"/>
      <c r="T30" s="34"/>
      <c r="U30" s="34"/>
      <c r="V30" s="34"/>
      <c r="W30" s="34"/>
      <c r="X30" s="34"/>
    </row>
    <row r="31" spans="1:26" ht="14.25" customHeight="1" x14ac:dyDescent="0.2">
      <c r="D31" s="2"/>
    </row>
    <row r="32" spans="1:26" ht="14.25" customHeight="1" x14ac:dyDescent="0.2">
      <c r="D32" s="2"/>
    </row>
    <row r="33" spans="1:25" ht="14.25" customHeight="1" x14ac:dyDescent="0.2">
      <c r="D33" s="58" t="s">
        <v>152</v>
      </c>
      <c r="G33" s="1">
        <v>1000</v>
      </c>
      <c r="J33" s="58" t="s">
        <v>153</v>
      </c>
    </row>
    <row r="34" spans="1:25" ht="14.25" customHeight="1" x14ac:dyDescent="0.2">
      <c r="D34" s="5">
        <f>D35/G33</f>
        <v>1</v>
      </c>
      <c r="G34" s="5">
        <f>G35/$G$1</f>
        <v>0</v>
      </c>
      <c r="J34" s="5">
        <f>J35/G33</f>
        <v>0</v>
      </c>
    </row>
    <row r="35" spans="1:25" ht="14.25" customHeight="1" thickBot="1" x14ac:dyDescent="0.25">
      <c r="C35" s="3" t="s">
        <v>151</v>
      </c>
      <c r="D35" s="59">
        <v>1000</v>
      </c>
      <c r="E35" s="59"/>
      <c r="F35" s="59">
        <v>9</v>
      </c>
      <c r="G35" s="1">
        <v>0</v>
      </c>
      <c r="H35" s="59">
        <f>G33-D35-G35-J35</f>
        <v>0</v>
      </c>
      <c r="I35" s="59"/>
      <c r="J35" s="59">
        <v>0</v>
      </c>
      <c r="M35" s="1" t="s">
        <v>141</v>
      </c>
    </row>
    <row r="36" spans="1:25" ht="14.25" customHeight="1" x14ac:dyDescent="0.2">
      <c r="D36" s="130" t="s">
        <v>142</v>
      </c>
      <c r="E36" s="131"/>
      <c r="F36" s="132"/>
      <c r="G36" s="63"/>
      <c r="H36" s="130" t="s">
        <v>143</v>
      </c>
      <c r="I36" s="131"/>
      <c r="J36" s="132"/>
    </row>
    <row r="37" spans="1:25" ht="14.25" customHeight="1" x14ac:dyDescent="0.2">
      <c r="D37" s="44">
        <v>7</v>
      </c>
      <c r="E37" s="1">
        <v>4</v>
      </c>
      <c r="F37" s="55">
        <v>1</v>
      </c>
      <c r="G37" s="63"/>
      <c r="H37" s="44">
        <v>1</v>
      </c>
      <c r="I37" s="1">
        <v>4</v>
      </c>
      <c r="J37" s="55">
        <v>7</v>
      </c>
    </row>
    <row r="38" spans="1:25" ht="14.25" customHeight="1" x14ac:dyDescent="0.2">
      <c r="D38" s="44">
        <v>8</v>
      </c>
      <c r="E38" s="1">
        <v>5</v>
      </c>
      <c r="F38" s="55">
        <v>2</v>
      </c>
      <c r="G38" s="63"/>
      <c r="H38" s="44">
        <v>2</v>
      </c>
      <c r="I38" s="1">
        <v>5</v>
      </c>
      <c r="J38" s="55">
        <v>8</v>
      </c>
    </row>
    <row r="39" spans="1:25" ht="14.25" customHeight="1" thickBot="1" x14ac:dyDescent="0.25">
      <c r="D39" s="46">
        <v>9</v>
      </c>
      <c r="E39" s="47">
        <v>6</v>
      </c>
      <c r="F39" s="56">
        <v>3</v>
      </c>
      <c r="G39" s="63"/>
      <c r="H39" s="46">
        <v>3</v>
      </c>
      <c r="I39" s="47">
        <v>6</v>
      </c>
      <c r="J39" s="56">
        <v>9</v>
      </c>
    </row>
    <row r="40" spans="1:25" ht="14.25" customHeight="1" thickBot="1" x14ac:dyDescent="0.25">
      <c r="D40" s="54">
        <v>1</v>
      </c>
      <c r="E40" s="54">
        <v>2</v>
      </c>
      <c r="F40" s="54">
        <v>3</v>
      </c>
      <c r="G40" s="38">
        <v>4</v>
      </c>
      <c r="H40" s="54">
        <v>5</v>
      </c>
      <c r="I40" s="54">
        <v>6</v>
      </c>
      <c r="J40" s="51">
        <v>10</v>
      </c>
      <c r="K40" s="39">
        <v>0</v>
      </c>
      <c r="L40" s="38">
        <v>9</v>
      </c>
      <c r="M40" s="38">
        <v>10</v>
      </c>
      <c r="N40" s="38">
        <v>11</v>
      </c>
      <c r="O40" s="38">
        <v>12</v>
      </c>
      <c r="P40" s="38">
        <v>13</v>
      </c>
      <c r="Q40" s="38">
        <v>14</v>
      </c>
      <c r="R40" s="38">
        <v>15</v>
      </c>
      <c r="S40" s="38">
        <v>16</v>
      </c>
      <c r="T40" s="38">
        <v>17</v>
      </c>
      <c r="U40" s="38">
        <v>18</v>
      </c>
      <c r="V40" s="59" t="s">
        <v>138</v>
      </c>
      <c r="W40" s="59" t="s">
        <v>139</v>
      </c>
      <c r="X40" s="59" t="s">
        <v>140</v>
      </c>
    </row>
    <row r="41" spans="1:25" ht="14.25" customHeight="1" x14ac:dyDescent="0.2">
      <c r="A41" s="4">
        <f>B41/(SUM(M42:M50)*$G$1)</f>
        <v>0.68505589422670266</v>
      </c>
      <c r="B41" s="6">
        <v>26054948.217097349</v>
      </c>
      <c r="C41" s="62">
        <f>ROW(D42)</f>
        <v>42</v>
      </c>
      <c r="D41" s="40" t="s">
        <v>187</v>
      </c>
      <c r="E41" s="41" t="s">
        <v>188</v>
      </c>
      <c r="F41" s="41" t="s">
        <v>189</v>
      </c>
      <c r="G41" s="42" t="s">
        <v>190</v>
      </c>
      <c r="H41" s="41" t="s">
        <v>118</v>
      </c>
      <c r="I41" s="41" t="s">
        <v>117</v>
      </c>
      <c r="J41" s="42" t="s">
        <v>191</v>
      </c>
      <c r="K41" s="42" t="s">
        <v>192</v>
      </c>
      <c r="L41" s="41" t="s">
        <v>104</v>
      </c>
      <c r="M41" s="41" t="s">
        <v>105</v>
      </c>
      <c r="N41" s="41" t="s">
        <v>92</v>
      </c>
      <c r="O41" s="41" t="s">
        <v>93</v>
      </c>
      <c r="P41" s="41" t="s">
        <v>94</v>
      </c>
      <c r="Q41" s="41" t="s">
        <v>95</v>
      </c>
      <c r="R41" s="41" t="s">
        <v>106</v>
      </c>
      <c r="S41" s="41" t="s">
        <v>193</v>
      </c>
      <c r="T41" s="41" t="s">
        <v>194</v>
      </c>
      <c r="U41" s="41" t="s">
        <v>195</v>
      </c>
      <c r="V41" s="41" t="s">
        <v>121</v>
      </c>
      <c r="W41" s="41" t="s">
        <v>122</v>
      </c>
      <c r="X41" s="43" t="s">
        <v>135</v>
      </c>
      <c r="Y41" s="64"/>
    </row>
    <row r="42" spans="1:25" ht="14.25" customHeight="1" x14ac:dyDescent="0.2">
      <c r="C42" s="62">
        <f>COLUMN(D42)</f>
        <v>4</v>
      </c>
      <c r="D42" s="44">
        <v>1</v>
      </c>
      <c r="E42" s="1">
        <v>3</v>
      </c>
      <c r="F42" s="1">
        <v>1</v>
      </c>
      <c r="G42" s="1" t="s">
        <v>156</v>
      </c>
      <c r="H42" s="1" t="s">
        <v>99</v>
      </c>
      <c r="I42" s="1" t="s">
        <v>81</v>
      </c>
      <c r="J42" s="1">
        <v>10</v>
      </c>
      <c r="K42" s="1">
        <v>0</v>
      </c>
      <c r="L42" s="8">
        <v>363.59255061996458</v>
      </c>
      <c r="M42" s="8">
        <v>12764.370871444586</v>
      </c>
      <c r="N42" s="8">
        <v>1279.8457781822756</v>
      </c>
      <c r="O42" s="1">
        <v>0.4</v>
      </c>
      <c r="P42" s="1">
        <v>1.5</v>
      </c>
      <c r="Q42" s="1">
        <v>0.9</v>
      </c>
      <c r="R42" s="1">
        <v>0.75</v>
      </c>
      <c r="S42" s="1">
        <v>10</v>
      </c>
      <c r="T42" s="1">
        <v>5</v>
      </c>
      <c r="U42" s="6">
        <v>3.333333333333333</v>
      </c>
      <c r="V42" s="6">
        <v>0</v>
      </c>
      <c r="W42" s="6">
        <v>0.23999999999999996</v>
      </c>
      <c r="X42" s="45">
        <v>0</v>
      </c>
      <c r="Y42" s="64"/>
    </row>
    <row r="43" spans="1:25" ht="14.25" customHeight="1" x14ac:dyDescent="0.2">
      <c r="C43" s="62">
        <f>ROW(X50)</f>
        <v>50</v>
      </c>
      <c r="D43" s="44" t="s">
        <v>196</v>
      </c>
      <c r="E43" s="1" t="s">
        <v>196</v>
      </c>
      <c r="F43" s="1" t="s">
        <v>196</v>
      </c>
      <c r="H43" s="1" t="s">
        <v>196</v>
      </c>
      <c r="I43" s="1" t="s">
        <v>196</v>
      </c>
      <c r="J43" s="1" t="s">
        <v>196</v>
      </c>
      <c r="K43" s="1" t="s">
        <v>196</v>
      </c>
      <c r="L43" s="8" t="s">
        <v>196</v>
      </c>
      <c r="M43" s="8" t="s">
        <v>196</v>
      </c>
      <c r="N43" s="8" t="s">
        <v>196</v>
      </c>
      <c r="O43" s="1" t="s">
        <v>196</v>
      </c>
      <c r="P43" s="1" t="s">
        <v>196</v>
      </c>
      <c r="Q43" s="1" t="s">
        <v>196</v>
      </c>
      <c r="R43" s="1" t="s">
        <v>196</v>
      </c>
      <c r="S43" s="1" t="s">
        <v>196</v>
      </c>
      <c r="T43" s="1" t="s">
        <v>196</v>
      </c>
      <c r="U43" s="6" t="s">
        <v>196</v>
      </c>
      <c r="V43" s="6" t="s">
        <v>196</v>
      </c>
      <c r="W43" s="6" t="s">
        <v>196</v>
      </c>
      <c r="X43" s="45" t="s">
        <v>196</v>
      </c>
      <c r="Y43" s="64"/>
    </row>
    <row r="44" spans="1:25" ht="14.25" customHeight="1" x14ac:dyDescent="0.2">
      <c r="C44" s="62">
        <f>COLUMN(X50)</f>
        <v>24</v>
      </c>
      <c r="D44" s="44">
        <v>3</v>
      </c>
      <c r="E44" s="1">
        <v>3</v>
      </c>
      <c r="F44" s="1">
        <v>3</v>
      </c>
      <c r="G44" s="1" t="s">
        <v>146</v>
      </c>
      <c r="H44" s="1" t="s">
        <v>99</v>
      </c>
      <c r="I44" s="1" t="s">
        <v>81</v>
      </c>
      <c r="J44" s="1">
        <v>10</v>
      </c>
      <c r="K44" s="1">
        <v>0</v>
      </c>
      <c r="L44" s="8">
        <v>403.99172291107186</v>
      </c>
      <c r="M44" s="8">
        <v>11487.933784300129</v>
      </c>
      <c r="N44" s="8">
        <v>1279.8457781822756</v>
      </c>
      <c r="O44" s="1">
        <v>0.4</v>
      </c>
      <c r="P44" s="1">
        <v>1.5</v>
      </c>
      <c r="Q44" s="1">
        <v>0.9</v>
      </c>
      <c r="R44" s="1">
        <v>0.75</v>
      </c>
      <c r="S44" s="1">
        <v>10</v>
      </c>
      <c r="T44" s="1">
        <v>5</v>
      </c>
      <c r="U44" s="6">
        <v>3.333333333333333</v>
      </c>
      <c r="V44" s="6">
        <v>0</v>
      </c>
      <c r="W44" s="6">
        <v>0.23999999999999996</v>
      </c>
      <c r="X44" s="45">
        <v>0</v>
      </c>
      <c r="Y44" s="64"/>
    </row>
    <row r="45" spans="1:25" ht="14.25" customHeight="1" x14ac:dyDescent="0.2">
      <c r="C45" s="62"/>
      <c r="D45" s="44">
        <v>1</v>
      </c>
      <c r="E45" s="1">
        <v>2</v>
      </c>
      <c r="F45" s="1">
        <v>4</v>
      </c>
      <c r="G45" s="1" t="s">
        <v>147</v>
      </c>
      <c r="H45" s="1" t="s">
        <v>100</v>
      </c>
      <c r="I45" s="1" t="s">
        <v>82</v>
      </c>
      <c r="J45" s="1">
        <v>10</v>
      </c>
      <c r="K45" s="1">
        <v>0</v>
      </c>
      <c r="L45" s="8">
        <v>915.28364742732424</v>
      </c>
      <c r="M45" s="8">
        <v>3921.243030306221</v>
      </c>
      <c r="N45" s="8">
        <v>581.74808099194343</v>
      </c>
      <c r="O45" s="1">
        <v>0.4</v>
      </c>
      <c r="P45" s="1">
        <v>1.5</v>
      </c>
      <c r="Q45" s="1">
        <v>1</v>
      </c>
      <c r="R45" s="1">
        <v>0.8</v>
      </c>
      <c r="S45" s="1">
        <v>20</v>
      </c>
      <c r="T45" s="1">
        <v>10</v>
      </c>
      <c r="U45" s="6">
        <v>4.9999999999999982</v>
      </c>
      <c r="V45" s="6">
        <v>0</v>
      </c>
      <c r="W45" s="6">
        <v>0</v>
      </c>
      <c r="X45" s="45">
        <v>0</v>
      </c>
      <c r="Y45" s="64"/>
    </row>
    <row r="46" spans="1:25" ht="14.25" customHeight="1" x14ac:dyDescent="0.2">
      <c r="C46" s="62"/>
      <c r="D46" s="44" t="s">
        <v>196</v>
      </c>
      <c r="E46" s="1" t="s">
        <v>196</v>
      </c>
      <c r="F46" s="1" t="s">
        <v>196</v>
      </c>
      <c r="H46" s="1" t="s">
        <v>196</v>
      </c>
      <c r="I46" s="1" t="s">
        <v>196</v>
      </c>
      <c r="J46" s="1" t="s">
        <v>196</v>
      </c>
      <c r="K46" s="1" t="s">
        <v>196</v>
      </c>
      <c r="L46" s="8" t="s">
        <v>196</v>
      </c>
      <c r="M46" s="8" t="s">
        <v>196</v>
      </c>
      <c r="N46" s="8" t="s">
        <v>196</v>
      </c>
      <c r="O46" s="1" t="s">
        <v>196</v>
      </c>
      <c r="P46" s="1" t="s">
        <v>196</v>
      </c>
      <c r="Q46" s="1" t="s">
        <v>196</v>
      </c>
      <c r="R46" s="1" t="s">
        <v>196</v>
      </c>
      <c r="S46" s="1" t="s">
        <v>196</v>
      </c>
      <c r="T46" s="1" t="s">
        <v>196</v>
      </c>
      <c r="U46" s="6" t="s">
        <v>196</v>
      </c>
      <c r="V46" s="6" t="s">
        <v>196</v>
      </c>
      <c r="W46" s="6" t="s">
        <v>196</v>
      </c>
      <c r="X46" s="45" t="s">
        <v>196</v>
      </c>
      <c r="Y46" s="64"/>
    </row>
    <row r="47" spans="1:25" ht="14.25" customHeight="1" x14ac:dyDescent="0.2">
      <c r="C47" s="62"/>
      <c r="D47" s="44">
        <v>3</v>
      </c>
      <c r="E47" s="1">
        <v>2</v>
      </c>
      <c r="F47" s="1">
        <v>6</v>
      </c>
      <c r="G47" s="1" t="s">
        <v>148</v>
      </c>
      <c r="H47" s="1" t="s">
        <v>101</v>
      </c>
      <c r="I47" s="1" t="s">
        <v>82</v>
      </c>
      <c r="J47" s="1">
        <v>10</v>
      </c>
      <c r="K47" s="1">
        <v>0</v>
      </c>
      <c r="L47" s="8">
        <v>808.89426352470684</v>
      </c>
      <c r="M47" s="8">
        <v>4061.1794236014766</v>
      </c>
      <c r="N47" s="8">
        <v>523.57327289274906</v>
      </c>
      <c r="O47" s="1">
        <v>0.4</v>
      </c>
      <c r="P47" s="1">
        <v>1.5</v>
      </c>
      <c r="Q47" s="1">
        <v>1.1000000000000001</v>
      </c>
      <c r="R47" s="1">
        <v>0.80500000000000005</v>
      </c>
      <c r="S47" s="1">
        <v>20</v>
      </c>
      <c r="T47" s="1">
        <v>10</v>
      </c>
      <c r="U47" s="6">
        <v>4.8447204968944071</v>
      </c>
      <c r="V47" s="6">
        <v>0</v>
      </c>
      <c r="W47" s="6">
        <v>0</v>
      </c>
      <c r="X47" s="45">
        <v>0</v>
      </c>
      <c r="Y47" s="64"/>
    </row>
    <row r="48" spans="1:25" ht="14.25" customHeight="1" x14ac:dyDescent="0.2">
      <c r="C48" s="62"/>
      <c r="D48" s="44" t="s">
        <v>196</v>
      </c>
      <c r="E48" s="1" t="s">
        <v>196</v>
      </c>
      <c r="F48" s="1" t="s">
        <v>196</v>
      </c>
      <c r="H48" s="1" t="s">
        <v>196</v>
      </c>
      <c r="I48" s="1" t="s">
        <v>196</v>
      </c>
      <c r="J48" s="1" t="s">
        <v>196</v>
      </c>
      <c r="K48" s="1" t="s">
        <v>196</v>
      </c>
      <c r="L48" s="8" t="s">
        <v>196</v>
      </c>
      <c r="M48" s="8" t="s">
        <v>196</v>
      </c>
      <c r="N48" s="8" t="s">
        <v>196</v>
      </c>
      <c r="O48" s="1" t="s">
        <v>196</v>
      </c>
      <c r="P48" s="1" t="s">
        <v>196</v>
      </c>
      <c r="Q48" s="1" t="s">
        <v>196</v>
      </c>
      <c r="R48" s="1" t="s">
        <v>196</v>
      </c>
      <c r="S48" s="1" t="s">
        <v>196</v>
      </c>
      <c r="T48" s="1" t="s">
        <v>196</v>
      </c>
      <c r="U48" s="6" t="s">
        <v>196</v>
      </c>
      <c r="V48" s="6" t="s">
        <v>196</v>
      </c>
      <c r="W48" s="6" t="s">
        <v>196</v>
      </c>
      <c r="X48" s="45" t="s">
        <v>196</v>
      </c>
      <c r="Y48" s="64"/>
    </row>
    <row r="49" spans="1:25" ht="14.25" customHeight="1" x14ac:dyDescent="0.2">
      <c r="C49" s="62"/>
      <c r="D49" s="44">
        <v>2</v>
      </c>
      <c r="E49" s="1">
        <v>1</v>
      </c>
      <c r="F49" s="1">
        <v>8</v>
      </c>
      <c r="G49" s="1" t="s">
        <v>149</v>
      </c>
      <c r="H49" s="1" t="s">
        <v>102</v>
      </c>
      <c r="I49" s="1" t="s">
        <v>83</v>
      </c>
      <c r="J49" s="1">
        <v>10</v>
      </c>
      <c r="K49" s="1">
        <v>0</v>
      </c>
      <c r="L49" s="8">
        <v>343.87775454190438</v>
      </c>
      <c r="M49" s="8">
        <v>5798.5902249986657</v>
      </c>
      <c r="N49" s="8">
        <v>325.7789253554883</v>
      </c>
      <c r="O49" s="1">
        <v>0.4</v>
      </c>
      <c r="P49" s="1">
        <v>1.5</v>
      </c>
      <c r="Q49" s="1">
        <v>0.9</v>
      </c>
      <c r="R49" s="1">
        <v>0.79800000000000004</v>
      </c>
      <c r="S49" s="1">
        <v>10</v>
      </c>
      <c r="T49" s="1">
        <v>5</v>
      </c>
      <c r="U49" s="6">
        <v>2.5313283208020043</v>
      </c>
      <c r="V49" s="6">
        <v>0</v>
      </c>
      <c r="W49" s="6">
        <v>0</v>
      </c>
      <c r="X49" s="45">
        <v>0.20959661626191753</v>
      </c>
      <c r="Y49" s="64"/>
    </row>
    <row r="50" spans="1:25" ht="14.25" customHeight="1" thickBot="1" x14ac:dyDescent="0.25">
      <c r="C50" s="62"/>
      <c r="D50" s="46" t="s">
        <v>196</v>
      </c>
      <c r="E50" s="47" t="s">
        <v>196</v>
      </c>
      <c r="F50" s="47" t="s">
        <v>196</v>
      </c>
      <c r="G50" s="47"/>
      <c r="H50" s="47" t="s">
        <v>196</v>
      </c>
      <c r="I50" s="47" t="s">
        <v>196</v>
      </c>
      <c r="J50" s="47" t="s">
        <v>196</v>
      </c>
      <c r="K50" s="47" t="s">
        <v>196</v>
      </c>
      <c r="L50" s="48" t="s">
        <v>196</v>
      </c>
      <c r="M50" s="48" t="s">
        <v>196</v>
      </c>
      <c r="N50" s="48" t="s">
        <v>196</v>
      </c>
      <c r="O50" s="47" t="s">
        <v>196</v>
      </c>
      <c r="P50" s="47" t="s">
        <v>196</v>
      </c>
      <c r="Q50" s="47" t="s">
        <v>196</v>
      </c>
      <c r="R50" s="47" t="s">
        <v>196</v>
      </c>
      <c r="S50" s="47" t="s">
        <v>196</v>
      </c>
      <c r="T50" s="47" t="s">
        <v>196</v>
      </c>
      <c r="U50" s="49" t="s">
        <v>196</v>
      </c>
      <c r="V50" s="49" t="s">
        <v>196</v>
      </c>
      <c r="W50" s="49" t="s">
        <v>196</v>
      </c>
      <c r="X50" s="50" t="s">
        <v>196</v>
      </c>
      <c r="Y50" s="64"/>
    </row>
    <row r="51" spans="1:25" ht="14.25" customHeight="1" thickBot="1" x14ac:dyDescent="0.25">
      <c r="C51" s="2" t="s">
        <v>154</v>
      </c>
      <c r="D51" s="60"/>
      <c r="E51" s="60"/>
      <c r="F51" s="60"/>
      <c r="G51" s="60"/>
      <c r="H51" s="60"/>
      <c r="I51" s="60"/>
      <c r="J51" s="51">
        <v>50</v>
      </c>
      <c r="K51" s="51">
        <v>1</v>
      </c>
      <c r="L51" s="52"/>
      <c r="M51" s="52"/>
      <c r="N51" s="52"/>
      <c r="O51" s="60"/>
      <c r="P51" s="60"/>
      <c r="Q51" s="60"/>
      <c r="R51" s="60"/>
      <c r="S51" s="60">
        <v>0</v>
      </c>
      <c r="T51" s="60">
        <v>0</v>
      </c>
      <c r="U51" s="53"/>
      <c r="V51" s="60" t="s">
        <v>197</v>
      </c>
      <c r="W51" s="60" t="s">
        <v>198</v>
      </c>
      <c r="X51" s="60" t="s">
        <v>199</v>
      </c>
    </row>
    <row r="52" spans="1:25" ht="14.25" customHeight="1" x14ac:dyDescent="0.2">
      <c r="A52" s="4">
        <f>B52/(SUM(M53:M61)*$G$1)</f>
        <v>0</v>
      </c>
      <c r="B52" s="6">
        <v>0</v>
      </c>
      <c r="C52" s="62">
        <f>ROW(D53)</f>
        <v>53</v>
      </c>
      <c r="D52" s="40" t="s">
        <v>187</v>
      </c>
      <c r="E52" s="41" t="s">
        <v>188</v>
      </c>
      <c r="F52" s="41" t="s">
        <v>200</v>
      </c>
      <c r="G52" s="42" t="s">
        <v>190</v>
      </c>
      <c r="H52" s="41" t="s">
        <v>118</v>
      </c>
      <c r="I52" s="41" t="s">
        <v>117</v>
      </c>
      <c r="J52" s="42" t="s">
        <v>191</v>
      </c>
      <c r="K52" s="42" t="s">
        <v>192</v>
      </c>
      <c r="L52" s="41" t="s">
        <v>104</v>
      </c>
      <c r="M52" s="41" t="s">
        <v>105</v>
      </c>
      <c r="N52" s="41" t="s">
        <v>92</v>
      </c>
      <c r="O52" s="41" t="s">
        <v>93</v>
      </c>
      <c r="P52" s="41" t="s">
        <v>94</v>
      </c>
      <c r="Q52" s="41" t="s">
        <v>95</v>
      </c>
      <c r="R52" s="41" t="s">
        <v>106</v>
      </c>
      <c r="S52" s="41" t="s">
        <v>193</v>
      </c>
      <c r="T52" s="41" t="s">
        <v>194</v>
      </c>
      <c r="U52" s="41" t="s">
        <v>195</v>
      </c>
      <c r="V52" s="41" t="s">
        <v>121</v>
      </c>
      <c r="W52" s="41" t="s">
        <v>122</v>
      </c>
      <c r="X52" s="43" t="s">
        <v>135</v>
      </c>
      <c r="Y52" s="64"/>
    </row>
    <row r="53" spans="1:25" ht="14.25" customHeight="1" x14ac:dyDescent="0.2">
      <c r="C53" s="62">
        <f>COLUMN(D53)</f>
        <v>4</v>
      </c>
      <c r="D53" s="44">
        <v>1</v>
      </c>
      <c r="E53" s="1">
        <v>5</v>
      </c>
      <c r="F53" s="1">
        <v>1</v>
      </c>
      <c r="G53" s="1" t="s">
        <v>201</v>
      </c>
      <c r="H53" s="1" t="s">
        <v>196</v>
      </c>
      <c r="I53" s="1" t="s">
        <v>196</v>
      </c>
      <c r="J53" s="1">
        <v>50</v>
      </c>
      <c r="K53" s="1">
        <v>1</v>
      </c>
      <c r="L53" s="1">
        <v>197.01868342927153</v>
      </c>
      <c r="M53" s="1">
        <v>3111.6033206599054</v>
      </c>
      <c r="N53" s="1">
        <v>11634.961619838869</v>
      </c>
      <c r="O53" s="8">
        <v>0.4</v>
      </c>
      <c r="P53" s="8">
        <v>1.5</v>
      </c>
      <c r="Q53" s="8">
        <v>1</v>
      </c>
      <c r="R53" s="8"/>
      <c r="S53" s="8">
        <v>10</v>
      </c>
      <c r="T53" s="1">
        <v>5</v>
      </c>
      <c r="U53" s="8">
        <v>2.4999999999999991</v>
      </c>
      <c r="V53" s="6">
        <v>0</v>
      </c>
      <c r="W53" s="6">
        <v>0</v>
      </c>
      <c r="X53" s="45">
        <v>0</v>
      </c>
      <c r="Y53" s="64"/>
    </row>
    <row r="54" spans="1:25" ht="14.25" customHeight="1" x14ac:dyDescent="0.2">
      <c r="C54" s="62">
        <f>ROW(X61)</f>
        <v>61</v>
      </c>
      <c r="D54" s="44">
        <v>2</v>
      </c>
      <c r="E54" s="1">
        <v>5</v>
      </c>
      <c r="F54" s="1">
        <v>2</v>
      </c>
      <c r="G54" s="1" t="s">
        <v>174</v>
      </c>
      <c r="H54" s="1" t="s">
        <v>196</v>
      </c>
      <c r="I54" s="1" t="s">
        <v>196</v>
      </c>
      <c r="J54" s="1">
        <v>50</v>
      </c>
      <c r="K54" s="1">
        <v>1</v>
      </c>
      <c r="L54" s="1">
        <v>197.01868342927153</v>
      </c>
      <c r="M54" s="1">
        <v>3111.6033206599054</v>
      </c>
      <c r="N54" s="1">
        <v>11634.961619838869</v>
      </c>
      <c r="O54" s="8">
        <v>0.4</v>
      </c>
      <c r="P54" s="8">
        <v>1.5</v>
      </c>
      <c r="Q54" s="8">
        <v>1</v>
      </c>
      <c r="R54" s="8"/>
      <c r="S54" s="8">
        <v>10</v>
      </c>
      <c r="T54" s="1">
        <v>5</v>
      </c>
      <c r="U54" s="8">
        <v>2.4999999999999991</v>
      </c>
      <c r="V54" s="6">
        <v>0</v>
      </c>
      <c r="W54" s="6">
        <v>0</v>
      </c>
      <c r="X54" s="45">
        <v>0</v>
      </c>
      <c r="Y54" s="64"/>
    </row>
    <row r="55" spans="1:25" ht="14.25" customHeight="1" x14ac:dyDescent="0.2">
      <c r="C55" s="62">
        <f>COLUMN(X50)</f>
        <v>24</v>
      </c>
      <c r="D55" s="44">
        <v>3</v>
      </c>
      <c r="E55" s="1">
        <v>5</v>
      </c>
      <c r="F55" s="1">
        <v>3</v>
      </c>
      <c r="G55" s="1" t="s">
        <v>173</v>
      </c>
      <c r="H55" s="1" t="s">
        <v>196</v>
      </c>
      <c r="I55" s="1" t="s">
        <v>196</v>
      </c>
      <c r="J55" s="1">
        <v>50</v>
      </c>
      <c r="K55" s="1">
        <v>1</v>
      </c>
      <c r="L55" s="1">
        <v>197.01868342927153</v>
      </c>
      <c r="M55" s="1">
        <v>3111.6033206599054</v>
      </c>
      <c r="N55" s="1">
        <v>11634.961619838869</v>
      </c>
      <c r="O55" s="8">
        <v>0.4</v>
      </c>
      <c r="P55" s="8">
        <v>1.5</v>
      </c>
      <c r="Q55" s="8">
        <v>1</v>
      </c>
      <c r="R55" s="8"/>
      <c r="S55" s="8">
        <v>10</v>
      </c>
      <c r="T55" s="1">
        <v>5</v>
      </c>
      <c r="U55" s="8">
        <v>2.4999999999999991</v>
      </c>
      <c r="V55" s="6">
        <v>0</v>
      </c>
      <c r="W55" s="6">
        <v>0</v>
      </c>
      <c r="X55" s="45">
        <v>0</v>
      </c>
      <c r="Y55" s="64"/>
    </row>
    <row r="56" spans="1:25" ht="14.25" customHeight="1" x14ac:dyDescent="0.2">
      <c r="C56" s="62"/>
      <c r="D56" s="44">
        <v>1</v>
      </c>
      <c r="E56" s="1">
        <v>6</v>
      </c>
      <c r="F56" s="1">
        <v>4</v>
      </c>
      <c r="G56" s="1" t="s">
        <v>175</v>
      </c>
      <c r="H56" s="1" t="s">
        <v>196</v>
      </c>
      <c r="I56" s="1" t="s">
        <v>196</v>
      </c>
      <c r="J56" s="1">
        <v>50</v>
      </c>
      <c r="K56" s="1">
        <v>1</v>
      </c>
      <c r="L56" s="1">
        <v>394.03736685854307</v>
      </c>
      <c r="M56" s="1">
        <v>6223.2066413198108</v>
      </c>
      <c r="N56" s="1">
        <v>11634.961619838869</v>
      </c>
      <c r="O56" s="8">
        <v>0.4</v>
      </c>
      <c r="P56" s="8">
        <v>1.5</v>
      </c>
      <c r="Q56" s="8">
        <v>1</v>
      </c>
      <c r="R56" s="8"/>
      <c r="S56" s="8">
        <v>10</v>
      </c>
      <c r="T56" s="1">
        <v>5</v>
      </c>
      <c r="U56" s="8">
        <v>2.4999999999999991</v>
      </c>
      <c r="V56" s="6">
        <v>0</v>
      </c>
      <c r="W56" s="6">
        <v>0</v>
      </c>
      <c r="X56" s="45">
        <v>0</v>
      </c>
      <c r="Y56" s="64"/>
    </row>
    <row r="57" spans="1:25" ht="14.25" customHeight="1" x14ac:dyDescent="0.2">
      <c r="C57" s="62"/>
      <c r="D57" s="44" t="s">
        <v>196</v>
      </c>
      <c r="E57" s="1" t="s">
        <v>196</v>
      </c>
      <c r="F57" s="1" t="s">
        <v>196</v>
      </c>
      <c r="H57" s="1" t="s">
        <v>196</v>
      </c>
      <c r="I57" s="1" t="s">
        <v>196</v>
      </c>
      <c r="J57" s="1" t="s">
        <v>196</v>
      </c>
      <c r="K57" s="1" t="s">
        <v>196</v>
      </c>
      <c r="Y57" s="64"/>
    </row>
    <row r="58" spans="1:25" ht="14.25" customHeight="1" x14ac:dyDescent="0.2">
      <c r="C58" s="62"/>
      <c r="D58" s="44">
        <v>3</v>
      </c>
      <c r="E58" s="1">
        <v>6</v>
      </c>
      <c r="F58" s="1">
        <v>6</v>
      </c>
      <c r="G58" s="1" t="s">
        <v>175</v>
      </c>
      <c r="H58" s="1" t="s">
        <v>196</v>
      </c>
      <c r="I58" s="1" t="s">
        <v>196</v>
      </c>
      <c r="J58" s="1">
        <v>50</v>
      </c>
      <c r="K58" s="1">
        <v>1</v>
      </c>
      <c r="L58" s="1">
        <v>394.03736685854307</v>
      </c>
      <c r="M58" s="1">
        <v>6223.2066413198108</v>
      </c>
      <c r="N58" s="1">
        <v>11634.961619838869</v>
      </c>
      <c r="O58" s="8">
        <v>0.4</v>
      </c>
      <c r="P58" s="8">
        <v>1.5</v>
      </c>
      <c r="Q58" s="8">
        <v>1</v>
      </c>
      <c r="R58" s="8"/>
      <c r="S58" s="8">
        <v>10</v>
      </c>
      <c r="T58" s="1">
        <v>5</v>
      </c>
      <c r="U58" s="8">
        <v>2.4999999999999991</v>
      </c>
      <c r="V58" s="6">
        <v>0</v>
      </c>
      <c r="W58" s="6">
        <v>0</v>
      </c>
      <c r="X58" s="45">
        <v>0</v>
      </c>
      <c r="Y58" s="64"/>
    </row>
    <row r="59" spans="1:25" ht="14.25" customHeight="1" x14ac:dyDescent="0.2">
      <c r="C59" s="62"/>
      <c r="D59" s="44" t="s">
        <v>196</v>
      </c>
      <c r="E59" s="1" t="s">
        <v>196</v>
      </c>
      <c r="F59" s="1" t="s">
        <v>196</v>
      </c>
      <c r="H59" s="1" t="s">
        <v>196</v>
      </c>
      <c r="I59" s="1" t="s">
        <v>196</v>
      </c>
      <c r="J59" s="1" t="s">
        <v>196</v>
      </c>
      <c r="K59" s="1" t="s">
        <v>196</v>
      </c>
      <c r="Y59" s="64"/>
    </row>
    <row r="60" spans="1:25" ht="14.25" customHeight="1" x14ac:dyDescent="0.2">
      <c r="C60" s="62"/>
      <c r="D60" s="44">
        <v>2</v>
      </c>
      <c r="E60" s="1">
        <v>7</v>
      </c>
      <c r="F60" s="1">
        <v>8</v>
      </c>
      <c r="G60" s="1" t="s">
        <v>175</v>
      </c>
      <c r="H60" s="1" t="s">
        <v>196</v>
      </c>
      <c r="I60" s="1" t="s">
        <v>196</v>
      </c>
      <c r="J60" s="1">
        <v>50</v>
      </c>
      <c r="K60" s="1">
        <v>1</v>
      </c>
      <c r="L60" s="1">
        <v>591.05605028781463</v>
      </c>
      <c r="M60" s="1">
        <v>9334.809961979714</v>
      </c>
      <c r="N60" s="1">
        <v>11634.961619838869</v>
      </c>
      <c r="O60" s="8">
        <v>0.4</v>
      </c>
      <c r="P60" s="8">
        <v>1.5</v>
      </c>
      <c r="Q60" s="8">
        <v>1</v>
      </c>
      <c r="R60" s="8"/>
      <c r="S60" s="8">
        <v>10</v>
      </c>
      <c r="T60" s="1">
        <v>5</v>
      </c>
      <c r="U60" s="8">
        <v>2.4999999999999991</v>
      </c>
      <c r="V60" s="6">
        <v>0</v>
      </c>
      <c r="W60" s="6">
        <v>0</v>
      </c>
      <c r="X60" s="45">
        <v>0</v>
      </c>
      <c r="Y60" s="64"/>
    </row>
    <row r="61" spans="1:25" ht="14.25" customHeight="1" x14ac:dyDescent="0.2">
      <c r="C61" s="62"/>
      <c r="D61" s="44" t="s">
        <v>196</v>
      </c>
      <c r="E61" s="1" t="s">
        <v>196</v>
      </c>
      <c r="F61" s="1" t="s">
        <v>196</v>
      </c>
      <c r="H61" s="1" t="s">
        <v>196</v>
      </c>
      <c r="I61" s="1" t="s">
        <v>196</v>
      </c>
      <c r="J61" s="1" t="s">
        <v>196</v>
      </c>
      <c r="K61" s="1" t="s">
        <v>196</v>
      </c>
      <c r="L61" s="6"/>
      <c r="O61" s="8"/>
      <c r="P61" s="8"/>
      <c r="Q61" s="8"/>
      <c r="R61" s="8"/>
      <c r="S61" s="8"/>
      <c r="U61" s="8"/>
      <c r="V61" s="6"/>
      <c r="W61" s="6"/>
      <c r="X61" s="45"/>
      <c r="Y61" s="64"/>
    </row>
    <row r="62" spans="1:25" ht="14.25" customHeight="1" x14ac:dyDescent="0.2">
      <c r="D62" s="61"/>
      <c r="E62" s="61"/>
      <c r="F62" s="61"/>
      <c r="G62" s="61"/>
      <c r="H62" s="61"/>
      <c r="I62" s="61"/>
      <c r="J62" s="61"/>
      <c r="K62" s="61"/>
      <c r="L62" s="61"/>
      <c r="M62" s="61"/>
      <c r="N62" s="61"/>
      <c r="O62" s="61"/>
      <c r="P62" s="61"/>
      <c r="Q62" s="61"/>
      <c r="R62" s="61"/>
      <c r="S62" s="61"/>
      <c r="T62" s="61"/>
      <c r="U62" s="61"/>
      <c r="V62" s="61"/>
      <c r="W62" s="61"/>
      <c r="X62" s="61"/>
    </row>
  </sheetData>
  <mergeCells count="5">
    <mergeCell ref="A1:B2"/>
    <mergeCell ref="D4:F4"/>
    <mergeCell ref="H4:J4"/>
    <mergeCell ref="D36:F36"/>
    <mergeCell ref="H36:J36"/>
  </mergeCells>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基础模型(平衡）</vt:lpstr>
      <vt:lpstr>基础模型</vt:lpstr>
      <vt:lpstr>战斗公式</vt:lpstr>
      <vt:lpstr>玩家成长</vt:lpstr>
      <vt:lpstr>角色升级</vt:lpstr>
      <vt:lpstr>角色品星</vt:lpstr>
      <vt:lpstr>技能模板</vt:lpstr>
      <vt:lpstr>战斗模拟</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2022-10-28T10:54:35Z</dcterms:created>
  <dcterms:modified xsi:type="dcterms:W3CDTF">2023-03-15T06:12:33Z</dcterms:modified>
</cp:coreProperties>
</file>
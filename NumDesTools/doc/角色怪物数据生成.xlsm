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work\Public\Excels\ExcelTools\"/>
    </mc:Choice>
  </mc:AlternateContent>
  <xr:revisionPtr revIDLastSave="0" documentId="13_ncr:1_{2BC1D12C-1DF3-4F2D-917C-C80156BDA483}" xr6:coauthVersionLast="47" xr6:coauthVersionMax="47" xr10:uidLastSave="{00000000-0000-0000-0000-000000000000}"/>
  <bookViews>
    <workbookView xWindow="28680" yWindow="-75" windowWidth="29040" windowHeight="16440" activeTab="2" xr2:uid="{1A43F594-E40F-48AA-93E3-9F5F3F4EE1B9}"/>
  </bookViews>
  <sheets>
    <sheet name="角色基础" sheetId="1" r:id="rId1"/>
    <sheet name="角色成长" sheetId="5" r:id="rId2"/>
    <sheet name="怪物基础" sheetId="2" r:id="rId3"/>
    <sheet name="角色技能" sheetId="3" r:id="rId4"/>
    <sheet name="怪物技能" sheetId="4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4" i="2" l="1"/>
  <c r="AE7" i="2"/>
  <c r="Z8" i="2"/>
  <c r="Z9" i="2"/>
  <c r="Z7" i="2"/>
  <c r="AA8" i="2"/>
  <c r="AA9" i="2"/>
  <c r="AA7" i="2"/>
  <c r="AC7" i="2" s="1"/>
  <c r="AB8" i="2"/>
  <c r="AB9" i="2"/>
  <c r="AB7" i="2"/>
  <c r="AB4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C5" i="2"/>
  <c r="B5" i="2"/>
  <c r="C19" i="1"/>
  <c r="C20" i="1"/>
  <c r="C21" i="1"/>
  <c r="C22" i="1"/>
  <c r="C16" i="1"/>
  <c r="C17" i="1"/>
  <c r="C18" i="1"/>
  <c r="C15" i="1"/>
  <c r="B16" i="1"/>
  <c r="B17" i="1"/>
  <c r="B18" i="1"/>
  <c r="B19" i="1"/>
  <c r="B20" i="1"/>
  <c r="B21" i="1"/>
  <c r="B22" i="1"/>
  <c r="B15" i="1"/>
  <c r="AD31" i="2"/>
  <c r="AC31" i="2"/>
  <c r="O31" i="2"/>
  <c r="I31" i="2"/>
  <c r="AD30" i="2"/>
  <c r="AC30" i="2"/>
  <c r="O30" i="2"/>
  <c r="I30" i="2"/>
  <c r="AC27" i="2"/>
  <c r="AD27" i="2"/>
  <c r="AC28" i="2"/>
  <c r="AD28" i="2"/>
  <c r="AC29" i="2"/>
  <c r="AD29" i="2"/>
  <c r="AB30" i="2" l="1"/>
  <c r="AB31" i="2"/>
  <c r="I24" i="2"/>
  <c r="AB24" i="2" s="1"/>
  <c r="I27" i="2"/>
  <c r="AB27" i="2" s="1"/>
  <c r="I28" i="2"/>
  <c r="AB28" i="2" s="1"/>
  <c r="I29" i="2"/>
  <c r="AB29" i="2" s="1"/>
  <c r="D17" i="3" l="1"/>
  <c r="G17" i="3" s="1"/>
  <c r="Q17" i="3" s="1"/>
  <c r="R17" i="3" s="1"/>
  <c r="E17" i="3"/>
  <c r="F17" i="3"/>
  <c r="D18" i="3"/>
  <c r="G18" i="3" s="1"/>
  <c r="Q18" i="3" s="1"/>
  <c r="R18" i="3" s="1"/>
  <c r="E18" i="3"/>
  <c r="F18" i="3"/>
  <c r="D19" i="3"/>
  <c r="G19" i="3" s="1"/>
  <c r="Q19" i="3" s="1"/>
  <c r="R19" i="3" s="1"/>
  <c r="E19" i="3"/>
  <c r="F19" i="3"/>
  <c r="D20" i="3"/>
  <c r="G20" i="3" s="1"/>
  <c r="Q20" i="3" s="1"/>
  <c r="R20" i="3" s="1"/>
  <c r="E20" i="3"/>
  <c r="F20" i="3"/>
  <c r="D21" i="3"/>
  <c r="E21" i="3"/>
  <c r="F21" i="3"/>
  <c r="D22" i="3"/>
  <c r="G22" i="3" s="1"/>
  <c r="Q22" i="3" s="1"/>
  <c r="R22" i="3" s="1"/>
  <c r="E22" i="3"/>
  <c r="F22" i="3"/>
  <c r="D23" i="3"/>
  <c r="G23" i="3" s="1"/>
  <c r="Q23" i="3" s="1"/>
  <c r="R23" i="3" s="1"/>
  <c r="E23" i="3"/>
  <c r="F23" i="3"/>
  <c r="D24" i="3"/>
  <c r="E24" i="3"/>
  <c r="F24" i="3"/>
  <c r="D25" i="3"/>
  <c r="G25" i="3" s="1"/>
  <c r="Q25" i="3" s="1"/>
  <c r="R25" i="3" s="1"/>
  <c r="E25" i="3"/>
  <c r="F25" i="3"/>
  <c r="D26" i="3"/>
  <c r="G26" i="3" s="1"/>
  <c r="Q26" i="3" s="1"/>
  <c r="R26" i="3" s="1"/>
  <c r="E26" i="3"/>
  <c r="F26" i="3"/>
  <c r="D27" i="3"/>
  <c r="E27" i="3"/>
  <c r="F27" i="3"/>
  <c r="D28" i="3"/>
  <c r="G28" i="3" s="1"/>
  <c r="Q28" i="3" s="1"/>
  <c r="R28" i="3" s="1"/>
  <c r="E28" i="3"/>
  <c r="F28" i="3"/>
  <c r="D29" i="3"/>
  <c r="G29" i="3" s="1"/>
  <c r="Q29" i="3" s="1"/>
  <c r="R29" i="3" s="1"/>
  <c r="E29" i="3"/>
  <c r="F29" i="3"/>
  <c r="D30" i="3"/>
  <c r="G30" i="3" s="1"/>
  <c r="Q30" i="3" s="1"/>
  <c r="R30" i="3" s="1"/>
  <c r="E30" i="3"/>
  <c r="F30" i="3"/>
  <c r="D31" i="3"/>
  <c r="G31" i="3" s="1"/>
  <c r="Q31" i="3" s="1"/>
  <c r="R31" i="3" s="1"/>
  <c r="E31" i="3"/>
  <c r="F31" i="3"/>
  <c r="D32" i="3"/>
  <c r="G32" i="3" s="1"/>
  <c r="Q32" i="3" s="1"/>
  <c r="R32" i="3" s="1"/>
  <c r="E32" i="3"/>
  <c r="F32" i="3"/>
  <c r="D33" i="3"/>
  <c r="G33" i="3" s="1"/>
  <c r="Q33" i="3" s="1"/>
  <c r="R33" i="3" s="1"/>
  <c r="E33" i="3"/>
  <c r="F33" i="3"/>
  <c r="D34" i="3"/>
  <c r="G34" i="3" s="1"/>
  <c r="Q34" i="3" s="1"/>
  <c r="R34" i="3" s="1"/>
  <c r="E34" i="3"/>
  <c r="F34" i="3"/>
  <c r="D35" i="3"/>
  <c r="G35" i="3" s="1"/>
  <c r="Q35" i="3" s="1"/>
  <c r="R35" i="3" s="1"/>
  <c r="E35" i="3"/>
  <c r="F35" i="3"/>
  <c r="G21" i="3" l="1"/>
  <c r="Q21" i="3" s="1"/>
  <c r="R21" i="3" s="1"/>
  <c r="G27" i="3"/>
  <c r="Q27" i="3" s="1"/>
  <c r="R27" i="3" s="1"/>
  <c r="G24" i="3"/>
  <c r="Q24" i="3" s="1"/>
  <c r="R24" i="3" s="1"/>
  <c r="M17" i="3"/>
  <c r="U17" i="3" s="1"/>
  <c r="H6" i="1"/>
  <c r="J24" i="3" s="1"/>
  <c r="H7" i="1"/>
  <c r="H5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E16" i="3"/>
  <c r="F16" i="3"/>
  <c r="D16" i="3"/>
  <c r="P16" i="1"/>
  <c r="Z93" i="1" s="1"/>
  <c r="Z3" i="1"/>
  <c r="Z12" i="1"/>
  <c r="Z21" i="1"/>
  <c r="Z30" i="1"/>
  <c r="Z39" i="1"/>
  <c r="Z57" i="1"/>
  <c r="Z66" i="1"/>
  <c r="F6" i="1"/>
  <c r="G6" i="1"/>
  <c r="F7" i="1"/>
  <c r="G7" i="1"/>
  <c r="G5" i="1"/>
  <c r="F5" i="1"/>
  <c r="P11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16" i="1"/>
  <c r="Z85" i="1" l="1"/>
  <c r="Z75" i="1"/>
  <c r="Z67" i="1"/>
  <c r="J22" i="3"/>
  <c r="J23" i="3"/>
  <c r="J20" i="3"/>
  <c r="J25" i="3"/>
  <c r="J31" i="3"/>
  <c r="J35" i="3"/>
  <c r="J29" i="3"/>
  <c r="J26" i="3"/>
  <c r="J34" i="3"/>
  <c r="J33" i="3"/>
  <c r="J28" i="3"/>
  <c r="J32" i="3"/>
  <c r="J30" i="3"/>
  <c r="J27" i="3"/>
  <c r="J19" i="3"/>
  <c r="J17" i="3"/>
  <c r="J18" i="3"/>
  <c r="J16" i="3"/>
  <c r="J21" i="3"/>
  <c r="G16" i="3"/>
  <c r="M18" i="3"/>
  <c r="R11" i="1"/>
  <c r="Z49" i="1"/>
  <c r="Z101" i="1"/>
  <c r="Z100" i="1"/>
  <c r="Z64" i="1"/>
  <c r="Z46" i="1"/>
  <c r="Z28" i="1"/>
  <c r="Z18" i="1"/>
  <c r="Z54" i="1"/>
  <c r="Z36" i="1"/>
  <c r="Z9" i="1"/>
  <c r="Z99" i="1"/>
  <c r="Z90" i="1"/>
  <c r="Z81" i="1"/>
  <c r="Z72" i="1"/>
  <c r="Z63" i="1"/>
  <c r="Z45" i="1"/>
  <c r="Z27" i="1"/>
  <c r="Z17" i="1"/>
  <c r="Z74" i="1"/>
  <c r="Z55" i="1"/>
  <c r="Z53" i="1"/>
  <c r="Z98" i="1"/>
  <c r="Z80" i="1"/>
  <c r="Z71" i="1"/>
  <c r="Z62" i="1"/>
  <c r="Z44" i="1"/>
  <c r="Z26" i="1"/>
  <c r="Z8" i="1"/>
  <c r="Z19" i="1"/>
  <c r="Z89" i="1"/>
  <c r="Z34" i="1"/>
  <c r="Z16" i="1"/>
  <c r="Z84" i="1"/>
  <c r="Z11" i="1"/>
  <c r="Z47" i="1"/>
  <c r="Z35" i="1"/>
  <c r="Z79" i="1"/>
  <c r="Z52" i="1"/>
  <c r="Z7" i="1"/>
  <c r="Z33" i="1"/>
  <c r="Z15" i="1"/>
  <c r="Z88" i="1"/>
  <c r="Z78" i="1"/>
  <c r="Z60" i="1"/>
  <c r="Z51" i="1"/>
  <c r="Z42" i="1"/>
  <c r="Z24" i="1"/>
  <c r="Z6" i="1"/>
  <c r="Z83" i="1"/>
  <c r="Z73" i="1"/>
  <c r="Z96" i="1"/>
  <c r="Z69" i="1"/>
  <c r="Z14" i="1"/>
  <c r="Z102" i="1"/>
  <c r="Z38" i="1"/>
  <c r="Z92" i="1"/>
  <c r="Z10" i="1"/>
  <c r="Z91" i="1"/>
  <c r="Z61" i="1"/>
  <c r="Z43" i="1"/>
  <c r="Z87" i="1"/>
  <c r="Z77" i="1"/>
  <c r="Z59" i="1"/>
  <c r="Z50" i="1"/>
  <c r="Z41" i="1"/>
  <c r="Z32" i="1"/>
  <c r="Z23" i="1"/>
  <c r="Z5" i="1"/>
  <c r="Z56" i="1"/>
  <c r="Z65" i="1"/>
  <c r="Z82" i="1"/>
  <c r="Z97" i="1"/>
  <c r="Z70" i="1"/>
  <c r="Z25" i="1"/>
  <c r="Z95" i="1"/>
  <c r="Z13" i="1"/>
  <c r="Z20" i="1"/>
  <c r="Z48" i="1"/>
  <c r="Z29" i="1"/>
  <c r="Z37" i="1"/>
  <c r="Z86" i="1"/>
  <c r="Z68" i="1"/>
  <c r="Z58" i="1"/>
  <c r="Z40" i="1"/>
  <c r="Z31" i="1"/>
  <c r="Z22" i="1"/>
  <c r="Z4" i="1"/>
  <c r="Z94" i="1"/>
  <c r="Z76" i="1"/>
  <c r="AD8" i="2"/>
  <c r="U18" i="3" l="1"/>
  <c r="M16" i="3"/>
  <c r="Q16" i="3"/>
  <c r="R16" i="3" s="1"/>
  <c r="M19" i="3"/>
  <c r="AD9" i="2"/>
  <c r="AD10" i="2" s="1"/>
  <c r="G31" i="2" l="1"/>
  <c r="G30" i="2"/>
  <c r="G24" i="2"/>
  <c r="G29" i="2"/>
  <c r="G27" i="2"/>
  <c r="G28" i="2"/>
  <c r="G26" i="2"/>
  <c r="G25" i="2"/>
  <c r="U16" i="3"/>
  <c r="U19" i="3"/>
  <c r="M20" i="3"/>
  <c r="AC25" i="2"/>
  <c r="AD25" i="2"/>
  <c r="AC26" i="2"/>
  <c r="AD26" i="2"/>
  <c r="AD24" i="2"/>
  <c r="AC24" i="2"/>
  <c r="F5" i="5"/>
  <c r="E5" i="5"/>
  <c r="C20" i="5"/>
  <c r="C5" i="5"/>
  <c r="I25" i="2"/>
  <c r="AB25" i="2" s="1"/>
  <c r="I26" i="2"/>
  <c r="AB26" i="2" s="1"/>
  <c r="U20" i="3" l="1"/>
  <c r="M21" i="3"/>
  <c r="D5" i="5"/>
  <c r="F8" i="2"/>
  <c r="G8" i="2"/>
  <c r="F9" i="2"/>
  <c r="G9" i="2"/>
  <c r="F6" i="2"/>
  <c r="G6" i="2"/>
  <c r="F7" i="2"/>
  <c r="G7" i="2"/>
  <c r="G5" i="2"/>
  <c r="F5" i="2"/>
  <c r="U21" i="3" l="1"/>
  <c r="M22" i="3"/>
  <c r="Q17" i="1"/>
  <c r="Q18" i="1"/>
  <c r="Q19" i="1"/>
  <c r="Q20" i="1"/>
  <c r="Q21" i="1"/>
  <c r="Q22" i="1"/>
  <c r="Q23" i="1"/>
  <c r="Q24" i="1"/>
  <c r="Q25" i="1"/>
  <c r="Q26" i="1"/>
  <c r="Q27" i="1"/>
  <c r="U22" i="3" l="1"/>
  <c r="M23" i="3"/>
  <c r="AA9" i="1"/>
  <c r="AB9" i="1"/>
  <c r="AC9" i="1"/>
  <c r="AA10" i="1"/>
  <c r="AB10" i="1"/>
  <c r="AC10" i="1"/>
  <c r="AA11" i="1"/>
  <c r="AB11" i="1"/>
  <c r="AC11" i="1"/>
  <c r="AA12" i="1"/>
  <c r="AB12" i="1"/>
  <c r="AC12" i="1"/>
  <c r="AA13" i="1"/>
  <c r="AB13" i="1"/>
  <c r="AC13" i="1"/>
  <c r="AA14" i="1"/>
  <c r="AB14" i="1"/>
  <c r="AC14" i="1"/>
  <c r="AA15" i="1"/>
  <c r="AB15" i="1"/>
  <c r="AC15" i="1"/>
  <c r="AA16" i="1"/>
  <c r="AB16" i="1"/>
  <c r="AC16" i="1"/>
  <c r="AA17" i="1"/>
  <c r="AB17" i="1"/>
  <c r="AC17" i="1"/>
  <c r="AA18" i="1"/>
  <c r="AB18" i="1"/>
  <c r="AC18" i="1"/>
  <c r="AA19" i="1"/>
  <c r="AB19" i="1"/>
  <c r="AC19" i="1"/>
  <c r="AA20" i="1"/>
  <c r="AB20" i="1"/>
  <c r="AC20" i="1"/>
  <c r="AA21" i="1"/>
  <c r="AB21" i="1"/>
  <c r="AC21" i="1"/>
  <c r="AA22" i="1"/>
  <c r="AB22" i="1"/>
  <c r="AC22" i="1"/>
  <c r="AA23" i="1"/>
  <c r="AB23" i="1"/>
  <c r="AC23" i="1"/>
  <c r="AA24" i="1"/>
  <c r="AB24" i="1"/>
  <c r="AC24" i="1"/>
  <c r="AA25" i="1"/>
  <c r="AB25" i="1"/>
  <c r="AC25" i="1"/>
  <c r="AA26" i="1"/>
  <c r="AB26" i="1"/>
  <c r="AC26" i="1"/>
  <c r="AA27" i="1"/>
  <c r="AB27" i="1"/>
  <c r="AC27" i="1"/>
  <c r="AA28" i="1"/>
  <c r="AB28" i="1"/>
  <c r="AC28" i="1"/>
  <c r="AA29" i="1"/>
  <c r="AB29" i="1"/>
  <c r="AC29" i="1"/>
  <c r="AA30" i="1"/>
  <c r="AB30" i="1"/>
  <c r="AC30" i="1"/>
  <c r="AA31" i="1"/>
  <c r="AB31" i="1"/>
  <c r="AC31" i="1"/>
  <c r="AA32" i="1"/>
  <c r="AB32" i="1"/>
  <c r="AC32" i="1"/>
  <c r="AA33" i="1"/>
  <c r="AB33" i="1"/>
  <c r="AC33" i="1"/>
  <c r="AA34" i="1"/>
  <c r="AB34" i="1"/>
  <c r="AC34" i="1"/>
  <c r="AA35" i="1"/>
  <c r="AB35" i="1"/>
  <c r="AC35" i="1"/>
  <c r="AA36" i="1"/>
  <c r="AB36" i="1"/>
  <c r="AC36" i="1"/>
  <c r="AA37" i="1"/>
  <c r="AB37" i="1"/>
  <c r="AC37" i="1"/>
  <c r="AA38" i="1"/>
  <c r="AB38" i="1"/>
  <c r="AC38" i="1"/>
  <c r="AA39" i="1"/>
  <c r="AB39" i="1"/>
  <c r="AC39" i="1"/>
  <c r="AA40" i="1"/>
  <c r="AB40" i="1"/>
  <c r="AC40" i="1"/>
  <c r="AA41" i="1"/>
  <c r="AB41" i="1"/>
  <c r="AC41" i="1"/>
  <c r="AA42" i="1"/>
  <c r="AB42" i="1"/>
  <c r="AC42" i="1"/>
  <c r="AA43" i="1"/>
  <c r="AB43" i="1"/>
  <c r="AC43" i="1"/>
  <c r="AA44" i="1"/>
  <c r="AB44" i="1"/>
  <c r="AC44" i="1"/>
  <c r="AA45" i="1"/>
  <c r="AB45" i="1"/>
  <c r="AC45" i="1"/>
  <c r="AA46" i="1"/>
  <c r="AB46" i="1"/>
  <c r="AC46" i="1"/>
  <c r="AA47" i="1"/>
  <c r="AB47" i="1"/>
  <c r="AC47" i="1"/>
  <c r="AA48" i="1"/>
  <c r="AB48" i="1"/>
  <c r="AC48" i="1"/>
  <c r="AA49" i="1"/>
  <c r="AB49" i="1"/>
  <c r="AC49" i="1"/>
  <c r="AA50" i="1"/>
  <c r="AB50" i="1"/>
  <c r="AC50" i="1"/>
  <c r="AA51" i="1"/>
  <c r="AB51" i="1"/>
  <c r="AC51" i="1"/>
  <c r="AA52" i="1"/>
  <c r="AB52" i="1"/>
  <c r="AC52" i="1"/>
  <c r="AA53" i="1"/>
  <c r="AB53" i="1"/>
  <c r="AC53" i="1"/>
  <c r="AA54" i="1"/>
  <c r="AB54" i="1"/>
  <c r="AC54" i="1"/>
  <c r="AA55" i="1"/>
  <c r="AB55" i="1"/>
  <c r="AC55" i="1"/>
  <c r="AA56" i="1"/>
  <c r="AB56" i="1"/>
  <c r="AC56" i="1"/>
  <c r="AA57" i="1"/>
  <c r="AB57" i="1"/>
  <c r="AC57" i="1"/>
  <c r="AA58" i="1"/>
  <c r="AB58" i="1"/>
  <c r="AC58" i="1"/>
  <c r="AA59" i="1"/>
  <c r="AB59" i="1"/>
  <c r="AC59" i="1"/>
  <c r="AA60" i="1"/>
  <c r="AB60" i="1"/>
  <c r="AC60" i="1"/>
  <c r="AA61" i="1"/>
  <c r="AB61" i="1"/>
  <c r="AC61" i="1"/>
  <c r="AA62" i="1"/>
  <c r="AB62" i="1"/>
  <c r="AC62" i="1"/>
  <c r="AA63" i="1"/>
  <c r="AB63" i="1"/>
  <c r="AC63" i="1"/>
  <c r="AA64" i="1"/>
  <c r="AB64" i="1"/>
  <c r="AC64" i="1"/>
  <c r="AA65" i="1"/>
  <c r="AB65" i="1"/>
  <c r="AC65" i="1"/>
  <c r="AA66" i="1"/>
  <c r="AB66" i="1"/>
  <c r="AC66" i="1"/>
  <c r="AA67" i="1"/>
  <c r="AB67" i="1"/>
  <c r="AC67" i="1"/>
  <c r="AA68" i="1"/>
  <c r="AB68" i="1"/>
  <c r="AC68" i="1"/>
  <c r="AA69" i="1"/>
  <c r="AB69" i="1"/>
  <c r="AC69" i="1"/>
  <c r="AA70" i="1"/>
  <c r="AB70" i="1"/>
  <c r="AC70" i="1"/>
  <c r="AA71" i="1"/>
  <c r="AB71" i="1"/>
  <c r="AC71" i="1"/>
  <c r="AA72" i="1"/>
  <c r="AB72" i="1"/>
  <c r="AC72" i="1"/>
  <c r="AA73" i="1"/>
  <c r="AB73" i="1"/>
  <c r="AC73" i="1"/>
  <c r="AA74" i="1"/>
  <c r="AB74" i="1"/>
  <c r="AC74" i="1"/>
  <c r="AA75" i="1"/>
  <c r="AB75" i="1"/>
  <c r="AC75" i="1"/>
  <c r="AA76" i="1"/>
  <c r="AB76" i="1"/>
  <c r="AC76" i="1"/>
  <c r="AA77" i="1"/>
  <c r="AB77" i="1"/>
  <c r="AC77" i="1"/>
  <c r="AA78" i="1"/>
  <c r="AB78" i="1"/>
  <c r="AC78" i="1"/>
  <c r="AA79" i="1"/>
  <c r="AB79" i="1"/>
  <c r="AC79" i="1"/>
  <c r="AA80" i="1"/>
  <c r="AB80" i="1"/>
  <c r="AC80" i="1"/>
  <c r="AA81" i="1"/>
  <c r="AB81" i="1"/>
  <c r="AC81" i="1"/>
  <c r="AA82" i="1"/>
  <c r="AB82" i="1"/>
  <c r="AC82" i="1"/>
  <c r="AA83" i="1"/>
  <c r="AB83" i="1"/>
  <c r="AC83" i="1"/>
  <c r="AA84" i="1"/>
  <c r="AB84" i="1"/>
  <c r="AC84" i="1"/>
  <c r="AA85" i="1"/>
  <c r="AB85" i="1"/>
  <c r="AC85" i="1"/>
  <c r="AA86" i="1"/>
  <c r="AB86" i="1"/>
  <c r="AC86" i="1"/>
  <c r="AA87" i="1"/>
  <c r="AB87" i="1"/>
  <c r="AC87" i="1"/>
  <c r="AA88" i="1"/>
  <c r="AB88" i="1"/>
  <c r="AC88" i="1"/>
  <c r="AA89" i="1"/>
  <c r="AB89" i="1"/>
  <c r="AC89" i="1"/>
  <c r="AA90" i="1"/>
  <c r="AB90" i="1"/>
  <c r="AC90" i="1"/>
  <c r="AA91" i="1"/>
  <c r="AB91" i="1"/>
  <c r="AC91" i="1"/>
  <c r="AA92" i="1"/>
  <c r="AB92" i="1"/>
  <c r="AC92" i="1"/>
  <c r="AA93" i="1"/>
  <c r="AB93" i="1"/>
  <c r="AC93" i="1"/>
  <c r="AA94" i="1"/>
  <c r="AB94" i="1"/>
  <c r="AC94" i="1"/>
  <c r="AA95" i="1"/>
  <c r="AB95" i="1"/>
  <c r="AC95" i="1"/>
  <c r="AA96" i="1"/>
  <c r="AB96" i="1"/>
  <c r="AC96" i="1"/>
  <c r="AA97" i="1"/>
  <c r="AB97" i="1"/>
  <c r="AC97" i="1"/>
  <c r="AA98" i="1"/>
  <c r="AB98" i="1"/>
  <c r="AC98" i="1"/>
  <c r="AA99" i="1"/>
  <c r="AB99" i="1"/>
  <c r="AC99" i="1"/>
  <c r="AA100" i="1"/>
  <c r="AB100" i="1"/>
  <c r="AC100" i="1"/>
  <c r="AA101" i="1"/>
  <c r="AB101" i="1"/>
  <c r="AC101" i="1"/>
  <c r="AA102" i="1"/>
  <c r="AB102" i="1"/>
  <c r="AC102" i="1"/>
  <c r="AB4" i="1"/>
  <c r="AB5" i="1"/>
  <c r="AB6" i="1"/>
  <c r="AB7" i="1"/>
  <c r="AB8" i="1"/>
  <c r="AB3" i="1"/>
  <c r="AA4" i="1"/>
  <c r="AC4" i="1"/>
  <c r="AA5" i="1"/>
  <c r="AC5" i="1"/>
  <c r="AA6" i="1"/>
  <c r="AC6" i="1"/>
  <c r="AA7" i="1"/>
  <c r="AC7" i="1"/>
  <c r="AA8" i="1"/>
  <c r="AC8" i="1"/>
  <c r="AC3" i="1"/>
  <c r="AA3" i="1"/>
  <c r="Z1" i="1"/>
  <c r="Y1" i="1"/>
  <c r="U23" i="3" l="1"/>
  <c r="M24" i="3"/>
  <c r="N11" i="1"/>
  <c r="S94" i="1"/>
  <c r="N94" i="1" s="1"/>
  <c r="S91" i="1"/>
  <c r="N91" i="1" s="1"/>
  <c r="S73" i="1"/>
  <c r="N73" i="1" s="1"/>
  <c r="S40" i="1"/>
  <c r="N40" i="1" s="1"/>
  <c r="S35" i="1"/>
  <c r="S46" i="1"/>
  <c r="N46" i="1" s="1"/>
  <c r="S61" i="1"/>
  <c r="N61" i="1" s="1"/>
  <c r="S72" i="1"/>
  <c r="N72" i="1" s="1"/>
  <c r="S98" i="1"/>
  <c r="N98" i="1" s="1"/>
  <c r="S39" i="1"/>
  <c r="N39" i="1" s="1"/>
  <c r="S50" i="1"/>
  <c r="N50" i="1" s="1"/>
  <c r="S36" i="1"/>
  <c r="N36" i="1" s="1"/>
  <c r="S88" i="1"/>
  <c r="N88" i="1" s="1"/>
  <c r="S55" i="1"/>
  <c r="N55" i="1" s="1"/>
  <c r="S87" i="1"/>
  <c r="N87" i="1" s="1"/>
  <c r="S47" i="1"/>
  <c r="N47" i="1" s="1"/>
  <c r="S51" i="1"/>
  <c r="N51" i="1" s="1"/>
  <c r="S28" i="1"/>
  <c r="S43" i="1"/>
  <c r="N43" i="1" s="1"/>
  <c r="S54" i="1"/>
  <c r="N54" i="1" s="1"/>
  <c r="S69" i="1"/>
  <c r="N69" i="1" s="1"/>
  <c r="S80" i="1"/>
  <c r="N80" i="1" s="1"/>
  <c r="S32" i="1"/>
  <c r="S58" i="1"/>
  <c r="N58" i="1" s="1"/>
  <c r="S66" i="1"/>
  <c r="N66" i="1" s="1"/>
  <c r="S92" i="1"/>
  <c r="N92" i="1" s="1"/>
  <c r="S62" i="1"/>
  <c r="N62" i="1" s="1"/>
  <c r="S33" i="1"/>
  <c r="S44" i="1"/>
  <c r="N44" i="1" s="1"/>
  <c r="S48" i="1"/>
  <c r="N48" i="1" s="1"/>
  <c r="S85" i="1"/>
  <c r="N85" i="1" s="1"/>
  <c r="S96" i="1"/>
  <c r="N96" i="1" s="1"/>
  <c r="S37" i="1"/>
  <c r="N37" i="1" s="1"/>
  <c r="S63" i="1"/>
  <c r="N63" i="1" s="1"/>
  <c r="S74" i="1"/>
  <c r="N74" i="1" s="1"/>
  <c r="S89" i="1"/>
  <c r="N89" i="1" s="1"/>
  <c r="S41" i="1"/>
  <c r="N41" i="1" s="1"/>
  <c r="S52" i="1"/>
  <c r="N52" i="1" s="1"/>
  <c r="S78" i="1"/>
  <c r="N78" i="1" s="1"/>
  <c r="S59" i="1"/>
  <c r="N59" i="1" s="1"/>
  <c r="S30" i="1"/>
  <c r="S67" i="1"/>
  <c r="N67" i="1" s="1"/>
  <c r="S93" i="1"/>
  <c r="N93" i="1" s="1"/>
  <c r="S29" i="1"/>
  <c r="S77" i="1"/>
  <c r="N77" i="1" s="1"/>
  <c r="S45" i="1"/>
  <c r="N45" i="1" s="1"/>
  <c r="S56" i="1"/>
  <c r="N56" i="1" s="1"/>
  <c r="S71" i="1"/>
  <c r="N71" i="1" s="1"/>
  <c r="S82" i="1"/>
  <c r="N82" i="1" s="1"/>
  <c r="S83" i="1"/>
  <c r="N83" i="1" s="1"/>
  <c r="S76" i="1"/>
  <c r="N76" i="1" s="1"/>
  <c r="S34" i="1"/>
  <c r="S49" i="1"/>
  <c r="N49" i="1" s="1"/>
  <c r="S60" i="1"/>
  <c r="N60" i="1" s="1"/>
  <c r="S97" i="1"/>
  <c r="N97" i="1" s="1"/>
  <c r="S42" i="1"/>
  <c r="N42" i="1" s="1"/>
  <c r="S68" i="1"/>
  <c r="N68" i="1" s="1"/>
  <c r="S65" i="1"/>
  <c r="N65" i="1" s="1"/>
  <c r="S95" i="1"/>
  <c r="N95" i="1" s="1"/>
  <c r="S38" i="1"/>
  <c r="N38" i="1" s="1"/>
  <c r="S75" i="1"/>
  <c r="N75" i="1" s="1"/>
  <c r="S86" i="1"/>
  <c r="N86" i="1" s="1"/>
  <c r="S57" i="1"/>
  <c r="N57" i="1" s="1"/>
  <c r="S84" i="1"/>
  <c r="N84" i="1" s="1"/>
  <c r="S81" i="1"/>
  <c r="N81" i="1" s="1"/>
  <c r="S53" i="1"/>
  <c r="N53" i="1" s="1"/>
  <c r="S64" i="1"/>
  <c r="N64" i="1" s="1"/>
  <c r="S79" i="1"/>
  <c r="N79" i="1" s="1"/>
  <c r="S90" i="1"/>
  <c r="N90" i="1" s="1"/>
  <c r="S31" i="1"/>
  <c r="S70" i="1"/>
  <c r="N70" i="1" s="1"/>
  <c r="T57" i="1"/>
  <c r="R57" i="1" s="1"/>
  <c r="T83" i="1"/>
  <c r="R83" i="1" s="1"/>
  <c r="T94" i="1"/>
  <c r="R94" i="1" s="1"/>
  <c r="T35" i="1"/>
  <c r="T61" i="1"/>
  <c r="R61" i="1" s="1"/>
  <c r="T50" i="1"/>
  <c r="R50" i="1" s="1"/>
  <c r="T32" i="1"/>
  <c r="T46" i="1"/>
  <c r="R46" i="1" s="1"/>
  <c r="T72" i="1"/>
  <c r="R72" i="1" s="1"/>
  <c r="T98" i="1"/>
  <c r="R98" i="1" s="1"/>
  <c r="T39" i="1"/>
  <c r="R39" i="1" s="1"/>
  <c r="T95" i="1"/>
  <c r="R95" i="1" s="1"/>
  <c r="T84" i="1"/>
  <c r="R84" i="1" s="1"/>
  <c r="T51" i="1"/>
  <c r="R51" i="1" s="1"/>
  <c r="T88" i="1"/>
  <c r="R88" i="1" s="1"/>
  <c r="T66" i="1"/>
  <c r="R66" i="1" s="1"/>
  <c r="T28" i="1"/>
  <c r="T65" i="1"/>
  <c r="R65" i="1" s="1"/>
  <c r="T76" i="1"/>
  <c r="R76" i="1" s="1"/>
  <c r="T91" i="1"/>
  <c r="R91" i="1" s="1"/>
  <c r="T43" i="1"/>
  <c r="R43" i="1" s="1"/>
  <c r="T54" i="1"/>
  <c r="R54" i="1" s="1"/>
  <c r="T69" i="1"/>
  <c r="R69" i="1" s="1"/>
  <c r="T80" i="1"/>
  <c r="R80" i="1" s="1"/>
  <c r="T81" i="1"/>
  <c r="R81" i="1" s="1"/>
  <c r="T62" i="1"/>
  <c r="R62" i="1" s="1"/>
  <c r="T55" i="1"/>
  <c r="R55" i="1" s="1"/>
  <c r="T92" i="1"/>
  <c r="R92" i="1" s="1"/>
  <c r="T33" i="1"/>
  <c r="T44" i="1"/>
  <c r="R44" i="1" s="1"/>
  <c r="T59" i="1"/>
  <c r="R59" i="1" s="1"/>
  <c r="T70" i="1"/>
  <c r="R70" i="1" s="1"/>
  <c r="T48" i="1"/>
  <c r="R48" i="1" s="1"/>
  <c r="T85" i="1"/>
  <c r="R85" i="1" s="1"/>
  <c r="T96" i="1"/>
  <c r="R96" i="1" s="1"/>
  <c r="T29" i="1"/>
  <c r="T37" i="1"/>
  <c r="R37" i="1" s="1"/>
  <c r="T63" i="1"/>
  <c r="R63" i="1" s="1"/>
  <c r="T74" i="1"/>
  <c r="R74" i="1" s="1"/>
  <c r="T89" i="1"/>
  <c r="R89" i="1" s="1"/>
  <c r="T41" i="1"/>
  <c r="R41" i="1" s="1"/>
  <c r="T52" i="1"/>
  <c r="R52" i="1" s="1"/>
  <c r="T78" i="1"/>
  <c r="R78" i="1" s="1"/>
  <c r="T47" i="1"/>
  <c r="R47" i="1" s="1"/>
  <c r="T30" i="1"/>
  <c r="T67" i="1"/>
  <c r="R67" i="1" s="1"/>
  <c r="T93" i="1"/>
  <c r="R93" i="1" s="1"/>
  <c r="T73" i="1"/>
  <c r="R73" i="1" s="1"/>
  <c r="T36" i="1"/>
  <c r="R36" i="1" s="1"/>
  <c r="T45" i="1"/>
  <c r="R45" i="1" s="1"/>
  <c r="T56" i="1"/>
  <c r="R56" i="1" s="1"/>
  <c r="T71" i="1"/>
  <c r="R71" i="1" s="1"/>
  <c r="T82" i="1"/>
  <c r="R82" i="1" s="1"/>
  <c r="T31" i="1"/>
  <c r="T34" i="1"/>
  <c r="T49" i="1"/>
  <c r="R49" i="1" s="1"/>
  <c r="T60" i="1"/>
  <c r="R60" i="1" s="1"/>
  <c r="T97" i="1"/>
  <c r="R97" i="1" s="1"/>
  <c r="T79" i="1"/>
  <c r="R79" i="1" s="1"/>
  <c r="T42" i="1"/>
  <c r="R42" i="1" s="1"/>
  <c r="T87" i="1"/>
  <c r="R87" i="1" s="1"/>
  <c r="T40" i="1"/>
  <c r="R40" i="1" s="1"/>
  <c r="T38" i="1"/>
  <c r="R38" i="1" s="1"/>
  <c r="T75" i="1"/>
  <c r="R75" i="1" s="1"/>
  <c r="T86" i="1"/>
  <c r="R86" i="1" s="1"/>
  <c r="T53" i="1"/>
  <c r="R53" i="1" s="1"/>
  <c r="T64" i="1"/>
  <c r="R64" i="1" s="1"/>
  <c r="T90" i="1"/>
  <c r="R90" i="1" s="1"/>
  <c r="T68" i="1"/>
  <c r="R68" i="1" s="1"/>
  <c r="T58" i="1"/>
  <c r="R58" i="1" s="1"/>
  <c r="T77" i="1"/>
  <c r="R77" i="1" s="1"/>
  <c r="T18" i="1"/>
  <c r="T17" i="1"/>
  <c r="T19" i="1"/>
  <c r="T16" i="1"/>
  <c r="T26" i="1"/>
  <c r="T27" i="1"/>
  <c r="T25" i="1"/>
  <c r="T20" i="1"/>
  <c r="T24" i="1"/>
  <c r="T21" i="1"/>
  <c r="T23" i="1"/>
  <c r="T22" i="1"/>
  <c r="S18" i="1"/>
  <c r="S16" i="1"/>
  <c r="H16" i="3" s="1"/>
  <c r="N16" i="3" s="1"/>
  <c r="S16" i="3" s="1"/>
  <c r="V16" i="3" s="1"/>
  <c r="S17" i="1"/>
  <c r="S19" i="1"/>
  <c r="S27" i="1"/>
  <c r="S26" i="1"/>
  <c r="S20" i="1"/>
  <c r="S21" i="1"/>
  <c r="S24" i="1"/>
  <c r="S22" i="1"/>
  <c r="S23" i="1"/>
  <c r="S25" i="1"/>
  <c r="R21" i="1" l="1"/>
  <c r="I21" i="3"/>
  <c r="O21" i="3" s="1"/>
  <c r="T21" i="3" s="1"/>
  <c r="W21" i="3" s="1"/>
  <c r="R24" i="1"/>
  <c r="I24" i="3"/>
  <c r="O24" i="3" s="1"/>
  <c r="T24" i="3" s="1"/>
  <c r="W24" i="3" s="1"/>
  <c r="N34" i="1"/>
  <c r="H34" i="3"/>
  <c r="N34" i="3" s="1"/>
  <c r="N31" i="1"/>
  <c r="H31" i="3"/>
  <c r="N31" i="3" s="1"/>
  <c r="R22" i="1"/>
  <c r="I22" i="3"/>
  <c r="O22" i="3" s="1"/>
  <c r="T22" i="3" s="1"/>
  <c r="W22" i="3" s="1"/>
  <c r="R17" i="1"/>
  <c r="I17" i="3"/>
  <c r="O17" i="3" s="1"/>
  <c r="T17" i="3" s="1"/>
  <c r="W17" i="3" s="1"/>
  <c r="R31" i="1"/>
  <c r="I31" i="3"/>
  <c r="O31" i="3" s="1"/>
  <c r="N35" i="1"/>
  <c r="H35" i="3"/>
  <c r="N35" i="3" s="1"/>
  <c r="R29" i="1"/>
  <c r="I29" i="3"/>
  <c r="O29" i="3" s="1"/>
  <c r="N29" i="1"/>
  <c r="H29" i="3"/>
  <c r="N29" i="3" s="1"/>
  <c r="R26" i="1"/>
  <c r="I26" i="3"/>
  <c r="O26" i="3" s="1"/>
  <c r="R28" i="1"/>
  <c r="I28" i="3"/>
  <c r="O28" i="3" s="1"/>
  <c r="R34" i="1"/>
  <c r="I34" i="3"/>
  <c r="O34" i="3" s="1"/>
  <c r="N24" i="1"/>
  <c r="H24" i="3"/>
  <c r="N24" i="3" s="1"/>
  <c r="S24" i="3" s="1"/>
  <c r="V24" i="3" s="1"/>
  <c r="N21" i="1"/>
  <c r="H21" i="3"/>
  <c r="N21" i="3" s="1"/>
  <c r="S21" i="3" s="1"/>
  <c r="V21" i="3" s="1"/>
  <c r="N20" i="1"/>
  <c r="H20" i="3"/>
  <c r="N20" i="3" s="1"/>
  <c r="S20" i="3" s="1"/>
  <c r="V20" i="3" s="1"/>
  <c r="R25" i="1"/>
  <c r="I25" i="3"/>
  <c r="O25" i="3" s="1"/>
  <c r="R19" i="1"/>
  <c r="I19" i="3"/>
  <c r="O19" i="3" s="1"/>
  <c r="T19" i="3" s="1"/>
  <c r="W19" i="3" s="1"/>
  <c r="N26" i="1"/>
  <c r="H26" i="3"/>
  <c r="N26" i="3" s="1"/>
  <c r="N30" i="1"/>
  <c r="H30" i="3"/>
  <c r="N30" i="3" s="1"/>
  <c r="N33" i="1"/>
  <c r="H33" i="3"/>
  <c r="N33" i="3" s="1"/>
  <c r="R23" i="1"/>
  <c r="I23" i="3"/>
  <c r="O23" i="3" s="1"/>
  <c r="T23" i="3" s="1"/>
  <c r="W23" i="3" s="1"/>
  <c r="R20" i="1"/>
  <c r="I20" i="3"/>
  <c r="O20" i="3" s="1"/>
  <c r="T20" i="3" s="1"/>
  <c r="W20" i="3" s="1"/>
  <c r="N22" i="1"/>
  <c r="H22" i="3"/>
  <c r="N22" i="3" s="1"/>
  <c r="S22" i="3" s="1"/>
  <c r="V22" i="3" s="1"/>
  <c r="R33" i="1"/>
  <c r="I33" i="3"/>
  <c r="O33" i="3" s="1"/>
  <c r="N19" i="1"/>
  <c r="H19" i="3"/>
  <c r="N19" i="3" s="1"/>
  <c r="S19" i="3" s="1"/>
  <c r="V19" i="3" s="1"/>
  <c r="U24" i="3"/>
  <c r="N32" i="1"/>
  <c r="H32" i="3"/>
  <c r="N32" i="3" s="1"/>
  <c r="N17" i="1"/>
  <c r="H17" i="3"/>
  <c r="N17" i="3" s="1"/>
  <c r="S17" i="3" s="1"/>
  <c r="V17" i="3" s="1"/>
  <c r="R32" i="1"/>
  <c r="I32" i="3"/>
  <c r="O32" i="3" s="1"/>
  <c r="N28" i="1"/>
  <c r="H28" i="3"/>
  <c r="N28" i="3" s="1"/>
  <c r="R35" i="1"/>
  <c r="I35" i="3"/>
  <c r="O35" i="3" s="1"/>
  <c r="R27" i="1"/>
  <c r="I27" i="3"/>
  <c r="O27" i="3" s="1"/>
  <c r="N23" i="1"/>
  <c r="H23" i="3"/>
  <c r="N23" i="3" s="1"/>
  <c r="S23" i="3" s="1"/>
  <c r="V23" i="3" s="1"/>
  <c r="R18" i="1"/>
  <c r="I18" i="3"/>
  <c r="O18" i="3" s="1"/>
  <c r="T18" i="3" s="1"/>
  <c r="W18" i="3" s="1"/>
  <c r="N27" i="1"/>
  <c r="H27" i="3"/>
  <c r="N27" i="3" s="1"/>
  <c r="N25" i="1"/>
  <c r="H25" i="3"/>
  <c r="N25" i="3" s="1"/>
  <c r="N18" i="1"/>
  <c r="H18" i="3"/>
  <c r="N18" i="3" s="1"/>
  <c r="S18" i="3" s="1"/>
  <c r="V18" i="3" s="1"/>
  <c r="R30" i="1"/>
  <c r="I30" i="3"/>
  <c r="O30" i="3" s="1"/>
  <c r="M25" i="3"/>
  <c r="AC1" i="1"/>
  <c r="N16" i="1"/>
  <c r="I16" i="3"/>
  <c r="O16" i="3" s="1"/>
  <c r="T16" i="3" s="1"/>
  <c r="W16" i="3" s="1"/>
  <c r="R16" i="1"/>
  <c r="S25" i="3" l="1"/>
  <c r="V25" i="3" s="1"/>
  <c r="T25" i="3"/>
  <c r="W25" i="3" s="1"/>
  <c r="U25" i="3"/>
  <c r="M26" i="3"/>
  <c r="Y21" i="1"/>
  <c r="Y25" i="1"/>
  <c r="Y32" i="1"/>
  <c r="Y62" i="1"/>
  <c r="Y33" i="1"/>
  <c r="Y68" i="1"/>
  <c r="Y24" i="1"/>
  <c r="Y77" i="1"/>
  <c r="Y30" i="1"/>
  <c r="Y26" i="1"/>
  <c r="Y57" i="1"/>
  <c r="Y80" i="1"/>
  <c r="Y61" i="1"/>
  <c r="Y99" i="1"/>
  <c r="Y42" i="1"/>
  <c r="Y65" i="1"/>
  <c r="Y59" i="1"/>
  <c r="Y56" i="1"/>
  <c r="Y27" i="1"/>
  <c r="Y83" i="1"/>
  <c r="Y18" i="1"/>
  <c r="Y12" i="1"/>
  <c r="Y6" i="1"/>
  <c r="Y92" i="1"/>
  <c r="Y85" i="1"/>
  <c r="Y15" i="1"/>
  <c r="Y63" i="1"/>
  <c r="Y79" i="1"/>
  <c r="Y88" i="1"/>
  <c r="Y97" i="1"/>
  <c r="Y37" i="1"/>
  <c r="Y7" i="1"/>
  <c r="Y72" i="1"/>
  <c r="Y20" i="1"/>
  <c r="Y89" i="1"/>
  <c r="Y51" i="1"/>
  <c r="Y3" i="1"/>
  <c r="Y64" i="1"/>
  <c r="Y84" i="1"/>
  <c r="Y23" i="1"/>
  <c r="Y35" i="1"/>
  <c r="Y28" i="1"/>
  <c r="Y10" i="1"/>
  <c r="Y100" i="1"/>
  <c r="Y16" i="1"/>
  <c r="Y50" i="1"/>
  <c r="Y74" i="1"/>
  <c r="Y73" i="1"/>
  <c r="Y52" i="1"/>
  <c r="Y101" i="1"/>
  <c r="Y102" i="1"/>
  <c r="Y98" i="1"/>
  <c r="Y9" i="1"/>
  <c r="Y71" i="1"/>
  <c r="Y17" i="1"/>
  <c r="Y70" i="1"/>
  <c r="Y41" i="1"/>
  <c r="Y11" i="1"/>
  <c r="Y13" i="1"/>
  <c r="Y48" i="1"/>
  <c r="Y5" i="1"/>
  <c r="Y39" i="1"/>
  <c r="Y49" i="1"/>
  <c r="Y86" i="1"/>
  <c r="Y82" i="1"/>
  <c r="Y75" i="1"/>
  <c r="Y55" i="1"/>
  <c r="Y67" i="1"/>
  <c r="Y53" i="1"/>
  <c r="Y54" i="1"/>
  <c r="Y29" i="1"/>
  <c r="Y45" i="1"/>
  <c r="Y94" i="1"/>
  <c r="Y22" i="1"/>
  <c r="Y46" i="1"/>
  <c r="Y40" i="1"/>
  <c r="Y43" i="1"/>
  <c r="Y19" i="1"/>
  <c r="Y38" i="1"/>
  <c r="Y44" i="1"/>
  <c r="Y81" i="1"/>
  <c r="Y95" i="1"/>
  <c r="Y4" i="1"/>
  <c r="Y66" i="1"/>
  <c r="Y76" i="1"/>
  <c r="Y90" i="1"/>
  <c r="Y60" i="1"/>
  <c r="Y31" i="1"/>
  <c r="Y96" i="1"/>
  <c r="Y34" i="1"/>
  <c r="Y91" i="1"/>
  <c r="Y14" i="1"/>
  <c r="Y87" i="1"/>
  <c r="Y78" i="1"/>
  <c r="Y47" i="1"/>
  <c r="Y36" i="1"/>
  <c r="Y58" i="1"/>
  <c r="Y93" i="1"/>
  <c r="Y8" i="1"/>
  <c r="Y69" i="1"/>
  <c r="X76" i="1"/>
  <c r="X84" i="1"/>
  <c r="X34" i="1"/>
  <c r="X50" i="1"/>
  <c r="X39" i="1"/>
  <c r="X54" i="1"/>
  <c r="X89" i="1"/>
  <c r="X16" i="1"/>
  <c r="X83" i="1"/>
  <c r="X72" i="1"/>
  <c r="X37" i="1"/>
  <c r="X27" i="1"/>
  <c r="X87" i="1"/>
  <c r="X94" i="1"/>
  <c r="X40" i="1"/>
  <c r="X30" i="1"/>
  <c r="X98" i="1"/>
  <c r="X61" i="1"/>
  <c r="X88" i="1"/>
  <c r="X52" i="1"/>
  <c r="X69" i="1"/>
  <c r="X96" i="1"/>
  <c r="X41" i="1"/>
  <c r="X66" i="1"/>
  <c r="X14" i="1"/>
  <c r="X13" i="1"/>
  <c r="X65" i="1"/>
  <c r="X74" i="1"/>
  <c r="X36" i="1"/>
  <c r="X43" i="1"/>
  <c r="X78" i="1"/>
  <c r="X59" i="1"/>
  <c r="X20" i="1"/>
  <c r="X10" i="1"/>
  <c r="X80" i="1"/>
  <c r="X62" i="1"/>
  <c r="X86" i="1"/>
  <c r="X47" i="1"/>
  <c r="X51" i="1"/>
  <c r="X56" i="1"/>
  <c r="X90" i="1"/>
  <c r="X95" i="1"/>
  <c r="X22" i="1"/>
  <c r="X17" i="1"/>
  <c r="X55" i="1"/>
  <c r="X12" i="1"/>
  <c r="X100" i="1"/>
  <c r="X71" i="1"/>
  <c r="X25" i="1"/>
  <c r="X60" i="1"/>
  <c r="X32" i="1"/>
  <c r="X3" i="1"/>
  <c r="X23" i="1"/>
  <c r="X53" i="1"/>
  <c r="X24" i="1"/>
  <c r="X19" i="1"/>
  <c r="X18" i="1"/>
  <c r="X81" i="1"/>
  <c r="X91" i="1"/>
  <c r="X7" i="1"/>
  <c r="X5" i="1"/>
  <c r="X68" i="1"/>
  <c r="X26" i="1"/>
  <c r="X58" i="1"/>
  <c r="X6" i="1"/>
  <c r="X31" i="1"/>
  <c r="X48" i="1"/>
  <c r="X79" i="1"/>
  <c r="X29" i="1"/>
  <c r="X11" i="1"/>
  <c r="X82" i="1"/>
  <c r="X42" i="1"/>
  <c r="X45" i="1"/>
  <c r="X70" i="1"/>
  <c r="X77" i="1"/>
  <c r="X63" i="1"/>
  <c r="X102" i="1"/>
  <c r="X73" i="1"/>
  <c r="X44" i="1"/>
  <c r="X97" i="1"/>
  <c r="X33" i="1"/>
  <c r="X8" i="1"/>
  <c r="X92" i="1"/>
  <c r="X21" i="1"/>
  <c r="X101" i="1"/>
  <c r="X64" i="1"/>
  <c r="X9" i="1"/>
  <c r="X46" i="1"/>
  <c r="X93" i="1"/>
  <c r="X38" i="1"/>
  <c r="X4" i="1"/>
  <c r="X49" i="1"/>
  <c r="X85" i="1"/>
  <c r="X57" i="1"/>
  <c r="X28" i="1"/>
  <c r="X67" i="1"/>
  <c r="X35" i="1"/>
  <c r="X99" i="1"/>
  <c r="X15" i="1"/>
  <c r="X75" i="1"/>
  <c r="S26" i="3" l="1"/>
  <c r="V26" i="3" s="1"/>
  <c r="U26" i="3"/>
  <c r="T26" i="3"/>
  <c r="W26" i="3" s="1"/>
  <c r="M27" i="3"/>
  <c r="S27" i="3" l="1"/>
  <c r="V27" i="3" s="1"/>
  <c r="T27" i="3"/>
  <c r="W27" i="3" s="1"/>
  <c r="U27" i="3"/>
  <c r="M28" i="3"/>
  <c r="H6" i="2"/>
  <c r="I6" i="2"/>
  <c r="AA5" i="2" s="1"/>
  <c r="J6" i="2"/>
  <c r="H7" i="2"/>
  <c r="I7" i="2"/>
  <c r="J7" i="2"/>
  <c r="H8" i="2"/>
  <c r="I8" i="2"/>
  <c r="J8" i="2"/>
  <c r="J9" i="2"/>
  <c r="I5" i="2"/>
  <c r="AA4" i="2" s="1"/>
  <c r="J5" i="2"/>
  <c r="H5" i="2"/>
  <c r="U28" i="3" l="1"/>
  <c r="T28" i="3"/>
  <c r="W28" i="3" s="1"/>
  <c r="S28" i="3"/>
  <c r="V28" i="3" s="1"/>
  <c r="I9" i="2"/>
  <c r="AA6" i="2" s="1"/>
  <c r="H9" i="2"/>
  <c r="Z4" i="2" s="1"/>
  <c r="Z5" i="2" s="1"/>
  <c r="AB5" i="2"/>
  <c r="M29" i="3"/>
  <c r="U29" i="3" l="1"/>
  <c r="T29" i="3"/>
  <c r="W29" i="3" s="1"/>
  <c r="S29" i="3"/>
  <c r="V29" i="3" s="1"/>
  <c r="AB6" i="2"/>
  <c r="AC9" i="2" s="1"/>
  <c r="AC8" i="2"/>
  <c r="Z6" i="2"/>
  <c r="M30" i="3"/>
  <c r="AC10" i="2" l="1"/>
  <c r="AE9" i="2"/>
  <c r="AE8" i="2"/>
  <c r="T30" i="3"/>
  <c r="W30" i="3" s="1"/>
  <c r="S30" i="3"/>
  <c r="V30" i="3" s="1"/>
  <c r="U30" i="3"/>
  <c r="M31" i="3"/>
  <c r="AE10" i="2" l="1"/>
  <c r="U31" i="3"/>
  <c r="S31" i="3"/>
  <c r="V31" i="3" s="1"/>
  <c r="T31" i="3"/>
  <c r="W31" i="3" s="1"/>
  <c r="M32" i="3"/>
  <c r="H26" i="2" l="1"/>
  <c r="H27" i="2"/>
  <c r="H30" i="2"/>
  <c r="R30" i="2" s="1"/>
  <c r="AA30" i="2" s="1"/>
  <c r="H31" i="2"/>
  <c r="R31" i="2" s="1"/>
  <c r="AA31" i="2" s="1"/>
  <c r="H28" i="2"/>
  <c r="H25" i="2"/>
  <c r="H29" i="2"/>
  <c r="U32" i="3"/>
  <c r="T32" i="3"/>
  <c r="W32" i="3" s="1"/>
  <c r="S32" i="3"/>
  <c r="V32" i="3" s="1"/>
  <c r="M33" i="3"/>
  <c r="U33" i="3" l="1"/>
  <c r="S33" i="3"/>
  <c r="V33" i="3" s="1"/>
  <c r="T33" i="3"/>
  <c r="W33" i="3" s="1"/>
  <c r="M34" i="3"/>
  <c r="M35" i="3"/>
  <c r="T35" i="3" l="1"/>
  <c r="W35" i="3" s="1"/>
  <c r="U35" i="3"/>
  <c r="S35" i="3"/>
  <c r="V35" i="3" s="1"/>
  <c r="S34" i="3"/>
  <c r="V34" i="3" s="1"/>
  <c r="T34" i="3"/>
  <c r="W34" i="3" s="1"/>
  <c r="U34" i="3"/>
  <c r="R24" i="2" l="1"/>
  <c r="AA24" i="2" s="1"/>
  <c r="R26" i="2"/>
  <c r="AA26" i="2" s="1"/>
  <c r="R27" i="2"/>
  <c r="AA27" i="2" s="1"/>
  <c r="R28" i="2"/>
  <c r="AA28" i="2" s="1"/>
  <c r="O26" i="2"/>
  <c r="O25" i="2"/>
  <c r="O27" i="2"/>
  <c r="O29" i="2"/>
  <c r="O28" i="2"/>
  <c r="R29" i="2"/>
  <c r="AA29" i="2" s="1"/>
  <c r="R25" i="2"/>
  <c r="AA25" i="2" s="1"/>
  <c r="O24" i="2"/>
  <c r="P27" i="2" a="1"/>
  <c r="P27" i="2" s="1"/>
  <c r="Q27" i="2" s="1"/>
  <c r="P28" i="2" a="1"/>
  <c r="P28" i="2" s="1"/>
  <c r="Q28" i="2" s="1"/>
  <c r="P25" i="2" a="1"/>
  <c r="P25" i="2" s="1"/>
  <c r="Q25" i="2" s="1"/>
  <c r="P26" i="2" a="1"/>
  <c r="P26" i="2" s="1"/>
  <c r="Q26" i="2" s="1"/>
  <c r="P29" i="2" a="1"/>
  <c r="P29" i="2" s="1"/>
  <c r="Q29" i="2" s="1"/>
  <c r="P24" i="2" a="1"/>
  <c r="P24" i="2" s="1"/>
  <c r="Q24" i="2" s="1"/>
  <c r="P30" i="2" l="1" a="1"/>
  <c r="P30" i="2" s="1"/>
  <c r="Q30" i="2" s="1"/>
  <c r="Z30" i="2" s="1"/>
  <c r="AE30" i="2" s="1"/>
  <c r="P31" i="2" a="1"/>
  <c r="P31" i="2" s="1"/>
  <c r="Q31" i="2" s="1"/>
  <c r="Z26" i="2"/>
  <c r="AE26" i="2" s="1"/>
  <c r="Z27" i="2"/>
  <c r="AE27" i="2" s="1"/>
  <c r="Z28" i="2"/>
  <c r="AE28" i="2" s="1"/>
  <c r="Z24" i="2"/>
  <c r="Z25" i="2"/>
  <c r="AE25" i="2" s="1"/>
  <c r="Z29" i="2"/>
  <c r="AE29" i="2" s="1"/>
  <c r="Z31" i="2" l="1"/>
  <c r="AE31" i="2" s="1"/>
  <c r="AE2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23" authorId="0" shapeId="0" xr:uid="{B0C8C7FF-9371-48F7-998A-8A383ED615B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根据关卡波数调整</t>
        </r>
      </text>
    </comment>
    <comment ref="S23" authorId="0" shapeId="0" xr:uid="{15BE777B-509C-492A-AA55-40654701753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防御偏向</t>
        </r>
      </text>
    </comment>
    <comment ref="T23" authorId="0" shapeId="0" xr:uid="{8F2BBCCE-8B44-4CB3-A3CA-3D886FF02E2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暴击率</t>
        </r>
      </text>
    </comment>
    <comment ref="U23" authorId="0" shapeId="0" xr:uid="{83C41195-D7F5-4004-80BF-E9DEAFB53EA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爆伤</t>
        </r>
      </text>
    </comment>
    <comment ref="V23" authorId="0" shapeId="0" xr:uid="{1FCF254C-799F-445F-BF71-B070B8FCAA6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</t>
        </r>
      </text>
    </comment>
    <comment ref="W23" authorId="0" shapeId="0" xr:uid="{7A091828-BD2A-48F3-BB36-DD1826763F2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普攻伤害占比</t>
        </r>
      </text>
    </comment>
    <comment ref="X23" authorId="0" shapeId="0" xr:uid="{A44FEC11-A669-42BB-97A1-CA091FC390D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技能CD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N15" authorId="0" shapeId="0" xr:uid="{EEBE8869-9DED-4AE3-8588-7A4BCED502D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单体按攻击算治疗</t>
        </r>
      </text>
    </comment>
    <comment ref="O15" authorId="0" shapeId="0" xr:uid="{CD0560AA-AADB-4E61-86C1-AE91A7F8CC4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单体按生命算治疗量</t>
        </r>
      </text>
    </comment>
    <comment ref="S15" authorId="0" shapeId="0" xr:uid="{6EDE187A-D66D-4FEF-B65E-78F9BAD14C2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近似比例*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<sst xmlns="http://schemas.openxmlformats.org/spreadsheetml/2006/main" count="426" uniqueCount="210">
  <si>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</si>
  <si>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</si>
  <si>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</si>
  <si>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</si>
  <si>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</si>
  <si>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</si>
  <si>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</si>
  <si>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</si>
  <si>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</si>
  <si>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</si>
  <si>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</si>
  <si>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</si>
  <si>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</si>
  <si>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</si>
  <si>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</si>
  <si>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</si>
  <si>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</si>
  <si>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</si>
  <si>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防御偏向</t>
    <phoneticPr fontId="1" type="noConversion"/>
  </si>
  <si>
    <t>基准防御力</t>
    <phoneticPr fontId="1" type="noConversion"/>
  </si>
  <si>
    <t>品质</t>
    <phoneticPr fontId="1" type="noConversion"/>
  </si>
  <si>
    <t>防御力换算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</si>
  <si>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</si>
  <si>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</si>
  <si>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</si>
  <si>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</si>
  <si>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</si>
  <si>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</si>
  <si>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</si>
  <si>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</si>
  <si>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</si>
  <si>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</si>
  <si>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</si>
  <si>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</si>
  <si>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</si>
  <si>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</si>
  <si>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</si>
  <si>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</si>
  <si>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</si>
  <si>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</si>
  <si>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</si>
  <si>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</si>
  <si>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</si>
  <si>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</si>
  <si>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角色数据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</si>
  <si>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</si>
  <si>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</si>
  <si>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</si>
  <si>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</si>
  <si>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</si>
  <si>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</si>
  <si>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</si>
  <si>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</si>
  <si>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</si>
  <si>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</si>
  <si>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</si>
  <si>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</si>
  <si>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</si>
  <si>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</si>
  <si>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</si>
  <si>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</si>
  <si>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</si>
  <si>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</si>
  <si>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</si>
  <si>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</si>
  <si>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</si>
  <si>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</si>
  <si>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</si>
  <si>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</si>
  <si>
    <t>DataTable</t>
    <phoneticPr fontId="1" type="noConversion"/>
  </si>
  <si>
    <t>饼干1</t>
    <phoneticPr fontId="1" type="noConversion"/>
  </si>
  <si>
    <t>站位</t>
    <phoneticPr fontId="1" type="noConversion"/>
  </si>
  <si>
    <t>伤害</t>
  </si>
  <si>
    <t>承伤</t>
  </si>
  <si>
    <t>在整体基础上，在根据怪物实际数量进行攻防的分割：伤害=2*整体伤害/(1+怪物数量)）；承伤=整体承伤/怪物数量</t>
    <phoneticPr fontId="1" type="noConversion"/>
  </si>
  <si>
    <t>星级</t>
    <phoneticPr fontId="1" type="noConversion"/>
  </si>
  <si>
    <t>公共</t>
    <phoneticPr fontId="1" type="noConversion"/>
  </si>
  <si>
    <t>装备</t>
    <phoneticPr fontId="1" type="noConversion"/>
  </si>
  <si>
    <t>品质*（1+星级）*（1+公共+装备）</t>
    <phoneticPr fontId="1" type="noConversion"/>
  </si>
  <si>
    <t>剩余数量</t>
    <phoneticPr fontId="1" type="noConversion"/>
  </si>
  <si>
    <t>基础伤害</t>
    <phoneticPr fontId="1" type="noConversion"/>
  </si>
  <si>
    <t>基础承伤</t>
    <phoneticPr fontId="1" type="noConversion"/>
  </si>
  <si>
    <t>基础防御力</t>
    <phoneticPr fontId="1" type="noConversion"/>
  </si>
  <si>
    <t>怪物属性</t>
    <phoneticPr fontId="1" type="noConversion"/>
  </si>
  <si>
    <t>大招威力</t>
    <phoneticPr fontId="1" type="noConversion"/>
  </si>
  <si>
    <t>获取最小单位攻击力后，设定其他非最小单位怪物攻击比例可计算得出各自攻击力，生命值按照占用最小单位数量计算得出</t>
    <phoneticPr fontId="1" type="noConversion"/>
  </si>
  <si>
    <t>攻击比</t>
    <phoneticPr fontId="1" type="noConversion"/>
  </si>
  <si>
    <t>最小单位比</t>
    <phoneticPr fontId="1" type="noConversion"/>
  </si>
  <si>
    <t>角色等级</t>
    <phoneticPr fontId="1" type="noConversion"/>
  </si>
  <si>
    <t>细分难度</t>
    <phoneticPr fontId="1" type="noConversion"/>
  </si>
  <si>
    <t>全角色</t>
    <phoneticPr fontId="1" type="noConversion"/>
  </si>
  <si>
    <t>角色配置</t>
    <phoneticPr fontId="1" type="noConversion"/>
  </si>
  <si>
    <t>关卡序号</t>
    <phoneticPr fontId="1" type="noConversion"/>
  </si>
  <si>
    <t>怪物波数</t>
    <phoneticPr fontId="1" type="noConversion"/>
  </si>
  <si>
    <t>总攻击比</t>
    <phoneticPr fontId="1" type="noConversion"/>
  </si>
  <si>
    <t>输出比</t>
    <phoneticPr fontId="1" type="noConversion"/>
  </si>
  <si>
    <t>防御力固定，方便反算血量</t>
    <phoneticPr fontId="1" type="noConversion"/>
  </si>
  <si>
    <t>此字段目前是给定值，后续细化：最基础的是按照等级分，后续在等级基础上在细分若干难度</t>
    <phoneticPr fontId="1" type="noConversion"/>
  </si>
  <si>
    <t>每波怪防御力：自定义比例*基础防御力</t>
  </si>
  <si>
    <t>每波怪伤害：100%*基础伤害</t>
    <phoneticPr fontId="1" type="noConversion"/>
  </si>
  <si>
    <t>每波怪承伤：1/总波数*基础承伤</t>
    <phoneticPr fontId="1" type="noConversion"/>
  </si>
  <si>
    <t>预估角色成长进度</t>
    <phoneticPr fontId="1" type="noConversion"/>
  </si>
  <si>
    <t>怪物参数</t>
    <phoneticPr fontId="1" type="noConversion"/>
  </si>
  <si>
    <t>怪物基础</t>
    <phoneticPr fontId="1" type="noConversion"/>
  </si>
  <si>
    <t>0~9难度差异:0.005</t>
    <phoneticPr fontId="1" type="noConversion"/>
  </si>
  <si>
    <t>DEF</t>
    <phoneticPr fontId="1" type="noConversion"/>
  </si>
  <si>
    <t>CRIT</t>
    <phoneticPr fontId="1" type="noConversion"/>
  </si>
  <si>
    <t>MUL</t>
    <phoneticPr fontId="1" type="noConversion"/>
  </si>
  <si>
    <t>ATR</t>
    <phoneticPr fontId="1" type="noConversion"/>
  </si>
  <si>
    <t>NOR</t>
    <phoneticPr fontId="1" type="noConversion"/>
  </si>
  <si>
    <t>SKC</t>
    <phoneticPr fontId="1" type="noConversion"/>
  </si>
  <si>
    <t>怪物战斗的基础模型是对标角色的标准模型而定，最基础的模型把怪物看成1个整体（BOSS）进行基础计算(实际是按照2个BOSS合成1个)，默认每波的节奏一样（血量均分）</t>
    <phoneticPr fontId="1" type="noConversion"/>
  </si>
  <si>
    <t>节奏</t>
    <phoneticPr fontId="1" type="noConversion"/>
  </si>
  <si>
    <t>饼干13</t>
  </si>
  <si>
    <t>饼干14</t>
  </si>
  <si>
    <t>饼干15</t>
  </si>
  <si>
    <t>饼干16</t>
  </si>
  <si>
    <t>饼干17</t>
  </si>
  <si>
    <t>饼干18</t>
  </si>
  <si>
    <t>饼干19</t>
  </si>
  <si>
    <t>饼干20</t>
  </si>
  <si>
    <t>饼干21</t>
  </si>
  <si>
    <t>饼干22</t>
  </si>
  <si>
    <t>饼干23</t>
  </si>
  <si>
    <t>饼干24</t>
  </si>
  <si>
    <t>饼干25</t>
  </si>
  <si>
    <t>饼干26</t>
  </si>
  <si>
    <t>饼干27</t>
  </si>
  <si>
    <t>饼干28</t>
  </si>
  <si>
    <t>饼干29</t>
  </si>
  <si>
    <t>饼干30</t>
  </si>
  <si>
    <t>饼干31</t>
  </si>
  <si>
    <t>饼干32</t>
  </si>
  <si>
    <t>饼干33</t>
  </si>
  <si>
    <t>饼干34</t>
  </si>
  <si>
    <t>饼干35</t>
  </si>
  <si>
    <t>饼干36</t>
  </si>
  <si>
    <t>饼干37</t>
  </si>
  <si>
    <t>饼干38</t>
  </si>
  <si>
    <t>饼干39</t>
  </si>
  <si>
    <t>饼干40</t>
  </si>
  <si>
    <t>饼干41</t>
  </si>
  <si>
    <t>饼干42</t>
  </si>
  <si>
    <t>饼干43</t>
  </si>
  <si>
    <t>饼干44</t>
  </si>
  <si>
    <t>饼干45</t>
  </si>
  <si>
    <t>饼干46</t>
  </si>
  <si>
    <t>饼干47</t>
  </si>
  <si>
    <t>饼干48</t>
  </si>
  <si>
    <t>饼干49</t>
  </si>
  <si>
    <t>饼干50</t>
  </si>
  <si>
    <t>饼干51</t>
  </si>
  <si>
    <t>饼干52</t>
  </si>
  <si>
    <t>饼干53</t>
  </si>
  <si>
    <t>饼干54</t>
  </si>
  <si>
    <t>饼干55</t>
  </si>
  <si>
    <t>饼干56</t>
  </si>
  <si>
    <t>饼干57</t>
  </si>
  <si>
    <t>饼干58</t>
  </si>
  <si>
    <t>饼干59</t>
  </si>
  <si>
    <t>饼干60</t>
  </si>
  <si>
    <t>饼干61</t>
  </si>
  <si>
    <t>饼干62</t>
  </si>
  <si>
    <t>饼干63</t>
  </si>
  <si>
    <t>饼干64</t>
  </si>
  <si>
    <t>饼干65</t>
  </si>
  <si>
    <t>饼干66</t>
  </si>
  <si>
    <t>饼干67</t>
  </si>
  <si>
    <t>饼干68</t>
  </si>
  <si>
    <t>饼干69</t>
  </si>
  <si>
    <t>饼干70</t>
  </si>
  <si>
    <t>饼干71</t>
  </si>
  <si>
    <t>饼干72</t>
  </si>
  <si>
    <t>饼干73</t>
  </si>
  <si>
    <t>饼干74</t>
  </si>
  <si>
    <t>饼干75</t>
  </si>
  <si>
    <t>饼干76</t>
  </si>
  <si>
    <t>饼干77</t>
  </si>
  <si>
    <t>饼干78</t>
  </si>
  <si>
    <t>饼干79</t>
  </si>
  <si>
    <t>饼干80</t>
  </si>
  <si>
    <t>饼干81</t>
  </si>
  <si>
    <t>饼干82</t>
  </si>
  <si>
    <t>饼干83</t>
  </si>
  <si>
    <t>基础数据引用自（战斗数值.xlsm\基础模型）</t>
    <phoneticPr fontId="1" type="noConversion"/>
  </si>
  <si>
    <t>伤害偏向</t>
    <phoneticPr fontId="1" type="noConversion"/>
  </si>
  <si>
    <t>承伤偏向</t>
    <phoneticPr fontId="1" type="noConversion"/>
  </si>
  <si>
    <t>普通</t>
    <phoneticPr fontId="1" type="noConversion"/>
  </si>
  <si>
    <t>稀有</t>
    <phoneticPr fontId="1" type="noConversion"/>
  </si>
  <si>
    <t>超级稀有</t>
  </si>
  <si>
    <t>超级稀有</t>
    <phoneticPr fontId="1" type="noConversion"/>
  </si>
  <si>
    <t>史诗</t>
    <phoneticPr fontId="1" type="noConversion"/>
  </si>
  <si>
    <t>传说</t>
    <phoneticPr fontId="1" type="noConversion"/>
  </si>
  <si>
    <t>上古</t>
    <phoneticPr fontId="1" type="noConversion"/>
  </si>
  <si>
    <t>大招CD</t>
  </si>
  <si>
    <t>大招CD初始</t>
  </si>
  <si>
    <t>伤害倍率</t>
    <phoneticPr fontId="1" type="noConversion"/>
  </si>
  <si>
    <t>普攻占比</t>
  </si>
  <si>
    <t>实际伤害</t>
  </si>
  <si>
    <t>实际承伤</t>
  </si>
  <si>
    <t>治疗倍率/D</t>
  </si>
  <si>
    <t>治疗倍率/H</t>
  </si>
  <si>
    <t>伤害升级</t>
    <phoneticPr fontId="1" type="noConversion"/>
  </si>
  <si>
    <t>升级普攻</t>
    <phoneticPr fontId="1" type="noConversion"/>
  </si>
  <si>
    <t>升级伤害</t>
    <phoneticPr fontId="1" type="noConversion"/>
  </si>
  <si>
    <t>升级治疗/D</t>
    <phoneticPr fontId="1" type="noConversion"/>
  </si>
  <si>
    <t>升级治疗/H</t>
    <phoneticPr fontId="1" type="noConversion"/>
  </si>
  <si>
    <t>每级伤害</t>
    <phoneticPr fontId="1" type="noConversion"/>
  </si>
  <si>
    <t>每级治疗/D</t>
    <phoneticPr fontId="1" type="noConversion"/>
  </si>
  <si>
    <t>每级治疗/H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</si>
</sst>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 * #,##0.00_ ;_ * \-#,##0.00_ ;_ * &quot;-&quot;??_ ;_ @_ "/>
    <numFmt numFmtId="176" formatCode="0.000"/>
    <numFmt numFmtId="177" formatCode="_ * #,##0_ ;_ * \-#,##0_ ;_ * &quot;-&quot;??_ ;_ @_ "/>
    <numFmt numFmtId="178" formatCode="0.0%"/>
    <numFmt numFmtId="179" formatCode="0.0000"/>
    <numFmt numFmtId="180" formatCode="0.000000000000000%"/>
    <numFmt numFmtId="181" formatCode="0.0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rgb="FFFF0000"/>
      <name val="微软雅黑"/>
      <family val="2"/>
      <charset val="134"/>
    </font>
    <font>
      <b/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3">
    <xf numFmtId="0" fontId="0" fillId="0" borderId="0">
      <alignment vertical="center"/>
    </xf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6" fillId="2" borderId="11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4" borderId="12" xfId="0" applyFont="1" applyFill="1" applyBorder="1" applyAlignment="1">
      <alignment horizontal="center" vertical="center" shrinkToFit="1"/>
    </xf>
    <xf numFmtId="0" fontId="6" fillId="4" borderId="4" xfId="0" applyFont="1" applyFill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  <xf numFmtId="177" fontId="2" fillId="0" borderId="1" xfId="1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 shrinkToFit="1"/>
    </xf>
    <xf numFmtId="178" fontId="2" fillId="0" borderId="1" xfId="2" applyNumberFormat="1" applyFont="1" applyBorder="1" applyAlignment="1">
      <alignment horizontal="center" vertical="center" shrinkToFit="1"/>
    </xf>
    <xf numFmtId="10" fontId="2" fillId="0" borderId="1" xfId="2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10" fillId="3" borderId="1" xfId="0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6" fillId="0" borderId="15" xfId="0" applyFont="1" applyBorder="1" applyAlignment="1">
      <alignment horizontal="center" vertical="center" shrinkToFit="1"/>
    </xf>
    <xf numFmtId="9" fontId="2" fillId="0" borderId="1" xfId="2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178" fontId="2" fillId="0" borderId="3" xfId="2" applyNumberFormat="1" applyFont="1" applyBorder="1" applyAlignment="1">
      <alignment horizontal="center" vertical="center" shrinkToFit="1"/>
    </xf>
  </cellXfs>
  <cellStyles count="3">
    <cellStyle name="百分比" xfId="2" builtinId="5"/>
    <cellStyle name="常规" xfId="0" builtinId="0"/>
    <cellStyle name="千位分隔" xfId="1" builtinId="3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平衡）"/>
      <sheetName val="基础模型"/>
      <sheetName val="战斗公式"/>
      <sheetName val="玩家成长"/>
      <sheetName val="角色品星"/>
      <sheetName val="技能模板"/>
      <sheetName val="战斗模拟"/>
    </sheetNames>
    <sheetDataSet>
      <sheetData sheetId="0"/>
      <sheetData sheetId="1">
        <row r="11">
          <cell r="E11">
            <v>5</v>
          </cell>
          <cell r="F11">
            <v>100</v>
          </cell>
          <cell r="G11">
            <v>2</v>
          </cell>
        </row>
        <row r="12">
          <cell r="E12">
            <v>10</v>
          </cell>
          <cell r="F12">
            <v>40</v>
          </cell>
          <cell r="G12">
            <v>0</v>
          </cell>
        </row>
        <row r="13">
          <cell r="E13">
            <v>4</v>
          </cell>
          <cell r="F13">
            <v>50</v>
          </cell>
          <cell r="G13">
            <v>6</v>
          </cell>
        </row>
        <row r="34">
          <cell r="E34">
            <v>4.5</v>
          </cell>
          <cell r="F34">
            <v>111.11111111111111</v>
          </cell>
          <cell r="G34">
            <v>2</v>
          </cell>
        </row>
        <row r="35">
          <cell r="E35">
            <v>11</v>
          </cell>
          <cell r="F35">
            <v>36.36363636363636</v>
          </cell>
          <cell r="G35">
            <v>0</v>
          </cell>
        </row>
        <row r="36">
          <cell r="E36">
            <v>5</v>
          </cell>
          <cell r="F36">
            <v>100</v>
          </cell>
          <cell r="G36">
            <v>2</v>
          </cell>
        </row>
        <row r="37">
          <cell r="E37">
            <v>12</v>
          </cell>
          <cell r="F37">
            <v>33.333333333333336</v>
          </cell>
          <cell r="G37">
            <v>0</v>
          </cell>
        </row>
        <row r="38">
          <cell r="E38">
            <v>3.88</v>
          </cell>
          <cell r="F38">
            <v>48.5</v>
          </cell>
          <cell r="G38">
            <v>6</v>
          </cell>
        </row>
      </sheetData>
      <sheetData sheetId="2"/>
      <sheetData sheetId="3">
        <row r="5">
          <cell r="D5" t="str">
            <v>升级</v>
          </cell>
          <cell r="E5">
            <v>0.25</v>
          </cell>
        </row>
        <row r="6">
          <cell r="D6" t="str">
            <v>升星%</v>
          </cell>
          <cell r="E6">
            <v>0.25</v>
          </cell>
        </row>
        <row r="7">
          <cell r="D7" t="str">
            <v>配料%</v>
          </cell>
          <cell r="E7">
            <v>0.16666666666666666</v>
          </cell>
        </row>
        <row r="8">
          <cell r="D8" t="str">
            <v>地标%</v>
          </cell>
          <cell r="E8">
            <v>9.9999999999999992E-2</v>
          </cell>
        </row>
        <row r="9">
          <cell r="D9" t="str">
            <v>研究%</v>
          </cell>
          <cell r="E9">
            <v>8.3333333333333329E-2</v>
          </cell>
        </row>
        <row r="10">
          <cell r="D10" t="str">
            <v>姻缘%</v>
          </cell>
          <cell r="E10">
            <v>3.333333333333334E-2</v>
          </cell>
        </row>
        <row r="11">
          <cell r="D11" t="str">
            <v>英雄%</v>
          </cell>
          <cell r="E11">
            <v>3.333333333333334E-2</v>
          </cell>
        </row>
        <row r="12">
          <cell r="D12" t="str">
            <v>公会%</v>
          </cell>
          <cell r="E12">
            <v>8.3333333333333329E-2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BEBBB8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25112;&#26007;&#25968;&#20540;.xlsm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A1:AC102"/>
  <sheetViews>
    <sheetView zoomScaleNormal="100" workbookViewId="0">
      <pane xSplit="8" ySplit="15" topLeftCell="I16" activePane="bottomRight" state="frozen"/>
      <selection pane="topRight" activeCell="I1" sqref="I1"/>
      <selection pane="bottomLeft" activeCell="A16" sqref="A16"/>
      <selection pane="bottomRight" activeCell="D17" sqref="D17"/>
    </sheetView>
  </sheetViews>
  <sheetFormatPr defaultRowHeight="14.25" customHeight="1" x14ac:dyDescent="0.2"/>
  <cols>
    <col min="1" max="16384" width="9" style="1"/>
  </cols>
  <sheetData>
    <row r="1" spans="2:29" ht="14.25" customHeight="1" x14ac:dyDescent="0.2">
      <c r="B1" s="5" t="s">
        <v>41</v>
      </c>
      <c r="C1" s="6" t="s">
        <v>42</v>
      </c>
      <c r="D1" s="29" t="s">
        <v>43</v>
      </c>
      <c r="E1" s="28"/>
      <c r="G1" s="2"/>
      <c r="P1" s="22"/>
      <c r="Q1" s="22"/>
      <c r="R1" s="22"/>
      <c r="V1" s="2" t="s">
        <v>52</v>
      </c>
      <c r="X1" s="1" t="s">
        <v>70</v>
      </c>
      <c r="Y1" s="1" t="str">
        <f>VLOOKUP($X1,$E:$G,3,0)</f>
        <v>超级稀有</v>
      </c>
      <c r="Z1" s="1" t="str">
        <f>VLOOKUP($X1,$E:$G,2,0)</f>
        <v>防御</v>
      </c>
      <c r="AA1" s="1">
        <v>0.05</v>
      </c>
      <c r="AB1" s="1">
        <v>1.5</v>
      </c>
      <c r="AC1" s="1">
        <f>VLOOKUP(X1,$E:$U,15,0)</f>
        <v>5</v>
      </c>
    </row>
    <row r="2" spans="2:29" ht="14.25" customHeight="1" x14ac:dyDescent="0.2">
      <c r="P2" s="22"/>
      <c r="Q2" s="22"/>
      <c r="R2" s="22"/>
      <c r="W2" s="1" t="s">
        <v>51</v>
      </c>
      <c r="X2" s="1" t="s">
        <v>45</v>
      </c>
      <c r="Y2" s="1" t="s">
        <v>46</v>
      </c>
      <c r="Z2" s="1" t="s">
        <v>47</v>
      </c>
      <c r="AA2" s="1" t="s">
        <v>48</v>
      </c>
      <c r="AB2" s="1" t="s">
        <v>49</v>
      </c>
      <c r="AC2" s="1" t="s">
        <v>50</v>
      </c>
    </row>
    <row r="3" spans="2:29" ht="14.25" customHeight="1" x14ac:dyDescent="0.2">
      <c r="E3" s="2" t="s">
        <v>184</v>
      </c>
      <c r="K3" s="2" t="s">
        <v>40</v>
      </c>
      <c r="P3" s="22"/>
      <c r="Q3" s="22"/>
      <c r="R3" s="22"/>
      <c r="S3" s="22"/>
      <c r="T3" s="22"/>
      <c r="V3" s="22"/>
      <c r="W3" s="1">
        <v>1</v>
      </c>
      <c r="X3" s="22">
        <f>VLOOKUP($X$1,$E:$U,MATCH(X$2,$E$15:$U$15,0),0)*$C$6^(W3-1)</f>
        <v>58.59375</v>
      </c>
      <c r="Y3" s="22">
        <f>VLOOKUP($X$1,$E:$U,MATCH(Y$2,$E$15:$U$15,0),0)*$C$6^(W3-1)/(1+Z3/$C$15/VLOOKUP($Y$1,$B:$C,2,0)/$C$8)</f>
        <v>2067.8246484698097</v>
      </c>
      <c r="Z3" s="22">
        <f>VLOOKUP($X$1,$E:$U,MATCH(Z$2,$E$15:$U$15,0),0)*$C$6^(W3-1)</f>
        <v>187.5</v>
      </c>
      <c r="AA3" s="1">
        <f>$AA$1</f>
        <v>0.05</v>
      </c>
      <c r="AB3" s="1">
        <f>$AB$1</f>
        <v>1.5</v>
      </c>
      <c r="AC3" s="1">
        <f t="shared" ref="AC3:AC34" si="0">VLOOKUP($X$1,$E:$R,MATCH(AC$2,$E$15:$R$15,0),0)</f>
        <v>0.9</v>
      </c>
    </row>
    <row r="4" spans="2:29" ht="14.25" customHeight="1" thickBot="1" x14ac:dyDescent="0.25">
      <c r="B4" s="12" t="s">
        <v>9</v>
      </c>
      <c r="C4" s="19" t="s">
        <v>10</v>
      </c>
      <c r="E4" s="12" t="s">
        <v>5</v>
      </c>
      <c r="F4" s="12" t="s">
        <v>1</v>
      </c>
      <c r="G4" s="12" t="s">
        <v>2</v>
      </c>
      <c r="H4" s="12" t="s">
        <v>37</v>
      </c>
      <c r="J4" s="9"/>
      <c r="K4" s="12" t="s">
        <v>40</v>
      </c>
      <c r="L4" s="13" t="s">
        <v>5</v>
      </c>
      <c r="P4" s="22"/>
      <c r="Q4" s="22"/>
      <c r="R4" s="22"/>
      <c r="S4" s="22"/>
      <c r="T4" s="22"/>
      <c r="U4" s="22"/>
      <c r="V4" s="22"/>
      <c r="W4" s="1">
        <v>2</v>
      </c>
      <c r="X4" s="22">
        <f t="shared" ref="X4:X67" si="1">VLOOKUP($X$1,$E:$U,MATCH(X$2,$E$15:$U$15,0),0)*$C$6^(W4-1)</f>
        <v>61.5234375</v>
      </c>
      <c r="Y4" s="22">
        <f t="shared" ref="Y4:Y67" si="2">VLOOKUP($X$1,$E:$U,MATCH(Y$2,$E$15:$U$15,0),0)*$C$6^(W4-1)/(1+Z4/$C$15/VLOOKUP($Y$1,$B:$C,2,0)/$C$8)</f>
        <v>2170.4080367109018</v>
      </c>
      <c r="Z4" s="22">
        <f t="shared" ref="Z4:Z67" si="3">VLOOKUP($X$1,$E:$U,MATCH(Z$2,$E$15:$U$15,0),0)*$C$6^(W4-1)</f>
        <v>196.875</v>
      </c>
      <c r="AA4" s="1">
        <f t="shared" ref="AA4:AA67" si="4">$AA$1</f>
        <v>0.05</v>
      </c>
      <c r="AB4" s="1">
        <f t="shared" ref="AB4:AB67" si="5">$AB$1</f>
        <v>1.5</v>
      </c>
      <c r="AC4" s="1">
        <f t="shared" si="0"/>
        <v>0.9</v>
      </c>
    </row>
    <row r="5" spans="2:29" ht="14.25" customHeight="1" x14ac:dyDescent="0.2">
      <c r="B5" s="3" t="s">
        <v>12</v>
      </c>
      <c r="C5" s="3">
        <v>75</v>
      </c>
      <c r="D5" s="3"/>
      <c r="E5" s="3" t="s">
        <v>39</v>
      </c>
      <c r="F5" s="11">
        <f>[1]基础模型!E11</f>
        <v>5</v>
      </c>
      <c r="G5" s="11">
        <f>[1]基础模型!F11</f>
        <v>100</v>
      </c>
      <c r="H5" s="11">
        <f>[1]基础模型!G11</f>
        <v>2</v>
      </c>
      <c r="J5" s="9" t="s">
        <v>22</v>
      </c>
      <c r="K5" s="3" t="s">
        <v>23</v>
      </c>
      <c r="L5" s="11" t="s">
        <v>38</v>
      </c>
      <c r="P5" s="22"/>
      <c r="Q5" s="22"/>
      <c r="R5" s="22"/>
      <c r="V5" s="22"/>
      <c r="W5" s="1">
        <v>3</v>
      </c>
      <c r="X5" s="22">
        <f t="shared" si="1"/>
        <v>64.599609375</v>
      </c>
      <c r="Y5" s="22">
        <f t="shared" si="2"/>
        <v>2278.0384694060986</v>
      </c>
      <c r="Z5" s="22">
        <f t="shared" si="3"/>
        <v>206.71875</v>
      </c>
      <c r="AA5" s="1">
        <f t="shared" si="4"/>
        <v>0.05</v>
      </c>
      <c r="AB5" s="1">
        <f t="shared" si="5"/>
        <v>1.5</v>
      </c>
      <c r="AC5" s="1">
        <f t="shared" si="0"/>
        <v>0.9</v>
      </c>
    </row>
    <row r="6" spans="2:29" ht="14.25" customHeight="1" x14ac:dyDescent="0.2">
      <c r="B6" s="1" t="s">
        <v>13</v>
      </c>
      <c r="C6" s="1">
        <v>1.05</v>
      </c>
      <c r="E6" s="1" t="s">
        <v>35</v>
      </c>
      <c r="F6" s="11">
        <f>[1]基础模型!E12</f>
        <v>10</v>
      </c>
      <c r="G6" s="11">
        <f>[1]基础模型!F12</f>
        <v>40</v>
      </c>
      <c r="H6" s="11">
        <f>[1]基础模型!G12</f>
        <v>0</v>
      </c>
      <c r="J6" s="9" t="s">
        <v>24</v>
      </c>
      <c r="K6" s="1" t="s">
        <v>25</v>
      </c>
      <c r="L6" s="10" t="s">
        <v>38</v>
      </c>
      <c r="V6" s="22"/>
      <c r="W6" s="1">
        <v>4</v>
      </c>
      <c r="X6" s="22">
        <f t="shared" si="1"/>
        <v>67.829589843750014</v>
      </c>
      <c r="Y6" s="22">
        <f t="shared" si="2"/>
        <v>2390.9599870871125</v>
      </c>
      <c r="Z6" s="22">
        <f t="shared" si="3"/>
        <v>217.05468750000003</v>
      </c>
      <c r="AA6" s="1">
        <f t="shared" si="4"/>
        <v>0.05</v>
      </c>
      <c r="AB6" s="1">
        <f t="shared" si="5"/>
        <v>1.5</v>
      </c>
      <c r="AC6" s="1">
        <f t="shared" si="0"/>
        <v>0.9</v>
      </c>
    </row>
    <row r="7" spans="2:29" ht="14.25" customHeight="1" x14ac:dyDescent="0.2">
      <c r="B7" s="1" t="s">
        <v>19</v>
      </c>
      <c r="C7" s="1">
        <v>10</v>
      </c>
      <c r="E7" s="1" t="s">
        <v>37</v>
      </c>
      <c r="F7" s="11">
        <f>[1]基础模型!E13</f>
        <v>4</v>
      </c>
      <c r="G7" s="11">
        <f>[1]基础模型!F13</f>
        <v>50</v>
      </c>
      <c r="H7" s="11">
        <f>[1]基础模型!G13</f>
        <v>6</v>
      </c>
      <c r="J7" s="9" t="s">
        <v>26</v>
      </c>
      <c r="K7" s="1" t="s">
        <v>27</v>
      </c>
      <c r="L7" s="10" t="s">
        <v>34</v>
      </c>
      <c r="V7" s="22"/>
      <c r="W7" s="1">
        <v>5</v>
      </c>
      <c r="X7" s="22">
        <f t="shared" si="1"/>
        <v>71.2210693359375</v>
      </c>
      <c r="Y7" s="22">
        <f t="shared" si="2"/>
        <v>2509.4279968938786</v>
      </c>
      <c r="Z7" s="22">
        <f t="shared" si="3"/>
        <v>227.90742187500001</v>
      </c>
      <c r="AA7" s="1">
        <f t="shared" si="4"/>
        <v>0.05</v>
      </c>
      <c r="AB7" s="1">
        <f t="shared" si="5"/>
        <v>1.5</v>
      </c>
      <c r="AC7" s="1">
        <f t="shared" si="0"/>
        <v>0.9</v>
      </c>
    </row>
    <row r="8" spans="2:29" ht="14.25" customHeight="1" x14ac:dyDescent="0.2">
      <c r="B8" s="1" t="s">
        <v>21</v>
      </c>
      <c r="C8" s="1">
        <v>100000</v>
      </c>
      <c r="F8" s="10"/>
      <c r="G8" s="10"/>
      <c r="J8" s="9" t="s">
        <v>28</v>
      </c>
      <c r="K8" s="1" t="s">
        <v>29</v>
      </c>
      <c r="L8" s="10" t="s">
        <v>34</v>
      </c>
      <c r="V8" s="22"/>
      <c r="W8" s="1">
        <v>6</v>
      </c>
      <c r="X8" s="22">
        <f t="shared" si="1"/>
        <v>74.782122802734378</v>
      </c>
      <c r="Y8" s="22">
        <f t="shared" si="2"/>
        <v>2633.7097578382113</v>
      </c>
      <c r="Z8" s="22">
        <f t="shared" si="3"/>
        <v>239.30279296875003</v>
      </c>
      <c r="AA8" s="1">
        <f t="shared" si="4"/>
        <v>0.05</v>
      </c>
      <c r="AB8" s="1">
        <f t="shared" si="5"/>
        <v>1.5</v>
      </c>
      <c r="AC8" s="1">
        <f t="shared" si="0"/>
        <v>0.9</v>
      </c>
    </row>
    <row r="9" spans="2:29" ht="14.25" customHeight="1" x14ac:dyDescent="0.2">
      <c r="B9" s="1" t="s">
        <v>187</v>
      </c>
      <c r="C9" s="1">
        <v>0.8</v>
      </c>
      <c r="J9" s="9" t="s">
        <v>30</v>
      </c>
      <c r="K9" s="1" t="s">
        <v>31</v>
      </c>
      <c r="L9" s="10" t="s">
        <v>34</v>
      </c>
      <c r="R9" s="4"/>
      <c r="V9" s="22"/>
      <c r="W9" s="1">
        <v>7</v>
      </c>
      <c r="X9" s="22">
        <f t="shared" si="1"/>
        <v>78.52122894287109</v>
      </c>
      <c r="Y9" s="22">
        <f t="shared" si="2"/>
        <v>2764.0848822114822</v>
      </c>
      <c r="Z9" s="22">
        <f t="shared" si="3"/>
        <v>251.26793261718748</v>
      </c>
      <c r="AA9" s="1">
        <f t="shared" si="4"/>
        <v>0.05</v>
      </c>
      <c r="AB9" s="1">
        <f t="shared" si="5"/>
        <v>1.5</v>
      </c>
      <c r="AC9" s="1">
        <f t="shared" si="0"/>
        <v>0.9</v>
      </c>
    </row>
    <row r="10" spans="2:29" ht="14.25" customHeight="1" x14ac:dyDescent="0.2">
      <c r="B10" s="1" t="s">
        <v>188</v>
      </c>
      <c r="C10" s="1">
        <v>0.9</v>
      </c>
      <c r="J10" s="9" t="s">
        <v>32</v>
      </c>
      <c r="K10" s="1" t="s">
        <v>33</v>
      </c>
      <c r="L10" s="10" t="s">
        <v>36</v>
      </c>
      <c r="V10" s="22"/>
      <c r="W10" s="1">
        <v>8</v>
      </c>
      <c r="X10" s="22">
        <f t="shared" si="1"/>
        <v>82.447290390014658</v>
      </c>
      <c r="Y10" s="22">
        <f t="shared" si="2"/>
        <v>2900.8458531717488</v>
      </c>
      <c r="Z10" s="22">
        <f t="shared" si="3"/>
        <v>263.83132924804693</v>
      </c>
      <c r="AA10" s="1">
        <f t="shared" si="4"/>
        <v>0.05</v>
      </c>
      <c r="AB10" s="1">
        <f t="shared" si="5"/>
        <v>1.5</v>
      </c>
      <c r="AC10" s="1">
        <f t="shared" si="0"/>
        <v>0.9</v>
      </c>
    </row>
    <row r="11" spans="2:29" ht="14.25" customHeight="1" x14ac:dyDescent="0.2">
      <c r="B11" s="1" t="s">
        <v>190</v>
      </c>
      <c r="C11" s="1">
        <v>1</v>
      </c>
      <c r="H11" s="2" t="s">
        <v>44</v>
      </c>
      <c r="N11" s="22">
        <f>I16/J16/(1+K16*(L16-1))*$C$5*M16*VLOOKUP(VLOOKUP($F16,$K$4:$L$10,2,0),$E$4:$G$7,2,0)</f>
        <v>234.375</v>
      </c>
      <c r="O11" s="22"/>
      <c r="P11" s="22">
        <f>$C$7*O16*$C$5</f>
        <v>750</v>
      </c>
      <c r="Q11" s="22"/>
      <c r="R11" s="22">
        <f>VLOOKUP(VLOOKUP($F16,$K$4:$L$10,2,0),$E$4:$G$7,3,0)*$C$5*Q16</f>
        <v>8333.3333333333339</v>
      </c>
      <c r="V11" s="22"/>
      <c r="W11" s="1">
        <v>9</v>
      </c>
      <c r="X11" s="22">
        <f t="shared" si="1"/>
        <v>86.569654909515378</v>
      </c>
      <c r="Y11" s="22">
        <f t="shared" si="2"/>
        <v>3044.2985584774842</v>
      </c>
      <c r="Z11" s="22">
        <f t="shared" si="3"/>
        <v>277.02289571044923</v>
      </c>
      <c r="AA11" s="1">
        <f t="shared" si="4"/>
        <v>0.05</v>
      </c>
      <c r="AB11" s="1">
        <f t="shared" si="5"/>
        <v>1.5</v>
      </c>
      <c r="AC11" s="1">
        <f t="shared" si="0"/>
        <v>0.9</v>
      </c>
    </row>
    <row r="12" spans="2:29" ht="14.25" customHeight="1" x14ac:dyDescent="0.2">
      <c r="B12" s="1" t="s">
        <v>191</v>
      </c>
      <c r="C12" s="1">
        <v>1.1000000000000001</v>
      </c>
      <c r="H12" s="7" t="s">
        <v>16</v>
      </c>
      <c r="I12" s="46" t="s">
        <v>1</v>
      </c>
      <c r="J12" s="47"/>
      <c r="K12" s="47"/>
      <c r="L12" s="47"/>
      <c r="M12" s="47"/>
      <c r="N12" s="48"/>
      <c r="O12" s="46" t="s">
        <v>2</v>
      </c>
      <c r="P12" s="47"/>
      <c r="Q12" s="47"/>
      <c r="R12" s="48"/>
      <c r="S12" s="24"/>
      <c r="T12" s="24"/>
      <c r="U12" s="24"/>
      <c r="V12" s="22"/>
      <c r="W12" s="1">
        <v>10</v>
      </c>
      <c r="X12" s="22">
        <f t="shared" si="1"/>
        <v>90.89813765499116</v>
      </c>
      <c r="Y12" s="22">
        <f t="shared" si="2"/>
        <v>3194.7628402576893</v>
      </c>
      <c r="Z12" s="22">
        <f t="shared" si="3"/>
        <v>290.87404049597171</v>
      </c>
      <c r="AA12" s="1">
        <f t="shared" si="4"/>
        <v>0.05</v>
      </c>
      <c r="AB12" s="1">
        <f t="shared" si="5"/>
        <v>1.5</v>
      </c>
      <c r="AC12" s="1">
        <f t="shared" si="0"/>
        <v>0.9</v>
      </c>
    </row>
    <row r="13" spans="2:29" ht="14.25" customHeight="1" x14ac:dyDescent="0.2">
      <c r="B13" s="1" t="s">
        <v>192</v>
      </c>
      <c r="C13" s="1">
        <v>1.2</v>
      </c>
      <c r="F13" s="7"/>
      <c r="H13" s="7" t="s">
        <v>66</v>
      </c>
      <c r="I13" s="15">
        <v>0.7</v>
      </c>
      <c r="J13" s="4">
        <v>0.8</v>
      </c>
      <c r="K13" s="4">
        <v>0</v>
      </c>
      <c r="L13" s="4">
        <v>1.5</v>
      </c>
      <c r="M13" s="4">
        <v>0.8</v>
      </c>
      <c r="N13" s="16"/>
      <c r="O13" s="15">
        <v>0.25</v>
      </c>
      <c r="R13" s="25"/>
      <c r="S13" s="24"/>
      <c r="T13" s="24"/>
      <c r="U13" s="24"/>
      <c r="V13" s="22"/>
      <c r="W13" s="1">
        <v>11</v>
      </c>
      <c r="X13" s="22">
        <f t="shared" si="1"/>
        <v>95.443044537740718</v>
      </c>
      <c r="Y13" s="22">
        <f t="shared" si="2"/>
        <v>3352.5730606205761</v>
      </c>
      <c r="Z13" s="22">
        <f t="shared" si="3"/>
        <v>305.41774252077028</v>
      </c>
      <c r="AA13" s="1">
        <f t="shared" si="4"/>
        <v>0.05</v>
      </c>
      <c r="AB13" s="1">
        <f t="shared" si="5"/>
        <v>1.5</v>
      </c>
      <c r="AC13" s="1">
        <f t="shared" si="0"/>
        <v>0.9</v>
      </c>
    </row>
    <row r="14" spans="2:29" ht="14.25" customHeight="1" x14ac:dyDescent="0.2">
      <c r="B14" s="1" t="s">
        <v>193</v>
      </c>
      <c r="C14" s="1">
        <v>1.3</v>
      </c>
      <c r="F14" s="7"/>
      <c r="H14" s="7" t="s">
        <v>65</v>
      </c>
      <c r="I14" s="15">
        <v>0.9</v>
      </c>
      <c r="J14" s="4">
        <v>1.2</v>
      </c>
      <c r="K14" s="4">
        <v>1</v>
      </c>
      <c r="L14" s="4">
        <v>5</v>
      </c>
      <c r="M14" s="4">
        <v>1.2</v>
      </c>
      <c r="N14" s="16"/>
      <c r="O14" s="15">
        <v>1</v>
      </c>
      <c r="P14" s="4"/>
      <c r="Q14" s="4"/>
      <c r="R14" s="16"/>
      <c r="S14" s="24"/>
      <c r="T14" s="24"/>
      <c r="U14" s="24"/>
      <c r="V14" s="22"/>
      <c r="W14" s="1">
        <v>12</v>
      </c>
      <c r="X14" s="22">
        <f t="shared" si="1"/>
        <v>100.21519676462776</v>
      </c>
      <c r="Y14" s="22">
        <f t="shared" si="2"/>
        <v>3518.0786828045248</v>
      </c>
      <c r="Z14" s="22">
        <f t="shared" si="3"/>
        <v>320.68862964680881</v>
      </c>
      <c r="AA14" s="1">
        <f t="shared" si="4"/>
        <v>0.05</v>
      </c>
      <c r="AB14" s="1">
        <f t="shared" si="5"/>
        <v>1.5</v>
      </c>
      <c r="AC14" s="1">
        <f t="shared" si="0"/>
        <v>0.9</v>
      </c>
    </row>
    <row r="15" spans="2:29" ht="14.25" customHeight="1" thickBot="1" x14ac:dyDescent="0.25">
      <c r="B15" s="1" t="str">
        <f>[1]玩家成长!$D5</f>
        <v>升级</v>
      </c>
      <c r="C15" s="30">
        <f>[1]玩家成长!$E5</f>
        <v>0.25</v>
      </c>
      <c r="E15" s="12" t="s">
        <v>4</v>
      </c>
      <c r="F15" s="17" t="s">
        <v>5</v>
      </c>
      <c r="G15" s="12" t="s">
        <v>20</v>
      </c>
      <c r="H15" s="17" t="s">
        <v>17</v>
      </c>
      <c r="I15" s="18" t="s">
        <v>3</v>
      </c>
      <c r="J15" s="19" t="s">
        <v>8</v>
      </c>
      <c r="K15" s="19" t="s">
        <v>14</v>
      </c>
      <c r="L15" s="19" t="s">
        <v>15</v>
      </c>
      <c r="M15" s="19" t="s">
        <v>185</v>
      </c>
      <c r="N15" s="20" t="s">
        <v>7</v>
      </c>
      <c r="O15" s="18" t="s">
        <v>18</v>
      </c>
      <c r="P15" s="21" t="s">
        <v>6</v>
      </c>
      <c r="Q15" s="14" t="s">
        <v>186</v>
      </c>
      <c r="R15" s="20" t="s">
        <v>11</v>
      </c>
      <c r="S15" s="24" t="s">
        <v>1</v>
      </c>
      <c r="T15" s="24" t="s">
        <v>2</v>
      </c>
      <c r="U15" s="24" t="s">
        <v>69</v>
      </c>
      <c r="V15" s="22"/>
      <c r="W15" s="1">
        <v>13</v>
      </c>
      <c r="X15" s="22">
        <f t="shared" si="1"/>
        <v>105.22595660285913</v>
      </c>
      <c r="Y15" s="22">
        <f t="shared" si="2"/>
        <v>3691.6448674644616</v>
      </c>
      <c r="Z15" s="22">
        <f t="shared" si="3"/>
        <v>336.72306112914924</v>
      </c>
      <c r="AA15" s="1">
        <f t="shared" si="4"/>
        <v>0.05</v>
      </c>
      <c r="AB15" s="1">
        <f t="shared" si="5"/>
        <v>1.5</v>
      </c>
      <c r="AC15" s="1">
        <f t="shared" si="0"/>
        <v>0.9</v>
      </c>
    </row>
    <row r="16" spans="2:29" ht="14.25" customHeight="1" x14ac:dyDescent="0.2">
      <c r="B16" s="1" t="str">
        <f>[1]玩家成长!$D6</f>
        <v>升星%</v>
      </c>
      <c r="C16" s="30">
        <f>[1]玩家成长!$E6</f>
        <v>0.25</v>
      </c>
      <c r="E16" s="3" t="s">
        <v>53</v>
      </c>
      <c r="F16" s="3" t="s">
        <v>23</v>
      </c>
      <c r="G16" s="3" t="s">
        <v>189</v>
      </c>
      <c r="H16" s="3">
        <v>1</v>
      </c>
      <c r="I16" s="23">
        <v>0.75</v>
      </c>
      <c r="J16" s="23">
        <v>0.9</v>
      </c>
      <c r="K16" s="23">
        <v>0.4</v>
      </c>
      <c r="L16" s="23">
        <v>1.5</v>
      </c>
      <c r="M16" s="23">
        <v>0.9</v>
      </c>
      <c r="N16" s="8">
        <f>I16/J16/(1+K16*(L16-1))*$C$5*M16*$C$15*S16*VLOOKUP(G16,$B:$C,2,0)</f>
        <v>58.59375</v>
      </c>
      <c r="O16" s="23">
        <v>1</v>
      </c>
      <c r="P16" s="8">
        <f>$C$7*O16*$C$5*$C$15*VLOOKUP(G16,$B:$C,2,0)</f>
        <v>187.5</v>
      </c>
      <c r="Q16" s="23">
        <f>1/M16</f>
        <v>1.1111111111111112</v>
      </c>
      <c r="R16" s="8">
        <f>T16*$C$5*Q16*$C$15*VLOOKUP(G16,$B:$C,2,0)</f>
        <v>2083.3333333333335</v>
      </c>
      <c r="S16" s="1">
        <f t="shared" ref="S16:S79" si="6">VLOOKUP(VLOOKUP($F16,$K$4:$L$10,2,0),$E$4:$G$7,2,0)</f>
        <v>5</v>
      </c>
      <c r="T16" s="1">
        <f t="shared" ref="T16:T79" si="7">VLOOKUP(VLOOKUP($F16,$K$4:$L$10,2,0),$E$4:$G$7,3,0)</f>
        <v>100</v>
      </c>
      <c r="U16" s="38">
        <v>1</v>
      </c>
      <c r="V16" s="22"/>
      <c r="W16" s="1">
        <v>14</v>
      </c>
      <c r="X16" s="22">
        <f t="shared" si="1"/>
        <v>110.48725443300211</v>
      </c>
      <c r="Y16" s="22">
        <f t="shared" si="2"/>
        <v>3873.6530835633171</v>
      </c>
      <c r="Z16" s="22">
        <f t="shared" si="3"/>
        <v>353.55921418560678</v>
      </c>
      <c r="AA16" s="1">
        <f t="shared" si="4"/>
        <v>0.05</v>
      </c>
      <c r="AB16" s="1">
        <f t="shared" si="5"/>
        <v>1.5</v>
      </c>
      <c r="AC16" s="1">
        <f t="shared" si="0"/>
        <v>0.9</v>
      </c>
    </row>
    <row r="17" spans="1:29" ht="14.25" customHeight="1" x14ac:dyDescent="0.2">
      <c r="A17" s="27"/>
      <c r="B17" s="1" t="str">
        <f>[1]玩家成长!$D7</f>
        <v>配料%</v>
      </c>
      <c r="C17" s="30">
        <f>[1]玩家成长!$E7</f>
        <v>0.16666666666666666</v>
      </c>
      <c r="D17" s="27"/>
      <c r="E17" s="1" t="s">
        <v>54</v>
      </c>
      <c r="F17" s="1" t="s">
        <v>23</v>
      </c>
      <c r="G17" s="3" t="s">
        <v>189</v>
      </c>
      <c r="H17" s="1">
        <v>2</v>
      </c>
      <c r="I17" s="23">
        <v>0.75</v>
      </c>
      <c r="J17" s="23">
        <v>0.9</v>
      </c>
      <c r="K17" s="23">
        <v>0.4</v>
      </c>
      <c r="L17" s="23">
        <v>1.5</v>
      </c>
      <c r="M17" s="23">
        <v>1</v>
      </c>
      <c r="N17" s="8">
        <f t="shared" ref="N17:N80" si="8">I17/J17/(1+K17*(L17-1))*$C$5*M17*$C$15*S17*VLOOKUP(G17,$B:$C,2,0)</f>
        <v>65.104166666666657</v>
      </c>
      <c r="O17" s="23">
        <v>1</v>
      </c>
      <c r="P17" s="8">
        <f t="shared" ref="P17:P80" si="9">$C$7*O17*$C$5*$C$15*VLOOKUP(G17,$B:$C,2,0)</f>
        <v>187.5</v>
      </c>
      <c r="Q17" s="23">
        <f t="shared" ref="Q17:Q27" si="10">1/M17</f>
        <v>1</v>
      </c>
      <c r="R17" s="8">
        <f t="shared" ref="R17:R80" si="11">T17*$C$5*Q17*$C$15*VLOOKUP(G17,$B:$C,2,0)</f>
        <v>1875</v>
      </c>
      <c r="S17" s="1">
        <f t="shared" si="6"/>
        <v>5</v>
      </c>
      <c r="T17" s="1">
        <f t="shared" si="7"/>
        <v>100</v>
      </c>
      <c r="U17" s="38">
        <v>2</v>
      </c>
      <c r="V17" s="22"/>
      <c r="W17" s="1">
        <v>15</v>
      </c>
      <c r="X17" s="22">
        <f t="shared" si="1"/>
        <v>116.01161715465219</v>
      </c>
      <c r="Y17" s="22">
        <f t="shared" si="2"/>
        <v>4064.5017332005282</v>
      </c>
      <c r="Z17" s="22">
        <f t="shared" si="3"/>
        <v>371.237174894887</v>
      </c>
      <c r="AA17" s="1">
        <f t="shared" si="4"/>
        <v>0.05</v>
      </c>
      <c r="AB17" s="1">
        <f t="shared" si="5"/>
        <v>1.5</v>
      </c>
      <c r="AC17" s="1">
        <f t="shared" si="0"/>
        <v>0.9</v>
      </c>
    </row>
    <row r="18" spans="1:29" ht="14.25" customHeight="1" x14ac:dyDescent="0.2">
      <c r="A18" s="27"/>
      <c r="B18" s="1" t="str">
        <f>[1]玩家成长!$D8</f>
        <v>地标%</v>
      </c>
      <c r="C18" s="30">
        <f>[1]玩家成长!$E8</f>
        <v>9.9999999999999992E-2</v>
      </c>
      <c r="D18" s="27"/>
      <c r="E18" s="1" t="s">
        <v>55</v>
      </c>
      <c r="F18" s="1" t="s">
        <v>25</v>
      </c>
      <c r="G18" s="3" t="s">
        <v>189</v>
      </c>
      <c r="H18" s="3">
        <v>3</v>
      </c>
      <c r="I18" s="23">
        <v>0.751</v>
      </c>
      <c r="J18" s="23">
        <v>0.95</v>
      </c>
      <c r="K18" s="23">
        <v>0.4</v>
      </c>
      <c r="L18" s="23">
        <v>1.5</v>
      </c>
      <c r="M18" s="23">
        <v>1.1000000000000001</v>
      </c>
      <c r="N18" s="8">
        <f t="shared" si="8"/>
        <v>67.935855263157904</v>
      </c>
      <c r="O18" s="23">
        <v>0.82</v>
      </c>
      <c r="P18" s="8">
        <f t="shared" si="9"/>
        <v>153.75</v>
      </c>
      <c r="Q18" s="23">
        <f t="shared" si="10"/>
        <v>0.90909090909090906</v>
      </c>
      <c r="R18" s="8">
        <f t="shared" si="11"/>
        <v>1704.5454545454545</v>
      </c>
      <c r="S18" s="1">
        <f t="shared" si="6"/>
        <v>5</v>
      </c>
      <c r="T18" s="1">
        <f t="shared" si="7"/>
        <v>100</v>
      </c>
      <c r="U18" s="38">
        <v>3</v>
      </c>
      <c r="V18" s="22"/>
      <c r="W18" s="1">
        <v>16</v>
      </c>
      <c r="X18" s="22">
        <f t="shared" si="1"/>
        <v>121.81219801238484</v>
      </c>
      <c r="Y18" s="22">
        <f t="shared" si="2"/>
        <v>4264.606789556794</v>
      </c>
      <c r="Z18" s="22">
        <f t="shared" si="3"/>
        <v>389.79903363963149</v>
      </c>
      <c r="AA18" s="1">
        <f t="shared" si="4"/>
        <v>0.05</v>
      </c>
      <c r="AB18" s="1">
        <f t="shared" si="5"/>
        <v>1.5</v>
      </c>
      <c r="AC18" s="1">
        <f t="shared" si="0"/>
        <v>0.9</v>
      </c>
    </row>
    <row r="19" spans="1:29" ht="14.25" customHeight="1" x14ac:dyDescent="0.2">
      <c r="A19" s="27"/>
      <c r="B19" s="1" t="str">
        <f>[1]玩家成长!$D9</f>
        <v>研究%</v>
      </c>
      <c r="C19" s="30">
        <f>[1]玩家成长!$E9</f>
        <v>8.3333333333333329E-2</v>
      </c>
      <c r="D19" s="27"/>
      <c r="E19" s="1" t="s">
        <v>56</v>
      </c>
      <c r="F19" s="1" t="s">
        <v>25</v>
      </c>
      <c r="G19" s="3" t="s">
        <v>189</v>
      </c>
      <c r="H19" s="1">
        <v>4</v>
      </c>
      <c r="I19" s="23">
        <v>0.751</v>
      </c>
      <c r="J19" s="23">
        <v>0.95</v>
      </c>
      <c r="K19" s="23">
        <v>0.4</v>
      </c>
      <c r="L19" s="23">
        <v>1.5</v>
      </c>
      <c r="M19" s="23">
        <v>1.2</v>
      </c>
      <c r="N19" s="8">
        <f t="shared" si="8"/>
        <v>74.111842105263165</v>
      </c>
      <c r="O19" s="23">
        <v>0.82</v>
      </c>
      <c r="P19" s="8">
        <f t="shared" si="9"/>
        <v>153.75</v>
      </c>
      <c r="Q19" s="23">
        <f t="shared" si="10"/>
        <v>0.83333333333333337</v>
      </c>
      <c r="R19" s="8">
        <f t="shared" si="11"/>
        <v>1562.5</v>
      </c>
      <c r="S19" s="1">
        <f t="shared" si="6"/>
        <v>5</v>
      </c>
      <c r="T19" s="1">
        <f t="shared" si="7"/>
        <v>100</v>
      </c>
      <c r="U19" s="38">
        <v>4</v>
      </c>
      <c r="V19" s="22"/>
      <c r="W19" s="1">
        <v>17</v>
      </c>
      <c r="X19" s="22">
        <f t="shared" si="1"/>
        <v>127.90280791300407</v>
      </c>
      <c r="Y19" s="22">
        <f t="shared" si="2"/>
        <v>4474.4024469648157</v>
      </c>
      <c r="Z19" s="22">
        <f t="shared" si="3"/>
        <v>409.28898532161298</v>
      </c>
      <c r="AA19" s="1">
        <f t="shared" si="4"/>
        <v>0.05</v>
      </c>
      <c r="AB19" s="1">
        <f t="shared" si="5"/>
        <v>1.5</v>
      </c>
      <c r="AC19" s="1">
        <f t="shared" si="0"/>
        <v>0.9</v>
      </c>
    </row>
    <row r="20" spans="1:29" ht="14.25" customHeight="1" x14ac:dyDescent="0.2">
      <c r="A20" s="27"/>
      <c r="B20" s="1" t="str">
        <f>[1]玩家成长!$D10</f>
        <v>姻缘%</v>
      </c>
      <c r="C20" s="30">
        <f>[1]玩家成长!$E10</f>
        <v>3.333333333333334E-2</v>
      </c>
      <c r="D20" s="27"/>
      <c r="E20" s="1" t="s">
        <v>57</v>
      </c>
      <c r="F20" s="1" t="s">
        <v>27</v>
      </c>
      <c r="G20" s="3" t="s">
        <v>189</v>
      </c>
      <c r="H20" s="3">
        <v>5</v>
      </c>
      <c r="I20" s="23">
        <v>0.8</v>
      </c>
      <c r="J20" s="23">
        <v>1</v>
      </c>
      <c r="K20" s="23">
        <v>0.4</v>
      </c>
      <c r="L20" s="23">
        <v>1.5</v>
      </c>
      <c r="M20" s="23">
        <v>1.05</v>
      </c>
      <c r="N20" s="8">
        <f t="shared" si="8"/>
        <v>131.25000000000003</v>
      </c>
      <c r="O20" s="23">
        <v>0.45</v>
      </c>
      <c r="P20" s="8">
        <f t="shared" si="9"/>
        <v>84.375</v>
      </c>
      <c r="Q20" s="23">
        <f t="shared" si="10"/>
        <v>0.95238095238095233</v>
      </c>
      <c r="R20" s="8">
        <f t="shared" si="11"/>
        <v>714.28571428571422</v>
      </c>
      <c r="S20" s="1">
        <f t="shared" si="6"/>
        <v>10</v>
      </c>
      <c r="T20" s="1">
        <f t="shared" si="7"/>
        <v>40</v>
      </c>
      <c r="U20" s="38">
        <v>5</v>
      </c>
      <c r="V20" s="22"/>
      <c r="W20" s="1">
        <v>18</v>
      </c>
      <c r="X20" s="22">
        <f t="shared" si="1"/>
        <v>134.2979483086543</v>
      </c>
      <c r="Y20" s="22">
        <f t="shared" si="2"/>
        <v>4694.3417819289862</v>
      </c>
      <c r="Z20" s="22">
        <f t="shared" si="3"/>
        <v>429.75343458769373</v>
      </c>
      <c r="AA20" s="1">
        <f t="shared" si="4"/>
        <v>0.05</v>
      </c>
      <c r="AB20" s="1">
        <f t="shared" si="5"/>
        <v>1.5</v>
      </c>
      <c r="AC20" s="1">
        <f t="shared" si="0"/>
        <v>0.9</v>
      </c>
    </row>
    <row r="21" spans="1:29" ht="14.25" customHeight="1" x14ac:dyDescent="0.2">
      <c r="B21" s="1" t="str">
        <f>[1]玩家成长!$D11</f>
        <v>英雄%</v>
      </c>
      <c r="C21" s="30">
        <f>[1]玩家成长!$E11</f>
        <v>3.333333333333334E-2</v>
      </c>
      <c r="E21" s="1" t="s">
        <v>58</v>
      </c>
      <c r="F21" s="1" t="s">
        <v>27</v>
      </c>
      <c r="G21" s="3" t="s">
        <v>189</v>
      </c>
      <c r="H21" s="1">
        <v>6</v>
      </c>
      <c r="I21" s="23">
        <v>0.8</v>
      </c>
      <c r="J21" s="23">
        <v>1</v>
      </c>
      <c r="K21" s="23">
        <v>0.4</v>
      </c>
      <c r="L21" s="23">
        <v>1.5</v>
      </c>
      <c r="M21" s="23">
        <v>1</v>
      </c>
      <c r="N21" s="8">
        <f t="shared" si="8"/>
        <v>125.00000000000001</v>
      </c>
      <c r="O21" s="23">
        <v>0.45</v>
      </c>
      <c r="P21" s="8">
        <f t="shared" si="9"/>
        <v>84.375</v>
      </c>
      <c r="Q21" s="23">
        <f t="shared" si="10"/>
        <v>1</v>
      </c>
      <c r="R21" s="8">
        <f t="shared" si="11"/>
        <v>750</v>
      </c>
      <c r="S21" s="1">
        <f t="shared" si="6"/>
        <v>10</v>
      </c>
      <c r="T21" s="1">
        <f t="shared" si="7"/>
        <v>40</v>
      </c>
      <c r="U21" s="38">
        <v>6</v>
      </c>
      <c r="V21" s="22"/>
      <c r="W21" s="1">
        <v>19</v>
      </c>
      <c r="X21" s="22">
        <f t="shared" si="1"/>
        <v>141.01284572408699</v>
      </c>
      <c r="Y21" s="22">
        <f t="shared" si="2"/>
        <v>4924.8974237108241</v>
      </c>
      <c r="Z21" s="22">
        <f t="shared" si="3"/>
        <v>451.24110631707839</v>
      </c>
      <c r="AA21" s="1">
        <f t="shared" si="4"/>
        <v>0.05</v>
      </c>
      <c r="AB21" s="1">
        <f t="shared" si="5"/>
        <v>1.5</v>
      </c>
      <c r="AC21" s="1">
        <f t="shared" si="0"/>
        <v>0.9</v>
      </c>
    </row>
    <row r="22" spans="1:29" ht="14.25" customHeight="1" x14ac:dyDescent="0.2">
      <c r="B22" s="1" t="str">
        <f>[1]玩家成长!$D12</f>
        <v>公会%</v>
      </c>
      <c r="C22" s="30">
        <f>[1]玩家成长!$E12</f>
        <v>8.3333333333333329E-2</v>
      </c>
      <c r="E22" s="1" t="s">
        <v>59</v>
      </c>
      <c r="F22" s="1" t="s">
        <v>29</v>
      </c>
      <c r="G22" s="3" t="s">
        <v>189</v>
      </c>
      <c r="H22" s="3">
        <v>7</v>
      </c>
      <c r="I22" s="23">
        <v>0.80500000000000005</v>
      </c>
      <c r="J22" s="23">
        <v>1.1000000000000001</v>
      </c>
      <c r="K22" s="23">
        <v>0.4</v>
      </c>
      <c r="L22" s="23">
        <v>1.5</v>
      </c>
      <c r="M22" s="23">
        <v>0.96</v>
      </c>
      <c r="N22" s="8">
        <f t="shared" si="8"/>
        <v>109.77272727272728</v>
      </c>
      <c r="O22" s="23">
        <v>0.41</v>
      </c>
      <c r="P22" s="8">
        <f t="shared" si="9"/>
        <v>76.875</v>
      </c>
      <c r="Q22" s="23">
        <f t="shared" si="10"/>
        <v>1.0416666666666667</v>
      </c>
      <c r="R22" s="8">
        <f t="shared" si="11"/>
        <v>781.25</v>
      </c>
      <c r="S22" s="1">
        <f t="shared" si="6"/>
        <v>10</v>
      </c>
      <c r="T22" s="1">
        <f t="shared" si="7"/>
        <v>40</v>
      </c>
      <c r="U22" s="38">
        <v>7</v>
      </c>
      <c r="V22" s="22"/>
      <c r="W22" s="1">
        <v>20</v>
      </c>
      <c r="X22" s="22">
        <f t="shared" si="1"/>
        <v>148.06348801029134</v>
      </c>
      <c r="Y22" s="22">
        <f t="shared" si="2"/>
        <v>5166.5622328709469</v>
      </c>
      <c r="Z22" s="22">
        <f t="shared" si="3"/>
        <v>473.8031616329323</v>
      </c>
      <c r="AA22" s="1">
        <f t="shared" si="4"/>
        <v>0.05</v>
      </c>
      <c r="AB22" s="1">
        <f t="shared" si="5"/>
        <v>1.5</v>
      </c>
      <c r="AC22" s="1">
        <f t="shared" si="0"/>
        <v>0.9</v>
      </c>
    </row>
    <row r="23" spans="1:29" ht="14.25" customHeight="1" x14ac:dyDescent="0.2">
      <c r="E23" s="1" t="s">
        <v>60</v>
      </c>
      <c r="F23" s="1" t="s">
        <v>29</v>
      </c>
      <c r="G23" s="3" t="s">
        <v>189</v>
      </c>
      <c r="H23" s="1">
        <v>8</v>
      </c>
      <c r="I23" s="23">
        <v>0.80500000000000005</v>
      </c>
      <c r="J23" s="23">
        <v>1.1000000000000001</v>
      </c>
      <c r="K23" s="23">
        <v>0.4</v>
      </c>
      <c r="L23" s="23">
        <v>1.5</v>
      </c>
      <c r="M23" s="23">
        <v>0.98</v>
      </c>
      <c r="N23" s="8">
        <f t="shared" si="8"/>
        <v>112.05965909090909</v>
      </c>
      <c r="O23" s="23">
        <v>0.41</v>
      </c>
      <c r="P23" s="8">
        <f t="shared" si="9"/>
        <v>76.875</v>
      </c>
      <c r="Q23" s="23">
        <f t="shared" si="10"/>
        <v>1.0204081632653061</v>
      </c>
      <c r="R23" s="8">
        <f t="shared" si="11"/>
        <v>765.30612244897964</v>
      </c>
      <c r="S23" s="1">
        <f t="shared" si="6"/>
        <v>10</v>
      </c>
      <c r="T23" s="1">
        <f t="shared" si="7"/>
        <v>40</v>
      </c>
      <c r="U23" s="38">
        <v>8</v>
      </c>
      <c r="V23" s="22"/>
      <c r="W23" s="1">
        <v>21</v>
      </c>
      <c r="X23" s="22">
        <f t="shared" si="1"/>
        <v>155.46666241080592</v>
      </c>
      <c r="Y23" s="22">
        <f t="shared" si="2"/>
        <v>5419.8499859103867</v>
      </c>
      <c r="Z23" s="22">
        <f t="shared" si="3"/>
        <v>497.49331971457889</v>
      </c>
      <c r="AA23" s="1">
        <f t="shared" si="4"/>
        <v>0.05</v>
      </c>
      <c r="AB23" s="1">
        <f t="shared" si="5"/>
        <v>1.5</v>
      </c>
      <c r="AC23" s="1">
        <f t="shared" si="0"/>
        <v>0.9</v>
      </c>
    </row>
    <row r="24" spans="1:29" ht="14.25" customHeight="1" x14ac:dyDescent="0.2">
      <c r="E24" s="1" t="s">
        <v>61</v>
      </c>
      <c r="F24" s="1" t="s">
        <v>31</v>
      </c>
      <c r="G24" s="3" t="s">
        <v>189</v>
      </c>
      <c r="H24" s="3">
        <v>9</v>
      </c>
      <c r="I24" s="23">
        <v>0.77400000000000002</v>
      </c>
      <c r="J24" s="23">
        <v>1.2</v>
      </c>
      <c r="K24" s="23">
        <v>0.4</v>
      </c>
      <c r="L24" s="23">
        <v>1.5</v>
      </c>
      <c r="M24" s="23">
        <v>0.94</v>
      </c>
      <c r="N24" s="8">
        <f t="shared" si="8"/>
        <v>94.734375000000014</v>
      </c>
      <c r="O24" s="23">
        <v>0.64</v>
      </c>
      <c r="P24" s="8">
        <f t="shared" si="9"/>
        <v>120</v>
      </c>
      <c r="Q24" s="23">
        <f t="shared" si="10"/>
        <v>1.0638297872340425</v>
      </c>
      <c r="R24" s="8">
        <f t="shared" si="11"/>
        <v>797.87234042553189</v>
      </c>
      <c r="S24" s="1">
        <f t="shared" si="6"/>
        <v>10</v>
      </c>
      <c r="T24" s="1">
        <f t="shared" si="7"/>
        <v>40</v>
      </c>
      <c r="U24" s="38">
        <v>9</v>
      </c>
      <c r="V24" s="22"/>
      <c r="W24" s="1">
        <v>22</v>
      </c>
      <c r="X24" s="22">
        <f t="shared" si="1"/>
        <v>163.23999553134621</v>
      </c>
      <c r="Y24" s="22">
        <f t="shared" si="2"/>
        <v>5685.2960638833947</v>
      </c>
      <c r="Z24" s="22">
        <f t="shared" si="3"/>
        <v>522.36798570030783</v>
      </c>
      <c r="AA24" s="1">
        <f t="shared" si="4"/>
        <v>0.05</v>
      </c>
      <c r="AB24" s="1">
        <f t="shared" si="5"/>
        <v>1.5</v>
      </c>
      <c r="AC24" s="1">
        <f t="shared" si="0"/>
        <v>0.9</v>
      </c>
    </row>
    <row r="25" spans="1:29" ht="14.25" customHeight="1" x14ac:dyDescent="0.2">
      <c r="E25" s="1" t="s">
        <v>62</v>
      </c>
      <c r="F25" s="1" t="s">
        <v>31</v>
      </c>
      <c r="G25" s="3" t="s">
        <v>189</v>
      </c>
      <c r="H25" s="1">
        <v>10</v>
      </c>
      <c r="I25" s="23">
        <v>0.77400000000000002</v>
      </c>
      <c r="J25" s="23">
        <v>1.2</v>
      </c>
      <c r="K25" s="23">
        <v>0.4</v>
      </c>
      <c r="L25" s="23">
        <v>1.5</v>
      </c>
      <c r="M25" s="23">
        <v>0.9</v>
      </c>
      <c r="N25" s="8">
        <f t="shared" si="8"/>
        <v>90.703125000000014</v>
      </c>
      <c r="O25" s="23">
        <v>0.64</v>
      </c>
      <c r="P25" s="8">
        <f t="shared" si="9"/>
        <v>120</v>
      </c>
      <c r="Q25" s="23">
        <f t="shared" si="10"/>
        <v>1.1111111111111112</v>
      </c>
      <c r="R25" s="8">
        <f t="shared" si="11"/>
        <v>833.33333333333337</v>
      </c>
      <c r="S25" s="1">
        <f t="shared" si="6"/>
        <v>10</v>
      </c>
      <c r="T25" s="1">
        <f t="shared" si="7"/>
        <v>40</v>
      </c>
      <c r="U25" s="38">
        <v>10</v>
      </c>
      <c r="V25" s="22"/>
      <c r="W25" s="1">
        <v>23</v>
      </c>
      <c r="X25" s="22">
        <f t="shared" si="1"/>
        <v>171.4019953079135</v>
      </c>
      <c r="Y25" s="22">
        <f t="shared" si="2"/>
        <v>5963.4581425586593</v>
      </c>
      <c r="Z25" s="22">
        <f t="shared" si="3"/>
        <v>548.48638498532318</v>
      </c>
      <c r="AA25" s="1">
        <f t="shared" si="4"/>
        <v>0.05</v>
      </c>
      <c r="AB25" s="1">
        <f t="shared" si="5"/>
        <v>1.5</v>
      </c>
      <c r="AC25" s="1">
        <f t="shared" si="0"/>
        <v>0.9</v>
      </c>
    </row>
    <row r="26" spans="1:29" ht="14.25" customHeight="1" x14ac:dyDescent="0.2">
      <c r="E26" s="1" t="s">
        <v>63</v>
      </c>
      <c r="F26" s="1" t="s">
        <v>33</v>
      </c>
      <c r="G26" s="3" t="s">
        <v>189</v>
      </c>
      <c r="H26" s="3">
        <v>11</v>
      </c>
      <c r="I26" s="23">
        <v>0.79800000000000004</v>
      </c>
      <c r="J26" s="23">
        <v>0.9</v>
      </c>
      <c r="K26" s="23">
        <v>0.4</v>
      </c>
      <c r="L26" s="23">
        <v>1.5</v>
      </c>
      <c r="M26" s="23">
        <v>0.9</v>
      </c>
      <c r="N26" s="8">
        <f t="shared" si="8"/>
        <v>49.875000000000007</v>
      </c>
      <c r="O26" s="23">
        <v>0.25</v>
      </c>
      <c r="P26" s="8">
        <f t="shared" si="9"/>
        <v>46.875</v>
      </c>
      <c r="Q26" s="23">
        <f t="shared" si="10"/>
        <v>1.1111111111111112</v>
      </c>
      <c r="R26" s="8">
        <f t="shared" si="11"/>
        <v>1041.6666666666667</v>
      </c>
      <c r="S26" s="1">
        <f t="shared" si="6"/>
        <v>4</v>
      </c>
      <c r="T26" s="1">
        <f t="shared" si="7"/>
        <v>50</v>
      </c>
      <c r="U26" s="38">
        <v>11</v>
      </c>
      <c r="V26" s="22"/>
      <c r="W26" s="1">
        <v>24</v>
      </c>
      <c r="X26" s="22">
        <f t="shared" si="1"/>
        <v>179.97209507330922</v>
      </c>
      <c r="Y26" s="22">
        <f t="shared" si="2"/>
        <v>6254.9168813852766</v>
      </c>
      <c r="Z26" s="22">
        <f t="shared" si="3"/>
        <v>575.9107042345895</v>
      </c>
      <c r="AA26" s="1">
        <f t="shared" si="4"/>
        <v>0.05</v>
      </c>
      <c r="AB26" s="1">
        <f t="shared" si="5"/>
        <v>1.5</v>
      </c>
      <c r="AC26" s="1">
        <f t="shared" si="0"/>
        <v>0.9</v>
      </c>
    </row>
    <row r="27" spans="1:29" ht="14.25" customHeight="1" x14ac:dyDescent="0.2">
      <c r="D27" s="1" t="s">
        <v>67</v>
      </c>
      <c r="E27" s="1" t="s">
        <v>64</v>
      </c>
      <c r="F27" s="1" t="s">
        <v>33</v>
      </c>
      <c r="G27" s="3" t="s">
        <v>189</v>
      </c>
      <c r="H27" s="1">
        <v>12</v>
      </c>
      <c r="I27" s="23">
        <v>0.79800000000000004</v>
      </c>
      <c r="J27" s="23">
        <v>0.9</v>
      </c>
      <c r="K27" s="23">
        <v>0.4</v>
      </c>
      <c r="L27" s="23">
        <v>1.5</v>
      </c>
      <c r="M27" s="23">
        <v>1</v>
      </c>
      <c r="N27" s="8">
        <f t="shared" si="8"/>
        <v>55.416666666666671</v>
      </c>
      <c r="O27" s="23">
        <v>0.25</v>
      </c>
      <c r="P27" s="8">
        <f t="shared" si="9"/>
        <v>46.875</v>
      </c>
      <c r="Q27" s="23">
        <f t="shared" si="10"/>
        <v>1</v>
      </c>
      <c r="R27" s="8">
        <f t="shared" si="11"/>
        <v>937.5</v>
      </c>
      <c r="S27" s="1">
        <f t="shared" si="6"/>
        <v>4</v>
      </c>
      <c r="T27" s="1">
        <f t="shared" si="7"/>
        <v>50</v>
      </c>
      <c r="U27" s="38">
        <v>12</v>
      </c>
      <c r="V27" s="22"/>
      <c r="W27" s="1">
        <v>25</v>
      </c>
      <c r="X27" s="22">
        <f t="shared" si="1"/>
        <v>188.97069982697465</v>
      </c>
      <c r="Y27" s="22">
        <f t="shared" si="2"/>
        <v>6560.2766081719974</v>
      </c>
      <c r="Z27" s="22">
        <f t="shared" si="3"/>
        <v>604.70623944631893</v>
      </c>
      <c r="AA27" s="1">
        <f t="shared" si="4"/>
        <v>0.05</v>
      </c>
      <c r="AB27" s="1">
        <f t="shared" si="5"/>
        <v>1.5</v>
      </c>
      <c r="AC27" s="1">
        <f t="shared" si="0"/>
        <v>0.9</v>
      </c>
    </row>
    <row r="28" spans="1:29" ht="14.25" customHeight="1" x14ac:dyDescent="0.2">
      <c r="D28" s="26" t="s">
        <v>68</v>
      </c>
      <c r="E28" s="1" t="s">
        <v>113</v>
      </c>
      <c r="F28" s="1" t="s">
        <v>33</v>
      </c>
      <c r="G28" s="3" t="s">
        <v>189</v>
      </c>
      <c r="H28" s="3">
        <v>13</v>
      </c>
      <c r="I28" s="23">
        <v>0.79800000000000004</v>
      </c>
      <c r="J28" s="23">
        <v>0.9</v>
      </c>
      <c r="K28" s="23">
        <v>0.4</v>
      </c>
      <c r="L28" s="23">
        <v>1.5</v>
      </c>
      <c r="M28" s="23">
        <v>1.1000000000000001</v>
      </c>
      <c r="N28" s="8">
        <f t="shared" si="8"/>
        <v>60.958333333333343</v>
      </c>
      <c r="O28" s="23">
        <v>0.25</v>
      </c>
      <c r="P28" s="8">
        <f t="shared" si="9"/>
        <v>46.875</v>
      </c>
      <c r="Q28" s="23">
        <f t="shared" ref="Q28:Q91" si="12">1/M28</f>
        <v>0.90909090909090906</v>
      </c>
      <c r="R28" s="8">
        <f t="shared" si="11"/>
        <v>852.27272727272725</v>
      </c>
      <c r="S28" s="1">
        <f t="shared" si="6"/>
        <v>4</v>
      </c>
      <c r="T28" s="1">
        <f t="shared" si="7"/>
        <v>50</v>
      </c>
      <c r="U28" s="38">
        <v>13</v>
      </c>
      <c r="V28" s="22"/>
      <c r="W28" s="1">
        <v>26</v>
      </c>
      <c r="X28" s="22">
        <f t="shared" si="1"/>
        <v>198.41923481832339</v>
      </c>
      <c r="Y28" s="22">
        <f t="shared" si="2"/>
        <v>6880.1659960126808</v>
      </c>
      <c r="Z28" s="22">
        <f t="shared" si="3"/>
        <v>634.94155141863484</v>
      </c>
      <c r="AA28" s="1">
        <f t="shared" si="4"/>
        <v>0.05</v>
      </c>
      <c r="AB28" s="1">
        <f t="shared" si="5"/>
        <v>1.5</v>
      </c>
      <c r="AC28" s="1">
        <f t="shared" si="0"/>
        <v>0.9</v>
      </c>
    </row>
    <row r="29" spans="1:29" ht="14.25" customHeight="1" x14ac:dyDescent="0.2">
      <c r="E29" s="1" t="s">
        <v>114</v>
      </c>
      <c r="F29" s="1" t="s">
        <v>33</v>
      </c>
      <c r="G29" s="3" t="s">
        <v>189</v>
      </c>
      <c r="H29" s="1">
        <v>14</v>
      </c>
      <c r="I29" s="23">
        <v>0.79800000000000004</v>
      </c>
      <c r="J29" s="23">
        <v>0.9</v>
      </c>
      <c r="K29" s="23">
        <v>0.4</v>
      </c>
      <c r="L29" s="23">
        <v>1.5</v>
      </c>
      <c r="M29" s="23">
        <v>1.2</v>
      </c>
      <c r="N29" s="8">
        <f t="shared" si="8"/>
        <v>66.5</v>
      </c>
      <c r="O29" s="23">
        <v>0.25</v>
      </c>
      <c r="P29" s="8">
        <f t="shared" si="9"/>
        <v>46.875</v>
      </c>
      <c r="Q29" s="23">
        <f t="shared" si="12"/>
        <v>0.83333333333333337</v>
      </c>
      <c r="R29" s="8">
        <f t="shared" si="11"/>
        <v>781.25</v>
      </c>
      <c r="S29" s="1">
        <f t="shared" si="6"/>
        <v>4</v>
      </c>
      <c r="T29" s="1">
        <f t="shared" si="7"/>
        <v>50</v>
      </c>
      <c r="U29" s="38">
        <v>14</v>
      </c>
      <c r="V29" s="22"/>
      <c r="W29" s="1">
        <v>27</v>
      </c>
      <c r="X29" s="22">
        <f t="shared" si="1"/>
        <v>208.34019655923956</v>
      </c>
      <c r="Y29" s="22">
        <f t="shared" si="2"/>
        <v>7215.2387285856794</v>
      </c>
      <c r="Z29" s="22">
        <f t="shared" si="3"/>
        <v>666.68862898956661</v>
      </c>
      <c r="AA29" s="1">
        <f t="shared" si="4"/>
        <v>0.05</v>
      </c>
      <c r="AB29" s="1">
        <f t="shared" si="5"/>
        <v>1.5</v>
      </c>
      <c r="AC29" s="1">
        <f t="shared" si="0"/>
        <v>0.9</v>
      </c>
    </row>
    <row r="30" spans="1:29" ht="14.25" customHeight="1" x14ac:dyDescent="0.2">
      <c r="E30" s="1" t="s">
        <v>115</v>
      </c>
      <c r="F30" s="1" t="s">
        <v>33</v>
      </c>
      <c r="G30" s="3" t="s">
        <v>189</v>
      </c>
      <c r="H30" s="3">
        <v>15</v>
      </c>
      <c r="I30" s="23">
        <v>0.79800000000000004</v>
      </c>
      <c r="J30" s="23">
        <v>0.9</v>
      </c>
      <c r="K30" s="23">
        <v>0.4</v>
      </c>
      <c r="L30" s="23">
        <v>1.5</v>
      </c>
      <c r="M30" s="23">
        <v>1.2</v>
      </c>
      <c r="N30" s="8">
        <f t="shared" si="8"/>
        <v>66.5</v>
      </c>
      <c r="O30" s="23">
        <v>0.25</v>
      </c>
      <c r="P30" s="8">
        <f t="shared" si="9"/>
        <v>46.875</v>
      </c>
      <c r="Q30" s="23">
        <f t="shared" si="12"/>
        <v>0.83333333333333337</v>
      </c>
      <c r="R30" s="8">
        <f t="shared" si="11"/>
        <v>781.25</v>
      </c>
      <c r="S30" s="1">
        <f t="shared" si="6"/>
        <v>4</v>
      </c>
      <c r="T30" s="1">
        <f t="shared" si="7"/>
        <v>50</v>
      </c>
      <c r="U30" s="38">
        <v>15</v>
      </c>
      <c r="V30" s="22"/>
      <c r="W30" s="1">
        <v>28</v>
      </c>
      <c r="X30" s="22">
        <f t="shared" si="1"/>
        <v>218.75720638720156</v>
      </c>
      <c r="Y30" s="22">
        <f t="shared" si="2"/>
        <v>7566.1741495198112</v>
      </c>
      <c r="Z30" s="22">
        <f t="shared" si="3"/>
        <v>700.02306043904503</v>
      </c>
      <c r="AA30" s="1">
        <f t="shared" si="4"/>
        <v>0.05</v>
      </c>
      <c r="AB30" s="1">
        <f t="shared" si="5"/>
        <v>1.5</v>
      </c>
      <c r="AC30" s="1">
        <f t="shared" si="0"/>
        <v>0.9</v>
      </c>
    </row>
    <row r="31" spans="1:29" ht="14.25" customHeight="1" x14ac:dyDescent="0.2">
      <c r="E31" s="1" t="s">
        <v>116</v>
      </c>
      <c r="F31" s="1" t="s">
        <v>33</v>
      </c>
      <c r="G31" s="3" t="s">
        <v>189</v>
      </c>
      <c r="H31" s="1">
        <v>16</v>
      </c>
      <c r="I31" s="23">
        <v>0.79800000000000004</v>
      </c>
      <c r="J31" s="23">
        <v>0.9</v>
      </c>
      <c r="K31" s="23">
        <v>0.4</v>
      </c>
      <c r="L31" s="23">
        <v>1.5</v>
      </c>
      <c r="M31" s="23">
        <v>1.2</v>
      </c>
      <c r="N31" s="8">
        <f t="shared" si="8"/>
        <v>66.5</v>
      </c>
      <c r="O31" s="23">
        <v>0.25</v>
      </c>
      <c r="P31" s="8">
        <f t="shared" si="9"/>
        <v>46.875</v>
      </c>
      <c r="Q31" s="23">
        <f t="shared" si="12"/>
        <v>0.83333333333333337</v>
      </c>
      <c r="R31" s="8">
        <f t="shared" si="11"/>
        <v>781.25</v>
      </c>
      <c r="S31" s="1">
        <f t="shared" si="6"/>
        <v>4</v>
      </c>
      <c r="T31" s="1">
        <f t="shared" si="7"/>
        <v>50</v>
      </c>
      <c r="U31" s="38">
        <v>16</v>
      </c>
      <c r="V31" s="22"/>
      <c r="W31" s="1">
        <v>29</v>
      </c>
      <c r="X31" s="22">
        <f t="shared" si="1"/>
        <v>229.69506670656162</v>
      </c>
      <c r="Y31" s="22">
        <f t="shared" si="2"/>
        <v>7933.6778910532184</v>
      </c>
      <c r="Z31" s="22">
        <f t="shared" si="3"/>
        <v>735.02421346099709</v>
      </c>
      <c r="AA31" s="1">
        <f t="shared" si="4"/>
        <v>0.05</v>
      </c>
      <c r="AB31" s="1">
        <f t="shared" si="5"/>
        <v>1.5</v>
      </c>
      <c r="AC31" s="1">
        <f t="shared" si="0"/>
        <v>0.9</v>
      </c>
    </row>
    <row r="32" spans="1:29" ht="14.25" customHeight="1" x14ac:dyDescent="0.2">
      <c r="E32" s="1" t="s">
        <v>117</v>
      </c>
      <c r="F32" s="1" t="s">
        <v>33</v>
      </c>
      <c r="G32" s="3" t="s">
        <v>189</v>
      </c>
      <c r="H32" s="3">
        <v>17</v>
      </c>
      <c r="I32" s="23">
        <v>0.79800000000000004</v>
      </c>
      <c r="J32" s="23">
        <v>0.9</v>
      </c>
      <c r="K32" s="23">
        <v>0.4</v>
      </c>
      <c r="L32" s="23">
        <v>1.5</v>
      </c>
      <c r="M32" s="23">
        <v>1.2</v>
      </c>
      <c r="N32" s="8">
        <f t="shared" si="8"/>
        <v>66.5</v>
      </c>
      <c r="O32" s="23">
        <v>0.25</v>
      </c>
      <c r="P32" s="8">
        <f t="shared" si="9"/>
        <v>46.875</v>
      </c>
      <c r="Q32" s="23">
        <f t="shared" si="12"/>
        <v>0.83333333333333337</v>
      </c>
      <c r="R32" s="8">
        <f t="shared" si="11"/>
        <v>781.25</v>
      </c>
      <c r="S32" s="1">
        <f t="shared" si="6"/>
        <v>4</v>
      </c>
      <c r="T32" s="1">
        <f t="shared" si="7"/>
        <v>50</v>
      </c>
      <c r="U32" s="38">
        <v>17</v>
      </c>
      <c r="V32" s="22"/>
      <c r="W32" s="1">
        <v>30</v>
      </c>
      <c r="X32" s="22">
        <f t="shared" si="1"/>
        <v>241.17982004188974</v>
      </c>
      <c r="Y32" s="22">
        <f t="shared" si="2"/>
        <v>8318.4824767136106</v>
      </c>
      <c r="Z32" s="22">
        <f t="shared" si="3"/>
        <v>771.77542413404717</v>
      </c>
      <c r="AA32" s="1">
        <f t="shared" si="4"/>
        <v>0.05</v>
      </c>
      <c r="AB32" s="1">
        <f t="shared" si="5"/>
        <v>1.5</v>
      </c>
      <c r="AC32" s="1">
        <f t="shared" si="0"/>
        <v>0.9</v>
      </c>
    </row>
    <row r="33" spans="2:29" ht="14.25" customHeight="1" x14ac:dyDescent="0.2">
      <c r="B33" s="27"/>
      <c r="E33" s="1" t="s">
        <v>118</v>
      </c>
      <c r="F33" s="1" t="s">
        <v>33</v>
      </c>
      <c r="G33" s="3" t="s">
        <v>189</v>
      </c>
      <c r="H33" s="1">
        <v>18</v>
      </c>
      <c r="I33" s="23">
        <v>0.79800000000000004</v>
      </c>
      <c r="J33" s="23">
        <v>0.9</v>
      </c>
      <c r="K33" s="23">
        <v>0.4</v>
      </c>
      <c r="L33" s="23">
        <v>1.5</v>
      </c>
      <c r="M33" s="23">
        <v>1.2</v>
      </c>
      <c r="N33" s="8">
        <f t="shared" si="8"/>
        <v>66.5</v>
      </c>
      <c r="O33" s="23">
        <v>0.25</v>
      </c>
      <c r="P33" s="8">
        <f t="shared" si="9"/>
        <v>46.875</v>
      </c>
      <c r="Q33" s="23">
        <f t="shared" si="12"/>
        <v>0.83333333333333337</v>
      </c>
      <c r="R33" s="8">
        <f t="shared" si="11"/>
        <v>781.25</v>
      </c>
      <c r="S33" s="1">
        <f t="shared" si="6"/>
        <v>4</v>
      </c>
      <c r="T33" s="1">
        <f t="shared" si="7"/>
        <v>50</v>
      </c>
      <c r="U33" s="38">
        <v>18</v>
      </c>
      <c r="V33" s="22"/>
      <c r="W33" s="1">
        <v>31</v>
      </c>
      <c r="X33" s="22">
        <f t="shared" si="1"/>
        <v>253.23881104398413</v>
      </c>
      <c r="Y33" s="22">
        <f t="shared" si="2"/>
        <v>8721.3478922186332</v>
      </c>
      <c r="Z33" s="22">
        <f t="shared" si="3"/>
        <v>810.36419534074923</v>
      </c>
      <c r="AA33" s="1">
        <f t="shared" si="4"/>
        <v>0.05</v>
      </c>
      <c r="AB33" s="1">
        <f t="shared" si="5"/>
        <v>1.5</v>
      </c>
      <c r="AC33" s="1">
        <f t="shared" si="0"/>
        <v>0.9</v>
      </c>
    </row>
    <row r="34" spans="2:29" ht="14.25" customHeight="1" x14ac:dyDescent="0.2">
      <c r="E34" s="1" t="s">
        <v>119</v>
      </c>
      <c r="F34" s="1" t="s">
        <v>33</v>
      </c>
      <c r="G34" s="3" t="s">
        <v>189</v>
      </c>
      <c r="H34" s="3">
        <v>19</v>
      </c>
      <c r="I34" s="23">
        <v>0.79800000000000004</v>
      </c>
      <c r="J34" s="23">
        <v>0.9</v>
      </c>
      <c r="K34" s="23">
        <v>0.4</v>
      </c>
      <c r="L34" s="23">
        <v>1.5</v>
      </c>
      <c r="M34" s="23">
        <v>1.2</v>
      </c>
      <c r="N34" s="8">
        <f t="shared" si="8"/>
        <v>66.5</v>
      </c>
      <c r="O34" s="23">
        <v>0.25</v>
      </c>
      <c r="P34" s="8">
        <f t="shared" si="9"/>
        <v>46.875</v>
      </c>
      <c r="Q34" s="23">
        <f t="shared" si="12"/>
        <v>0.83333333333333337</v>
      </c>
      <c r="R34" s="8">
        <f t="shared" si="11"/>
        <v>781.25</v>
      </c>
      <c r="S34" s="1">
        <f t="shared" si="6"/>
        <v>4</v>
      </c>
      <c r="T34" s="1">
        <f t="shared" si="7"/>
        <v>50</v>
      </c>
      <c r="U34" s="38">
        <v>19</v>
      </c>
      <c r="V34" s="22"/>
      <c r="W34" s="1">
        <v>32</v>
      </c>
      <c r="X34" s="22">
        <f t="shared" si="1"/>
        <v>265.90075159618345</v>
      </c>
      <c r="Y34" s="22">
        <f t="shared" si="2"/>
        <v>9143.0621182335781</v>
      </c>
      <c r="Z34" s="22">
        <f t="shared" si="3"/>
        <v>850.88240510778701</v>
      </c>
      <c r="AA34" s="1">
        <f t="shared" si="4"/>
        <v>0.05</v>
      </c>
      <c r="AB34" s="1">
        <f t="shared" si="5"/>
        <v>1.5</v>
      </c>
      <c r="AC34" s="1">
        <f t="shared" si="0"/>
        <v>0.9</v>
      </c>
    </row>
    <row r="35" spans="2:29" ht="14.25" customHeight="1" x14ac:dyDescent="0.2">
      <c r="E35" s="1" t="s">
        <v>120</v>
      </c>
      <c r="F35" s="1" t="s">
        <v>33</v>
      </c>
      <c r="G35" s="3" t="s">
        <v>189</v>
      </c>
      <c r="H35" s="1">
        <v>20</v>
      </c>
      <c r="I35" s="23">
        <v>0.79800000000000004</v>
      </c>
      <c r="J35" s="23">
        <v>0.9</v>
      </c>
      <c r="K35" s="23">
        <v>0.4</v>
      </c>
      <c r="L35" s="23">
        <v>1.5</v>
      </c>
      <c r="M35" s="23">
        <v>1.2</v>
      </c>
      <c r="N35" s="8">
        <f t="shared" si="8"/>
        <v>66.5</v>
      </c>
      <c r="O35" s="23">
        <v>0.25</v>
      </c>
      <c r="P35" s="8">
        <f t="shared" si="9"/>
        <v>46.875</v>
      </c>
      <c r="Q35" s="23">
        <f t="shared" si="12"/>
        <v>0.83333333333333337</v>
      </c>
      <c r="R35" s="8">
        <f t="shared" si="11"/>
        <v>781.25</v>
      </c>
      <c r="S35" s="1">
        <f t="shared" si="6"/>
        <v>4</v>
      </c>
      <c r="T35" s="1">
        <f t="shared" si="7"/>
        <v>50</v>
      </c>
      <c r="U35" s="38">
        <v>20</v>
      </c>
      <c r="V35" s="22"/>
      <c r="W35" s="1">
        <v>33</v>
      </c>
      <c r="X35" s="22">
        <f t="shared" si="1"/>
        <v>279.19578917599262</v>
      </c>
      <c r="Y35" s="22">
        <f t="shared" si="2"/>
        <v>9584.4416180304543</v>
      </c>
      <c r="Z35" s="22">
        <f t="shared" si="3"/>
        <v>893.42652536317632</v>
      </c>
      <c r="AA35" s="1">
        <f t="shared" si="4"/>
        <v>0.05</v>
      </c>
      <c r="AB35" s="1">
        <f t="shared" si="5"/>
        <v>1.5</v>
      </c>
      <c r="AC35" s="1">
        <f t="shared" ref="AC35:AC66" si="13">VLOOKUP($X$1,$E:$R,MATCH(AC$2,$E$15:$R$15,0),0)</f>
        <v>0.9</v>
      </c>
    </row>
    <row r="36" spans="2:29" ht="14.25" customHeight="1" x14ac:dyDescent="0.2">
      <c r="E36" s="1" t="s">
        <v>121</v>
      </c>
      <c r="F36" s="1" t="s">
        <v>33</v>
      </c>
      <c r="G36" s="3" t="s">
        <v>189</v>
      </c>
      <c r="H36" s="3">
        <v>21</v>
      </c>
      <c r="I36" s="23">
        <v>0.79800000000000004</v>
      </c>
      <c r="J36" s="23">
        <v>0.9</v>
      </c>
      <c r="K36" s="23">
        <v>0.4</v>
      </c>
      <c r="L36" s="23">
        <v>1.5</v>
      </c>
      <c r="M36" s="23">
        <v>1.2</v>
      </c>
      <c r="N36" s="8">
        <f t="shared" si="8"/>
        <v>66.5</v>
      </c>
      <c r="O36" s="23">
        <v>0.25</v>
      </c>
      <c r="P36" s="8">
        <f t="shared" si="9"/>
        <v>46.875</v>
      </c>
      <c r="Q36" s="23">
        <f t="shared" si="12"/>
        <v>0.83333333333333337</v>
      </c>
      <c r="R36" s="8">
        <f t="shared" si="11"/>
        <v>781.25</v>
      </c>
      <c r="S36" s="1">
        <f t="shared" si="6"/>
        <v>4</v>
      </c>
      <c r="T36" s="1">
        <f t="shared" si="7"/>
        <v>50</v>
      </c>
      <c r="U36" s="38">
        <v>21</v>
      </c>
      <c r="V36" s="22"/>
      <c r="W36" s="1">
        <v>34</v>
      </c>
      <c r="X36" s="22">
        <f t="shared" si="1"/>
        <v>293.15557863479222</v>
      </c>
      <c r="Y36" s="22">
        <f t="shared" si="2"/>
        <v>10046.33177246923</v>
      </c>
      <c r="Z36" s="22">
        <f t="shared" si="3"/>
        <v>938.09785163133517</v>
      </c>
      <c r="AA36" s="1">
        <f t="shared" si="4"/>
        <v>0.05</v>
      </c>
      <c r="AB36" s="1">
        <f t="shared" si="5"/>
        <v>1.5</v>
      </c>
      <c r="AC36" s="1">
        <f t="shared" si="13"/>
        <v>0.9</v>
      </c>
    </row>
    <row r="37" spans="2:29" ht="14.25" customHeight="1" x14ac:dyDescent="0.2">
      <c r="E37" s="1" t="s">
        <v>122</v>
      </c>
      <c r="F37" s="1" t="s">
        <v>33</v>
      </c>
      <c r="G37" s="3" t="s">
        <v>189</v>
      </c>
      <c r="H37" s="1">
        <v>22</v>
      </c>
      <c r="I37" s="23">
        <v>0.79800000000000004</v>
      </c>
      <c r="J37" s="23">
        <v>0.9</v>
      </c>
      <c r="K37" s="23">
        <v>0.4</v>
      </c>
      <c r="L37" s="23">
        <v>1.5</v>
      </c>
      <c r="M37" s="23">
        <v>1.2</v>
      </c>
      <c r="N37" s="8">
        <f t="shared" si="8"/>
        <v>66.5</v>
      </c>
      <c r="O37" s="23">
        <v>0.25</v>
      </c>
      <c r="P37" s="8">
        <f t="shared" si="9"/>
        <v>46.875</v>
      </c>
      <c r="Q37" s="23">
        <f t="shared" si="12"/>
        <v>0.83333333333333337</v>
      </c>
      <c r="R37" s="8">
        <f t="shared" si="11"/>
        <v>781.25</v>
      </c>
      <c r="S37" s="1">
        <f t="shared" si="6"/>
        <v>4</v>
      </c>
      <c r="T37" s="1">
        <f t="shared" si="7"/>
        <v>50</v>
      </c>
      <c r="U37" s="38">
        <v>22</v>
      </c>
      <c r="V37" s="22"/>
      <c r="W37" s="1">
        <v>35</v>
      </c>
      <c r="X37" s="22">
        <f t="shared" si="1"/>
        <v>307.81335756653181</v>
      </c>
      <c r="Y37" s="22">
        <f t="shared" si="2"/>
        <v>10529.607254069218</v>
      </c>
      <c r="Z37" s="22">
        <f t="shared" si="3"/>
        <v>985.0027442129018</v>
      </c>
      <c r="AA37" s="1">
        <f t="shared" si="4"/>
        <v>0.05</v>
      </c>
      <c r="AB37" s="1">
        <f t="shared" si="5"/>
        <v>1.5</v>
      </c>
      <c r="AC37" s="1">
        <f t="shared" si="13"/>
        <v>0.9</v>
      </c>
    </row>
    <row r="38" spans="2:29" ht="14.25" customHeight="1" x14ac:dyDescent="0.2">
      <c r="E38" s="1" t="s">
        <v>123</v>
      </c>
      <c r="F38" s="1" t="s">
        <v>33</v>
      </c>
      <c r="G38" s="3" t="s">
        <v>189</v>
      </c>
      <c r="H38" s="3">
        <v>23</v>
      </c>
      <c r="I38" s="23">
        <v>0.79800000000000004</v>
      </c>
      <c r="J38" s="23">
        <v>0.9</v>
      </c>
      <c r="K38" s="23">
        <v>0.4</v>
      </c>
      <c r="L38" s="23">
        <v>1.5</v>
      </c>
      <c r="M38" s="23">
        <v>1.2</v>
      </c>
      <c r="N38" s="8">
        <f t="shared" si="8"/>
        <v>66.5</v>
      </c>
      <c r="O38" s="23">
        <v>0.25</v>
      </c>
      <c r="P38" s="8">
        <f t="shared" si="9"/>
        <v>46.875</v>
      </c>
      <c r="Q38" s="23">
        <f t="shared" si="12"/>
        <v>0.83333333333333337</v>
      </c>
      <c r="R38" s="8">
        <f t="shared" si="11"/>
        <v>781.25</v>
      </c>
      <c r="S38" s="1">
        <f t="shared" si="6"/>
        <v>4</v>
      </c>
      <c r="T38" s="1">
        <f t="shared" si="7"/>
        <v>50</v>
      </c>
      <c r="U38" s="38">
        <v>23</v>
      </c>
      <c r="V38" s="22"/>
      <c r="W38" s="1">
        <v>36</v>
      </c>
      <c r="X38" s="22">
        <f t="shared" si="1"/>
        <v>323.20402544485847</v>
      </c>
      <c r="Y38" s="22">
        <f t="shared" si="2"/>
        <v>11035.172331259439</v>
      </c>
      <c r="Z38" s="22">
        <f t="shared" si="3"/>
        <v>1034.252881423547</v>
      </c>
      <c r="AA38" s="1">
        <f t="shared" si="4"/>
        <v>0.05</v>
      </c>
      <c r="AB38" s="1">
        <f t="shared" si="5"/>
        <v>1.5</v>
      </c>
      <c r="AC38" s="1">
        <f t="shared" si="13"/>
        <v>0.9</v>
      </c>
    </row>
    <row r="39" spans="2:29" ht="14.25" customHeight="1" x14ac:dyDescent="0.2">
      <c r="E39" s="1" t="s">
        <v>124</v>
      </c>
      <c r="F39" s="1" t="s">
        <v>33</v>
      </c>
      <c r="G39" s="3" t="s">
        <v>189</v>
      </c>
      <c r="H39" s="1">
        <v>24</v>
      </c>
      <c r="I39" s="23">
        <v>0.79800000000000004</v>
      </c>
      <c r="J39" s="23">
        <v>0.9</v>
      </c>
      <c r="K39" s="23">
        <v>0.4</v>
      </c>
      <c r="L39" s="23">
        <v>1.5</v>
      </c>
      <c r="M39" s="23">
        <v>1.2</v>
      </c>
      <c r="N39" s="8">
        <f t="shared" si="8"/>
        <v>66.5</v>
      </c>
      <c r="O39" s="23">
        <v>0.25</v>
      </c>
      <c r="P39" s="8">
        <f t="shared" si="9"/>
        <v>46.875</v>
      </c>
      <c r="Q39" s="23">
        <f t="shared" si="12"/>
        <v>0.83333333333333337</v>
      </c>
      <c r="R39" s="8">
        <f t="shared" si="11"/>
        <v>781.25</v>
      </c>
      <c r="S39" s="1">
        <f t="shared" si="6"/>
        <v>4</v>
      </c>
      <c r="T39" s="1">
        <f t="shared" si="7"/>
        <v>50</v>
      </c>
      <c r="U39" s="38">
        <v>24</v>
      </c>
      <c r="V39" s="22"/>
      <c r="W39" s="1">
        <v>37</v>
      </c>
      <c r="X39" s="22">
        <f t="shared" si="1"/>
        <v>339.36422671710136</v>
      </c>
      <c r="Y39" s="22">
        <f t="shared" si="2"/>
        <v>11563.961093193242</v>
      </c>
      <c r="Z39" s="22">
        <f t="shared" si="3"/>
        <v>1085.9655254947243</v>
      </c>
      <c r="AA39" s="1">
        <f t="shared" si="4"/>
        <v>0.05</v>
      </c>
      <c r="AB39" s="1">
        <f t="shared" si="5"/>
        <v>1.5</v>
      </c>
      <c r="AC39" s="1">
        <f t="shared" si="13"/>
        <v>0.9</v>
      </c>
    </row>
    <row r="40" spans="2:29" ht="14.25" customHeight="1" x14ac:dyDescent="0.2">
      <c r="E40" s="1" t="s">
        <v>125</v>
      </c>
      <c r="F40" s="1" t="s">
        <v>33</v>
      </c>
      <c r="G40" s="3" t="s">
        <v>189</v>
      </c>
      <c r="H40" s="3">
        <v>25</v>
      </c>
      <c r="I40" s="23">
        <v>0.79800000000000004</v>
      </c>
      <c r="J40" s="23">
        <v>0.9</v>
      </c>
      <c r="K40" s="23">
        <v>0.4</v>
      </c>
      <c r="L40" s="23">
        <v>1.5</v>
      </c>
      <c r="M40" s="23">
        <v>1.2</v>
      </c>
      <c r="N40" s="8">
        <f t="shared" si="8"/>
        <v>66.5</v>
      </c>
      <c r="O40" s="23">
        <v>0.25</v>
      </c>
      <c r="P40" s="8">
        <f t="shared" si="9"/>
        <v>46.875</v>
      </c>
      <c r="Q40" s="23">
        <f t="shared" si="12"/>
        <v>0.83333333333333337</v>
      </c>
      <c r="R40" s="8">
        <f t="shared" si="11"/>
        <v>781.25</v>
      </c>
      <c r="S40" s="1">
        <f t="shared" si="6"/>
        <v>4</v>
      </c>
      <c r="T40" s="1">
        <f t="shared" si="7"/>
        <v>50</v>
      </c>
      <c r="U40" s="38">
        <v>25</v>
      </c>
      <c r="V40" s="22"/>
      <c r="W40" s="1">
        <v>38</v>
      </c>
      <c r="X40" s="22">
        <f t="shared" si="1"/>
        <v>356.33243805295643</v>
      </c>
      <c r="Y40" s="22">
        <f t="shared" si="2"/>
        <v>12116.937584789061</v>
      </c>
      <c r="Z40" s="22">
        <f t="shared" si="3"/>
        <v>1140.2638017694605</v>
      </c>
      <c r="AA40" s="1">
        <f t="shared" si="4"/>
        <v>0.05</v>
      </c>
      <c r="AB40" s="1">
        <f t="shared" si="5"/>
        <v>1.5</v>
      </c>
      <c r="AC40" s="1">
        <f t="shared" si="13"/>
        <v>0.9</v>
      </c>
    </row>
    <row r="41" spans="2:29" ht="14.25" customHeight="1" x14ac:dyDescent="0.2">
      <c r="E41" s="1" t="s">
        <v>126</v>
      </c>
      <c r="F41" s="1" t="s">
        <v>33</v>
      </c>
      <c r="G41" s="3" t="s">
        <v>189</v>
      </c>
      <c r="H41" s="1">
        <v>26</v>
      </c>
      <c r="I41" s="23">
        <v>0.79800000000000004</v>
      </c>
      <c r="J41" s="23">
        <v>0.9</v>
      </c>
      <c r="K41" s="23">
        <v>0.4</v>
      </c>
      <c r="L41" s="23">
        <v>1.5</v>
      </c>
      <c r="M41" s="23">
        <v>1.2</v>
      </c>
      <c r="N41" s="8">
        <f t="shared" si="8"/>
        <v>66.5</v>
      </c>
      <c r="O41" s="23">
        <v>0.25</v>
      </c>
      <c r="P41" s="8">
        <f t="shared" si="9"/>
        <v>46.875</v>
      </c>
      <c r="Q41" s="23">
        <f t="shared" si="12"/>
        <v>0.83333333333333337</v>
      </c>
      <c r="R41" s="8">
        <f t="shared" si="11"/>
        <v>781.25</v>
      </c>
      <c r="S41" s="1">
        <f t="shared" si="6"/>
        <v>4</v>
      </c>
      <c r="T41" s="1">
        <f t="shared" si="7"/>
        <v>50</v>
      </c>
      <c r="U41" s="38">
        <v>26</v>
      </c>
      <c r="V41" s="22"/>
      <c r="W41" s="1">
        <v>39</v>
      </c>
      <c r="X41" s="22">
        <f t="shared" si="1"/>
        <v>374.14905995560423</v>
      </c>
      <c r="Y41" s="22">
        <f t="shared" si="2"/>
        <v>12695.09584091979</v>
      </c>
      <c r="Z41" s="22">
        <f t="shared" si="3"/>
        <v>1197.2769918579334</v>
      </c>
      <c r="AA41" s="1">
        <f t="shared" si="4"/>
        <v>0.05</v>
      </c>
      <c r="AB41" s="1">
        <f t="shared" si="5"/>
        <v>1.5</v>
      </c>
      <c r="AC41" s="1">
        <f t="shared" si="13"/>
        <v>0.9</v>
      </c>
    </row>
    <row r="42" spans="2:29" ht="14.25" customHeight="1" x14ac:dyDescent="0.2">
      <c r="E42" s="1" t="s">
        <v>127</v>
      </c>
      <c r="F42" s="1" t="s">
        <v>33</v>
      </c>
      <c r="G42" s="3" t="s">
        <v>189</v>
      </c>
      <c r="H42" s="3">
        <v>27</v>
      </c>
      <c r="I42" s="23">
        <v>0.79800000000000004</v>
      </c>
      <c r="J42" s="23">
        <v>0.9</v>
      </c>
      <c r="K42" s="23">
        <v>0.4</v>
      </c>
      <c r="L42" s="23">
        <v>1.5</v>
      </c>
      <c r="M42" s="23">
        <v>1.2</v>
      </c>
      <c r="N42" s="8">
        <f t="shared" si="8"/>
        <v>66.5</v>
      </c>
      <c r="O42" s="23">
        <v>0.25</v>
      </c>
      <c r="P42" s="8">
        <f t="shared" si="9"/>
        <v>46.875</v>
      </c>
      <c r="Q42" s="23">
        <f t="shared" si="12"/>
        <v>0.83333333333333337</v>
      </c>
      <c r="R42" s="8">
        <f t="shared" si="11"/>
        <v>781.25</v>
      </c>
      <c r="S42" s="1">
        <f t="shared" si="6"/>
        <v>4</v>
      </c>
      <c r="T42" s="1">
        <f t="shared" si="7"/>
        <v>50</v>
      </c>
      <c r="U42" s="38">
        <v>27</v>
      </c>
      <c r="V42" s="22"/>
      <c r="W42" s="1">
        <v>40</v>
      </c>
      <c r="X42" s="22">
        <f t="shared" si="1"/>
        <v>392.85651295338448</v>
      </c>
      <c r="Y42" s="22">
        <f t="shared" si="2"/>
        <v>13299.459807924848</v>
      </c>
      <c r="Z42" s="22">
        <f t="shared" si="3"/>
        <v>1257.1408414508303</v>
      </c>
      <c r="AA42" s="1">
        <f t="shared" si="4"/>
        <v>0.05</v>
      </c>
      <c r="AB42" s="1">
        <f t="shared" si="5"/>
        <v>1.5</v>
      </c>
      <c r="AC42" s="1">
        <f t="shared" si="13"/>
        <v>0.9</v>
      </c>
    </row>
    <row r="43" spans="2:29" ht="14.25" customHeight="1" x14ac:dyDescent="0.2">
      <c r="E43" s="1" t="s">
        <v>128</v>
      </c>
      <c r="F43" s="1" t="s">
        <v>33</v>
      </c>
      <c r="G43" s="3" t="s">
        <v>189</v>
      </c>
      <c r="H43" s="1">
        <v>28</v>
      </c>
      <c r="I43" s="23">
        <v>0.79800000000000004</v>
      </c>
      <c r="J43" s="23">
        <v>0.9</v>
      </c>
      <c r="K43" s="23">
        <v>0.4</v>
      </c>
      <c r="L43" s="23">
        <v>1.5</v>
      </c>
      <c r="M43" s="23">
        <v>1.2</v>
      </c>
      <c r="N43" s="8">
        <f t="shared" si="8"/>
        <v>66.5</v>
      </c>
      <c r="O43" s="23">
        <v>0.25</v>
      </c>
      <c r="P43" s="8">
        <f t="shared" si="9"/>
        <v>46.875</v>
      </c>
      <c r="Q43" s="23">
        <f t="shared" si="12"/>
        <v>0.83333333333333337</v>
      </c>
      <c r="R43" s="8">
        <f t="shared" si="11"/>
        <v>781.25</v>
      </c>
      <c r="S43" s="1">
        <f t="shared" si="6"/>
        <v>4</v>
      </c>
      <c r="T43" s="1">
        <f t="shared" si="7"/>
        <v>50</v>
      </c>
      <c r="U43" s="38">
        <v>28</v>
      </c>
      <c r="V43" s="22"/>
      <c r="W43" s="1">
        <v>41</v>
      </c>
      <c r="X43" s="22">
        <f t="shared" si="1"/>
        <v>412.49933860105364</v>
      </c>
      <c r="Y43" s="22">
        <f t="shared" si="2"/>
        <v>13931.083139867174</v>
      </c>
      <c r="Z43" s="22">
        <f t="shared" si="3"/>
        <v>1319.9978835233717</v>
      </c>
      <c r="AA43" s="1">
        <f t="shared" si="4"/>
        <v>0.05</v>
      </c>
      <c r="AB43" s="1">
        <f t="shared" si="5"/>
        <v>1.5</v>
      </c>
      <c r="AC43" s="1">
        <f t="shared" si="13"/>
        <v>0.9</v>
      </c>
    </row>
    <row r="44" spans="2:29" ht="14.25" customHeight="1" x14ac:dyDescent="0.2">
      <c r="E44" s="1" t="s">
        <v>129</v>
      </c>
      <c r="F44" s="1" t="s">
        <v>33</v>
      </c>
      <c r="G44" s="3" t="s">
        <v>189</v>
      </c>
      <c r="H44" s="3">
        <v>29</v>
      </c>
      <c r="I44" s="23">
        <v>0.79800000000000004</v>
      </c>
      <c r="J44" s="23">
        <v>0.9</v>
      </c>
      <c r="K44" s="23">
        <v>0.4</v>
      </c>
      <c r="L44" s="23">
        <v>1.5</v>
      </c>
      <c r="M44" s="23">
        <v>1.2</v>
      </c>
      <c r="N44" s="8">
        <f t="shared" si="8"/>
        <v>66.5</v>
      </c>
      <c r="O44" s="23">
        <v>0.25</v>
      </c>
      <c r="P44" s="8">
        <f t="shared" si="9"/>
        <v>46.875</v>
      </c>
      <c r="Q44" s="23">
        <f t="shared" si="12"/>
        <v>0.83333333333333337</v>
      </c>
      <c r="R44" s="8">
        <f t="shared" si="11"/>
        <v>781.25</v>
      </c>
      <c r="S44" s="1">
        <f t="shared" si="6"/>
        <v>4</v>
      </c>
      <c r="T44" s="1">
        <f t="shared" si="7"/>
        <v>50</v>
      </c>
      <c r="U44" s="38">
        <v>29</v>
      </c>
      <c r="V44" s="22"/>
      <c r="W44" s="1">
        <v>42</v>
      </c>
      <c r="X44" s="22">
        <f t="shared" si="1"/>
        <v>433.12430553110636</v>
      </c>
      <c r="Y44" s="22">
        <f t="shared" si="2"/>
        <v>14591.048856212061</v>
      </c>
      <c r="Z44" s="22">
        <f t="shared" si="3"/>
        <v>1385.9977776995404</v>
      </c>
      <c r="AA44" s="1">
        <f t="shared" si="4"/>
        <v>0.05</v>
      </c>
      <c r="AB44" s="1">
        <f t="shared" si="5"/>
        <v>1.5</v>
      </c>
      <c r="AC44" s="1">
        <f t="shared" si="13"/>
        <v>0.9</v>
      </c>
    </row>
    <row r="45" spans="2:29" ht="14.25" customHeight="1" x14ac:dyDescent="0.2">
      <c r="E45" s="1" t="s">
        <v>130</v>
      </c>
      <c r="F45" s="1" t="s">
        <v>33</v>
      </c>
      <c r="G45" s="3" t="s">
        <v>189</v>
      </c>
      <c r="H45" s="1">
        <v>30</v>
      </c>
      <c r="I45" s="23">
        <v>0.79800000000000004</v>
      </c>
      <c r="J45" s="23">
        <v>0.9</v>
      </c>
      <c r="K45" s="23">
        <v>0.4</v>
      </c>
      <c r="L45" s="23">
        <v>1.5</v>
      </c>
      <c r="M45" s="23">
        <v>1.2</v>
      </c>
      <c r="N45" s="8">
        <f t="shared" si="8"/>
        <v>66.5</v>
      </c>
      <c r="O45" s="23">
        <v>0.25</v>
      </c>
      <c r="P45" s="8">
        <f t="shared" si="9"/>
        <v>46.875</v>
      </c>
      <c r="Q45" s="23">
        <f t="shared" si="12"/>
        <v>0.83333333333333337</v>
      </c>
      <c r="R45" s="8">
        <f t="shared" si="11"/>
        <v>781.25</v>
      </c>
      <c r="S45" s="1">
        <f t="shared" si="6"/>
        <v>4</v>
      </c>
      <c r="T45" s="1">
        <f t="shared" si="7"/>
        <v>50</v>
      </c>
      <c r="U45" s="38">
        <v>30</v>
      </c>
      <c r="V45" s="22"/>
      <c r="W45" s="1">
        <v>43</v>
      </c>
      <c r="X45" s="22">
        <f t="shared" si="1"/>
        <v>454.78052080766167</v>
      </c>
      <c r="Y45" s="22">
        <f t="shared" si="2"/>
        <v>15280.468846874361</v>
      </c>
      <c r="Z45" s="22">
        <f t="shared" si="3"/>
        <v>1455.2976665845174</v>
      </c>
      <c r="AA45" s="1">
        <f t="shared" si="4"/>
        <v>0.05</v>
      </c>
      <c r="AB45" s="1">
        <f t="shared" si="5"/>
        <v>1.5</v>
      </c>
      <c r="AC45" s="1">
        <f t="shared" si="13"/>
        <v>0.9</v>
      </c>
    </row>
    <row r="46" spans="2:29" ht="14.25" customHeight="1" x14ac:dyDescent="0.2">
      <c r="E46" s="1" t="s">
        <v>131</v>
      </c>
      <c r="F46" s="1" t="s">
        <v>33</v>
      </c>
      <c r="G46" s="3" t="s">
        <v>189</v>
      </c>
      <c r="H46" s="3">
        <v>31</v>
      </c>
      <c r="I46" s="23">
        <v>0.79800000000000004</v>
      </c>
      <c r="J46" s="23">
        <v>0.9</v>
      </c>
      <c r="K46" s="23">
        <v>0.4</v>
      </c>
      <c r="L46" s="23">
        <v>1.5</v>
      </c>
      <c r="M46" s="23">
        <v>1.2</v>
      </c>
      <c r="N46" s="8">
        <f t="shared" si="8"/>
        <v>66.5</v>
      </c>
      <c r="O46" s="23">
        <v>0.25</v>
      </c>
      <c r="P46" s="8">
        <f t="shared" si="9"/>
        <v>46.875</v>
      </c>
      <c r="Q46" s="23">
        <f t="shared" si="12"/>
        <v>0.83333333333333337</v>
      </c>
      <c r="R46" s="8">
        <f t="shared" si="11"/>
        <v>781.25</v>
      </c>
      <c r="S46" s="1">
        <f t="shared" si="6"/>
        <v>4</v>
      </c>
      <c r="T46" s="1">
        <f t="shared" si="7"/>
        <v>50</v>
      </c>
      <c r="U46" s="38">
        <v>31</v>
      </c>
      <c r="V46" s="22"/>
      <c r="W46" s="1">
        <v>44</v>
      </c>
      <c r="X46" s="22">
        <f t="shared" si="1"/>
        <v>477.51954684804485</v>
      </c>
      <c r="Y46" s="22">
        <f t="shared" si="2"/>
        <v>16000.483209877853</v>
      </c>
      <c r="Z46" s="22">
        <f t="shared" si="3"/>
        <v>1528.0625499137434</v>
      </c>
      <c r="AA46" s="1">
        <f t="shared" si="4"/>
        <v>0.05</v>
      </c>
      <c r="AB46" s="1">
        <f t="shared" si="5"/>
        <v>1.5</v>
      </c>
      <c r="AC46" s="1">
        <f t="shared" si="13"/>
        <v>0.9</v>
      </c>
    </row>
    <row r="47" spans="2:29" ht="14.25" customHeight="1" x14ac:dyDescent="0.2">
      <c r="E47" s="1" t="s">
        <v>132</v>
      </c>
      <c r="F47" s="1" t="s">
        <v>33</v>
      </c>
      <c r="G47" s="3" t="s">
        <v>189</v>
      </c>
      <c r="H47" s="1">
        <v>32</v>
      </c>
      <c r="I47" s="23">
        <v>0.79800000000000004</v>
      </c>
      <c r="J47" s="23">
        <v>0.9</v>
      </c>
      <c r="K47" s="23">
        <v>0.4</v>
      </c>
      <c r="L47" s="23">
        <v>1.5</v>
      </c>
      <c r="M47" s="23">
        <v>1.2</v>
      </c>
      <c r="N47" s="8">
        <f t="shared" si="8"/>
        <v>66.5</v>
      </c>
      <c r="O47" s="23">
        <v>0.25</v>
      </c>
      <c r="P47" s="8">
        <f t="shared" si="9"/>
        <v>46.875</v>
      </c>
      <c r="Q47" s="23">
        <f t="shared" si="12"/>
        <v>0.83333333333333337</v>
      </c>
      <c r="R47" s="8">
        <f t="shared" si="11"/>
        <v>781.25</v>
      </c>
      <c r="S47" s="1">
        <f t="shared" si="6"/>
        <v>4</v>
      </c>
      <c r="T47" s="1">
        <f t="shared" si="7"/>
        <v>50</v>
      </c>
      <c r="U47" s="38">
        <v>32</v>
      </c>
      <c r="V47" s="22"/>
      <c r="W47" s="1">
        <v>45</v>
      </c>
      <c r="X47" s="22">
        <f t="shared" si="1"/>
        <v>501.39552419044702</v>
      </c>
      <c r="Y47" s="22">
        <f t="shared" si="2"/>
        <v>16752.25940620757</v>
      </c>
      <c r="Z47" s="22">
        <f t="shared" si="3"/>
        <v>1604.4656774094306</v>
      </c>
      <c r="AA47" s="1">
        <f t="shared" si="4"/>
        <v>0.05</v>
      </c>
      <c r="AB47" s="1">
        <f t="shared" si="5"/>
        <v>1.5</v>
      </c>
      <c r="AC47" s="1">
        <f t="shared" si="13"/>
        <v>0.9</v>
      </c>
    </row>
    <row r="48" spans="2:29" ht="14.25" customHeight="1" x14ac:dyDescent="0.2">
      <c r="E48" s="1" t="s">
        <v>133</v>
      </c>
      <c r="F48" s="1" t="s">
        <v>33</v>
      </c>
      <c r="G48" s="3" t="s">
        <v>189</v>
      </c>
      <c r="H48" s="3">
        <v>33</v>
      </c>
      <c r="I48" s="23">
        <v>0.79800000000000004</v>
      </c>
      <c r="J48" s="23">
        <v>0.9</v>
      </c>
      <c r="K48" s="23">
        <v>0.4</v>
      </c>
      <c r="L48" s="23">
        <v>1.5</v>
      </c>
      <c r="M48" s="23">
        <v>1.2</v>
      </c>
      <c r="N48" s="8">
        <f t="shared" si="8"/>
        <v>66.5</v>
      </c>
      <c r="O48" s="23">
        <v>0.25</v>
      </c>
      <c r="P48" s="8">
        <f t="shared" si="9"/>
        <v>46.875</v>
      </c>
      <c r="Q48" s="23">
        <f t="shared" si="12"/>
        <v>0.83333333333333337</v>
      </c>
      <c r="R48" s="8">
        <f t="shared" si="11"/>
        <v>781.25</v>
      </c>
      <c r="S48" s="1">
        <f t="shared" si="6"/>
        <v>4</v>
      </c>
      <c r="T48" s="1">
        <f t="shared" si="7"/>
        <v>50</v>
      </c>
      <c r="U48" s="38">
        <v>33</v>
      </c>
      <c r="V48" s="22"/>
      <c r="W48" s="1">
        <v>46</v>
      </c>
      <c r="X48" s="22">
        <f t="shared" si="1"/>
        <v>526.46530039996946</v>
      </c>
      <c r="Y48" s="22">
        <f t="shared" si="2"/>
        <v>17536.991215828599</v>
      </c>
      <c r="Z48" s="22">
        <f t="shared" si="3"/>
        <v>1684.6889612799023</v>
      </c>
      <c r="AA48" s="1">
        <f t="shared" si="4"/>
        <v>0.05</v>
      </c>
      <c r="AB48" s="1">
        <f t="shared" si="5"/>
        <v>1.5</v>
      </c>
      <c r="AC48" s="1">
        <f t="shared" si="13"/>
        <v>0.9</v>
      </c>
    </row>
    <row r="49" spans="5:29" ht="14.25" customHeight="1" x14ac:dyDescent="0.2">
      <c r="E49" s="1" t="s">
        <v>134</v>
      </c>
      <c r="F49" s="1" t="s">
        <v>33</v>
      </c>
      <c r="G49" s="3" t="s">
        <v>189</v>
      </c>
      <c r="H49" s="1">
        <v>34</v>
      </c>
      <c r="I49" s="23">
        <v>0.79800000000000004</v>
      </c>
      <c r="J49" s="23">
        <v>0.9</v>
      </c>
      <c r="K49" s="23">
        <v>0.4</v>
      </c>
      <c r="L49" s="23">
        <v>1.5</v>
      </c>
      <c r="M49" s="23">
        <v>1.2</v>
      </c>
      <c r="N49" s="8">
        <f t="shared" si="8"/>
        <v>66.5</v>
      </c>
      <c r="O49" s="23">
        <v>0.25</v>
      </c>
      <c r="P49" s="8">
        <f t="shared" si="9"/>
        <v>46.875</v>
      </c>
      <c r="Q49" s="23">
        <f t="shared" si="12"/>
        <v>0.83333333333333337</v>
      </c>
      <c r="R49" s="8">
        <f t="shared" si="11"/>
        <v>781.25</v>
      </c>
      <c r="S49" s="1">
        <f t="shared" si="6"/>
        <v>4</v>
      </c>
      <c r="T49" s="1">
        <f t="shared" si="7"/>
        <v>50</v>
      </c>
      <c r="U49" s="38">
        <v>34</v>
      </c>
      <c r="V49" s="22"/>
      <c r="W49" s="1">
        <v>47</v>
      </c>
      <c r="X49" s="22">
        <f t="shared" si="1"/>
        <v>552.78856541996777</v>
      </c>
      <c r="Y49" s="22">
        <f t="shared" si="2"/>
        <v>18355.897478309584</v>
      </c>
      <c r="Z49" s="22">
        <f t="shared" si="3"/>
        <v>1768.923409343897</v>
      </c>
      <c r="AA49" s="1">
        <f t="shared" si="4"/>
        <v>0.05</v>
      </c>
      <c r="AB49" s="1">
        <f t="shared" si="5"/>
        <v>1.5</v>
      </c>
      <c r="AC49" s="1">
        <f t="shared" si="13"/>
        <v>0.9</v>
      </c>
    </row>
    <row r="50" spans="5:29" ht="14.25" customHeight="1" x14ac:dyDescent="0.2">
      <c r="E50" s="1" t="s">
        <v>135</v>
      </c>
      <c r="F50" s="1" t="s">
        <v>33</v>
      </c>
      <c r="G50" s="3" t="s">
        <v>189</v>
      </c>
      <c r="H50" s="3">
        <v>35</v>
      </c>
      <c r="I50" s="23">
        <v>0.79800000000000004</v>
      </c>
      <c r="J50" s="23">
        <v>0.9</v>
      </c>
      <c r="K50" s="23">
        <v>0.4</v>
      </c>
      <c r="L50" s="23">
        <v>1.5</v>
      </c>
      <c r="M50" s="23">
        <v>1.2</v>
      </c>
      <c r="N50" s="8">
        <f t="shared" si="8"/>
        <v>66.5</v>
      </c>
      <c r="O50" s="23">
        <v>0.25</v>
      </c>
      <c r="P50" s="8">
        <f t="shared" si="9"/>
        <v>46.875</v>
      </c>
      <c r="Q50" s="23">
        <f t="shared" si="12"/>
        <v>0.83333333333333337</v>
      </c>
      <c r="R50" s="8">
        <f t="shared" si="11"/>
        <v>781.25</v>
      </c>
      <c r="S50" s="1">
        <f t="shared" si="6"/>
        <v>4</v>
      </c>
      <c r="T50" s="1">
        <f t="shared" si="7"/>
        <v>50</v>
      </c>
      <c r="U50" s="38">
        <v>35</v>
      </c>
      <c r="V50" s="22"/>
      <c r="W50" s="1">
        <v>48</v>
      </c>
      <c r="X50" s="22">
        <f t="shared" si="1"/>
        <v>580.42799369096633</v>
      </c>
      <c r="Y50" s="22">
        <f t="shared" si="2"/>
        <v>19210.220601045141</v>
      </c>
      <c r="Z50" s="22">
        <f t="shared" si="3"/>
        <v>1857.3695798110923</v>
      </c>
      <c r="AA50" s="1">
        <f t="shared" si="4"/>
        <v>0.05</v>
      </c>
      <c r="AB50" s="1">
        <f t="shared" si="5"/>
        <v>1.5</v>
      </c>
      <c r="AC50" s="1">
        <f t="shared" si="13"/>
        <v>0.9</v>
      </c>
    </row>
    <row r="51" spans="5:29" ht="14.25" customHeight="1" x14ac:dyDescent="0.2">
      <c r="E51" s="1" t="s">
        <v>136</v>
      </c>
      <c r="F51" s="1" t="s">
        <v>33</v>
      </c>
      <c r="G51" s="3" t="s">
        <v>189</v>
      </c>
      <c r="H51" s="1">
        <v>36</v>
      </c>
      <c r="I51" s="23">
        <v>0.79800000000000004</v>
      </c>
      <c r="J51" s="23">
        <v>0.9</v>
      </c>
      <c r="K51" s="23">
        <v>0.4</v>
      </c>
      <c r="L51" s="23">
        <v>1.5</v>
      </c>
      <c r="M51" s="23">
        <v>1.2</v>
      </c>
      <c r="N51" s="8">
        <f t="shared" si="8"/>
        <v>66.5</v>
      </c>
      <c r="O51" s="23">
        <v>0.25</v>
      </c>
      <c r="P51" s="8">
        <f t="shared" si="9"/>
        <v>46.875</v>
      </c>
      <c r="Q51" s="23">
        <f t="shared" si="12"/>
        <v>0.83333333333333337</v>
      </c>
      <c r="R51" s="8">
        <f t="shared" si="11"/>
        <v>781.25</v>
      </c>
      <c r="S51" s="1">
        <f t="shared" si="6"/>
        <v>4</v>
      </c>
      <c r="T51" s="1">
        <f t="shared" si="7"/>
        <v>50</v>
      </c>
      <c r="U51" s="38">
        <v>36</v>
      </c>
      <c r="V51" s="22"/>
      <c r="W51" s="1">
        <v>49</v>
      </c>
      <c r="X51" s="22">
        <f t="shared" si="1"/>
        <v>609.44939337551466</v>
      </c>
      <c r="Y51" s="22">
        <f t="shared" si="2"/>
        <v>20101.224817739403</v>
      </c>
      <c r="Z51" s="22">
        <f t="shared" si="3"/>
        <v>1950.238058801647</v>
      </c>
      <c r="AA51" s="1">
        <f t="shared" si="4"/>
        <v>0.05</v>
      </c>
      <c r="AB51" s="1">
        <f t="shared" si="5"/>
        <v>1.5</v>
      </c>
      <c r="AC51" s="1">
        <f t="shared" si="13"/>
        <v>0.9</v>
      </c>
    </row>
    <row r="52" spans="5:29" ht="14.25" customHeight="1" x14ac:dyDescent="0.2">
      <c r="E52" s="1" t="s">
        <v>137</v>
      </c>
      <c r="F52" s="1" t="s">
        <v>33</v>
      </c>
      <c r="G52" s="3" t="s">
        <v>189</v>
      </c>
      <c r="H52" s="3">
        <v>37</v>
      </c>
      <c r="I52" s="23">
        <v>0.79800000000000004</v>
      </c>
      <c r="J52" s="23">
        <v>0.9</v>
      </c>
      <c r="K52" s="23">
        <v>0.4</v>
      </c>
      <c r="L52" s="23">
        <v>1.5</v>
      </c>
      <c r="M52" s="23">
        <v>1.2</v>
      </c>
      <c r="N52" s="8">
        <f t="shared" si="8"/>
        <v>66.5</v>
      </c>
      <c r="O52" s="23">
        <v>0.25</v>
      </c>
      <c r="P52" s="8">
        <f t="shared" si="9"/>
        <v>46.875</v>
      </c>
      <c r="Q52" s="23">
        <f t="shared" si="12"/>
        <v>0.83333333333333337</v>
      </c>
      <c r="R52" s="8">
        <f t="shared" si="11"/>
        <v>781.25</v>
      </c>
      <c r="S52" s="1">
        <f t="shared" si="6"/>
        <v>4</v>
      </c>
      <c r="T52" s="1">
        <f t="shared" si="7"/>
        <v>50</v>
      </c>
      <c r="U52" s="38">
        <v>37</v>
      </c>
      <c r="V52" s="22"/>
      <c r="W52" s="1">
        <v>50</v>
      </c>
      <c r="X52" s="22">
        <f t="shared" si="1"/>
        <v>639.92186304429049</v>
      </c>
      <c r="Y52" s="22">
        <f t="shared" si="2"/>
        <v>21030.194179616639</v>
      </c>
      <c r="Z52" s="22">
        <f t="shared" si="3"/>
        <v>2047.7499617417293</v>
      </c>
      <c r="AA52" s="1">
        <f t="shared" si="4"/>
        <v>0.05</v>
      </c>
      <c r="AB52" s="1">
        <f t="shared" si="5"/>
        <v>1.5</v>
      </c>
      <c r="AC52" s="1">
        <f t="shared" si="13"/>
        <v>0.9</v>
      </c>
    </row>
    <row r="53" spans="5:29" ht="14.25" customHeight="1" x14ac:dyDescent="0.2">
      <c r="E53" s="1" t="s">
        <v>138</v>
      </c>
      <c r="F53" s="1" t="s">
        <v>33</v>
      </c>
      <c r="G53" s="3" t="s">
        <v>189</v>
      </c>
      <c r="H53" s="1">
        <v>38</v>
      </c>
      <c r="I53" s="23">
        <v>0.79800000000000004</v>
      </c>
      <c r="J53" s="23">
        <v>0.9</v>
      </c>
      <c r="K53" s="23">
        <v>0.4</v>
      </c>
      <c r="L53" s="23">
        <v>1.5</v>
      </c>
      <c r="M53" s="23">
        <v>1.2</v>
      </c>
      <c r="N53" s="8">
        <f t="shared" si="8"/>
        <v>66.5</v>
      </c>
      <c r="O53" s="23">
        <v>0.25</v>
      </c>
      <c r="P53" s="8">
        <f t="shared" si="9"/>
        <v>46.875</v>
      </c>
      <c r="Q53" s="23">
        <f t="shared" si="12"/>
        <v>0.83333333333333337</v>
      </c>
      <c r="R53" s="8">
        <f t="shared" si="11"/>
        <v>781.25</v>
      </c>
      <c r="S53" s="1">
        <f t="shared" si="6"/>
        <v>4</v>
      </c>
      <c r="T53" s="1">
        <f t="shared" si="7"/>
        <v>50</v>
      </c>
      <c r="U53" s="38">
        <v>38</v>
      </c>
      <c r="V53" s="22"/>
      <c r="W53" s="1">
        <v>51</v>
      </c>
      <c r="X53" s="22">
        <f t="shared" si="1"/>
        <v>671.91795619650497</v>
      </c>
      <c r="Y53" s="22">
        <f t="shared" si="2"/>
        <v>21998.430261788082</v>
      </c>
      <c r="Z53" s="22">
        <f t="shared" si="3"/>
        <v>2150.1374598288157</v>
      </c>
      <c r="AA53" s="1">
        <f t="shared" si="4"/>
        <v>0.05</v>
      </c>
      <c r="AB53" s="1">
        <f t="shared" si="5"/>
        <v>1.5</v>
      </c>
      <c r="AC53" s="1">
        <f t="shared" si="13"/>
        <v>0.9</v>
      </c>
    </row>
    <row r="54" spans="5:29" ht="14.25" customHeight="1" x14ac:dyDescent="0.2">
      <c r="E54" s="1" t="s">
        <v>139</v>
      </c>
      <c r="F54" s="1" t="s">
        <v>33</v>
      </c>
      <c r="G54" s="3" t="s">
        <v>189</v>
      </c>
      <c r="H54" s="3">
        <v>39</v>
      </c>
      <c r="I54" s="23">
        <v>0.79800000000000004</v>
      </c>
      <c r="J54" s="23">
        <v>0.9</v>
      </c>
      <c r="K54" s="23">
        <v>0.4</v>
      </c>
      <c r="L54" s="23">
        <v>1.5</v>
      </c>
      <c r="M54" s="23">
        <v>1.2</v>
      </c>
      <c r="N54" s="8">
        <f t="shared" si="8"/>
        <v>66.5</v>
      </c>
      <c r="O54" s="23">
        <v>0.25</v>
      </c>
      <c r="P54" s="8">
        <f t="shared" si="9"/>
        <v>46.875</v>
      </c>
      <c r="Q54" s="23">
        <f t="shared" si="12"/>
        <v>0.83333333333333337</v>
      </c>
      <c r="R54" s="8">
        <f t="shared" si="11"/>
        <v>781.25</v>
      </c>
      <c r="S54" s="1">
        <f t="shared" si="6"/>
        <v>4</v>
      </c>
      <c r="T54" s="1">
        <f t="shared" si="7"/>
        <v>50</v>
      </c>
      <c r="U54" s="38">
        <v>39</v>
      </c>
      <c r="V54" s="22"/>
      <c r="W54" s="1">
        <v>52</v>
      </c>
      <c r="X54" s="22">
        <f t="shared" si="1"/>
        <v>705.51385400633023</v>
      </c>
      <c r="Y54" s="22">
        <f t="shared" si="2"/>
        <v>23007.249567355342</v>
      </c>
      <c r="Z54" s="22">
        <f t="shared" si="3"/>
        <v>2257.6443328202567</v>
      </c>
      <c r="AA54" s="1">
        <f t="shared" si="4"/>
        <v>0.05</v>
      </c>
      <c r="AB54" s="1">
        <f t="shared" si="5"/>
        <v>1.5</v>
      </c>
      <c r="AC54" s="1">
        <f t="shared" si="13"/>
        <v>0.9</v>
      </c>
    </row>
    <row r="55" spans="5:29" ht="14.25" customHeight="1" x14ac:dyDescent="0.2">
      <c r="E55" s="1" t="s">
        <v>140</v>
      </c>
      <c r="F55" s="1" t="s">
        <v>33</v>
      </c>
      <c r="G55" s="3" t="s">
        <v>189</v>
      </c>
      <c r="H55" s="1">
        <v>40</v>
      </c>
      <c r="I55" s="23">
        <v>0.79800000000000004</v>
      </c>
      <c r="J55" s="23">
        <v>0.9</v>
      </c>
      <c r="K55" s="23">
        <v>0.4</v>
      </c>
      <c r="L55" s="23">
        <v>1.5</v>
      </c>
      <c r="M55" s="23">
        <v>1.2</v>
      </c>
      <c r="N55" s="8">
        <f t="shared" si="8"/>
        <v>66.5</v>
      </c>
      <c r="O55" s="23">
        <v>0.25</v>
      </c>
      <c r="P55" s="8">
        <f t="shared" si="9"/>
        <v>46.875</v>
      </c>
      <c r="Q55" s="23">
        <f t="shared" si="12"/>
        <v>0.83333333333333337</v>
      </c>
      <c r="R55" s="8">
        <f t="shared" si="11"/>
        <v>781.25</v>
      </c>
      <c r="S55" s="1">
        <f t="shared" si="6"/>
        <v>4</v>
      </c>
      <c r="T55" s="1">
        <f t="shared" si="7"/>
        <v>50</v>
      </c>
      <c r="U55" s="38">
        <v>40</v>
      </c>
      <c r="V55" s="22"/>
      <c r="W55" s="1">
        <v>53</v>
      </c>
      <c r="X55" s="22">
        <f t="shared" si="1"/>
        <v>740.78954670664677</v>
      </c>
      <c r="Y55" s="22">
        <f t="shared" si="2"/>
        <v>24057.980612197451</v>
      </c>
      <c r="Z55" s="22">
        <f t="shared" si="3"/>
        <v>2370.5265494612695</v>
      </c>
      <c r="AA55" s="1">
        <f t="shared" si="4"/>
        <v>0.05</v>
      </c>
      <c r="AB55" s="1">
        <f t="shared" si="5"/>
        <v>1.5</v>
      </c>
      <c r="AC55" s="1">
        <f t="shared" si="13"/>
        <v>0.9</v>
      </c>
    </row>
    <row r="56" spans="5:29" ht="14.25" customHeight="1" x14ac:dyDescent="0.2">
      <c r="E56" s="1" t="s">
        <v>141</v>
      </c>
      <c r="F56" s="1" t="s">
        <v>33</v>
      </c>
      <c r="G56" s="3" t="s">
        <v>189</v>
      </c>
      <c r="H56" s="3">
        <v>41</v>
      </c>
      <c r="I56" s="23">
        <v>0.79800000000000004</v>
      </c>
      <c r="J56" s="23">
        <v>0.9</v>
      </c>
      <c r="K56" s="23">
        <v>0.4</v>
      </c>
      <c r="L56" s="23">
        <v>1.5</v>
      </c>
      <c r="M56" s="23">
        <v>1.2</v>
      </c>
      <c r="N56" s="8">
        <f t="shared" si="8"/>
        <v>66.5</v>
      </c>
      <c r="O56" s="23">
        <v>0.25</v>
      </c>
      <c r="P56" s="8">
        <f t="shared" si="9"/>
        <v>46.875</v>
      </c>
      <c r="Q56" s="23">
        <f t="shared" si="12"/>
        <v>0.83333333333333337</v>
      </c>
      <c r="R56" s="8">
        <f t="shared" si="11"/>
        <v>781.25</v>
      </c>
      <c r="S56" s="1">
        <f t="shared" si="6"/>
        <v>4</v>
      </c>
      <c r="T56" s="1">
        <f t="shared" si="7"/>
        <v>50</v>
      </c>
      <c r="U56" s="38">
        <v>41</v>
      </c>
      <c r="V56" s="22"/>
      <c r="W56" s="1">
        <v>54</v>
      </c>
      <c r="X56" s="22">
        <f t="shared" si="1"/>
        <v>777.82902404197898</v>
      </c>
      <c r="Y56" s="22">
        <f t="shared" si="2"/>
        <v>25151.960674001624</v>
      </c>
      <c r="Z56" s="22">
        <f t="shared" si="3"/>
        <v>2489.0528769343327</v>
      </c>
      <c r="AA56" s="1">
        <f t="shared" si="4"/>
        <v>0.05</v>
      </c>
      <c r="AB56" s="1">
        <f t="shared" si="5"/>
        <v>1.5</v>
      </c>
      <c r="AC56" s="1">
        <f t="shared" si="13"/>
        <v>0.9</v>
      </c>
    </row>
    <row r="57" spans="5:29" ht="14.25" customHeight="1" x14ac:dyDescent="0.2">
      <c r="E57" s="1" t="s">
        <v>142</v>
      </c>
      <c r="F57" s="1" t="s">
        <v>33</v>
      </c>
      <c r="G57" s="3" t="s">
        <v>189</v>
      </c>
      <c r="H57" s="1">
        <v>42</v>
      </c>
      <c r="I57" s="23">
        <v>0.79800000000000004</v>
      </c>
      <c r="J57" s="23">
        <v>0.9</v>
      </c>
      <c r="K57" s="23">
        <v>0.4</v>
      </c>
      <c r="L57" s="23">
        <v>1.5</v>
      </c>
      <c r="M57" s="23">
        <v>1.2</v>
      </c>
      <c r="N57" s="8">
        <f t="shared" si="8"/>
        <v>66.5</v>
      </c>
      <c r="O57" s="23">
        <v>0.25</v>
      </c>
      <c r="P57" s="8">
        <f t="shared" si="9"/>
        <v>46.875</v>
      </c>
      <c r="Q57" s="23">
        <f t="shared" si="12"/>
        <v>0.83333333333333337</v>
      </c>
      <c r="R57" s="8">
        <f t="shared" si="11"/>
        <v>781.25</v>
      </c>
      <c r="S57" s="1">
        <f t="shared" si="6"/>
        <v>4</v>
      </c>
      <c r="T57" s="1">
        <f t="shared" si="7"/>
        <v>50</v>
      </c>
      <c r="U57" s="38">
        <v>42</v>
      </c>
      <c r="V57" s="22"/>
      <c r="W57" s="1">
        <v>55</v>
      </c>
      <c r="X57" s="22">
        <f t="shared" si="1"/>
        <v>816.72047524407787</v>
      </c>
      <c r="Y57" s="22">
        <f t="shared" si="2"/>
        <v>26290.532189988298</v>
      </c>
      <c r="Z57" s="22">
        <f t="shared" si="3"/>
        <v>2613.5055207810492</v>
      </c>
      <c r="AA57" s="1">
        <f t="shared" si="4"/>
        <v>0.05</v>
      </c>
      <c r="AB57" s="1">
        <f t="shared" si="5"/>
        <v>1.5</v>
      </c>
      <c r="AC57" s="1">
        <f t="shared" si="13"/>
        <v>0.9</v>
      </c>
    </row>
    <row r="58" spans="5:29" ht="14.25" customHeight="1" x14ac:dyDescent="0.2">
      <c r="E58" s="1" t="s">
        <v>143</v>
      </c>
      <c r="F58" s="1" t="s">
        <v>33</v>
      </c>
      <c r="G58" s="3" t="s">
        <v>189</v>
      </c>
      <c r="H58" s="3">
        <v>43</v>
      </c>
      <c r="I58" s="23">
        <v>0.79800000000000004</v>
      </c>
      <c r="J58" s="23">
        <v>0.9</v>
      </c>
      <c r="K58" s="23">
        <v>0.4</v>
      </c>
      <c r="L58" s="23">
        <v>1.5</v>
      </c>
      <c r="M58" s="23">
        <v>1.2</v>
      </c>
      <c r="N58" s="8">
        <f t="shared" si="8"/>
        <v>66.5</v>
      </c>
      <c r="O58" s="23">
        <v>0.25</v>
      </c>
      <c r="P58" s="8">
        <f t="shared" si="9"/>
        <v>46.875</v>
      </c>
      <c r="Q58" s="23">
        <f t="shared" si="12"/>
        <v>0.83333333333333337</v>
      </c>
      <c r="R58" s="8">
        <f t="shared" si="11"/>
        <v>781.25</v>
      </c>
      <c r="S58" s="1">
        <f t="shared" si="6"/>
        <v>4</v>
      </c>
      <c r="T58" s="1">
        <f t="shared" si="7"/>
        <v>50</v>
      </c>
      <c r="U58" s="38">
        <v>43</v>
      </c>
      <c r="V58" s="22"/>
      <c r="W58" s="1">
        <v>56</v>
      </c>
      <c r="X58" s="22">
        <f t="shared" si="1"/>
        <v>857.55649900628202</v>
      </c>
      <c r="Y58" s="22">
        <f t="shared" si="2"/>
        <v>27475.038788981201</v>
      </c>
      <c r="Z58" s="22">
        <f t="shared" si="3"/>
        <v>2744.1807968201024</v>
      </c>
      <c r="AA58" s="1">
        <f t="shared" si="4"/>
        <v>0.05</v>
      </c>
      <c r="AB58" s="1">
        <f t="shared" si="5"/>
        <v>1.5</v>
      </c>
      <c r="AC58" s="1">
        <f t="shared" si="13"/>
        <v>0.9</v>
      </c>
    </row>
    <row r="59" spans="5:29" ht="14.25" customHeight="1" x14ac:dyDescent="0.2">
      <c r="E59" s="1" t="s">
        <v>144</v>
      </c>
      <c r="F59" s="1" t="s">
        <v>33</v>
      </c>
      <c r="G59" s="3" t="s">
        <v>189</v>
      </c>
      <c r="H59" s="1">
        <v>44</v>
      </c>
      <c r="I59" s="23">
        <v>0.79800000000000004</v>
      </c>
      <c r="J59" s="23">
        <v>0.9</v>
      </c>
      <c r="K59" s="23">
        <v>0.4</v>
      </c>
      <c r="L59" s="23">
        <v>1.5</v>
      </c>
      <c r="M59" s="23">
        <v>1.2</v>
      </c>
      <c r="N59" s="8">
        <f t="shared" si="8"/>
        <v>66.5</v>
      </c>
      <c r="O59" s="23">
        <v>0.25</v>
      </c>
      <c r="P59" s="8">
        <f t="shared" si="9"/>
        <v>46.875</v>
      </c>
      <c r="Q59" s="23">
        <f t="shared" si="12"/>
        <v>0.83333333333333337</v>
      </c>
      <c r="R59" s="8">
        <f t="shared" si="11"/>
        <v>781.25</v>
      </c>
      <c r="S59" s="1">
        <f t="shared" si="6"/>
        <v>4</v>
      </c>
      <c r="T59" s="1">
        <f t="shared" si="7"/>
        <v>50</v>
      </c>
      <c r="U59" s="38">
        <v>44</v>
      </c>
      <c r="V59" s="22"/>
      <c r="W59" s="1">
        <v>57</v>
      </c>
      <c r="X59" s="22">
        <f t="shared" si="1"/>
        <v>900.4343239565959</v>
      </c>
      <c r="Y59" s="22">
        <f t="shared" si="2"/>
        <v>28706.820945015177</v>
      </c>
      <c r="Z59" s="22">
        <f t="shared" si="3"/>
        <v>2881.389836661107</v>
      </c>
      <c r="AA59" s="1">
        <f t="shared" si="4"/>
        <v>0.05</v>
      </c>
      <c r="AB59" s="1">
        <f t="shared" si="5"/>
        <v>1.5</v>
      </c>
      <c r="AC59" s="1">
        <f t="shared" si="13"/>
        <v>0.9</v>
      </c>
    </row>
    <row r="60" spans="5:29" ht="14.25" customHeight="1" x14ac:dyDescent="0.2">
      <c r="E60" s="1" t="s">
        <v>145</v>
      </c>
      <c r="F60" s="1" t="s">
        <v>33</v>
      </c>
      <c r="G60" s="3" t="s">
        <v>189</v>
      </c>
      <c r="H60" s="3">
        <v>45</v>
      </c>
      <c r="I60" s="23">
        <v>0.79800000000000004</v>
      </c>
      <c r="J60" s="23">
        <v>0.9</v>
      </c>
      <c r="K60" s="23">
        <v>0.4</v>
      </c>
      <c r="L60" s="23">
        <v>1.5</v>
      </c>
      <c r="M60" s="23">
        <v>1.2</v>
      </c>
      <c r="N60" s="8">
        <f t="shared" si="8"/>
        <v>66.5</v>
      </c>
      <c r="O60" s="23">
        <v>0.25</v>
      </c>
      <c r="P60" s="8">
        <f t="shared" si="9"/>
        <v>46.875</v>
      </c>
      <c r="Q60" s="23">
        <f t="shared" si="12"/>
        <v>0.83333333333333337</v>
      </c>
      <c r="R60" s="8">
        <f t="shared" si="11"/>
        <v>781.25</v>
      </c>
      <c r="S60" s="1">
        <f t="shared" si="6"/>
        <v>4</v>
      </c>
      <c r="T60" s="1">
        <f t="shared" si="7"/>
        <v>50</v>
      </c>
      <c r="U60" s="38">
        <v>45</v>
      </c>
      <c r="V60" s="22"/>
      <c r="W60" s="1">
        <v>58</v>
      </c>
      <c r="X60" s="22">
        <f t="shared" si="1"/>
        <v>945.45604015442586</v>
      </c>
      <c r="Y60" s="22">
        <f t="shared" si="2"/>
        <v>29987.211241590463</v>
      </c>
      <c r="Z60" s="22">
        <f t="shared" si="3"/>
        <v>3025.4593284941625</v>
      </c>
      <c r="AA60" s="1">
        <f t="shared" si="4"/>
        <v>0.05</v>
      </c>
      <c r="AB60" s="1">
        <f t="shared" si="5"/>
        <v>1.5</v>
      </c>
      <c r="AC60" s="1">
        <f t="shared" si="13"/>
        <v>0.9</v>
      </c>
    </row>
    <row r="61" spans="5:29" ht="14.25" customHeight="1" x14ac:dyDescent="0.2">
      <c r="E61" s="1" t="s">
        <v>146</v>
      </c>
      <c r="F61" s="1" t="s">
        <v>33</v>
      </c>
      <c r="G61" s="3" t="s">
        <v>189</v>
      </c>
      <c r="H61" s="1">
        <v>46</v>
      </c>
      <c r="I61" s="23">
        <v>0.79800000000000004</v>
      </c>
      <c r="J61" s="23">
        <v>0.9</v>
      </c>
      <c r="K61" s="23">
        <v>0.4</v>
      </c>
      <c r="L61" s="23">
        <v>1.5</v>
      </c>
      <c r="M61" s="23">
        <v>1.2</v>
      </c>
      <c r="N61" s="8">
        <f t="shared" si="8"/>
        <v>66.5</v>
      </c>
      <c r="O61" s="23">
        <v>0.25</v>
      </c>
      <c r="P61" s="8">
        <f t="shared" si="9"/>
        <v>46.875</v>
      </c>
      <c r="Q61" s="23">
        <f t="shared" si="12"/>
        <v>0.83333333333333337</v>
      </c>
      <c r="R61" s="8">
        <f t="shared" si="11"/>
        <v>781.25</v>
      </c>
      <c r="S61" s="1">
        <f t="shared" si="6"/>
        <v>4</v>
      </c>
      <c r="T61" s="1">
        <f t="shared" si="7"/>
        <v>50</v>
      </c>
      <c r="U61" s="38">
        <v>46</v>
      </c>
      <c r="V61" s="22"/>
      <c r="W61" s="1">
        <v>59</v>
      </c>
      <c r="X61" s="22">
        <f t="shared" si="1"/>
        <v>992.7288421621472</v>
      </c>
      <c r="Y61" s="22">
        <f t="shared" si="2"/>
        <v>31317.529238001549</v>
      </c>
      <c r="Z61" s="22">
        <f t="shared" si="3"/>
        <v>3176.732294918871</v>
      </c>
      <c r="AA61" s="1">
        <f t="shared" si="4"/>
        <v>0.05</v>
      </c>
      <c r="AB61" s="1">
        <f t="shared" si="5"/>
        <v>1.5</v>
      </c>
      <c r="AC61" s="1">
        <f t="shared" si="13"/>
        <v>0.9</v>
      </c>
    </row>
    <row r="62" spans="5:29" ht="14.25" customHeight="1" x14ac:dyDescent="0.2">
      <c r="E62" s="1" t="s">
        <v>147</v>
      </c>
      <c r="F62" s="1" t="s">
        <v>33</v>
      </c>
      <c r="G62" s="3" t="s">
        <v>189</v>
      </c>
      <c r="H62" s="3">
        <v>47</v>
      </c>
      <c r="I62" s="23">
        <v>0.79800000000000004</v>
      </c>
      <c r="J62" s="23">
        <v>0.9</v>
      </c>
      <c r="K62" s="23">
        <v>0.4</v>
      </c>
      <c r="L62" s="23">
        <v>1.5</v>
      </c>
      <c r="M62" s="23">
        <v>1.2</v>
      </c>
      <c r="N62" s="8">
        <f t="shared" si="8"/>
        <v>66.5</v>
      </c>
      <c r="O62" s="23">
        <v>0.25</v>
      </c>
      <c r="P62" s="8">
        <f t="shared" si="9"/>
        <v>46.875</v>
      </c>
      <c r="Q62" s="23">
        <f t="shared" si="12"/>
        <v>0.83333333333333337</v>
      </c>
      <c r="R62" s="8">
        <f t="shared" si="11"/>
        <v>781.25</v>
      </c>
      <c r="S62" s="1">
        <f t="shared" si="6"/>
        <v>4</v>
      </c>
      <c r="T62" s="1">
        <f t="shared" si="7"/>
        <v>50</v>
      </c>
      <c r="U62" s="38">
        <v>47</v>
      </c>
      <c r="V62" s="22"/>
      <c r="W62" s="1">
        <v>60</v>
      </c>
      <c r="X62" s="22">
        <f t="shared" si="1"/>
        <v>1042.3652842702545</v>
      </c>
      <c r="Y62" s="22">
        <f t="shared" si="2"/>
        <v>32699.075931921976</v>
      </c>
      <c r="Z62" s="22">
        <f t="shared" si="3"/>
        <v>3335.5689096648148</v>
      </c>
      <c r="AA62" s="1">
        <f t="shared" si="4"/>
        <v>0.05</v>
      </c>
      <c r="AB62" s="1">
        <f t="shared" si="5"/>
        <v>1.5</v>
      </c>
      <c r="AC62" s="1">
        <f t="shared" si="13"/>
        <v>0.9</v>
      </c>
    </row>
    <row r="63" spans="5:29" ht="14.25" customHeight="1" x14ac:dyDescent="0.2">
      <c r="E63" s="1" t="s">
        <v>148</v>
      </c>
      <c r="F63" s="1" t="s">
        <v>33</v>
      </c>
      <c r="G63" s="3" t="s">
        <v>189</v>
      </c>
      <c r="H63" s="1">
        <v>48</v>
      </c>
      <c r="I63" s="23">
        <v>0.79800000000000004</v>
      </c>
      <c r="J63" s="23">
        <v>0.9</v>
      </c>
      <c r="K63" s="23">
        <v>0.4</v>
      </c>
      <c r="L63" s="23">
        <v>1.5</v>
      </c>
      <c r="M63" s="23">
        <v>1.2</v>
      </c>
      <c r="N63" s="8">
        <f t="shared" si="8"/>
        <v>66.5</v>
      </c>
      <c r="O63" s="23">
        <v>0.25</v>
      </c>
      <c r="P63" s="8">
        <f t="shared" si="9"/>
        <v>46.875</v>
      </c>
      <c r="Q63" s="23">
        <f t="shared" si="12"/>
        <v>0.83333333333333337</v>
      </c>
      <c r="R63" s="8">
        <f t="shared" si="11"/>
        <v>781.25</v>
      </c>
      <c r="S63" s="1">
        <f t="shared" si="6"/>
        <v>4</v>
      </c>
      <c r="T63" s="1">
        <f t="shared" si="7"/>
        <v>50</v>
      </c>
      <c r="U63" s="38">
        <v>48</v>
      </c>
      <c r="V63" s="22"/>
      <c r="W63" s="1">
        <v>61</v>
      </c>
      <c r="X63" s="22">
        <f t="shared" si="1"/>
        <v>1094.4835484837672</v>
      </c>
      <c r="Y63" s="22">
        <f t="shared" si="2"/>
        <v>34133.127815635329</v>
      </c>
      <c r="Z63" s="22">
        <f t="shared" si="3"/>
        <v>3502.3473551480547</v>
      </c>
      <c r="AA63" s="1">
        <f t="shared" si="4"/>
        <v>0.05</v>
      </c>
      <c r="AB63" s="1">
        <f t="shared" si="5"/>
        <v>1.5</v>
      </c>
      <c r="AC63" s="1">
        <f t="shared" si="13"/>
        <v>0.9</v>
      </c>
    </row>
    <row r="64" spans="5:29" ht="14.25" customHeight="1" x14ac:dyDescent="0.2">
      <c r="E64" s="1" t="s">
        <v>149</v>
      </c>
      <c r="F64" s="1" t="s">
        <v>33</v>
      </c>
      <c r="G64" s="3" t="s">
        <v>189</v>
      </c>
      <c r="H64" s="3">
        <v>49</v>
      </c>
      <c r="I64" s="23">
        <v>0.79800000000000004</v>
      </c>
      <c r="J64" s="23">
        <v>0.9</v>
      </c>
      <c r="K64" s="23">
        <v>0.4</v>
      </c>
      <c r="L64" s="23">
        <v>1.5</v>
      </c>
      <c r="M64" s="23">
        <v>1.2</v>
      </c>
      <c r="N64" s="8">
        <f t="shared" si="8"/>
        <v>66.5</v>
      </c>
      <c r="O64" s="23">
        <v>0.25</v>
      </c>
      <c r="P64" s="8">
        <f t="shared" si="9"/>
        <v>46.875</v>
      </c>
      <c r="Q64" s="23">
        <f t="shared" si="12"/>
        <v>0.83333333333333337</v>
      </c>
      <c r="R64" s="8">
        <f t="shared" si="11"/>
        <v>781.25</v>
      </c>
      <c r="S64" s="1">
        <f t="shared" si="6"/>
        <v>4</v>
      </c>
      <c r="T64" s="1">
        <f t="shared" si="7"/>
        <v>50</v>
      </c>
      <c r="U64" s="38">
        <v>49</v>
      </c>
      <c r="V64" s="22"/>
      <c r="W64" s="1">
        <v>62</v>
      </c>
      <c r="X64" s="22">
        <f t="shared" si="1"/>
        <v>1149.2077259079558</v>
      </c>
      <c r="Y64" s="22">
        <f t="shared" si="2"/>
        <v>35620.930526990967</v>
      </c>
      <c r="Z64" s="22">
        <f t="shared" si="3"/>
        <v>3677.4647229054585</v>
      </c>
      <c r="AA64" s="1">
        <f t="shared" si="4"/>
        <v>0.05</v>
      </c>
      <c r="AB64" s="1">
        <f t="shared" si="5"/>
        <v>1.5</v>
      </c>
      <c r="AC64" s="1">
        <f t="shared" si="13"/>
        <v>0.9</v>
      </c>
    </row>
    <row r="65" spans="5:29" ht="14.25" customHeight="1" x14ac:dyDescent="0.2">
      <c r="E65" s="1" t="s">
        <v>150</v>
      </c>
      <c r="F65" s="1" t="s">
        <v>33</v>
      </c>
      <c r="G65" s="3" t="s">
        <v>189</v>
      </c>
      <c r="H65" s="1">
        <v>50</v>
      </c>
      <c r="I65" s="23">
        <v>0.79800000000000004</v>
      </c>
      <c r="J65" s="23">
        <v>0.9</v>
      </c>
      <c r="K65" s="23">
        <v>0.4</v>
      </c>
      <c r="L65" s="23">
        <v>1.5</v>
      </c>
      <c r="M65" s="23">
        <v>1.2</v>
      </c>
      <c r="N65" s="8">
        <f t="shared" si="8"/>
        <v>66.5</v>
      </c>
      <c r="O65" s="23">
        <v>0.25</v>
      </c>
      <c r="P65" s="8">
        <f t="shared" si="9"/>
        <v>46.875</v>
      </c>
      <c r="Q65" s="23">
        <f t="shared" si="12"/>
        <v>0.83333333333333337</v>
      </c>
      <c r="R65" s="8">
        <f t="shared" si="11"/>
        <v>781.25</v>
      </c>
      <c r="S65" s="1">
        <f t="shared" si="6"/>
        <v>4</v>
      </c>
      <c r="T65" s="1">
        <f t="shared" si="7"/>
        <v>50</v>
      </c>
      <c r="U65" s="38">
        <v>50</v>
      </c>
      <c r="V65" s="22"/>
      <c r="W65" s="1">
        <v>63</v>
      </c>
      <c r="X65" s="22">
        <f t="shared" si="1"/>
        <v>1206.6681122033531</v>
      </c>
      <c r="Y65" s="22">
        <f t="shared" si="2"/>
        <v>37163.692100342596</v>
      </c>
      <c r="Z65" s="22">
        <f t="shared" si="3"/>
        <v>3861.3379590507298</v>
      </c>
      <c r="AA65" s="1">
        <f t="shared" si="4"/>
        <v>0.05</v>
      </c>
      <c r="AB65" s="1">
        <f t="shared" si="5"/>
        <v>1.5</v>
      </c>
      <c r="AC65" s="1">
        <f t="shared" si="13"/>
        <v>0.9</v>
      </c>
    </row>
    <row r="66" spans="5:29" ht="14.25" customHeight="1" x14ac:dyDescent="0.2">
      <c r="E66" s="1" t="s">
        <v>151</v>
      </c>
      <c r="F66" s="1" t="s">
        <v>33</v>
      </c>
      <c r="G66" s="3" t="s">
        <v>189</v>
      </c>
      <c r="H66" s="3">
        <v>51</v>
      </c>
      <c r="I66" s="23">
        <v>0.79800000000000004</v>
      </c>
      <c r="J66" s="23">
        <v>0.9</v>
      </c>
      <c r="K66" s="23">
        <v>0.4</v>
      </c>
      <c r="L66" s="23">
        <v>1.5</v>
      </c>
      <c r="M66" s="23">
        <v>1.2</v>
      </c>
      <c r="N66" s="8">
        <f t="shared" si="8"/>
        <v>66.5</v>
      </c>
      <c r="O66" s="23">
        <v>0.25</v>
      </c>
      <c r="P66" s="8">
        <f t="shared" si="9"/>
        <v>46.875</v>
      </c>
      <c r="Q66" s="23">
        <f t="shared" si="12"/>
        <v>0.83333333333333337</v>
      </c>
      <c r="R66" s="8">
        <f t="shared" si="11"/>
        <v>781.25</v>
      </c>
      <c r="S66" s="1">
        <f t="shared" si="6"/>
        <v>4</v>
      </c>
      <c r="T66" s="1">
        <f t="shared" si="7"/>
        <v>50</v>
      </c>
      <c r="U66" s="38">
        <v>51</v>
      </c>
      <c r="V66" s="22"/>
      <c r="W66" s="1">
        <v>64</v>
      </c>
      <c r="X66" s="22">
        <f t="shared" si="1"/>
        <v>1267.0015178135213</v>
      </c>
      <c r="Y66" s="22">
        <f t="shared" si="2"/>
        <v>38762.575827407869</v>
      </c>
      <c r="Z66" s="22">
        <f t="shared" si="3"/>
        <v>4054.4048570032678</v>
      </c>
      <c r="AA66" s="1">
        <f t="shared" si="4"/>
        <v>0.05</v>
      </c>
      <c r="AB66" s="1">
        <f t="shared" si="5"/>
        <v>1.5</v>
      </c>
      <c r="AC66" s="1">
        <f t="shared" si="13"/>
        <v>0.9</v>
      </c>
    </row>
    <row r="67" spans="5:29" ht="14.25" customHeight="1" x14ac:dyDescent="0.2">
      <c r="E67" s="1" t="s">
        <v>152</v>
      </c>
      <c r="F67" s="1" t="s">
        <v>33</v>
      </c>
      <c r="G67" s="3" t="s">
        <v>189</v>
      </c>
      <c r="H67" s="1">
        <v>52</v>
      </c>
      <c r="I67" s="23">
        <v>0.79800000000000004</v>
      </c>
      <c r="J67" s="23">
        <v>0.9</v>
      </c>
      <c r="K67" s="23">
        <v>0.4</v>
      </c>
      <c r="L67" s="23">
        <v>1.5</v>
      </c>
      <c r="M67" s="23">
        <v>1.2</v>
      </c>
      <c r="N67" s="8">
        <f t="shared" si="8"/>
        <v>66.5</v>
      </c>
      <c r="O67" s="23">
        <v>0.25</v>
      </c>
      <c r="P67" s="8">
        <f t="shared" si="9"/>
        <v>46.875</v>
      </c>
      <c r="Q67" s="23">
        <f t="shared" si="12"/>
        <v>0.83333333333333337</v>
      </c>
      <c r="R67" s="8">
        <f t="shared" si="11"/>
        <v>781.25</v>
      </c>
      <c r="S67" s="1">
        <f t="shared" si="6"/>
        <v>4</v>
      </c>
      <c r="T67" s="1">
        <f t="shared" si="7"/>
        <v>50</v>
      </c>
      <c r="U67" s="38">
        <v>52</v>
      </c>
      <c r="V67" s="22"/>
      <c r="W67" s="1">
        <v>65</v>
      </c>
      <c r="X67" s="22">
        <f t="shared" si="1"/>
        <v>1330.3515937041973</v>
      </c>
      <c r="Y67" s="22">
        <f t="shared" si="2"/>
        <v>40418.692743163971</v>
      </c>
      <c r="Z67" s="22">
        <f t="shared" si="3"/>
        <v>4257.1250998534315</v>
      </c>
      <c r="AA67" s="1">
        <f t="shared" si="4"/>
        <v>0.05</v>
      </c>
      <c r="AB67" s="1">
        <f t="shared" si="5"/>
        <v>1.5</v>
      </c>
      <c r="AC67" s="1">
        <f t="shared" ref="AC67:AC102" si="14">VLOOKUP($X$1,$E:$R,MATCH(AC$2,$E$15:$R$15,0),0)</f>
        <v>0.9</v>
      </c>
    </row>
    <row r="68" spans="5:29" ht="14.25" customHeight="1" x14ac:dyDescent="0.2">
      <c r="E68" s="1" t="s">
        <v>153</v>
      </c>
      <c r="F68" s="1" t="s">
        <v>33</v>
      </c>
      <c r="G68" s="3" t="s">
        <v>189</v>
      </c>
      <c r="H68" s="3">
        <v>53</v>
      </c>
      <c r="I68" s="23">
        <v>0.79800000000000004</v>
      </c>
      <c r="J68" s="23">
        <v>0.9</v>
      </c>
      <c r="K68" s="23">
        <v>0.4</v>
      </c>
      <c r="L68" s="23">
        <v>1.5</v>
      </c>
      <c r="M68" s="23">
        <v>1.2</v>
      </c>
      <c r="N68" s="8">
        <f t="shared" si="8"/>
        <v>66.5</v>
      </c>
      <c r="O68" s="23">
        <v>0.25</v>
      </c>
      <c r="P68" s="8">
        <f t="shared" si="9"/>
        <v>46.875</v>
      </c>
      <c r="Q68" s="23">
        <f t="shared" si="12"/>
        <v>0.83333333333333337</v>
      </c>
      <c r="R68" s="8">
        <f t="shared" si="11"/>
        <v>781.25</v>
      </c>
      <c r="S68" s="1">
        <f t="shared" si="6"/>
        <v>4</v>
      </c>
      <c r="T68" s="1">
        <f t="shared" si="7"/>
        <v>50</v>
      </c>
      <c r="U68" s="38">
        <v>53</v>
      </c>
      <c r="V68" s="22"/>
      <c r="W68" s="1">
        <v>66</v>
      </c>
      <c r="X68" s="22">
        <f t="shared" ref="X68:X102" si="15">VLOOKUP($X$1,$E:$U,MATCH(X$2,$E$15:$U$15,0),0)*$C$6^(W68-1)</f>
        <v>1396.8691733894073</v>
      </c>
      <c r="Y68" s="22">
        <f t="shared" ref="Y68:Y102" si="16">VLOOKUP($X$1,$E:$U,MATCH(Y$2,$E$15:$U$15,0),0)*$C$6^(W68-1)/(1+Z68/$C$15/VLOOKUP($Y$1,$B:$C,2,0)/$C$8)</f>
        <v>42133.093757559152</v>
      </c>
      <c r="Z68" s="22">
        <f t="shared" ref="Z68:Z102" si="17">VLOOKUP($X$1,$E:$U,MATCH(Z$2,$E$15:$U$15,0),0)*$C$6^(W68-1)</f>
        <v>4469.9813548461034</v>
      </c>
      <c r="AA68" s="1">
        <f t="shared" ref="AA68:AA102" si="18">$AA$1</f>
        <v>0.05</v>
      </c>
      <c r="AB68" s="1">
        <f t="shared" ref="AB68:AB102" si="19">$AB$1</f>
        <v>1.5</v>
      </c>
      <c r="AC68" s="1">
        <f t="shared" si="14"/>
        <v>0.9</v>
      </c>
    </row>
    <row r="69" spans="5:29" ht="14.25" customHeight="1" x14ac:dyDescent="0.2">
      <c r="E69" s="1" t="s">
        <v>154</v>
      </c>
      <c r="F69" s="1" t="s">
        <v>33</v>
      </c>
      <c r="G69" s="3" t="s">
        <v>189</v>
      </c>
      <c r="H69" s="1">
        <v>54</v>
      </c>
      <c r="I69" s="23">
        <v>0.79800000000000004</v>
      </c>
      <c r="J69" s="23">
        <v>0.9</v>
      </c>
      <c r="K69" s="23">
        <v>0.4</v>
      </c>
      <c r="L69" s="23">
        <v>1.5</v>
      </c>
      <c r="M69" s="23">
        <v>1.2</v>
      </c>
      <c r="N69" s="8">
        <f t="shared" si="8"/>
        <v>66.5</v>
      </c>
      <c r="O69" s="23">
        <v>0.25</v>
      </c>
      <c r="P69" s="8">
        <f t="shared" si="9"/>
        <v>46.875</v>
      </c>
      <c r="Q69" s="23">
        <f t="shared" si="12"/>
        <v>0.83333333333333337</v>
      </c>
      <c r="R69" s="8">
        <f t="shared" si="11"/>
        <v>781.25</v>
      </c>
      <c r="S69" s="1">
        <f t="shared" si="6"/>
        <v>4</v>
      </c>
      <c r="T69" s="1">
        <f t="shared" si="7"/>
        <v>50</v>
      </c>
      <c r="U69" s="38">
        <v>54</v>
      </c>
      <c r="V69" s="22"/>
      <c r="W69" s="1">
        <v>67</v>
      </c>
      <c r="X69" s="22">
        <f t="shared" si="15"/>
        <v>1466.7126320588775</v>
      </c>
      <c r="Y69" s="22">
        <f t="shared" si="16"/>
        <v>43906.761459944239</v>
      </c>
      <c r="Z69" s="22">
        <f t="shared" si="17"/>
        <v>4693.4804225884081</v>
      </c>
      <c r="AA69" s="1">
        <f t="shared" si="18"/>
        <v>0.05</v>
      </c>
      <c r="AB69" s="1">
        <f t="shared" si="19"/>
        <v>1.5</v>
      </c>
      <c r="AC69" s="1">
        <f t="shared" si="14"/>
        <v>0.9</v>
      </c>
    </row>
    <row r="70" spans="5:29" ht="14.25" customHeight="1" x14ac:dyDescent="0.2">
      <c r="E70" s="1" t="s">
        <v>155</v>
      </c>
      <c r="F70" s="1" t="s">
        <v>33</v>
      </c>
      <c r="G70" s="3" t="s">
        <v>189</v>
      </c>
      <c r="H70" s="3">
        <v>55</v>
      </c>
      <c r="I70" s="23">
        <v>0.79800000000000004</v>
      </c>
      <c r="J70" s="23">
        <v>0.9</v>
      </c>
      <c r="K70" s="23">
        <v>0.4</v>
      </c>
      <c r="L70" s="23">
        <v>1.5</v>
      </c>
      <c r="M70" s="23">
        <v>1.2</v>
      </c>
      <c r="N70" s="8">
        <f t="shared" si="8"/>
        <v>66.5</v>
      </c>
      <c r="O70" s="23">
        <v>0.25</v>
      </c>
      <c r="P70" s="8">
        <f t="shared" si="9"/>
        <v>46.875</v>
      </c>
      <c r="Q70" s="23">
        <f t="shared" si="12"/>
        <v>0.83333333333333337</v>
      </c>
      <c r="R70" s="8">
        <f t="shared" si="11"/>
        <v>781.25</v>
      </c>
      <c r="S70" s="1">
        <f t="shared" si="6"/>
        <v>4</v>
      </c>
      <c r="T70" s="1">
        <f t="shared" si="7"/>
        <v>50</v>
      </c>
      <c r="U70" s="38">
        <v>55</v>
      </c>
      <c r="V70" s="22"/>
      <c r="W70" s="1">
        <v>68</v>
      </c>
      <c r="X70" s="22">
        <f t="shared" si="15"/>
        <v>1540.0482636618215</v>
      </c>
      <c r="Y70" s="22">
        <f t="shared" si="16"/>
        <v>45740.601629679491</v>
      </c>
      <c r="Z70" s="22">
        <f t="shared" si="17"/>
        <v>4928.1544437178291</v>
      </c>
      <c r="AA70" s="1">
        <f t="shared" si="18"/>
        <v>0.05</v>
      </c>
      <c r="AB70" s="1">
        <f t="shared" si="19"/>
        <v>1.5</v>
      </c>
      <c r="AC70" s="1">
        <f t="shared" si="14"/>
        <v>0.9</v>
      </c>
    </row>
    <row r="71" spans="5:29" ht="14.25" customHeight="1" x14ac:dyDescent="0.2">
      <c r="E71" s="1" t="s">
        <v>156</v>
      </c>
      <c r="F71" s="1" t="s">
        <v>33</v>
      </c>
      <c r="G71" s="3" t="s">
        <v>189</v>
      </c>
      <c r="H71" s="1">
        <v>56</v>
      </c>
      <c r="I71" s="23">
        <v>0.79800000000000004</v>
      </c>
      <c r="J71" s="23">
        <v>0.9</v>
      </c>
      <c r="K71" s="23">
        <v>0.4</v>
      </c>
      <c r="L71" s="23">
        <v>1.5</v>
      </c>
      <c r="M71" s="23">
        <v>1.2</v>
      </c>
      <c r="N71" s="8">
        <f t="shared" si="8"/>
        <v>66.5</v>
      </c>
      <c r="O71" s="23">
        <v>0.25</v>
      </c>
      <c r="P71" s="8">
        <f t="shared" si="9"/>
        <v>46.875</v>
      </c>
      <c r="Q71" s="23">
        <f t="shared" si="12"/>
        <v>0.83333333333333337</v>
      </c>
      <c r="R71" s="8">
        <f t="shared" si="11"/>
        <v>781.25</v>
      </c>
      <c r="S71" s="1">
        <f t="shared" si="6"/>
        <v>4</v>
      </c>
      <c r="T71" s="1">
        <f t="shared" si="7"/>
        <v>50</v>
      </c>
      <c r="U71" s="38">
        <v>56</v>
      </c>
      <c r="V71" s="22"/>
      <c r="W71" s="1">
        <v>69</v>
      </c>
      <c r="X71" s="22">
        <f t="shared" si="15"/>
        <v>1617.0506768449125</v>
      </c>
      <c r="Y71" s="22">
        <f t="shared" si="16"/>
        <v>47635.434493292873</v>
      </c>
      <c r="Z71" s="22">
        <f t="shared" si="17"/>
        <v>5174.5621659037197</v>
      </c>
      <c r="AA71" s="1">
        <f t="shared" si="18"/>
        <v>0.05</v>
      </c>
      <c r="AB71" s="1">
        <f t="shared" si="19"/>
        <v>1.5</v>
      </c>
      <c r="AC71" s="1">
        <f t="shared" si="14"/>
        <v>0.9</v>
      </c>
    </row>
    <row r="72" spans="5:29" ht="14.25" customHeight="1" x14ac:dyDescent="0.2">
      <c r="E72" s="1" t="s">
        <v>157</v>
      </c>
      <c r="F72" s="1" t="s">
        <v>33</v>
      </c>
      <c r="G72" s="3" t="s">
        <v>189</v>
      </c>
      <c r="H72" s="3">
        <v>57</v>
      </c>
      <c r="I72" s="23">
        <v>0.79800000000000004</v>
      </c>
      <c r="J72" s="23">
        <v>0.9</v>
      </c>
      <c r="K72" s="23">
        <v>0.4</v>
      </c>
      <c r="L72" s="23">
        <v>1.5</v>
      </c>
      <c r="M72" s="23">
        <v>1.2</v>
      </c>
      <c r="N72" s="8">
        <f t="shared" si="8"/>
        <v>66.5</v>
      </c>
      <c r="O72" s="23">
        <v>0.25</v>
      </c>
      <c r="P72" s="8">
        <f t="shared" si="9"/>
        <v>46.875</v>
      </c>
      <c r="Q72" s="23">
        <f t="shared" si="12"/>
        <v>0.83333333333333337</v>
      </c>
      <c r="R72" s="8">
        <f t="shared" si="11"/>
        <v>781.25</v>
      </c>
      <c r="S72" s="1">
        <f t="shared" si="6"/>
        <v>4</v>
      </c>
      <c r="T72" s="1">
        <f t="shared" si="7"/>
        <v>50</v>
      </c>
      <c r="U72" s="38">
        <v>57</v>
      </c>
      <c r="V72" s="22"/>
      <c r="W72" s="1">
        <v>70</v>
      </c>
      <c r="X72" s="22">
        <f t="shared" si="15"/>
        <v>1697.9032106871582</v>
      </c>
      <c r="Y72" s="22">
        <f t="shared" si="16"/>
        <v>49591.985775790818</v>
      </c>
      <c r="Z72" s="22">
        <f t="shared" si="17"/>
        <v>5433.2902741989055</v>
      </c>
      <c r="AA72" s="1">
        <f t="shared" si="18"/>
        <v>0.05</v>
      </c>
      <c r="AB72" s="1">
        <f t="shared" si="19"/>
        <v>1.5</v>
      </c>
      <c r="AC72" s="1">
        <f t="shared" si="14"/>
        <v>0.9</v>
      </c>
    </row>
    <row r="73" spans="5:29" ht="14.25" customHeight="1" x14ac:dyDescent="0.2">
      <c r="E73" s="1" t="s">
        <v>158</v>
      </c>
      <c r="F73" s="1" t="s">
        <v>33</v>
      </c>
      <c r="G73" s="3" t="s">
        <v>189</v>
      </c>
      <c r="H73" s="1">
        <v>58</v>
      </c>
      <c r="I73" s="23">
        <v>0.79800000000000004</v>
      </c>
      <c r="J73" s="23">
        <v>0.9</v>
      </c>
      <c r="K73" s="23">
        <v>0.4</v>
      </c>
      <c r="L73" s="23">
        <v>1.5</v>
      </c>
      <c r="M73" s="23">
        <v>1.2</v>
      </c>
      <c r="N73" s="8">
        <f t="shared" si="8"/>
        <v>66.5</v>
      </c>
      <c r="O73" s="23">
        <v>0.25</v>
      </c>
      <c r="P73" s="8">
        <f t="shared" si="9"/>
        <v>46.875</v>
      </c>
      <c r="Q73" s="23">
        <f t="shared" si="12"/>
        <v>0.83333333333333337</v>
      </c>
      <c r="R73" s="8">
        <f t="shared" si="11"/>
        <v>781.25</v>
      </c>
      <c r="S73" s="1">
        <f t="shared" si="6"/>
        <v>4</v>
      </c>
      <c r="T73" s="1">
        <f t="shared" si="7"/>
        <v>50</v>
      </c>
      <c r="U73" s="38">
        <v>58</v>
      </c>
      <c r="V73" s="22"/>
      <c r="W73" s="1">
        <v>71</v>
      </c>
      <c r="X73" s="22">
        <f t="shared" si="15"/>
        <v>1782.7983712215159</v>
      </c>
      <c r="Y73" s="22">
        <f t="shared" si="16"/>
        <v>51610.877601163222</v>
      </c>
      <c r="Z73" s="22">
        <f t="shared" si="17"/>
        <v>5704.9547879088514</v>
      </c>
      <c r="AA73" s="1">
        <f t="shared" si="18"/>
        <v>0.05</v>
      </c>
      <c r="AB73" s="1">
        <f t="shared" si="19"/>
        <v>1.5</v>
      </c>
      <c r="AC73" s="1">
        <f t="shared" si="14"/>
        <v>0.9</v>
      </c>
    </row>
    <row r="74" spans="5:29" ht="14.25" customHeight="1" x14ac:dyDescent="0.2">
      <c r="E74" s="1" t="s">
        <v>159</v>
      </c>
      <c r="F74" s="1" t="s">
        <v>33</v>
      </c>
      <c r="G74" s="3" t="s">
        <v>189</v>
      </c>
      <c r="H74" s="3">
        <v>59</v>
      </c>
      <c r="I74" s="23">
        <v>0.79800000000000004</v>
      </c>
      <c r="J74" s="23">
        <v>0.9</v>
      </c>
      <c r="K74" s="23">
        <v>0.4</v>
      </c>
      <c r="L74" s="23">
        <v>1.5</v>
      </c>
      <c r="M74" s="23">
        <v>1.2</v>
      </c>
      <c r="N74" s="8">
        <f t="shared" si="8"/>
        <v>66.5</v>
      </c>
      <c r="O74" s="23">
        <v>0.25</v>
      </c>
      <c r="P74" s="8">
        <f t="shared" si="9"/>
        <v>46.875</v>
      </c>
      <c r="Q74" s="23">
        <f t="shared" si="12"/>
        <v>0.83333333333333337</v>
      </c>
      <c r="R74" s="8">
        <f t="shared" si="11"/>
        <v>781.25</v>
      </c>
      <c r="S74" s="1">
        <f t="shared" si="6"/>
        <v>4</v>
      </c>
      <c r="T74" s="1">
        <f t="shared" si="7"/>
        <v>50</v>
      </c>
      <c r="U74" s="38">
        <v>59</v>
      </c>
      <c r="V74" s="22"/>
      <c r="W74" s="1">
        <v>72</v>
      </c>
      <c r="X74" s="22">
        <f t="shared" si="15"/>
        <v>1871.9382897825919</v>
      </c>
      <c r="Y74" s="22">
        <f t="shared" si="16"/>
        <v>53692.619304677864</v>
      </c>
      <c r="Z74" s="22">
        <f t="shared" si="17"/>
        <v>5990.2025273042946</v>
      </c>
      <c r="AA74" s="1">
        <f t="shared" si="18"/>
        <v>0.05</v>
      </c>
      <c r="AB74" s="1">
        <f t="shared" si="19"/>
        <v>1.5</v>
      </c>
      <c r="AC74" s="1">
        <f t="shared" si="14"/>
        <v>0.9</v>
      </c>
    </row>
    <row r="75" spans="5:29" ht="14.25" customHeight="1" x14ac:dyDescent="0.2">
      <c r="E75" s="1" t="s">
        <v>160</v>
      </c>
      <c r="F75" s="1" t="s">
        <v>33</v>
      </c>
      <c r="G75" s="3" t="s">
        <v>189</v>
      </c>
      <c r="H75" s="1">
        <v>60</v>
      </c>
      <c r="I75" s="23">
        <v>0.79800000000000004</v>
      </c>
      <c r="J75" s="23">
        <v>0.9</v>
      </c>
      <c r="K75" s="23">
        <v>0.4</v>
      </c>
      <c r="L75" s="23">
        <v>1.5</v>
      </c>
      <c r="M75" s="23">
        <v>1.2</v>
      </c>
      <c r="N75" s="8">
        <f t="shared" si="8"/>
        <v>66.5</v>
      </c>
      <c r="O75" s="23">
        <v>0.25</v>
      </c>
      <c r="P75" s="8">
        <f t="shared" si="9"/>
        <v>46.875</v>
      </c>
      <c r="Q75" s="23">
        <f t="shared" si="12"/>
        <v>0.83333333333333337</v>
      </c>
      <c r="R75" s="8">
        <f t="shared" si="11"/>
        <v>781.25</v>
      </c>
      <c r="S75" s="1">
        <f t="shared" si="6"/>
        <v>4</v>
      </c>
      <c r="T75" s="1">
        <f t="shared" si="7"/>
        <v>50</v>
      </c>
      <c r="U75" s="38">
        <v>60</v>
      </c>
      <c r="V75" s="22"/>
      <c r="W75" s="1">
        <v>73</v>
      </c>
      <c r="X75" s="22">
        <f t="shared" si="15"/>
        <v>1965.5352042717216</v>
      </c>
      <c r="Y75" s="22">
        <f t="shared" si="16"/>
        <v>55837.598227102586</v>
      </c>
      <c r="Z75" s="22">
        <f t="shared" si="17"/>
        <v>6289.7126536695087</v>
      </c>
      <c r="AA75" s="1">
        <f t="shared" si="18"/>
        <v>0.05</v>
      </c>
      <c r="AB75" s="1">
        <f t="shared" si="19"/>
        <v>1.5</v>
      </c>
      <c r="AC75" s="1">
        <f t="shared" si="14"/>
        <v>0.9</v>
      </c>
    </row>
    <row r="76" spans="5:29" ht="14.25" customHeight="1" x14ac:dyDescent="0.2">
      <c r="E76" s="1" t="s">
        <v>161</v>
      </c>
      <c r="F76" s="1" t="s">
        <v>33</v>
      </c>
      <c r="G76" s="3" t="s">
        <v>189</v>
      </c>
      <c r="H76" s="3">
        <v>61</v>
      </c>
      <c r="I76" s="23">
        <v>0.79800000000000004</v>
      </c>
      <c r="J76" s="23">
        <v>0.9</v>
      </c>
      <c r="K76" s="23">
        <v>0.4</v>
      </c>
      <c r="L76" s="23">
        <v>1.5</v>
      </c>
      <c r="M76" s="23">
        <v>1.2</v>
      </c>
      <c r="N76" s="8">
        <f t="shared" si="8"/>
        <v>66.5</v>
      </c>
      <c r="O76" s="23">
        <v>0.25</v>
      </c>
      <c r="P76" s="8">
        <f t="shared" si="9"/>
        <v>46.875</v>
      </c>
      <c r="Q76" s="23">
        <f t="shared" si="12"/>
        <v>0.83333333333333337</v>
      </c>
      <c r="R76" s="8">
        <f t="shared" si="11"/>
        <v>781.25</v>
      </c>
      <c r="S76" s="1">
        <f t="shared" si="6"/>
        <v>4</v>
      </c>
      <c r="T76" s="1">
        <f t="shared" si="7"/>
        <v>50</v>
      </c>
      <c r="U76" s="38">
        <v>61</v>
      </c>
      <c r="V76" s="22"/>
      <c r="W76" s="1">
        <v>74</v>
      </c>
      <c r="X76" s="22">
        <f t="shared" si="15"/>
        <v>2063.8119644853073</v>
      </c>
      <c r="Y76" s="22">
        <f t="shared" si="16"/>
        <v>58046.070568386975</v>
      </c>
      <c r="Z76" s="22">
        <f t="shared" si="17"/>
        <v>6604.1982863529838</v>
      </c>
      <c r="AA76" s="1">
        <f t="shared" si="18"/>
        <v>0.05</v>
      </c>
      <c r="AB76" s="1">
        <f t="shared" si="19"/>
        <v>1.5</v>
      </c>
      <c r="AC76" s="1">
        <f t="shared" si="14"/>
        <v>0.9</v>
      </c>
    </row>
    <row r="77" spans="5:29" ht="14.25" customHeight="1" x14ac:dyDescent="0.2">
      <c r="E77" s="1" t="s">
        <v>162</v>
      </c>
      <c r="F77" s="1" t="s">
        <v>33</v>
      </c>
      <c r="G77" s="3" t="s">
        <v>189</v>
      </c>
      <c r="H77" s="1">
        <v>62</v>
      </c>
      <c r="I77" s="23">
        <v>0.79800000000000004</v>
      </c>
      <c r="J77" s="23">
        <v>0.9</v>
      </c>
      <c r="K77" s="23">
        <v>0.4</v>
      </c>
      <c r="L77" s="23">
        <v>1.5</v>
      </c>
      <c r="M77" s="23">
        <v>1.2</v>
      </c>
      <c r="N77" s="8">
        <f t="shared" si="8"/>
        <v>66.5</v>
      </c>
      <c r="O77" s="23">
        <v>0.25</v>
      </c>
      <c r="P77" s="8">
        <f t="shared" si="9"/>
        <v>46.875</v>
      </c>
      <c r="Q77" s="23">
        <f t="shared" si="12"/>
        <v>0.83333333333333337</v>
      </c>
      <c r="R77" s="8">
        <f t="shared" si="11"/>
        <v>781.25</v>
      </c>
      <c r="S77" s="1">
        <f t="shared" si="6"/>
        <v>4</v>
      </c>
      <c r="T77" s="1">
        <f t="shared" si="7"/>
        <v>50</v>
      </c>
      <c r="U77" s="38">
        <v>62</v>
      </c>
      <c r="V77" s="22"/>
      <c r="W77" s="1">
        <v>75</v>
      </c>
      <c r="X77" s="22">
        <f t="shared" si="15"/>
        <v>2167.0025627095729</v>
      </c>
      <c r="Y77" s="22">
        <f t="shared" si="16"/>
        <v>60318.15238542093</v>
      </c>
      <c r="Z77" s="22">
        <f t="shared" si="17"/>
        <v>6934.4082006706331</v>
      </c>
      <c r="AA77" s="1">
        <f t="shared" si="18"/>
        <v>0.05</v>
      </c>
      <c r="AB77" s="1">
        <f t="shared" si="19"/>
        <v>1.5</v>
      </c>
      <c r="AC77" s="1">
        <f t="shared" si="14"/>
        <v>0.9</v>
      </c>
    </row>
    <row r="78" spans="5:29" ht="14.25" customHeight="1" x14ac:dyDescent="0.2">
      <c r="E78" s="1" t="s">
        <v>163</v>
      </c>
      <c r="F78" s="1" t="s">
        <v>33</v>
      </c>
      <c r="G78" s="3" t="s">
        <v>189</v>
      </c>
      <c r="H78" s="3">
        <v>63</v>
      </c>
      <c r="I78" s="23">
        <v>0.79800000000000004</v>
      </c>
      <c r="J78" s="23">
        <v>0.9</v>
      </c>
      <c r="K78" s="23">
        <v>0.4</v>
      </c>
      <c r="L78" s="23">
        <v>1.5</v>
      </c>
      <c r="M78" s="23">
        <v>1.2</v>
      </c>
      <c r="N78" s="8">
        <f t="shared" si="8"/>
        <v>66.5</v>
      </c>
      <c r="O78" s="23">
        <v>0.25</v>
      </c>
      <c r="P78" s="8">
        <f t="shared" si="9"/>
        <v>46.875</v>
      </c>
      <c r="Q78" s="23">
        <f t="shared" si="12"/>
        <v>0.83333333333333337</v>
      </c>
      <c r="R78" s="8">
        <f t="shared" si="11"/>
        <v>781.25</v>
      </c>
      <c r="S78" s="1">
        <f t="shared" si="6"/>
        <v>4</v>
      </c>
      <c r="T78" s="1">
        <f t="shared" si="7"/>
        <v>50</v>
      </c>
      <c r="U78" s="38">
        <v>63</v>
      </c>
      <c r="V78" s="22"/>
      <c r="W78" s="1">
        <v>76</v>
      </c>
      <c r="X78" s="22">
        <f t="shared" si="15"/>
        <v>2275.3526908450517</v>
      </c>
      <c r="Y78" s="22">
        <f t="shared" si="16"/>
        <v>62653.810825094406</v>
      </c>
      <c r="Z78" s="22">
        <f t="shared" si="17"/>
        <v>7281.1286107041651</v>
      </c>
      <c r="AA78" s="1">
        <f t="shared" si="18"/>
        <v>0.05</v>
      </c>
      <c r="AB78" s="1">
        <f t="shared" si="19"/>
        <v>1.5</v>
      </c>
      <c r="AC78" s="1">
        <f t="shared" si="14"/>
        <v>0.9</v>
      </c>
    </row>
    <row r="79" spans="5:29" ht="14.25" customHeight="1" x14ac:dyDescent="0.2">
      <c r="E79" s="1" t="s">
        <v>164</v>
      </c>
      <c r="F79" s="1" t="s">
        <v>33</v>
      </c>
      <c r="G79" s="3" t="s">
        <v>189</v>
      </c>
      <c r="H79" s="1">
        <v>64</v>
      </c>
      <c r="I79" s="23">
        <v>0.79800000000000004</v>
      </c>
      <c r="J79" s="23">
        <v>0.9</v>
      </c>
      <c r="K79" s="23">
        <v>0.4</v>
      </c>
      <c r="L79" s="23">
        <v>1.5</v>
      </c>
      <c r="M79" s="23">
        <v>1.2</v>
      </c>
      <c r="N79" s="8">
        <f t="shared" si="8"/>
        <v>66.5</v>
      </c>
      <c r="O79" s="23">
        <v>0.25</v>
      </c>
      <c r="P79" s="8">
        <f t="shared" si="9"/>
        <v>46.875</v>
      </c>
      <c r="Q79" s="23">
        <f t="shared" si="12"/>
        <v>0.83333333333333337</v>
      </c>
      <c r="R79" s="8">
        <f t="shared" si="11"/>
        <v>781.25</v>
      </c>
      <c r="S79" s="1">
        <f t="shared" si="6"/>
        <v>4</v>
      </c>
      <c r="T79" s="1">
        <f t="shared" si="7"/>
        <v>50</v>
      </c>
      <c r="U79" s="38">
        <v>64</v>
      </c>
      <c r="V79" s="22"/>
      <c r="W79" s="1">
        <v>77</v>
      </c>
      <c r="X79" s="22">
        <f t="shared" si="15"/>
        <v>2389.1203253873041</v>
      </c>
      <c r="Y79" s="22">
        <f t="shared" si="16"/>
        <v>65052.85568982509</v>
      </c>
      <c r="Z79" s="22">
        <f t="shared" si="17"/>
        <v>7645.1850412393724</v>
      </c>
      <c r="AA79" s="1">
        <f t="shared" si="18"/>
        <v>0.05</v>
      </c>
      <c r="AB79" s="1">
        <f t="shared" si="19"/>
        <v>1.5</v>
      </c>
      <c r="AC79" s="1">
        <f t="shared" si="14"/>
        <v>0.9</v>
      </c>
    </row>
    <row r="80" spans="5:29" ht="14.25" customHeight="1" x14ac:dyDescent="0.2">
      <c r="E80" s="1" t="s">
        <v>165</v>
      </c>
      <c r="F80" s="1" t="s">
        <v>33</v>
      </c>
      <c r="G80" s="3" t="s">
        <v>189</v>
      </c>
      <c r="H80" s="3">
        <v>65</v>
      </c>
      <c r="I80" s="23">
        <v>0.79800000000000004</v>
      </c>
      <c r="J80" s="23">
        <v>0.9</v>
      </c>
      <c r="K80" s="23">
        <v>0.4</v>
      </c>
      <c r="L80" s="23">
        <v>1.5</v>
      </c>
      <c r="M80" s="23">
        <v>1.2</v>
      </c>
      <c r="N80" s="8">
        <f t="shared" si="8"/>
        <v>66.5</v>
      </c>
      <c r="O80" s="23">
        <v>0.25</v>
      </c>
      <c r="P80" s="8">
        <f t="shared" si="9"/>
        <v>46.875</v>
      </c>
      <c r="Q80" s="23">
        <f t="shared" si="12"/>
        <v>0.83333333333333337</v>
      </c>
      <c r="R80" s="8">
        <f t="shared" si="11"/>
        <v>781.25</v>
      </c>
      <c r="S80" s="1">
        <f t="shared" ref="S80:S98" si="20">VLOOKUP(VLOOKUP($F80,$K$4:$L$10,2,0),$E$4:$G$7,2,0)</f>
        <v>4</v>
      </c>
      <c r="T80" s="1">
        <f t="shared" ref="T80:T98" si="21">VLOOKUP(VLOOKUP($F80,$K$4:$L$10,2,0),$E$4:$G$7,3,0)</f>
        <v>50</v>
      </c>
      <c r="U80" s="38">
        <v>65</v>
      </c>
      <c r="V80" s="22"/>
      <c r="W80" s="1">
        <v>78</v>
      </c>
      <c r="X80" s="22">
        <f t="shared" si="15"/>
        <v>2508.5763416566697</v>
      </c>
      <c r="Y80" s="22">
        <f t="shared" si="16"/>
        <v>67514.931437804596</v>
      </c>
      <c r="Z80" s="22">
        <f t="shared" si="17"/>
        <v>8027.4442933013434</v>
      </c>
      <c r="AA80" s="1">
        <f t="shared" si="18"/>
        <v>0.05</v>
      </c>
      <c r="AB80" s="1">
        <f t="shared" si="19"/>
        <v>1.5</v>
      </c>
      <c r="AC80" s="1">
        <f t="shared" si="14"/>
        <v>0.9</v>
      </c>
    </row>
    <row r="81" spans="5:29" ht="14.25" customHeight="1" x14ac:dyDescent="0.2">
      <c r="E81" s="1" t="s">
        <v>166</v>
      </c>
      <c r="F81" s="1" t="s">
        <v>33</v>
      </c>
      <c r="G81" s="3" t="s">
        <v>189</v>
      </c>
      <c r="H81" s="1">
        <v>66</v>
      </c>
      <c r="I81" s="23">
        <v>0.79800000000000004</v>
      </c>
      <c r="J81" s="23">
        <v>0.9</v>
      </c>
      <c r="K81" s="23">
        <v>0.4</v>
      </c>
      <c r="L81" s="23">
        <v>1.5</v>
      </c>
      <c r="M81" s="23">
        <v>1.2</v>
      </c>
      <c r="N81" s="8">
        <f t="shared" ref="N81:N98" si="22">I81/J81/(1+K81*(L81-1))*$C$5*M81*$C$15*S81*VLOOKUP(G81,$B:$C,2,0)</f>
        <v>66.5</v>
      </c>
      <c r="O81" s="23">
        <v>0.25</v>
      </c>
      <c r="P81" s="8">
        <f t="shared" ref="P81:P98" si="23">$C$7*O81*$C$5*$C$15*VLOOKUP(G81,$B:$C,2,0)</f>
        <v>46.875</v>
      </c>
      <c r="Q81" s="23">
        <f t="shared" si="12"/>
        <v>0.83333333333333337</v>
      </c>
      <c r="R81" s="8">
        <f t="shared" ref="R81:R98" si="24">T81*$C$5*Q81*$C$15*VLOOKUP(G81,$B:$C,2,0)</f>
        <v>781.25</v>
      </c>
      <c r="S81" s="1">
        <f t="shared" si="20"/>
        <v>4</v>
      </c>
      <c r="T81" s="1">
        <f t="shared" si="21"/>
        <v>50</v>
      </c>
      <c r="U81" s="38">
        <v>66</v>
      </c>
      <c r="V81" s="22"/>
      <c r="W81" s="1">
        <v>79</v>
      </c>
      <c r="X81" s="22">
        <f t="shared" si="15"/>
        <v>2634.0051587395023</v>
      </c>
      <c r="Y81" s="22">
        <f t="shared" si="16"/>
        <v>70039.509724240299</v>
      </c>
      <c r="Z81" s="22">
        <f t="shared" si="17"/>
        <v>8428.8165079664068</v>
      </c>
      <c r="AA81" s="1">
        <f t="shared" si="18"/>
        <v>0.05</v>
      </c>
      <c r="AB81" s="1">
        <f t="shared" si="19"/>
        <v>1.5</v>
      </c>
      <c r="AC81" s="1">
        <f t="shared" si="14"/>
        <v>0.9</v>
      </c>
    </row>
    <row r="82" spans="5:29" ht="14.25" customHeight="1" x14ac:dyDescent="0.2">
      <c r="E82" s="1" t="s">
        <v>167</v>
      </c>
      <c r="F82" s="1" t="s">
        <v>33</v>
      </c>
      <c r="G82" s="3" t="s">
        <v>189</v>
      </c>
      <c r="H82" s="3">
        <v>67</v>
      </c>
      <c r="I82" s="23">
        <v>0.79800000000000004</v>
      </c>
      <c r="J82" s="23">
        <v>0.9</v>
      </c>
      <c r="K82" s="23">
        <v>0.4</v>
      </c>
      <c r="L82" s="23">
        <v>1.5</v>
      </c>
      <c r="M82" s="23">
        <v>1.2</v>
      </c>
      <c r="N82" s="8">
        <f t="shared" si="22"/>
        <v>66.5</v>
      </c>
      <c r="O82" s="23">
        <v>0.25</v>
      </c>
      <c r="P82" s="8">
        <f t="shared" si="23"/>
        <v>46.875</v>
      </c>
      <c r="Q82" s="23">
        <f t="shared" si="12"/>
        <v>0.83333333333333337</v>
      </c>
      <c r="R82" s="8">
        <f t="shared" si="24"/>
        <v>781.25</v>
      </c>
      <c r="S82" s="1">
        <f t="shared" si="20"/>
        <v>4</v>
      </c>
      <c r="T82" s="1">
        <f t="shared" si="21"/>
        <v>50</v>
      </c>
      <c r="U82" s="38">
        <v>67</v>
      </c>
      <c r="V82" s="22"/>
      <c r="W82" s="1">
        <v>80</v>
      </c>
      <c r="X82" s="22">
        <f t="shared" si="15"/>
        <v>2765.7054166764783</v>
      </c>
      <c r="Y82" s="22">
        <f t="shared" si="16"/>
        <v>72625.882592638183</v>
      </c>
      <c r="Z82" s="22">
        <f t="shared" si="17"/>
        <v>8850.2573333647306</v>
      </c>
      <c r="AA82" s="1">
        <f t="shared" si="18"/>
        <v>0.05</v>
      </c>
      <c r="AB82" s="1">
        <f t="shared" si="19"/>
        <v>1.5</v>
      </c>
      <c r="AC82" s="1">
        <f t="shared" si="14"/>
        <v>0.9</v>
      </c>
    </row>
    <row r="83" spans="5:29" ht="14.25" customHeight="1" x14ac:dyDescent="0.2">
      <c r="E83" s="1" t="s">
        <v>168</v>
      </c>
      <c r="F83" s="1" t="s">
        <v>33</v>
      </c>
      <c r="G83" s="3" t="s">
        <v>189</v>
      </c>
      <c r="H83" s="1">
        <v>68</v>
      </c>
      <c r="I83" s="23">
        <v>0.79800000000000004</v>
      </c>
      <c r="J83" s="23">
        <v>0.9</v>
      </c>
      <c r="K83" s="23">
        <v>0.4</v>
      </c>
      <c r="L83" s="23">
        <v>1.5</v>
      </c>
      <c r="M83" s="23">
        <v>1.2</v>
      </c>
      <c r="N83" s="8">
        <f t="shared" si="22"/>
        <v>66.5</v>
      </c>
      <c r="O83" s="23">
        <v>0.25</v>
      </c>
      <c r="P83" s="8">
        <f t="shared" si="23"/>
        <v>46.875</v>
      </c>
      <c r="Q83" s="23">
        <f t="shared" si="12"/>
        <v>0.83333333333333337</v>
      </c>
      <c r="R83" s="8">
        <f t="shared" si="24"/>
        <v>781.25</v>
      </c>
      <c r="S83" s="1">
        <f t="shared" si="20"/>
        <v>4</v>
      </c>
      <c r="T83" s="1">
        <f t="shared" si="21"/>
        <v>50</v>
      </c>
      <c r="U83" s="38">
        <v>68</v>
      </c>
      <c r="V83" s="22"/>
      <c r="W83" s="1">
        <v>81</v>
      </c>
      <c r="X83" s="22">
        <f t="shared" si="15"/>
        <v>2903.990687510302</v>
      </c>
      <c r="Y83" s="22">
        <f t="shared" si="16"/>
        <v>75273.156426488742</v>
      </c>
      <c r="Z83" s="22">
        <f t="shared" si="17"/>
        <v>9292.7702000329664</v>
      </c>
      <c r="AA83" s="1">
        <f t="shared" si="18"/>
        <v>0.05</v>
      </c>
      <c r="AB83" s="1">
        <f t="shared" si="19"/>
        <v>1.5</v>
      </c>
      <c r="AC83" s="1">
        <f t="shared" si="14"/>
        <v>0.9</v>
      </c>
    </row>
    <row r="84" spans="5:29" ht="14.25" customHeight="1" x14ac:dyDescent="0.2">
      <c r="E84" s="1" t="s">
        <v>169</v>
      </c>
      <c r="F84" s="1" t="s">
        <v>33</v>
      </c>
      <c r="G84" s="3" t="s">
        <v>189</v>
      </c>
      <c r="H84" s="3">
        <v>69</v>
      </c>
      <c r="I84" s="23">
        <v>0.79800000000000004</v>
      </c>
      <c r="J84" s="23">
        <v>0.9</v>
      </c>
      <c r="K84" s="23">
        <v>0.4</v>
      </c>
      <c r="L84" s="23">
        <v>1.5</v>
      </c>
      <c r="M84" s="23">
        <v>1.2</v>
      </c>
      <c r="N84" s="8">
        <f t="shared" si="22"/>
        <v>66.5</v>
      </c>
      <c r="O84" s="23">
        <v>0.25</v>
      </c>
      <c r="P84" s="8">
        <f t="shared" si="23"/>
        <v>46.875</v>
      </c>
      <c r="Q84" s="23">
        <f t="shared" si="12"/>
        <v>0.83333333333333337</v>
      </c>
      <c r="R84" s="8">
        <f t="shared" si="24"/>
        <v>781.25</v>
      </c>
      <c r="S84" s="1">
        <f t="shared" si="20"/>
        <v>4</v>
      </c>
      <c r="T84" s="1">
        <f t="shared" si="21"/>
        <v>50</v>
      </c>
      <c r="U84" s="38">
        <v>69</v>
      </c>
      <c r="V84" s="22"/>
      <c r="W84" s="1">
        <v>82</v>
      </c>
      <c r="X84" s="22">
        <f t="shared" si="15"/>
        <v>3049.1902218858177</v>
      </c>
      <c r="Y84" s="22">
        <f t="shared" si="16"/>
        <v>77980.246771401216</v>
      </c>
      <c r="Z84" s="22">
        <f t="shared" si="17"/>
        <v>9757.4087100346169</v>
      </c>
      <c r="AA84" s="1">
        <f t="shared" si="18"/>
        <v>0.05</v>
      </c>
      <c r="AB84" s="1">
        <f t="shared" si="19"/>
        <v>1.5</v>
      </c>
      <c r="AC84" s="1">
        <f t="shared" si="14"/>
        <v>0.9</v>
      </c>
    </row>
    <row r="85" spans="5:29" ht="14.25" customHeight="1" x14ac:dyDescent="0.2">
      <c r="E85" s="1" t="s">
        <v>170</v>
      </c>
      <c r="F85" s="1" t="s">
        <v>33</v>
      </c>
      <c r="G85" s="3" t="s">
        <v>189</v>
      </c>
      <c r="H85" s="1">
        <v>70</v>
      </c>
      <c r="I85" s="23">
        <v>0.79800000000000004</v>
      </c>
      <c r="J85" s="23">
        <v>0.9</v>
      </c>
      <c r="K85" s="23">
        <v>0.4</v>
      </c>
      <c r="L85" s="23">
        <v>1.5</v>
      </c>
      <c r="M85" s="23">
        <v>1.2</v>
      </c>
      <c r="N85" s="8">
        <f t="shared" si="22"/>
        <v>66.5</v>
      </c>
      <c r="O85" s="23">
        <v>0.25</v>
      </c>
      <c r="P85" s="8">
        <f t="shared" si="23"/>
        <v>46.875</v>
      </c>
      <c r="Q85" s="23">
        <f t="shared" si="12"/>
        <v>0.83333333333333337</v>
      </c>
      <c r="R85" s="8">
        <f t="shared" si="24"/>
        <v>781.25</v>
      </c>
      <c r="S85" s="1">
        <f t="shared" si="20"/>
        <v>4</v>
      </c>
      <c r="T85" s="1">
        <f t="shared" si="21"/>
        <v>50</v>
      </c>
      <c r="U85" s="38">
        <v>70</v>
      </c>
      <c r="V85" s="22"/>
      <c r="W85" s="1">
        <v>83</v>
      </c>
      <c r="X85" s="22">
        <f t="shared" si="15"/>
        <v>3201.6497329801086</v>
      </c>
      <c r="Y85" s="22">
        <f t="shared" si="16"/>
        <v>80745.874135615071</v>
      </c>
      <c r="Z85" s="22">
        <f t="shared" si="17"/>
        <v>10245.279145536348</v>
      </c>
      <c r="AA85" s="1">
        <f t="shared" si="18"/>
        <v>0.05</v>
      </c>
      <c r="AB85" s="1">
        <f t="shared" si="19"/>
        <v>1.5</v>
      </c>
      <c r="AC85" s="1">
        <f t="shared" si="14"/>
        <v>0.9</v>
      </c>
    </row>
    <row r="86" spans="5:29" ht="14.25" customHeight="1" x14ac:dyDescent="0.2">
      <c r="E86" s="1" t="s">
        <v>171</v>
      </c>
      <c r="F86" s="1" t="s">
        <v>33</v>
      </c>
      <c r="G86" s="3" t="s">
        <v>189</v>
      </c>
      <c r="H86" s="3">
        <v>71</v>
      </c>
      <c r="I86" s="23">
        <v>0.79800000000000004</v>
      </c>
      <c r="J86" s="23">
        <v>0.9</v>
      </c>
      <c r="K86" s="23">
        <v>0.4</v>
      </c>
      <c r="L86" s="23">
        <v>1.5</v>
      </c>
      <c r="M86" s="23">
        <v>1.2</v>
      </c>
      <c r="N86" s="8">
        <f t="shared" si="22"/>
        <v>66.5</v>
      </c>
      <c r="O86" s="23">
        <v>0.25</v>
      </c>
      <c r="P86" s="8">
        <f t="shared" si="23"/>
        <v>46.875</v>
      </c>
      <c r="Q86" s="23">
        <f t="shared" si="12"/>
        <v>0.83333333333333337</v>
      </c>
      <c r="R86" s="8">
        <f t="shared" si="24"/>
        <v>781.25</v>
      </c>
      <c r="S86" s="1">
        <f t="shared" si="20"/>
        <v>4</v>
      </c>
      <c r="T86" s="1">
        <f t="shared" si="21"/>
        <v>50</v>
      </c>
      <c r="U86" s="38">
        <v>71</v>
      </c>
      <c r="V86" s="22"/>
      <c r="W86" s="1">
        <v>84</v>
      </c>
      <c r="X86" s="22">
        <f t="shared" si="15"/>
        <v>3361.7322196291138</v>
      </c>
      <c r="Y86" s="22">
        <f t="shared" si="16"/>
        <v>83568.56087276894</v>
      </c>
      <c r="Z86" s="22">
        <f t="shared" si="17"/>
        <v>10757.543102813164</v>
      </c>
      <c r="AA86" s="1">
        <f t="shared" si="18"/>
        <v>0.05</v>
      </c>
      <c r="AB86" s="1">
        <f t="shared" si="19"/>
        <v>1.5</v>
      </c>
      <c r="AC86" s="1">
        <f t="shared" si="14"/>
        <v>0.9</v>
      </c>
    </row>
    <row r="87" spans="5:29" ht="14.25" customHeight="1" x14ac:dyDescent="0.2">
      <c r="E87" s="1" t="s">
        <v>172</v>
      </c>
      <c r="F87" s="1" t="s">
        <v>33</v>
      </c>
      <c r="G87" s="3" t="s">
        <v>189</v>
      </c>
      <c r="H87" s="1">
        <v>72</v>
      </c>
      <c r="I87" s="23">
        <v>0.79800000000000004</v>
      </c>
      <c r="J87" s="23">
        <v>0.9</v>
      </c>
      <c r="K87" s="23">
        <v>0.4</v>
      </c>
      <c r="L87" s="23">
        <v>1.5</v>
      </c>
      <c r="M87" s="23">
        <v>1.2</v>
      </c>
      <c r="N87" s="8">
        <f t="shared" si="22"/>
        <v>66.5</v>
      </c>
      <c r="O87" s="23">
        <v>0.25</v>
      </c>
      <c r="P87" s="8">
        <f t="shared" si="23"/>
        <v>46.875</v>
      </c>
      <c r="Q87" s="23">
        <f t="shared" si="12"/>
        <v>0.83333333333333337</v>
      </c>
      <c r="R87" s="8">
        <f t="shared" si="24"/>
        <v>781.25</v>
      </c>
      <c r="S87" s="1">
        <f t="shared" si="20"/>
        <v>4</v>
      </c>
      <c r="T87" s="1">
        <f t="shared" si="21"/>
        <v>50</v>
      </c>
      <c r="U87" s="38">
        <v>72</v>
      </c>
      <c r="V87" s="22"/>
      <c r="W87" s="1">
        <v>85</v>
      </c>
      <c r="X87" s="22">
        <f t="shared" si="15"/>
        <v>3529.8188306105694</v>
      </c>
      <c r="Y87" s="22">
        <f t="shared" si="16"/>
        <v>86446.629244716489</v>
      </c>
      <c r="Z87" s="22">
        <f t="shared" si="17"/>
        <v>11295.420257953823</v>
      </c>
      <c r="AA87" s="1">
        <f t="shared" si="18"/>
        <v>0.05</v>
      </c>
      <c r="AB87" s="1">
        <f t="shared" si="19"/>
        <v>1.5</v>
      </c>
      <c r="AC87" s="1">
        <f t="shared" si="14"/>
        <v>0.9</v>
      </c>
    </row>
    <row r="88" spans="5:29" ht="14.25" customHeight="1" x14ac:dyDescent="0.2">
      <c r="E88" s="1" t="s">
        <v>173</v>
      </c>
      <c r="F88" s="1" t="s">
        <v>33</v>
      </c>
      <c r="G88" s="3" t="s">
        <v>189</v>
      </c>
      <c r="H88" s="3">
        <v>73</v>
      </c>
      <c r="I88" s="23">
        <v>0.79800000000000004</v>
      </c>
      <c r="J88" s="23">
        <v>0.9</v>
      </c>
      <c r="K88" s="23">
        <v>0.4</v>
      </c>
      <c r="L88" s="23">
        <v>1.5</v>
      </c>
      <c r="M88" s="23">
        <v>1.2</v>
      </c>
      <c r="N88" s="8">
        <f t="shared" si="22"/>
        <v>66.5</v>
      </c>
      <c r="O88" s="23">
        <v>0.25</v>
      </c>
      <c r="P88" s="8">
        <f t="shared" si="23"/>
        <v>46.875</v>
      </c>
      <c r="Q88" s="23">
        <f t="shared" si="12"/>
        <v>0.83333333333333337</v>
      </c>
      <c r="R88" s="8">
        <f t="shared" si="24"/>
        <v>781.25</v>
      </c>
      <c r="S88" s="1">
        <f t="shared" si="20"/>
        <v>4</v>
      </c>
      <c r="T88" s="1">
        <f t="shared" si="21"/>
        <v>50</v>
      </c>
      <c r="U88" s="38">
        <v>73</v>
      </c>
      <c r="V88" s="22"/>
      <c r="W88" s="1">
        <v>86</v>
      </c>
      <c r="X88" s="22">
        <f t="shared" si="15"/>
        <v>3706.3097721410977</v>
      </c>
      <c r="Y88" s="22">
        <f t="shared" si="16"/>
        <v>89378.20075398717</v>
      </c>
      <c r="Z88" s="22">
        <f t="shared" si="17"/>
        <v>11860.191270851512</v>
      </c>
      <c r="AA88" s="1">
        <f t="shared" si="18"/>
        <v>0.05</v>
      </c>
      <c r="AB88" s="1">
        <f t="shared" si="19"/>
        <v>1.5</v>
      </c>
      <c r="AC88" s="1">
        <f t="shared" si="14"/>
        <v>0.9</v>
      </c>
    </row>
    <row r="89" spans="5:29" ht="14.25" customHeight="1" x14ac:dyDescent="0.2">
      <c r="E89" s="1" t="s">
        <v>174</v>
      </c>
      <c r="F89" s="1" t="s">
        <v>33</v>
      </c>
      <c r="G89" s="3" t="s">
        <v>189</v>
      </c>
      <c r="H89" s="1">
        <v>74</v>
      </c>
      <c r="I89" s="23">
        <v>0.79800000000000004</v>
      </c>
      <c r="J89" s="23">
        <v>0.9</v>
      </c>
      <c r="K89" s="23">
        <v>0.4</v>
      </c>
      <c r="L89" s="23">
        <v>1.5</v>
      </c>
      <c r="M89" s="23">
        <v>1.2</v>
      </c>
      <c r="N89" s="8">
        <f t="shared" si="22"/>
        <v>66.5</v>
      </c>
      <c r="O89" s="23">
        <v>0.25</v>
      </c>
      <c r="P89" s="8">
        <f t="shared" si="23"/>
        <v>46.875</v>
      </c>
      <c r="Q89" s="23">
        <f t="shared" si="12"/>
        <v>0.83333333333333337</v>
      </c>
      <c r="R89" s="8">
        <f t="shared" si="24"/>
        <v>781.25</v>
      </c>
      <c r="S89" s="1">
        <f t="shared" si="20"/>
        <v>4</v>
      </c>
      <c r="T89" s="1">
        <f t="shared" si="21"/>
        <v>50</v>
      </c>
      <c r="U89" s="38">
        <v>74</v>
      </c>
      <c r="V89" s="22"/>
      <c r="W89" s="1">
        <v>87</v>
      </c>
      <c r="X89" s="22">
        <f t="shared" si="15"/>
        <v>3891.6252607481524</v>
      </c>
      <c r="Y89" s="22">
        <f t="shared" si="16"/>
        <v>92361.196825177074</v>
      </c>
      <c r="Z89" s="22">
        <f t="shared" si="17"/>
        <v>12453.200834394087</v>
      </c>
      <c r="AA89" s="1">
        <f t="shared" si="18"/>
        <v>0.05</v>
      </c>
      <c r="AB89" s="1">
        <f t="shared" si="19"/>
        <v>1.5</v>
      </c>
      <c r="AC89" s="1">
        <f t="shared" si="14"/>
        <v>0.9</v>
      </c>
    </row>
    <row r="90" spans="5:29" ht="14.25" customHeight="1" x14ac:dyDescent="0.2">
      <c r="E90" s="1" t="s">
        <v>175</v>
      </c>
      <c r="F90" s="1" t="s">
        <v>33</v>
      </c>
      <c r="G90" s="3" t="s">
        <v>189</v>
      </c>
      <c r="H90" s="3">
        <v>75</v>
      </c>
      <c r="I90" s="23">
        <v>0.79800000000000004</v>
      </c>
      <c r="J90" s="23">
        <v>0.9</v>
      </c>
      <c r="K90" s="23">
        <v>0.4</v>
      </c>
      <c r="L90" s="23">
        <v>1.5</v>
      </c>
      <c r="M90" s="23">
        <v>1.2</v>
      </c>
      <c r="N90" s="8">
        <f t="shared" si="22"/>
        <v>66.5</v>
      </c>
      <c r="O90" s="23">
        <v>0.25</v>
      </c>
      <c r="P90" s="8">
        <f t="shared" si="23"/>
        <v>46.875</v>
      </c>
      <c r="Q90" s="23">
        <f t="shared" si="12"/>
        <v>0.83333333333333337</v>
      </c>
      <c r="R90" s="8">
        <f t="shared" si="24"/>
        <v>781.25</v>
      </c>
      <c r="S90" s="1">
        <f t="shared" si="20"/>
        <v>4</v>
      </c>
      <c r="T90" s="1">
        <f t="shared" si="21"/>
        <v>50</v>
      </c>
      <c r="U90" s="38">
        <v>75</v>
      </c>
      <c r="V90" s="22"/>
      <c r="W90" s="1">
        <v>88</v>
      </c>
      <c r="X90" s="22">
        <f t="shared" si="15"/>
        <v>4086.2065237855609</v>
      </c>
      <c r="Y90" s="22">
        <f t="shared" si="16"/>
        <v>95393.340902158336</v>
      </c>
      <c r="Z90" s="22">
        <f t="shared" si="17"/>
        <v>13075.860876113795</v>
      </c>
      <c r="AA90" s="1">
        <f t="shared" si="18"/>
        <v>0.05</v>
      </c>
      <c r="AB90" s="1">
        <f t="shared" si="19"/>
        <v>1.5</v>
      </c>
      <c r="AC90" s="1">
        <f t="shared" si="14"/>
        <v>0.9</v>
      </c>
    </row>
    <row r="91" spans="5:29" ht="14.25" customHeight="1" x14ac:dyDescent="0.2">
      <c r="E91" s="1" t="s">
        <v>176</v>
      </c>
      <c r="F91" s="1" t="s">
        <v>33</v>
      </c>
      <c r="G91" s="3" t="s">
        <v>189</v>
      </c>
      <c r="H91" s="1">
        <v>76</v>
      </c>
      <c r="I91" s="23">
        <v>0.79800000000000004</v>
      </c>
      <c r="J91" s="23">
        <v>0.9</v>
      </c>
      <c r="K91" s="23">
        <v>0.4</v>
      </c>
      <c r="L91" s="23">
        <v>1.5</v>
      </c>
      <c r="M91" s="23">
        <v>1.2</v>
      </c>
      <c r="N91" s="8">
        <f t="shared" si="22"/>
        <v>66.5</v>
      </c>
      <c r="O91" s="23">
        <v>0.25</v>
      </c>
      <c r="P91" s="8">
        <f t="shared" si="23"/>
        <v>46.875</v>
      </c>
      <c r="Q91" s="23">
        <f t="shared" si="12"/>
        <v>0.83333333333333337</v>
      </c>
      <c r="R91" s="8">
        <f t="shared" si="24"/>
        <v>781.25</v>
      </c>
      <c r="S91" s="1">
        <f t="shared" si="20"/>
        <v>4</v>
      </c>
      <c r="T91" s="1">
        <f t="shared" si="21"/>
        <v>50</v>
      </c>
      <c r="U91" s="38">
        <v>76</v>
      </c>
      <c r="V91" s="22"/>
      <c r="W91" s="1">
        <v>89</v>
      </c>
      <c r="X91" s="22">
        <f t="shared" si="15"/>
        <v>4290.5168499748379</v>
      </c>
      <c r="Y91" s="22">
        <f t="shared" si="16"/>
        <v>98472.162013605703</v>
      </c>
      <c r="Z91" s="22">
        <f t="shared" si="17"/>
        <v>13729.653919919483</v>
      </c>
      <c r="AA91" s="1">
        <f t="shared" si="18"/>
        <v>0.05</v>
      </c>
      <c r="AB91" s="1">
        <f t="shared" si="19"/>
        <v>1.5</v>
      </c>
      <c r="AC91" s="1">
        <f t="shared" si="14"/>
        <v>0.9</v>
      </c>
    </row>
    <row r="92" spans="5:29" ht="14.25" customHeight="1" x14ac:dyDescent="0.2">
      <c r="E92" s="1" t="s">
        <v>177</v>
      </c>
      <c r="F92" s="1" t="s">
        <v>33</v>
      </c>
      <c r="G92" s="3" t="s">
        <v>189</v>
      </c>
      <c r="H92" s="3">
        <v>77</v>
      </c>
      <c r="I92" s="23">
        <v>0.79800000000000004</v>
      </c>
      <c r="J92" s="23">
        <v>0.9</v>
      </c>
      <c r="K92" s="23">
        <v>0.4</v>
      </c>
      <c r="L92" s="23">
        <v>1.5</v>
      </c>
      <c r="M92" s="23">
        <v>1.2</v>
      </c>
      <c r="N92" s="8">
        <f t="shared" si="22"/>
        <v>66.5</v>
      </c>
      <c r="O92" s="23">
        <v>0.25</v>
      </c>
      <c r="P92" s="8">
        <f t="shared" si="23"/>
        <v>46.875</v>
      </c>
      <c r="Q92" s="23">
        <f t="shared" ref="Q92:Q98" si="25">1/M92</f>
        <v>0.83333333333333337</v>
      </c>
      <c r="R92" s="8">
        <f t="shared" si="24"/>
        <v>781.25</v>
      </c>
      <c r="S92" s="1">
        <f t="shared" si="20"/>
        <v>4</v>
      </c>
      <c r="T92" s="1">
        <f t="shared" si="21"/>
        <v>50</v>
      </c>
      <c r="U92" s="38">
        <v>77</v>
      </c>
      <c r="V92" s="22"/>
      <c r="W92" s="1">
        <v>90</v>
      </c>
      <c r="X92" s="22">
        <f t="shared" si="15"/>
        <v>4505.0426924735802</v>
      </c>
      <c r="Y92" s="22">
        <f t="shared" si="16"/>
        <v>101594.99984310787</v>
      </c>
      <c r="Z92" s="22">
        <f t="shared" si="17"/>
        <v>14416.136615915459</v>
      </c>
      <c r="AA92" s="1">
        <f t="shared" si="18"/>
        <v>0.05</v>
      </c>
      <c r="AB92" s="1">
        <f t="shared" si="19"/>
        <v>1.5</v>
      </c>
      <c r="AC92" s="1">
        <f t="shared" si="14"/>
        <v>0.9</v>
      </c>
    </row>
    <row r="93" spans="5:29" ht="14.25" customHeight="1" x14ac:dyDescent="0.2">
      <c r="E93" s="1" t="s">
        <v>178</v>
      </c>
      <c r="F93" s="1" t="s">
        <v>33</v>
      </c>
      <c r="G93" s="3" t="s">
        <v>189</v>
      </c>
      <c r="H93" s="1">
        <v>78</v>
      </c>
      <c r="I93" s="23">
        <v>0.79800000000000004</v>
      </c>
      <c r="J93" s="23">
        <v>0.9</v>
      </c>
      <c r="K93" s="23">
        <v>0.4</v>
      </c>
      <c r="L93" s="23">
        <v>1.5</v>
      </c>
      <c r="M93" s="23">
        <v>1.2</v>
      </c>
      <c r="N93" s="8">
        <f t="shared" si="22"/>
        <v>66.5</v>
      </c>
      <c r="O93" s="23">
        <v>0.25</v>
      </c>
      <c r="P93" s="8">
        <f t="shared" si="23"/>
        <v>46.875</v>
      </c>
      <c r="Q93" s="23">
        <f t="shared" si="25"/>
        <v>0.83333333333333337</v>
      </c>
      <c r="R93" s="8">
        <f t="shared" si="24"/>
        <v>781.25</v>
      </c>
      <c r="S93" s="1">
        <f t="shared" si="20"/>
        <v>4</v>
      </c>
      <c r="T93" s="1">
        <f t="shared" si="21"/>
        <v>50</v>
      </c>
      <c r="U93" s="38">
        <v>78</v>
      </c>
      <c r="V93" s="22"/>
      <c r="W93" s="1">
        <v>91</v>
      </c>
      <c r="X93" s="22">
        <f t="shared" si="15"/>
        <v>4730.2948270972593</v>
      </c>
      <c r="Y93" s="22">
        <f t="shared" si="16"/>
        <v>104759.01132227025</v>
      </c>
      <c r="Z93" s="22">
        <f t="shared" si="17"/>
        <v>15136.94344671123</v>
      </c>
      <c r="AA93" s="1">
        <f t="shared" si="18"/>
        <v>0.05</v>
      </c>
      <c r="AB93" s="1">
        <f t="shared" si="19"/>
        <v>1.5</v>
      </c>
      <c r="AC93" s="1">
        <f t="shared" si="14"/>
        <v>0.9</v>
      </c>
    </row>
    <row r="94" spans="5:29" ht="14.25" customHeight="1" x14ac:dyDescent="0.2">
      <c r="E94" s="1" t="s">
        <v>179</v>
      </c>
      <c r="F94" s="1" t="s">
        <v>33</v>
      </c>
      <c r="G94" s="3" t="s">
        <v>189</v>
      </c>
      <c r="H94" s="3">
        <v>79</v>
      </c>
      <c r="I94" s="23">
        <v>0.79800000000000004</v>
      </c>
      <c r="J94" s="23">
        <v>0.9</v>
      </c>
      <c r="K94" s="23">
        <v>0.4</v>
      </c>
      <c r="L94" s="23">
        <v>1.5</v>
      </c>
      <c r="M94" s="23">
        <v>1.2</v>
      </c>
      <c r="N94" s="8">
        <f t="shared" si="22"/>
        <v>66.5</v>
      </c>
      <c r="O94" s="23">
        <v>0.25</v>
      </c>
      <c r="P94" s="8">
        <f t="shared" si="23"/>
        <v>46.875</v>
      </c>
      <c r="Q94" s="23">
        <f t="shared" si="25"/>
        <v>0.83333333333333337</v>
      </c>
      <c r="R94" s="8">
        <f t="shared" si="24"/>
        <v>781.25</v>
      </c>
      <c r="S94" s="1">
        <f t="shared" si="20"/>
        <v>4</v>
      </c>
      <c r="T94" s="1">
        <f t="shared" si="21"/>
        <v>50</v>
      </c>
      <c r="U94" s="38">
        <v>79</v>
      </c>
      <c r="V94" s="22"/>
      <c r="W94" s="1">
        <v>92</v>
      </c>
      <c r="X94" s="22">
        <f t="shared" si="15"/>
        <v>4966.8095684521231</v>
      </c>
      <c r="Y94" s="22">
        <f t="shared" si="16"/>
        <v>107961.1787459927</v>
      </c>
      <c r="Z94" s="22">
        <f t="shared" si="17"/>
        <v>15893.790619046795</v>
      </c>
      <c r="AA94" s="1">
        <f t="shared" si="18"/>
        <v>0.05</v>
      </c>
      <c r="AB94" s="1">
        <f t="shared" si="19"/>
        <v>1.5</v>
      </c>
      <c r="AC94" s="1">
        <f t="shared" si="14"/>
        <v>0.9</v>
      </c>
    </row>
    <row r="95" spans="5:29" ht="14.25" customHeight="1" x14ac:dyDescent="0.2">
      <c r="E95" s="1" t="s">
        <v>180</v>
      </c>
      <c r="F95" s="1" t="s">
        <v>33</v>
      </c>
      <c r="G95" s="3" t="s">
        <v>189</v>
      </c>
      <c r="H95" s="1">
        <v>80</v>
      </c>
      <c r="I95" s="23">
        <v>0.79800000000000004</v>
      </c>
      <c r="J95" s="23">
        <v>0.9</v>
      </c>
      <c r="K95" s="23">
        <v>0.4</v>
      </c>
      <c r="L95" s="23">
        <v>1.5</v>
      </c>
      <c r="M95" s="23">
        <v>1.2</v>
      </c>
      <c r="N95" s="8">
        <f t="shared" si="22"/>
        <v>66.5</v>
      </c>
      <c r="O95" s="23">
        <v>0.25</v>
      </c>
      <c r="P95" s="8">
        <f t="shared" si="23"/>
        <v>46.875</v>
      </c>
      <c r="Q95" s="23">
        <f t="shared" si="25"/>
        <v>0.83333333333333337</v>
      </c>
      <c r="R95" s="8">
        <f t="shared" si="24"/>
        <v>781.25</v>
      </c>
      <c r="S95" s="1">
        <f t="shared" si="20"/>
        <v>4</v>
      </c>
      <c r="T95" s="1">
        <f t="shared" si="21"/>
        <v>50</v>
      </c>
      <c r="U95" s="38">
        <v>80</v>
      </c>
      <c r="V95" s="22"/>
      <c r="W95" s="1">
        <v>93</v>
      </c>
      <c r="X95" s="22">
        <f t="shared" si="15"/>
        <v>5215.150046874729</v>
      </c>
      <c r="Y95" s="22">
        <f t="shared" si="16"/>
        <v>111198.31938884947</v>
      </c>
      <c r="Z95" s="22">
        <f t="shared" si="17"/>
        <v>16688.48014999913</v>
      </c>
      <c r="AA95" s="1">
        <f t="shared" si="18"/>
        <v>0.05</v>
      </c>
      <c r="AB95" s="1">
        <f t="shared" si="19"/>
        <v>1.5</v>
      </c>
      <c r="AC95" s="1">
        <f t="shared" si="14"/>
        <v>0.9</v>
      </c>
    </row>
    <row r="96" spans="5:29" ht="14.25" customHeight="1" x14ac:dyDescent="0.2">
      <c r="E96" s="1" t="s">
        <v>181</v>
      </c>
      <c r="F96" s="1" t="s">
        <v>33</v>
      </c>
      <c r="G96" s="3" t="s">
        <v>189</v>
      </c>
      <c r="H96" s="3">
        <v>81</v>
      </c>
      <c r="I96" s="23">
        <v>0.79800000000000004</v>
      </c>
      <c r="J96" s="23">
        <v>0.9</v>
      </c>
      <c r="K96" s="23">
        <v>0.4</v>
      </c>
      <c r="L96" s="23">
        <v>1.5</v>
      </c>
      <c r="M96" s="23">
        <v>1.2</v>
      </c>
      <c r="N96" s="8">
        <f t="shared" si="22"/>
        <v>66.5</v>
      </c>
      <c r="O96" s="23">
        <v>0.25</v>
      </c>
      <c r="P96" s="8">
        <f t="shared" si="23"/>
        <v>46.875</v>
      </c>
      <c r="Q96" s="23">
        <f t="shared" si="25"/>
        <v>0.83333333333333337</v>
      </c>
      <c r="R96" s="8">
        <f t="shared" si="24"/>
        <v>781.25</v>
      </c>
      <c r="S96" s="1">
        <f t="shared" si="20"/>
        <v>4</v>
      </c>
      <c r="T96" s="1">
        <f t="shared" si="21"/>
        <v>50</v>
      </c>
      <c r="U96" s="38">
        <v>81</v>
      </c>
      <c r="V96" s="22"/>
      <c r="W96" s="1">
        <v>94</v>
      </c>
      <c r="X96" s="22">
        <f t="shared" si="15"/>
        <v>5475.9075492184666</v>
      </c>
      <c r="Y96" s="22">
        <f t="shared" si="16"/>
        <v>114467.09658057732</v>
      </c>
      <c r="Z96" s="22">
        <f t="shared" si="17"/>
        <v>17522.904157499092</v>
      </c>
      <c r="AA96" s="1">
        <f t="shared" si="18"/>
        <v>0.05</v>
      </c>
      <c r="AB96" s="1">
        <f t="shared" si="19"/>
        <v>1.5</v>
      </c>
      <c r="AC96" s="1">
        <f t="shared" si="14"/>
        <v>0.9</v>
      </c>
    </row>
    <row r="97" spans="5:29" ht="14.25" customHeight="1" x14ac:dyDescent="0.2">
      <c r="E97" s="1" t="s">
        <v>182</v>
      </c>
      <c r="F97" s="1" t="s">
        <v>33</v>
      </c>
      <c r="G97" s="3" t="s">
        <v>189</v>
      </c>
      <c r="H97" s="1">
        <v>82</v>
      </c>
      <c r="I97" s="23">
        <v>0.79800000000000004</v>
      </c>
      <c r="J97" s="23">
        <v>0.9</v>
      </c>
      <c r="K97" s="23">
        <v>0.4</v>
      </c>
      <c r="L97" s="23">
        <v>1.5</v>
      </c>
      <c r="M97" s="23">
        <v>1.2</v>
      </c>
      <c r="N97" s="8">
        <f t="shared" si="22"/>
        <v>66.5</v>
      </c>
      <c r="O97" s="23">
        <v>0.25</v>
      </c>
      <c r="P97" s="8">
        <f t="shared" si="23"/>
        <v>46.875</v>
      </c>
      <c r="Q97" s="23">
        <f t="shared" si="25"/>
        <v>0.83333333333333337</v>
      </c>
      <c r="R97" s="8">
        <f t="shared" si="24"/>
        <v>781.25</v>
      </c>
      <c r="S97" s="1">
        <f t="shared" si="20"/>
        <v>4</v>
      </c>
      <c r="T97" s="1">
        <f t="shared" si="21"/>
        <v>50</v>
      </c>
      <c r="U97" s="38">
        <v>82</v>
      </c>
      <c r="V97" s="22"/>
      <c r="W97" s="1">
        <v>95</v>
      </c>
      <c r="X97" s="22">
        <f t="shared" si="15"/>
        <v>5749.702926679387</v>
      </c>
      <c r="Y97" s="22">
        <f t="shared" si="16"/>
        <v>117764.03217750955</v>
      </c>
      <c r="Z97" s="22">
        <f t="shared" si="17"/>
        <v>18399.049365374038</v>
      </c>
      <c r="AA97" s="1">
        <f t="shared" si="18"/>
        <v>0.05</v>
      </c>
      <c r="AB97" s="1">
        <f t="shared" si="19"/>
        <v>1.5</v>
      </c>
      <c r="AC97" s="1">
        <f t="shared" si="14"/>
        <v>0.9</v>
      </c>
    </row>
    <row r="98" spans="5:29" ht="14.25" customHeight="1" x14ac:dyDescent="0.2">
      <c r="E98" s="1" t="s">
        <v>183</v>
      </c>
      <c r="F98" s="1" t="s">
        <v>33</v>
      </c>
      <c r="G98" s="3" t="s">
        <v>189</v>
      </c>
      <c r="H98" s="3">
        <v>83</v>
      </c>
      <c r="I98" s="23">
        <v>0.79800000000000004</v>
      </c>
      <c r="J98" s="23">
        <v>0.9</v>
      </c>
      <c r="K98" s="23">
        <v>0.4</v>
      </c>
      <c r="L98" s="23">
        <v>1.5</v>
      </c>
      <c r="M98" s="23">
        <v>1.2</v>
      </c>
      <c r="N98" s="8">
        <f t="shared" si="22"/>
        <v>66.5</v>
      </c>
      <c r="O98" s="23">
        <v>0.25</v>
      </c>
      <c r="P98" s="8">
        <f t="shared" si="23"/>
        <v>46.875</v>
      </c>
      <c r="Q98" s="23">
        <f t="shared" si="25"/>
        <v>0.83333333333333337</v>
      </c>
      <c r="R98" s="8">
        <f t="shared" si="24"/>
        <v>781.25</v>
      </c>
      <c r="S98" s="1">
        <f t="shared" si="20"/>
        <v>4</v>
      </c>
      <c r="T98" s="1">
        <f t="shared" si="21"/>
        <v>50</v>
      </c>
      <c r="U98" s="38">
        <v>83</v>
      </c>
      <c r="V98" s="22"/>
      <c r="W98" s="1">
        <v>96</v>
      </c>
      <c r="X98" s="22">
        <f t="shared" si="15"/>
        <v>6037.1880730133589</v>
      </c>
      <c r="Y98" s="22">
        <f t="shared" si="16"/>
        <v>121085.52034582259</v>
      </c>
      <c r="Z98" s="22">
        <f t="shared" si="17"/>
        <v>19319.001833642749</v>
      </c>
      <c r="AA98" s="1">
        <f t="shared" si="18"/>
        <v>0.05</v>
      </c>
      <c r="AB98" s="1">
        <f t="shared" si="19"/>
        <v>1.5</v>
      </c>
      <c r="AC98" s="1">
        <f t="shared" si="14"/>
        <v>0.9</v>
      </c>
    </row>
    <row r="99" spans="5:29" ht="14.25" customHeight="1" x14ac:dyDescent="0.2">
      <c r="V99" s="22"/>
      <c r="W99" s="1">
        <v>97</v>
      </c>
      <c r="X99" s="22">
        <f t="shared" si="15"/>
        <v>6339.0474766640264</v>
      </c>
      <c r="Y99" s="22">
        <f t="shared" si="16"/>
        <v>124427.84255214546</v>
      </c>
      <c r="Z99" s="22">
        <f t="shared" si="17"/>
        <v>20284.951925324884</v>
      </c>
      <c r="AA99" s="1">
        <f t="shared" si="18"/>
        <v>0.05</v>
      </c>
      <c r="AB99" s="1">
        <f t="shared" si="19"/>
        <v>1.5</v>
      </c>
      <c r="AC99" s="1">
        <f t="shared" si="14"/>
        <v>0.9</v>
      </c>
    </row>
    <row r="100" spans="5:29" ht="14.25" customHeight="1" x14ac:dyDescent="0.2">
      <c r="V100" s="22"/>
      <c r="W100" s="1">
        <v>98</v>
      </c>
      <c r="X100" s="22">
        <f t="shared" si="15"/>
        <v>6655.9998504972282</v>
      </c>
      <c r="Y100" s="22">
        <f t="shared" si="16"/>
        <v>127787.1836378947</v>
      </c>
      <c r="Z100" s="22">
        <f t="shared" si="17"/>
        <v>21299.19952159113</v>
      </c>
      <c r="AA100" s="1">
        <f t="shared" si="18"/>
        <v>0.05</v>
      </c>
      <c r="AB100" s="1">
        <f t="shared" si="19"/>
        <v>1.5</v>
      </c>
      <c r="AC100" s="1">
        <f t="shared" si="14"/>
        <v>0.9</v>
      </c>
    </row>
    <row r="101" spans="5:29" ht="14.25" customHeight="1" x14ac:dyDescent="0.2">
      <c r="V101" s="22"/>
      <c r="W101" s="1">
        <v>99</v>
      </c>
      <c r="X101" s="22">
        <f t="shared" si="15"/>
        <v>6988.7998430220896</v>
      </c>
      <c r="Y101" s="22">
        <f t="shared" si="16"/>
        <v>131159.64883608371</v>
      </c>
      <c r="Z101" s="22">
        <f t="shared" si="17"/>
        <v>22364.159497670687</v>
      </c>
      <c r="AA101" s="1">
        <f t="shared" si="18"/>
        <v>0.05</v>
      </c>
      <c r="AB101" s="1">
        <f t="shared" si="19"/>
        <v>1.5</v>
      </c>
      <c r="AC101" s="1">
        <f t="shared" si="14"/>
        <v>0.9</v>
      </c>
    </row>
    <row r="102" spans="5:29" ht="14.25" customHeight="1" x14ac:dyDescent="0.2">
      <c r="V102" s="22"/>
      <c r="W102" s="1">
        <v>100</v>
      </c>
      <c r="X102" s="22">
        <f t="shared" si="15"/>
        <v>7338.2398351731954</v>
      </c>
      <c r="Y102" s="22">
        <f t="shared" si="16"/>
        <v>134541.28157375721</v>
      </c>
      <c r="Z102" s="22">
        <f t="shared" si="17"/>
        <v>23482.367472554226</v>
      </c>
      <c r="AA102" s="1">
        <f t="shared" si="18"/>
        <v>0.05</v>
      </c>
      <c r="AB102" s="1">
        <f t="shared" si="19"/>
        <v>1.5</v>
      </c>
      <c r="AC102" s="1">
        <f t="shared" si="14"/>
        <v>0.9</v>
      </c>
    </row>
  </sheetData>
  <mergeCells count="2">
    <mergeCell ref="I12:N12"/>
    <mergeCell ref="O12:R12"/>
  </mergeCells>
  <phoneticPr fontId="1" type="noConversion"/>
  <conditionalFormatting sqref="I16:M98">
    <cfRule type="cellIs" dxfId="3" priority="4" operator="greaterThan">
      <formula>I$14</formula>
    </cfRule>
  </conditionalFormatting>
  <conditionalFormatting sqref="I16:M98">
    <cfRule type="cellIs" dxfId="2" priority="3" operator="lessThan">
      <formula>I$13</formula>
    </cfRule>
  </conditionalFormatting>
  <conditionalFormatting sqref="O16:O98">
    <cfRule type="cellIs" dxfId="1" priority="2" operator="greaterThan">
      <formula>O$14</formula>
    </cfRule>
  </conditionalFormatting>
  <conditionalFormatting sqref="O16:O98">
    <cfRule type="cellIs" dxfId="0" priority="1" operator="lessThan">
      <formula>O$13</formula>
    </cfRule>
  </conditionalFormatting>
  <hyperlinks>
    <hyperlink ref="E3" r:id="rId1" xr:uid="{C0583C6F-12D8-437D-9A68-B437311E9523}"/>
  </hyperlinks>
  <pageMargins left="0.7" right="0.7" top="0.75" bottom="0.75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574CF-A74C-445D-AB89-9E2C5DD7073A}">
  <dimension ref="B1:F20"/>
  <sheetViews>
    <sheetView workbookViewId="0">
      <selection activeCell="D19" sqref="D19"/>
    </sheetView>
  </sheetViews>
  <sheetFormatPr defaultRowHeight="14.25" customHeight="1" x14ac:dyDescent="0.2"/>
  <cols>
    <col min="1" max="16384" width="9" style="1"/>
  </cols>
  <sheetData>
    <row r="1" spans="2:6" ht="14.25" customHeight="1" x14ac:dyDescent="0.2">
      <c r="B1" s="5" t="s">
        <v>41</v>
      </c>
      <c r="C1" s="6" t="s">
        <v>42</v>
      </c>
      <c r="D1" s="29" t="s">
        <v>43</v>
      </c>
    </row>
    <row r="2" spans="2:6" ht="14.25" customHeight="1" x14ac:dyDescent="0.2">
      <c r="B2" s="2" t="s">
        <v>101</v>
      </c>
    </row>
    <row r="3" spans="2:6" ht="14.25" customHeight="1" x14ac:dyDescent="0.2">
      <c r="C3" s="32" t="s">
        <v>78</v>
      </c>
    </row>
    <row r="4" spans="2:6" ht="14.25" customHeight="1" x14ac:dyDescent="0.2">
      <c r="B4" s="2" t="s">
        <v>97</v>
      </c>
    </row>
    <row r="5" spans="2:6" ht="14.25" customHeight="1" x14ac:dyDescent="0.2">
      <c r="C5" s="1">
        <f>角色基础!C12</f>
        <v>1.1000000000000001</v>
      </c>
      <c r="D5" s="1">
        <f>怪物基础!D14</f>
        <v>0</v>
      </c>
      <c r="E5" s="40">
        <f>怪物基础!D15</f>
        <v>0</v>
      </c>
      <c r="F5" s="1">
        <f>怪物基础!D16</f>
        <v>0</v>
      </c>
    </row>
    <row r="6" spans="2:6" ht="14.25" customHeight="1" x14ac:dyDescent="0.2">
      <c r="B6" s="1" t="s">
        <v>51</v>
      </c>
      <c r="C6" s="6" t="s">
        <v>20</v>
      </c>
      <c r="D6" s="39" t="s">
        <v>75</v>
      </c>
      <c r="E6" s="39" t="s">
        <v>76</v>
      </c>
      <c r="F6" s="39" t="s">
        <v>77</v>
      </c>
    </row>
    <row r="7" spans="2:6" ht="14.25" customHeight="1" x14ac:dyDescent="0.2">
      <c r="B7" s="1">
        <v>1</v>
      </c>
      <c r="C7" s="1">
        <v>1</v>
      </c>
      <c r="D7" s="31">
        <v>1</v>
      </c>
      <c r="E7" s="31">
        <v>0.41666666666666669</v>
      </c>
      <c r="F7" s="31">
        <v>0.25</v>
      </c>
    </row>
    <row r="8" spans="2:6" ht="14.25" customHeight="1" x14ac:dyDescent="0.2">
      <c r="B8" s="1">
        <v>2</v>
      </c>
      <c r="C8" s="1">
        <v>1</v>
      </c>
      <c r="D8" s="31">
        <v>1</v>
      </c>
      <c r="E8" s="31">
        <v>0.41666666666666669</v>
      </c>
      <c r="F8" s="31">
        <v>0.25</v>
      </c>
    </row>
    <row r="9" spans="2:6" ht="14.25" customHeight="1" x14ac:dyDescent="0.2">
      <c r="B9" s="1">
        <v>3</v>
      </c>
      <c r="C9" s="1">
        <v>1</v>
      </c>
      <c r="D9" s="31">
        <v>1</v>
      </c>
      <c r="E9" s="31">
        <v>0.41666666666666669</v>
      </c>
      <c r="F9" s="31">
        <v>0.25</v>
      </c>
    </row>
    <row r="10" spans="2:6" ht="14.25" customHeight="1" x14ac:dyDescent="0.2">
      <c r="B10" s="1">
        <v>4</v>
      </c>
      <c r="C10" s="1">
        <v>1</v>
      </c>
      <c r="D10" s="31">
        <v>1</v>
      </c>
      <c r="E10" s="31">
        <v>0.41666666666666669</v>
      </c>
      <c r="F10" s="31">
        <v>0.25</v>
      </c>
    </row>
    <row r="11" spans="2:6" ht="14.25" customHeight="1" x14ac:dyDescent="0.2">
      <c r="B11" s="1">
        <v>5</v>
      </c>
      <c r="C11" s="1">
        <v>1</v>
      </c>
      <c r="D11" s="31">
        <v>1</v>
      </c>
      <c r="E11" s="31">
        <v>0.41666666666666669</v>
      </c>
      <c r="F11" s="31">
        <v>0.25</v>
      </c>
    </row>
    <row r="12" spans="2:6" ht="14.25" customHeight="1" x14ac:dyDescent="0.2">
      <c r="B12" s="1">
        <v>6</v>
      </c>
      <c r="C12" s="1">
        <v>1</v>
      </c>
      <c r="D12" s="31">
        <v>1</v>
      </c>
      <c r="E12" s="31">
        <v>0.41666666666666669</v>
      </c>
      <c r="F12" s="31">
        <v>0.25</v>
      </c>
    </row>
    <row r="13" spans="2:6" ht="14.25" customHeight="1" x14ac:dyDescent="0.2">
      <c r="B13" s="1">
        <v>7</v>
      </c>
      <c r="C13" s="1">
        <v>1</v>
      </c>
      <c r="D13" s="31">
        <v>1</v>
      </c>
      <c r="E13" s="31">
        <v>0.41666666666666669</v>
      </c>
      <c r="F13" s="31">
        <v>0.25</v>
      </c>
    </row>
    <row r="14" spans="2:6" ht="14.25" customHeight="1" x14ac:dyDescent="0.2">
      <c r="B14" s="1">
        <v>8</v>
      </c>
      <c r="C14" s="1">
        <v>1</v>
      </c>
      <c r="D14" s="31">
        <v>1</v>
      </c>
      <c r="E14" s="31">
        <v>0.41666666666666669</v>
      </c>
      <c r="F14" s="31">
        <v>0.25</v>
      </c>
    </row>
    <row r="15" spans="2:6" ht="14.25" customHeight="1" x14ac:dyDescent="0.2">
      <c r="B15" s="1">
        <v>9</v>
      </c>
      <c r="C15" s="1">
        <v>1</v>
      </c>
      <c r="D15" s="31">
        <v>1</v>
      </c>
      <c r="E15" s="31">
        <v>0.41666666666666669</v>
      </c>
      <c r="F15" s="31">
        <v>0.25</v>
      </c>
    </row>
    <row r="16" spans="2:6" ht="14.25" customHeight="1" x14ac:dyDescent="0.2">
      <c r="B16" s="1">
        <v>10</v>
      </c>
      <c r="C16" s="1">
        <v>1</v>
      </c>
      <c r="D16" s="31">
        <v>1</v>
      </c>
      <c r="E16" s="31">
        <v>0.41666666666666669</v>
      </c>
      <c r="F16" s="31">
        <v>0.25</v>
      </c>
    </row>
    <row r="20" spans="3:3" ht="14.25" customHeight="1" x14ac:dyDescent="0.2">
      <c r="C20" s="1">
        <f>C7*(1+D7)*(1+E7+F7)</f>
        <v>3.3333333333333335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:AE31"/>
  <sheetViews>
    <sheetView tabSelected="1" workbookViewId="0">
      <pane xSplit="5" ySplit="15" topLeftCell="F16" activePane="bottomRight" state="frozen"/>
      <selection pane="topRight" activeCell="E1" sqref="E1"/>
      <selection pane="bottomLeft" activeCell="A16" sqref="A16"/>
      <selection pane="bottomRight" activeCell="I31" sqref="I31"/>
    </sheetView>
  </sheetViews>
  <sheetFormatPr defaultRowHeight="14.25" customHeight="1" x14ac:dyDescent="0.2"/>
  <cols>
    <col min="1" max="18" width="9" style="1"/>
    <col min="19" max="24" width="3.5" style="1" customWidth="1"/>
    <col min="25" max="16384" width="9" style="1"/>
  </cols>
  <sheetData>
    <row r="1" spans="1:31" ht="14.25" customHeight="1" x14ac:dyDescent="0.2">
      <c r="A1" s="2"/>
      <c r="B1" s="5" t="s">
        <v>41</v>
      </c>
      <c r="C1" s="6" t="s">
        <v>42</v>
      </c>
      <c r="D1" s="29" t="s">
        <v>43</v>
      </c>
      <c r="F1" s="2" t="s">
        <v>111</v>
      </c>
      <c r="H1" s="2"/>
    </row>
    <row r="2" spans="1:31" ht="14.25" customHeight="1" x14ac:dyDescent="0.2">
      <c r="B2" s="2" t="s">
        <v>0</v>
      </c>
      <c r="F2" s="2" t="s">
        <v>74</v>
      </c>
    </row>
    <row r="3" spans="1:31" ht="14.25" customHeight="1" x14ac:dyDescent="0.2">
      <c r="F3" s="2" t="s">
        <v>85</v>
      </c>
      <c r="Y3" s="4" t="s">
        <v>79</v>
      </c>
      <c r="Z3" s="4" t="s">
        <v>72</v>
      </c>
      <c r="AA3" s="4" t="s">
        <v>73</v>
      </c>
      <c r="AB3" s="4" t="s">
        <v>36</v>
      </c>
    </row>
    <row r="4" spans="1:31" ht="14.25" customHeight="1" thickBot="1" x14ac:dyDescent="0.25">
      <c r="B4" s="12" t="s">
        <v>9</v>
      </c>
      <c r="C4" s="19" t="s">
        <v>10</v>
      </c>
      <c r="F4" s="12" t="s">
        <v>71</v>
      </c>
      <c r="G4" s="12" t="s">
        <v>5</v>
      </c>
      <c r="H4" s="12" t="s">
        <v>1</v>
      </c>
      <c r="I4" s="12" t="s">
        <v>2</v>
      </c>
      <c r="J4" s="12" t="s">
        <v>37</v>
      </c>
      <c r="K4" s="4"/>
      <c r="Z4" s="42">
        <f>H5+H6+H9/2</f>
        <v>17.440000000000001</v>
      </c>
      <c r="AA4" s="42">
        <f>I5</f>
        <v>111.11111111111111</v>
      </c>
      <c r="AB4" s="42">
        <f>J5+J9/2</f>
        <v>5</v>
      </c>
    </row>
    <row r="5" spans="1:31" ht="14.25" customHeight="1" x14ac:dyDescent="0.2">
      <c r="B5" s="3" t="str">
        <f>角色基础!B5</f>
        <v>属性放大比</v>
      </c>
      <c r="C5" s="3">
        <f>角色基础!C5</f>
        <v>75</v>
      </c>
      <c r="D5" s="3"/>
      <c r="F5" s="3" t="e">
        <f>#REF!</f>
        <v>#REF!</v>
      </c>
      <c r="G5" s="3" t="e">
        <f>#REF!</f>
        <v>#REF!</v>
      </c>
      <c r="H5" s="8">
        <f>[1]基础模型!E34</f>
        <v>4.5</v>
      </c>
      <c r="I5" s="8">
        <f>[1]基础模型!F34</f>
        <v>111.11111111111111</v>
      </c>
      <c r="J5" s="8">
        <f>[1]基础模型!G34</f>
        <v>2</v>
      </c>
      <c r="Z5" s="42">
        <f>Z4-H5</f>
        <v>12.940000000000001</v>
      </c>
      <c r="AA5" s="42">
        <f>I6</f>
        <v>36.36363636363636</v>
      </c>
      <c r="AB5" s="42">
        <f>AB4-J5</f>
        <v>3</v>
      </c>
    </row>
    <row r="6" spans="1:31" ht="14.25" customHeight="1" x14ac:dyDescent="0.2">
      <c r="B6" s="3" t="str">
        <f>角色基础!B6</f>
        <v>属性增长率</v>
      </c>
      <c r="C6" s="3">
        <f>角色基础!C6</f>
        <v>1.05</v>
      </c>
      <c r="F6" s="3" t="e">
        <f>#REF!</f>
        <v>#REF!</v>
      </c>
      <c r="G6" s="3" t="e">
        <f>#REF!</f>
        <v>#REF!</v>
      </c>
      <c r="H6" s="8">
        <f>[1]基础模型!E35</f>
        <v>11</v>
      </c>
      <c r="I6" s="8">
        <f>[1]基础模型!F35</f>
        <v>36.36363636363636</v>
      </c>
      <c r="J6" s="8">
        <f>[1]基础模型!G35</f>
        <v>0</v>
      </c>
      <c r="S6" s="34"/>
      <c r="Z6" s="42">
        <f>Z5-H6</f>
        <v>1.9400000000000013</v>
      </c>
      <c r="AA6" s="42">
        <f>I9/2</f>
        <v>24.25</v>
      </c>
      <c r="AB6" s="42">
        <f>AB5-J6</f>
        <v>3</v>
      </c>
      <c r="AC6" s="4" t="s">
        <v>112</v>
      </c>
      <c r="AD6" s="5" t="s">
        <v>1</v>
      </c>
      <c r="AE6" s="6" t="s">
        <v>2</v>
      </c>
    </row>
    <row r="7" spans="1:31" ht="14.25" customHeight="1" x14ac:dyDescent="0.2">
      <c r="B7" s="3" t="str">
        <f>角色基础!B7</f>
        <v>基准防御力</v>
      </c>
      <c r="C7" s="3">
        <f>角色基础!C7</f>
        <v>10</v>
      </c>
      <c r="F7" s="3" t="e">
        <f>#REF!</f>
        <v>#REF!</v>
      </c>
      <c r="G7" s="3" t="e">
        <f>#REF!</f>
        <v>#REF!</v>
      </c>
      <c r="H7" s="8">
        <f>[1]基础模型!E36</f>
        <v>5</v>
      </c>
      <c r="I7" s="8">
        <f>[1]基础模型!F36</f>
        <v>100</v>
      </c>
      <c r="J7" s="8">
        <f>[1]基础模型!G36</f>
        <v>2</v>
      </c>
      <c r="S7" s="34"/>
      <c r="Y7" s="1">
        <v>2</v>
      </c>
      <c r="Z7" s="42">
        <f>Z4*$C$15</f>
        <v>4.3600000000000003</v>
      </c>
      <c r="AA7" s="42">
        <f>AA4*$C$15</f>
        <v>27.777777777777779</v>
      </c>
      <c r="AB7" s="42">
        <f>AB4*$C$15</f>
        <v>1.25</v>
      </c>
      <c r="AC7" s="22">
        <f>AA7/(AD7-AB7)</f>
        <v>21.533161068044787</v>
      </c>
      <c r="AD7" s="1">
        <v>2.54</v>
      </c>
      <c r="AE7" s="34">
        <f>Z7*AC7</f>
        <v>93.884582256675273</v>
      </c>
    </row>
    <row r="8" spans="1:31" ht="14.25" customHeight="1" x14ac:dyDescent="0.2">
      <c r="B8" s="3" t="str">
        <f>角色基础!B8</f>
        <v>防御力换算</v>
      </c>
      <c r="C8" s="3">
        <f>角色基础!C8</f>
        <v>100000</v>
      </c>
      <c r="F8" s="3" t="e">
        <f>#REF!</f>
        <v>#REF!</v>
      </c>
      <c r="G8" s="3" t="e">
        <f>#REF!</f>
        <v>#REF!</v>
      </c>
      <c r="H8" s="8">
        <f>[1]基础模型!E37</f>
        <v>12</v>
      </c>
      <c r="I8" s="8">
        <f>[1]基础模型!F37</f>
        <v>33.333333333333336</v>
      </c>
      <c r="J8" s="8">
        <f>[1]基础模型!G37</f>
        <v>0</v>
      </c>
      <c r="S8" s="34"/>
      <c r="Y8" s="1">
        <v>1</v>
      </c>
      <c r="Z8" s="42">
        <f t="shared" ref="Z8:Z9" si="0">Z5*$C$15</f>
        <v>3.2350000000000003</v>
      </c>
      <c r="AA8" s="42">
        <f t="shared" ref="AA8:AA9" si="1">AA5*$C$15</f>
        <v>9.0909090909090899</v>
      </c>
      <c r="AB8" s="42">
        <f t="shared" ref="AB8:AB9" si="2">AB5*$C$15</f>
        <v>0.75</v>
      </c>
      <c r="AC8" s="22">
        <f>AA8/(AD8-AB8)</f>
        <v>5.0787201625190441</v>
      </c>
      <c r="AD8" s="1">
        <f>AD7</f>
        <v>2.54</v>
      </c>
      <c r="AE8" s="34">
        <f>Z8*AC8</f>
        <v>16.429659725749108</v>
      </c>
    </row>
    <row r="9" spans="1:31" ht="14.25" customHeight="1" x14ac:dyDescent="0.2">
      <c r="B9" s="3" t="str">
        <f>角色基础!B9</f>
        <v>普通</v>
      </c>
      <c r="C9" s="3">
        <f>角色基础!C9</f>
        <v>0.8</v>
      </c>
      <c r="F9" s="3" t="e">
        <f>#REF!</f>
        <v>#REF!</v>
      </c>
      <c r="G9" s="3" t="e">
        <f>#REF!</f>
        <v>#REF!</v>
      </c>
      <c r="H9" s="8">
        <f>[1]基础模型!E38</f>
        <v>3.88</v>
      </c>
      <c r="I9" s="8">
        <f>[1]基础模型!F38</f>
        <v>48.5</v>
      </c>
      <c r="J9" s="8">
        <f>[1]基础模型!G38</f>
        <v>6</v>
      </c>
      <c r="S9" s="34"/>
      <c r="Y9" s="1">
        <v>0</v>
      </c>
      <c r="Z9" s="42">
        <f t="shared" si="0"/>
        <v>0.48500000000000032</v>
      </c>
      <c r="AA9" s="42">
        <f t="shared" si="1"/>
        <v>6.0625</v>
      </c>
      <c r="AB9" s="42">
        <f t="shared" si="2"/>
        <v>0.75</v>
      </c>
      <c r="AC9" s="22">
        <f>AA9/(AD9-AB9)</f>
        <v>3.3868715083798882</v>
      </c>
      <c r="AD9" s="1">
        <f>AD8</f>
        <v>2.54</v>
      </c>
      <c r="AE9" s="34">
        <f>Z9*AC9</f>
        <v>1.6426326815642469</v>
      </c>
    </row>
    <row r="10" spans="1:31" ht="14.25" customHeight="1" x14ac:dyDescent="0.2">
      <c r="B10" s="3" t="str">
        <f>角色基础!B10</f>
        <v>稀有</v>
      </c>
      <c r="C10" s="3">
        <f>角色基础!C10</f>
        <v>0.9</v>
      </c>
      <c r="S10" s="34"/>
      <c r="AB10" s="1" t="s">
        <v>90</v>
      </c>
      <c r="AC10" s="22">
        <f>SUM(AC7:AC9)</f>
        <v>29.998752738943718</v>
      </c>
      <c r="AD10" s="34">
        <f>MAX(AD7:AD9)*3/2</f>
        <v>3.81</v>
      </c>
      <c r="AE10" s="34">
        <f>SUM(AE7:AE9)*2</f>
        <v>223.91374932797726</v>
      </c>
    </row>
    <row r="11" spans="1:31" ht="14.25" customHeight="1" x14ac:dyDescent="0.2">
      <c r="B11" s="3" t="str">
        <f>角色基础!B11</f>
        <v>超级稀有</v>
      </c>
      <c r="C11" s="3">
        <f>角色基础!C11</f>
        <v>1</v>
      </c>
      <c r="S11" s="34"/>
      <c r="AC11" s="22"/>
      <c r="AD11" s="34"/>
      <c r="AE11" s="34"/>
    </row>
    <row r="12" spans="1:31" ht="14.25" customHeight="1" x14ac:dyDescent="0.2">
      <c r="B12" s="3" t="str">
        <f>角色基础!B12</f>
        <v>史诗</v>
      </c>
      <c r="C12" s="3">
        <f>角色基础!C12</f>
        <v>1.1000000000000001</v>
      </c>
      <c r="AC12" s="22"/>
      <c r="AD12" s="34"/>
      <c r="AE12" s="34"/>
    </row>
    <row r="13" spans="1:31" ht="14.25" customHeight="1" x14ac:dyDescent="0.2">
      <c r="B13" s="3" t="str">
        <f>角色基础!B13</f>
        <v>传说</v>
      </c>
      <c r="C13" s="3">
        <f>角色基础!C13</f>
        <v>1.2</v>
      </c>
      <c r="AE13" s="34"/>
    </row>
    <row r="14" spans="1:31" ht="14.25" customHeight="1" x14ac:dyDescent="0.2">
      <c r="B14" s="3" t="str">
        <f>角色基础!B14</f>
        <v>上古</v>
      </c>
      <c r="C14" s="3">
        <f>角色基础!C14</f>
        <v>1.3</v>
      </c>
      <c r="D14" s="30"/>
    </row>
    <row r="15" spans="1:31" ht="14.25" customHeight="1" x14ac:dyDescent="0.2">
      <c r="B15" s="3" t="str">
        <f>角色基础!B15</f>
        <v>升级</v>
      </c>
      <c r="C15" s="49">
        <f>角色基础!C15</f>
        <v>0.25</v>
      </c>
      <c r="D15" s="31"/>
    </row>
    <row r="16" spans="1:31" ht="14.25" customHeight="1" x14ac:dyDescent="0.2">
      <c r="B16" s="3" t="str">
        <f>角色基础!B16</f>
        <v>升星%</v>
      </c>
      <c r="C16" s="49">
        <f>角色基础!C16</f>
        <v>0.25</v>
      </c>
      <c r="D16" s="30"/>
    </row>
    <row r="17" spans="2:31" ht="14.25" customHeight="1" x14ac:dyDescent="0.2">
      <c r="B17" s="3" t="str">
        <f>角色基础!B17</f>
        <v>配料%</v>
      </c>
      <c r="C17" s="49">
        <f>角色基础!C17</f>
        <v>0.16666666666666666</v>
      </c>
    </row>
    <row r="18" spans="2:31" ht="14.25" customHeight="1" x14ac:dyDescent="0.2">
      <c r="B18" s="3" t="str">
        <f>角色基础!B18</f>
        <v>地标%</v>
      </c>
      <c r="C18" s="49">
        <f>角色基础!C18</f>
        <v>9.9999999999999992E-2</v>
      </c>
      <c r="E18" s="41"/>
    </row>
    <row r="19" spans="2:31" ht="14.25" customHeight="1" x14ac:dyDescent="0.2">
      <c r="B19" s="3" t="str">
        <f>角色基础!B19</f>
        <v>研究%</v>
      </c>
      <c r="C19" s="49">
        <f>角色基础!C19</f>
        <v>8.3333333333333329E-2</v>
      </c>
    </row>
    <row r="20" spans="2:31" ht="14.25" customHeight="1" x14ac:dyDescent="0.2">
      <c r="B20" s="3" t="str">
        <f>角色基础!B20</f>
        <v>姻缘%</v>
      </c>
      <c r="C20" s="49">
        <f>角色基础!C20</f>
        <v>3.333333333333334E-2</v>
      </c>
      <c r="L20" s="2" t="s">
        <v>99</v>
      </c>
    </row>
    <row r="21" spans="2:31" ht="14.25" customHeight="1" x14ac:dyDescent="0.2">
      <c r="B21" s="3" t="str">
        <f>角色基础!B21</f>
        <v>英雄%</v>
      </c>
      <c r="C21" s="49">
        <f>角色基础!C21</f>
        <v>3.333333333333334E-2</v>
      </c>
      <c r="I21" s="2" t="s">
        <v>96</v>
      </c>
      <c r="L21" s="2" t="s">
        <v>100</v>
      </c>
    </row>
    <row r="22" spans="2:31" ht="14.25" customHeight="1" x14ac:dyDescent="0.2">
      <c r="B22" s="3" t="str">
        <f>角色基础!B22</f>
        <v>公会%</v>
      </c>
      <c r="C22" s="49">
        <f>角色基础!C22</f>
        <v>8.3333333333333329E-2</v>
      </c>
      <c r="D22" s="4" t="s">
        <v>103</v>
      </c>
      <c r="E22" s="2" t="s">
        <v>104</v>
      </c>
      <c r="G22" s="38">
        <v>3</v>
      </c>
      <c r="H22" s="38">
        <v>4</v>
      </c>
      <c r="I22" s="35">
        <v>100</v>
      </c>
      <c r="J22" s="4" t="s">
        <v>102</v>
      </c>
      <c r="L22" s="2" t="s">
        <v>98</v>
      </c>
      <c r="S22" s="37">
        <v>1</v>
      </c>
      <c r="T22" s="1">
        <v>0.4</v>
      </c>
      <c r="U22" s="1">
        <v>1.5</v>
      </c>
      <c r="V22" s="1">
        <v>1</v>
      </c>
      <c r="W22" s="1">
        <v>0.8</v>
      </c>
      <c r="X22" s="1">
        <v>10</v>
      </c>
      <c r="Y22" s="4" t="s">
        <v>83</v>
      </c>
      <c r="Z22" s="33"/>
      <c r="AA22" s="36"/>
      <c r="AB22" s="36"/>
      <c r="AC22" s="36"/>
      <c r="AD22" s="36"/>
    </row>
    <row r="23" spans="2:31" s="4" customFormat="1" ht="14.25" customHeight="1" x14ac:dyDescent="0.2">
      <c r="B23" s="3"/>
      <c r="C23" s="3"/>
      <c r="D23" s="5" t="s">
        <v>88</v>
      </c>
      <c r="E23" s="5" t="s">
        <v>89</v>
      </c>
      <c r="F23" s="5" t="s">
        <v>91</v>
      </c>
      <c r="G23" s="6" t="s">
        <v>80</v>
      </c>
      <c r="H23" s="6" t="s">
        <v>81</v>
      </c>
      <c r="I23" s="6" t="s">
        <v>82</v>
      </c>
      <c r="K23" s="5" t="s">
        <v>92</v>
      </c>
      <c r="L23" s="5" t="s">
        <v>93</v>
      </c>
      <c r="M23" s="5" t="s">
        <v>87</v>
      </c>
      <c r="N23" s="5" t="s">
        <v>86</v>
      </c>
      <c r="O23" s="6" t="s">
        <v>95</v>
      </c>
      <c r="P23" s="6" t="s">
        <v>94</v>
      </c>
      <c r="Q23" s="6" t="s">
        <v>1</v>
      </c>
      <c r="R23" s="6" t="s">
        <v>2</v>
      </c>
      <c r="S23" s="5" t="s">
        <v>105</v>
      </c>
      <c r="T23" s="5" t="s">
        <v>106</v>
      </c>
      <c r="U23" s="5" t="s">
        <v>107</v>
      </c>
      <c r="V23" s="5" t="s">
        <v>108</v>
      </c>
      <c r="W23" s="5" t="s">
        <v>109</v>
      </c>
      <c r="X23" s="5" t="s">
        <v>110</v>
      </c>
      <c r="Z23" s="29" t="s">
        <v>7</v>
      </c>
      <c r="AA23" s="29" t="s">
        <v>11</v>
      </c>
      <c r="AB23" s="29" t="s">
        <v>6</v>
      </c>
      <c r="AC23" s="29" t="s">
        <v>48</v>
      </c>
      <c r="AD23" s="29" t="s">
        <v>49</v>
      </c>
      <c r="AE23" s="29" t="s">
        <v>84</v>
      </c>
    </row>
    <row r="24" spans="2:31" ht="14.25" customHeight="1" x14ac:dyDescent="0.2">
      <c r="B24" s="3"/>
      <c r="C24" s="3"/>
      <c r="D24" s="1">
        <v>10</v>
      </c>
      <c r="E24" s="1">
        <v>0</v>
      </c>
      <c r="F24" s="1" t="s">
        <v>90</v>
      </c>
      <c r="G24" s="22">
        <f>VLOOKUP($F24,$AB$10:$AE$10,G$22,0)*$C$6^($D24-1)*(1+$E24*0.005)*VLOOKUP($D24,角色成长!$B:$F,2,0)*(1+VLOOKUP($D24,角色成长!$B:$F,3,0))*(1+VLOOKUP($D24,角色成长!$B:$F,4,0)+VLOOKUP($D24,角色成长!$B:$F,5,0))</f>
        <v>19.701868342927153</v>
      </c>
      <c r="H24" s="22">
        <f>VLOOKUP($F24,$AB$10:$AE$10,H$22,0)*$C$6^($D24-1)*(1+$E24*0.005)*VLOOKUP($D24,角色成长!$B:$F,2,0)*(1+VLOOKUP($D24,角色成长!$B:$F,3,0))*(1+VLOOKUP($D24,角色成长!$B:$F,4,0)+VLOOKUP($D24,角色成长!$B:$F,5,0))/_xlfn.MAXIFS($L$24:$L$65525,$K$24:$K$65525,K24)</f>
        <v>385.95968586447952</v>
      </c>
      <c r="I24" s="22">
        <f>I$22*$C$6^($D24-1)*(1+$E24*0.005)</f>
        <v>155.13282159785157</v>
      </c>
      <c r="K24" s="1">
        <v>1</v>
      </c>
      <c r="L24" s="1">
        <v>1</v>
      </c>
      <c r="M24" s="1">
        <v>3</v>
      </c>
      <c r="N24" s="1">
        <v>3</v>
      </c>
      <c r="O24" s="22">
        <f>SUMIFS($M$24:M24,$L$24:L24,L24,$K$24:K24,K24)/SUMIFS($M$24:$M$65525,$L$24:$L$65525,L24,$K$24:$K$65525,K24)</f>
        <v>0.3</v>
      </c>
      <c r="P24" s="1" cm="1">
        <f t="array" ref="P24">SUMPRODUCT(($K$24:$K$65525=K24)*($L$24:$L$65525=L24)*$N$24:$N$65525*$O$24:$O$65525)</f>
        <v>6</v>
      </c>
      <c r="Q24" s="22">
        <f>G24/P24*N24</f>
        <v>9.8509341714635763</v>
      </c>
      <c r="R24" s="22">
        <f>M24/_xlfn.MAXIFS($L$24:$L$65525,$K$24:$K$65525,K24)/SUMIFS($M$24:$M$65525,$L$24:$L$65525,L24,$K$24:$K$65525,K24)*H24</f>
        <v>38.595968586447952</v>
      </c>
      <c r="S24" s="22"/>
      <c r="Z24" s="22">
        <f>Q24*IF(W24="",$W$22,W24)*$C$5/IF(V24="",$V$22,V24)/(1+IF(T24="",$T$22,T24)*(IF(U24="",$U$22,U24)-1))</f>
        <v>492.54670857317888</v>
      </c>
      <c r="AA24" s="22">
        <f>R24*$C$5/(1+AB24/$C$8)</f>
        <v>2593.0027672165861</v>
      </c>
      <c r="AB24" s="22">
        <f>I24*$C$5*IF(S24="",$S$22,S24)</f>
        <v>11634.961619838869</v>
      </c>
      <c r="AC24" s="22">
        <f>IF(T24="",$T$22,T24)</f>
        <v>0.4</v>
      </c>
      <c r="AD24" s="22">
        <f>IF(U24="",$U$22,U24)</f>
        <v>1.5</v>
      </c>
      <c r="AE24" s="31">
        <f>Q24*$C$5*(1-IF(W24="",$W$22,W24))/(1/IF(X24="",$X$22,X24))/(1+AC24*(AD24-1))/Z24</f>
        <v>2.4999999999999991</v>
      </c>
    </row>
    <row r="25" spans="2:31" ht="14.25" customHeight="1" x14ac:dyDescent="0.2">
      <c r="B25" s="3"/>
      <c r="C25" s="3"/>
      <c r="D25" s="1">
        <v>10</v>
      </c>
      <c r="E25" s="1">
        <v>0</v>
      </c>
      <c r="F25" s="1" t="s">
        <v>90</v>
      </c>
      <c r="G25" s="22">
        <f>VLOOKUP($F25,$AB$10:$AE$10,G$22,0)*$C$6^($D25-1)*(1+$E25*0.005)*VLOOKUP($D25,角色成长!$B:$F,2,0)*(1+VLOOKUP($D25,角色成长!$B:$F,3,0))*(1+VLOOKUP($D25,角色成长!$B:$F,4,0)+VLOOKUP($D25,角色成长!$B:$F,5,0))</f>
        <v>19.701868342927153</v>
      </c>
      <c r="H25" s="22">
        <f>VLOOKUP($F25,$AB$10:$AE$10,H$22,0)*$C$6^($D25-1)*(1+$E25*0.005)*VLOOKUP($D25,角色成长!$B:$F,2,0)*(1+VLOOKUP($D25,角色成长!$B:$F,3,0))*(1+VLOOKUP($D25,角色成长!$B:$F,4,0)+VLOOKUP($D25,角色成长!$B:$F,5,0))/_xlfn.MAXIFS($L$24:$L$65525,$K$24:$K$65525,K25)</f>
        <v>385.95968586447952</v>
      </c>
      <c r="I25" s="22">
        <f>I$22*$C$6^($D25-1)*(1+$E25*0.005)</f>
        <v>155.13282159785157</v>
      </c>
      <c r="K25" s="1">
        <v>1</v>
      </c>
      <c r="L25" s="1">
        <v>1</v>
      </c>
      <c r="M25" s="1">
        <v>2</v>
      </c>
      <c r="N25" s="1">
        <v>2</v>
      </c>
      <c r="O25" s="22">
        <f>SUMIFS($M$24:M25,$L$24:L25,L25,$K$24:K25,K25)/SUMIFS($M$24:$M$65525,$L$24:$L$65525,L25,$K$24:$K$65525,K25)</f>
        <v>0.5</v>
      </c>
      <c r="P25" s="1" cm="1">
        <f t="array" ref="P25">SUMPRODUCT(($K$24:$K$65525=K25)*($L$24:$L$65525=L25)*$N$24:$N$65525*$O$24:$O$65525)</f>
        <v>6</v>
      </c>
      <c r="Q25" s="22">
        <f>G25/P25*N25</f>
        <v>6.5672894476423842</v>
      </c>
      <c r="R25" s="22">
        <f>M25/_xlfn.MAXIFS($L$24:$L$65525,$K$24:$K$65525,K25)/SUMIFS($M$24:$M$65525,$L$24:$L$65525,L25,$K$24:$K$65525,K25)*H25</f>
        <v>25.730645724298636</v>
      </c>
      <c r="S25" s="22"/>
      <c r="Z25" s="22">
        <f>Q25*IF(W25="",$W$22,W25)*$C$5/IF(V25="",$V$22,V25)/(1+IF(T25="",$T$22,T25)*(IF(U25="",$U$22,U25)-1))</f>
        <v>328.36447238211923</v>
      </c>
      <c r="AA25" s="22">
        <f>R25*$C$5/(1+AB25/$C$8)</f>
        <v>1728.6685114777245</v>
      </c>
      <c r="AB25" s="22">
        <f>I25*$C$5*IF(S25="",$S$22,S25)</f>
        <v>11634.961619838869</v>
      </c>
      <c r="AC25" s="22">
        <f>IF(T25="",$T$22,T25)</f>
        <v>0.4</v>
      </c>
      <c r="AD25" s="22">
        <f>IF(U25="",$U$22,U25)</f>
        <v>1.5</v>
      </c>
      <c r="AE25" s="31">
        <f>Q25*$C$5*(1-IF(W25="",$W$22,W25))/(1/IF(X25="",$X$22,X25))/(1+AC25*(AD25-1))/Z25</f>
        <v>2.4999999999999991</v>
      </c>
    </row>
    <row r="26" spans="2:31" ht="14.25" customHeight="1" x14ac:dyDescent="0.2">
      <c r="B26" s="3"/>
      <c r="C26" s="3"/>
      <c r="D26" s="1">
        <v>10</v>
      </c>
      <c r="E26" s="1">
        <v>0</v>
      </c>
      <c r="F26" s="1" t="s">
        <v>90</v>
      </c>
      <c r="G26" s="22">
        <f>VLOOKUP($F26,$AB$10:$AE$10,G$22,0)*$C$6^($D26-1)*(1+$E26*0.005)*VLOOKUP($D26,角色成长!$B:$F,2,0)*(1+VLOOKUP($D26,角色成长!$B:$F,3,0))*(1+VLOOKUP($D26,角色成长!$B:$F,4,0)+VLOOKUP($D26,角色成长!$B:$F,5,0))</f>
        <v>19.701868342927153</v>
      </c>
      <c r="H26" s="22">
        <f>VLOOKUP($F26,$AB$10:$AE$10,H$22,0)*$C$6^($D26-1)*(1+$E26*0.005)*VLOOKUP($D26,角色成长!$B:$F,2,0)*(1+VLOOKUP($D26,角色成长!$B:$F,3,0))*(1+VLOOKUP($D26,角色成长!$B:$F,4,0)+VLOOKUP($D26,角色成长!$B:$F,5,0))/_xlfn.MAXIFS($L$24:$L$65525,$K$24:$K$65525,K26)</f>
        <v>385.95968586447952</v>
      </c>
      <c r="I26" s="22">
        <f>I$22*$C$6^($D26-1)*(1+$E26*0.005)</f>
        <v>155.13282159785157</v>
      </c>
      <c r="K26" s="1">
        <v>1</v>
      </c>
      <c r="L26" s="1">
        <v>1</v>
      </c>
      <c r="M26" s="1">
        <v>2</v>
      </c>
      <c r="N26" s="1">
        <v>2</v>
      </c>
      <c r="O26" s="22">
        <f>SUMIFS($M$24:M26,$L$24:L26,L26,$K$24:K26,K26)/SUMIFS($M$24:$M$65525,$L$24:$L$65525,L26,$K$24:$K$65525,K26)</f>
        <v>0.7</v>
      </c>
      <c r="P26" s="1" cm="1">
        <f t="array" ref="P26">SUMPRODUCT(($K$24:$K$65525=K26)*($L$24:$L$65525=L26)*$N$24:$N$65525*$O$24:$O$65525)</f>
        <v>6</v>
      </c>
      <c r="Q26" s="22">
        <f>G26/P26*N26</f>
        <v>6.5672894476423842</v>
      </c>
      <c r="R26" s="22">
        <f>M26/_xlfn.MAXIFS($L$24:$L$65525,$K$24:$K$65525,K26)/SUMIFS($M$24:$M$65525,$L$24:$L$65525,L26,$K$24:$K$65525,K26)*H26</f>
        <v>25.730645724298636</v>
      </c>
      <c r="S26" s="22"/>
      <c r="Z26" s="22">
        <f>Q26*IF(W26="",$W$22,W26)*$C$5/IF(V26="",$V$22,V26)/(1+IF(T26="",$T$22,T26)*(IF(U26="",$U$22,U26)-1))</f>
        <v>328.36447238211923</v>
      </c>
      <c r="AA26" s="22">
        <f>R26*$C$5/(1+AB26/$C$8)</f>
        <v>1728.6685114777245</v>
      </c>
      <c r="AB26" s="22">
        <f>I26*$C$5*IF(S26="",$S$22,S26)</f>
        <v>11634.961619838869</v>
      </c>
      <c r="AC26" s="22">
        <f>IF(T26="",$T$22,T26)</f>
        <v>0.4</v>
      </c>
      <c r="AD26" s="22">
        <f>IF(U26="",$U$22,U26)</f>
        <v>1.5</v>
      </c>
      <c r="AE26" s="31">
        <f>Q26*$C$5*(1-IF(W26="",$W$22,W26))/(1/IF(X26="",$X$22,X26))/(1+AC26*(AD26-1))/Z26</f>
        <v>2.4999999999999991</v>
      </c>
    </row>
    <row r="27" spans="2:31" ht="14.25" customHeight="1" x14ac:dyDescent="0.2">
      <c r="D27" s="1">
        <v>10</v>
      </c>
      <c r="E27" s="1">
        <v>0</v>
      </c>
      <c r="F27" s="1" t="s">
        <v>90</v>
      </c>
      <c r="G27" s="22">
        <f>VLOOKUP($F27,$AB$10:$AE$10,G$22,0)*$C$6^($D27-1)*(1+$E27*0.005)*VLOOKUP($D27,角色成长!$B:$F,2,0)*(1+VLOOKUP($D27,角色成长!$B:$F,3,0))*(1+VLOOKUP($D27,角色成长!$B:$F,4,0)+VLOOKUP($D27,角色成长!$B:$F,5,0))</f>
        <v>19.701868342927153</v>
      </c>
      <c r="H27" s="22">
        <f>VLOOKUP($F27,$AB$10:$AE$10,H$22,0)*$C$6^($D27-1)*(1+$E27*0.005)*VLOOKUP($D27,角色成长!$B:$F,2,0)*(1+VLOOKUP($D27,角色成长!$B:$F,3,0))*(1+VLOOKUP($D27,角色成长!$B:$F,4,0)+VLOOKUP($D27,角色成长!$B:$F,5,0))/_xlfn.MAXIFS($L$24:$L$65525,$K$24:$K$65525,K27)</f>
        <v>385.95968586447952</v>
      </c>
      <c r="I27" s="22">
        <f>I$22*$C$6^($D27-1)*(1+$E27*0.005)</f>
        <v>155.13282159785157</v>
      </c>
      <c r="K27" s="1">
        <v>1</v>
      </c>
      <c r="L27" s="1">
        <v>1</v>
      </c>
      <c r="M27" s="1">
        <v>1</v>
      </c>
      <c r="N27" s="1">
        <v>1</v>
      </c>
      <c r="O27" s="22">
        <f>SUMIFS($M$24:M27,$L$24:L27,L27,$K$24:K27,K27)/SUMIFS($M$24:$M$65525,$L$24:$L$65525,L27,$K$24:$K$65525,K27)</f>
        <v>0.8</v>
      </c>
      <c r="P27" s="1" cm="1">
        <f t="array" ref="P27">SUMPRODUCT(($K$24:$K$65525=K27)*($L$24:$L$65525=L27)*$N$24:$N$65525*$O$24:$O$65525)</f>
        <v>6</v>
      </c>
      <c r="Q27" s="22">
        <f>G27/P27*N27</f>
        <v>3.2836447238211921</v>
      </c>
      <c r="R27" s="22">
        <f>M27/_xlfn.MAXIFS($L$24:$L$65525,$K$24:$K$65525,K27)/SUMIFS($M$24:$M$65525,$L$24:$L$65525,L27,$K$24:$K$65525,K27)*H27</f>
        <v>12.865322862149318</v>
      </c>
      <c r="Z27" s="22">
        <f>Q27*IF(W27="",$W$22,W27)*$C$5/IF(V27="",$V$22,V27)/(1+IF(T27="",$T$22,T27)*(IF(U27="",$U$22,U27)-1))</f>
        <v>164.18223619105962</v>
      </c>
      <c r="AA27" s="22">
        <f>R27*$C$5/(1+AB27/$C$8)</f>
        <v>864.33425573886223</v>
      </c>
      <c r="AB27" s="22">
        <f>I27*$C$5*IF(S27="",$S$22,S27)</f>
        <v>11634.961619838869</v>
      </c>
      <c r="AC27" s="22">
        <f>IF(T27="",$T$22,T27)</f>
        <v>0.4</v>
      </c>
      <c r="AD27" s="22">
        <f>IF(U27="",$U$22,U27)</f>
        <v>1.5</v>
      </c>
      <c r="AE27" s="31">
        <f>Q27*$C$5*(1-IF(W27="",$W$22,W27))/(1/IF(X27="",$X$22,X27))/(1+AC27*(AD27-1))/Z27</f>
        <v>2.4999999999999991</v>
      </c>
    </row>
    <row r="28" spans="2:31" ht="14.25" customHeight="1" x14ac:dyDescent="0.2">
      <c r="D28" s="1">
        <v>10</v>
      </c>
      <c r="E28" s="1">
        <v>0</v>
      </c>
      <c r="F28" s="1" t="s">
        <v>90</v>
      </c>
      <c r="G28" s="22">
        <f>VLOOKUP($F28,$AB$10:$AE$10,G$22,0)*$C$6^($D28-1)*(1+$E28*0.005)*VLOOKUP($D28,角色成长!$B:$F,2,0)*(1+VLOOKUP($D28,角色成长!$B:$F,3,0))*(1+VLOOKUP($D28,角色成长!$B:$F,4,0)+VLOOKUP($D28,角色成长!$B:$F,5,0))</f>
        <v>19.701868342927153</v>
      </c>
      <c r="H28" s="22">
        <f>VLOOKUP($F28,$AB$10:$AE$10,H$22,0)*$C$6^($D28-1)*(1+$E28*0.005)*VLOOKUP($D28,角色成长!$B:$F,2,0)*(1+VLOOKUP($D28,角色成长!$B:$F,3,0))*(1+VLOOKUP($D28,角色成长!$B:$F,4,0)+VLOOKUP($D28,角色成长!$B:$F,5,0))/_xlfn.MAXIFS($L$24:$L$65525,$K$24:$K$65525,K28)</f>
        <v>385.95968586447952</v>
      </c>
      <c r="I28" s="22">
        <f>I$22*$C$6^($D28-1)*(1+$E28*0.005)</f>
        <v>155.13282159785157</v>
      </c>
      <c r="K28" s="1">
        <v>1</v>
      </c>
      <c r="L28" s="1">
        <v>1</v>
      </c>
      <c r="M28" s="1">
        <v>1</v>
      </c>
      <c r="N28" s="1">
        <v>1</v>
      </c>
      <c r="O28" s="22">
        <f>SUMIFS($M$24:M28,$L$24:L28,L28,$K$24:K28,K28)/SUMIFS($M$24:$M$65525,$L$24:$L$65525,L28,$K$24:$K$65525,K28)</f>
        <v>0.9</v>
      </c>
      <c r="P28" s="1" cm="1">
        <f t="array" ref="P28">SUMPRODUCT(($K$24:$K$65525=K28)*($L$24:$L$65525=L28)*$N$24:$N$65525*$O$24:$O$65525)</f>
        <v>6</v>
      </c>
      <c r="Q28" s="22">
        <f>G28/P28*N28</f>
        <v>3.2836447238211921</v>
      </c>
      <c r="R28" s="22">
        <f>M28/_xlfn.MAXIFS($L$24:$L$65525,$K$24:$K$65525,K28)/SUMIFS($M$24:$M$65525,$L$24:$L$65525,L28,$K$24:$K$65525,K28)*H28</f>
        <v>12.865322862149318</v>
      </c>
      <c r="Z28" s="22">
        <f>Q28*IF(W28="",$W$22,W28)*$C$5/IF(V28="",$V$22,V28)/(1+IF(T28="",$T$22,T28)*(IF(U28="",$U$22,U28)-1))</f>
        <v>164.18223619105962</v>
      </c>
      <c r="AA28" s="22">
        <f>R28*$C$5/(1+AB28/$C$8)</f>
        <v>864.33425573886223</v>
      </c>
      <c r="AB28" s="22">
        <f>I28*$C$5*IF(S28="",$S$22,S28)</f>
        <v>11634.961619838869</v>
      </c>
      <c r="AC28" s="22">
        <f>IF(T28="",$T$22,T28)</f>
        <v>0.4</v>
      </c>
      <c r="AD28" s="22">
        <f>IF(U28="",$U$22,U28)</f>
        <v>1.5</v>
      </c>
      <c r="AE28" s="31">
        <f>Q28*$C$5*(1-IF(W28="",$W$22,W28))/(1/IF(X28="",$X$22,X28))/(1+AC28*(AD28-1))/Z28</f>
        <v>2.4999999999999991</v>
      </c>
    </row>
    <row r="29" spans="2:31" ht="14.25" customHeight="1" x14ac:dyDescent="0.2">
      <c r="D29" s="1">
        <v>10</v>
      </c>
      <c r="E29" s="1">
        <v>0</v>
      </c>
      <c r="F29" s="1" t="s">
        <v>90</v>
      </c>
      <c r="G29" s="22">
        <f>VLOOKUP($F29,$AB$10:$AE$10,G$22,0)*$C$6^($D29-1)*(1+$E29*0.005)*VLOOKUP($D29,角色成长!$B:$F,2,0)*(1+VLOOKUP($D29,角色成长!$B:$F,3,0))*(1+VLOOKUP($D29,角色成长!$B:$F,4,0)+VLOOKUP($D29,角色成长!$B:$F,5,0))</f>
        <v>19.701868342927153</v>
      </c>
      <c r="H29" s="22">
        <f>VLOOKUP($F29,$AB$10:$AE$10,H$22,0)*$C$6^($D29-1)*(1+$E29*0.005)*VLOOKUP($D29,角色成长!$B:$F,2,0)*(1+VLOOKUP($D29,角色成长!$B:$F,3,0))*(1+VLOOKUP($D29,角色成长!$B:$F,4,0)+VLOOKUP($D29,角色成长!$B:$F,5,0))/_xlfn.MAXIFS($L$24:$L$65525,$K$24:$K$65525,K29)</f>
        <v>385.95968586447952</v>
      </c>
      <c r="I29" s="22">
        <f>I$22*$C$6^($D29-1)*(1+$E29*0.005)</f>
        <v>155.13282159785157</v>
      </c>
      <c r="K29" s="1">
        <v>1</v>
      </c>
      <c r="L29" s="1">
        <v>1</v>
      </c>
      <c r="M29" s="1">
        <v>1</v>
      </c>
      <c r="N29" s="1">
        <v>1</v>
      </c>
      <c r="O29" s="22">
        <f>SUMIFS($M$24:M29,$L$24:L29,L29,$K$24:K29,K29)/SUMIFS($M$24:$M$65525,$L$24:$L$65525,L29,$K$24:$K$65525,K29)</f>
        <v>1</v>
      </c>
      <c r="P29" s="1" cm="1">
        <f t="array" ref="P29">SUMPRODUCT(($K$24:$K$65525=K29)*($L$24:$L$65525=L29)*$N$24:$N$65525*$O$24:$O$65525)</f>
        <v>6</v>
      </c>
      <c r="Q29" s="22">
        <f>G29/P29*N29</f>
        <v>3.2836447238211921</v>
      </c>
      <c r="R29" s="22">
        <f>M29/_xlfn.MAXIFS($L$24:$L$65525,$K$24:$K$65525,K29)/SUMIFS($M$24:$M$65525,$L$24:$L$65525,L29,$K$24:$K$65525,K29)*H29</f>
        <v>12.865322862149318</v>
      </c>
      <c r="Z29" s="22">
        <f>Q29*IF(W29="",$W$22,W29)*$C$5/IF(V29="",$V$22,V29)/(1+IF(T29="",$T$22,T29)*(IF(U29="",$U$22,U29)-1))</f>
        <v>164.18223619105962</v>
      </c>
      <c r="AA29" s="22">
        <f>R29*$C$5/(1+AB29/$C$8)</f>
        <v>864.33425573886223</v>
      </c>
      <c r="AB29" s="22">
        <f>I29*$C$5*IF(S29="",$S$22,S29)</f>
        <v>11634.961619838869</v>
      </c>
      <c r="AC29" s="22">
        <f>IF(T29="",$T$22,T29)</f>
        <v>0.4</v>
      </c>
      <c r="AD29" s="22">
        <f>IF(U29="",$U$22,U29)</f>
        <v>1.5</v>
      </c>
      <c r="AE29" s="31">
        <f>Q29*$C$5*(1-IF(W29="",$W$22,W29))/(1/IF(X29="",$X$22,X29))/(1+AC29*(AD29-1))/Z29</f>
        <v>2.4999999999999991</v>
      </c>
    </row>
    <row r="30" spans="2:31" ht="14.25" customHeight="1" x14ac:dyDescent="0.2">
      <c r="D30" s="1">
        <v>10</v>
      </c>
      <c r="E30" s="1">
        <v>0</v>
      </c>
      <c r="F30" s="1" t="s">
        <v>90</v>
      </c>
      <c r="G30" s="22">
        <f>VLOOKUP($F30,$AB$10:$AE$10,G$22,0)*$C$6^($D30-1)*(1+$E30*0.005)*VLOOKUP($D30,角色成长!$B:$F,2,0)*(1+VLOOKUP($D30,角色成长!$B:$F,3,0))*(1+VLOOKUP($D30,角色成长!$B:$F,4,0)+VLOOKUP($D30,角色成长!$B:$F,5,0))</f>
        <v>19.701868342927153</v>
      </c>
      <c r="H30" s="22">
        <f>VLOOKUP($F30,$AB$10:$AE$10,H$22,0)*$C$6^($D30-1)*(1+$E30*0.005)*VLOOKUP($D30,角色成长!$B:$F,2,0)*(1+VLOOKUP($D30,角色成长!$B:$F,3,0))*(1+VLOOKUP($D30,角色成长!$B:$F,4,0)+VLOOKUP($D30,角色成长!$B:$F,5,0))/_xlfn.MAXIFS($L$24:$L$65525,$K$24:$K$65525,K30)</f>
        <v>385.95968586447952</v>
      </c>
      <c r="I30" s="22">
        <f>I$22*$C$6^($D30-1)*(1+$E30*0.005)</f>
        <v>155.13282159785157</v>
      </c>
      <c r="K30" s="1">
        <v>1</v>
      </c>
      <c r="L30" s="1">
        <v>2</v>
      </c>
      <c r="M30" s="1">
        <v>3</v>
      </c>
      <c r="N30" s="1">
        <v>3</v>
      </c>
      <c r="O30" s="22">
        <f>SUMIFS($M$24:M30,$L$24:L30,L30,$K$24:K30,K30)/SUMIFS($M$24:$M$65525,$L$24:$L$65525,L30,$K$24:$K$65525,K30)</f>
        <v>1</v>
      </c>
      <c r="P30" s="1" cm="1">
        <f t="array" ref="P30">SUMPRODUCT(($K$24:$K$65525=K30)*($L$24:$L$65525=L30)*$N$24:$N$65525*$O$24:$O$65525)</f>
        <v>3</v>
      </c>
      <c r="Q30" s="22">
        <f>G30/P30*N30</f>
        <v>19.701868342927153</v>
      </c>
      <c r="R30" s="22">
        <f>M30/_xlfn.MAXIFS($L$24:$L$65525,$K$24:$K$65525,K30)/SUMIFS($M$24:$M$65525,$L$24:$L$65525,L30,$K$24:$K$65525,K30)*H30</f>
        <v>128.65322862149316</v>
      </c>
      <c r="Z30" s="22">
        <f>Q30*IF(W30="",$W$22,W30)*$C$5/IF(V30="",$V$22,V30)/(1+IF(T30="",$T$22,T30)*(IF(U30="",$U$22,U30)-1))</f>
        <v>985.09341714635775</v>
      </c>
      <c r="AA30" s="22">
        <f>R30*$C$5/(1+AB30/$C$8)</f>
        <v>8643.3425573886198</v>
      </c>
      <c r="AB30" s="22">
        <f>I30*$C$5*IF(S30="",$S$22,S30)</f>
        <v>11634.961619838869</v>
      </c>
      <c r="AC30" s="22">
        <f>IF(T30="",$T$22,T30)</f>
        <v>0.4</v>
      </c>
      <c r="AD30" s="22">
        <f>IF(U30="",$U$22,U30)</f>
        <v>1.5</v>
      </c>
      <c r="AE30" s="31">
        <f>Q30*$C$5*(1-IF(W30="",$W$22,W30))/(1/IF(X30="",$X$22,X30))/(1+AC30*(AD30-1))/Z30</f>
        <v>2.4999999999999991</v>
      </c>
    </row>
    <row r="31" spans="2:31" ht="14.25" customHeight="1" x14ac:dyDescent="0.2">
      <c r="D31" s="1">
        <v>10</v>
      </c>
      <c r="E31" s="1">
        <v>0</v>
      </c>
      <c r="F31" s="1" t="s">
        <v>90</v>
      </c>
      <c r="G31" s="22">
        <f>VLOOKUP($F31,$AB$10:$AE$10,G$22,0)*$C$6^($D31-1)*(1+$E31*0.005)*VLOOKUP($D31,角色成长!$B:$F,2,0)*(1+VLOOKUP($D31,角色成长!$B:$F,3,0))*(1+VLOOKUP($D31,角色成长!$B:$F,4,0)+VLOOKUP($D31,角色成长!$B:$F,5,0))</f>
        <v>19.701868342927153</v>
      </c>
      <c r="H31" s="22">
        <f>VLOOKUP($F31,$AB$10:$AE$10,H$22,0)*$C$6^($D31-1)*(1+$E31*0.005)*VLOOKUP($D31,角色成长!$B:$F,2,0)*(1+VLOOKUP($D31,角色成长!$B:$F,3,0))*(1+VLOOKUP($D31,角色成长!$B:$F,4,0)+VLOOKUP($D31,角色成长!$B:$F,5,0))/_xlfn.MAXIFS($L$24:$L$65525,$K$24:$K$65525,K31)</f>
        <v>385.95968586447952</v>
      </c>
      <c r="I31" s="22">
        <f>I$22*$C$6^($D31-1)*(1+$E31*0.005)</f>
        <v>155.13282159785157</v>
      </c>
      <c r="K31" s="1">
        <v>1</v>
      </c>
      <c r="L31" s="1">
        <v>3</v>
      </c>
      <c r="M31" s="1">
        <v>3</v>
      </c>
      <c r="N31" s="1">
        <v>3</v>
      </c>
      <c r="O31" s="22">
        <f>SUMIFS($M$24:M31,$L$24:L31,L31,$K$24:K31,K31)/SUMIFS($M$24:$M$65525,$L$24:$L$65525,L31,$K$24:$K$65525,K31)</f>
        <v>1</v>
      </c>
      <c r="P31" s="1" cm="1">
        <f t="array" ref="P31">SUMPRODUCT(($K$24:$K$65525=K31)*($L$24:$L$65525=L31)*$N$24:$N$65525*$O$24:$O$65525)</f>
        <v>3</v>
      </c>
      <c r="Q31" s="22">
        <f>G31/P31*N31</f>
        <v>19.701868342927153</v>
      </c>
      <c r="R31" s="22">
        <f>M31/_xlfn.MAXIFS($L$24:$L$65525,$K$24:$K$65525,K31)/SUMIFS($M$24:$M$65525,$L$24:$L$65525,L31,$K$24:$K$65525,K31)*H31</f>
        <v>128.65322862149316</v>
      </c>
      <c r="Z31" s="22">
        <f>Q31*IF(W31="",$W$22,W31)*$C$5/IF(V31="",$V$22,V31)/(1+IF(T31="",$T$22,T31)*(IF(U31="",$U$22,U31)-1))</f>
        <v>985.09341714635775</v>
      </c>
      <c r="AA31" s="22">
        <f>R31*$C$5/(1+AB31/$C$8)</f>
        <v>8643.3425573886198</v>
      </c>
      <c r="AB31" s="22">
        <f>I31*$C$5*IF(S31="",$S$22,S31)</f>
        <v>11634.961619838869</v>
      </c>
      <c r="AC31" s="22">
        <f>IF(T31="",$T$22,T31)</f>
        <v>0.4</v>
      </c>
      <c r="AD31" s="22">
        <f>IF(U31="",$U$22,U31)</f>
        <v>1.5</v>
      </c>
      <c r="AE31" s="31">
        <f>Q31*$C$5*(1-IF(W31="",$W$22,W31))/(1/IF(X31="",$X$22,X31))/(1+AC31*(AD31-1))/Z31</f>
        <v>2.4999999999999991</v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AA5:AA6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B1:W35"/>
  <sheetViews>
    <sheetView workbookViewId="0">
      <selection activeCell="M31" sqref="M31"/>
    </sheetView>
  </sheetViews>
  <sheetFormatPr defaultRowHeight="14.25" customHeight="1" x14ac:dyDescent="0.2"/>
  <cols>
    <col min="1" max="16384" width="9" style="1"/>
  </cols>
  <sheetData>
    <row r="1" spans="2:23" ht="14.25" customHeight="1" x14ac:dyDescent="0.2">
      <c r="B1" s="5" t="s">
        <v>41</v>
      </c>
      <c r="C1" s="6" t="s">
        <v>42</v>
      </c>
      <c r="D1" s="29" t="s">
        <v>43</v>
      </c>
      <c r="E1" s="2"/>
    </row>
    <row r="14" spans="2:23" ht="14.25" customHeight="1" x14ac:dyDescent="0.2">
      <c r="T14" s="1">
        <v>100</v>
      </c>
    </row>
    <row r="15" spans="2:23" ht="14.25" customHeight="1" thickBot="1" x14ac:dyDescent="0.25">
      <c r="D15" s="12" t="s">
        <v>4</v>
      </c>
      <c r="E15" s="17" t="s">
        <v>5</v>
      </c>
      <c r="F15" s="12" t="s">
        <v>20</v>
      </c>
      <c r="G15" s="43" t="s">
        <v>197</v>
      </c>
      <c r="H15" s="43" t="s">
        <v>198</v>
      </c>
      <c r="I15" s="43" t="s">
        <v>199</v>
      </c>
      <c r="J15" s="4" t="s">
        <v>36</v>
      </c>
      <c r="K15" s="35" t="s">
        <v>194</v>
      </c>
      <c r="L15" s="35" t="s">
        <v>195</v>
      </c>
      <c r="M15" s="1" t="s">
        <v>196</v>
      </c>
      <c r="N15" s="1" t="s">
        <v>200</v>
      </c>
      <c r="O15" s="1" t="s">
        <v>201</v>
      </c>
      <c r="P15" s="1" t="s">
        <v>202</v>
      </c>
      <c r="Q15" s="1" t="s">
        <v>203</v>
      </c>
      <c r="R15" s="1" t="s">
        <v>204</v>
      </c>
      <c r="S15" s="1" t="s">
        <v>205</v>
      </c>
      <c r="T15" s="1" t="s">
        <v>206</v>
      </c>
      <c r="U15" s="29" t="s">
        <v>207</v>
      </c>
      <c r="V15" s="29" t="s">
        <v>208</v>
      </c>
      <c r="W15" s="29" t="s">
        <v>209</v>
      </c>
    </row>
    <row r="16" spans="2:23" ht="14.25" customHeight="1" x14ac:dyDescent="0.2">
      <c r="D16" s="1" t="str">
        <f>角色基础!E16</f>
        <v>饼干1</v>
      </c>
      <c r="E16" s="1" t="str">
        <f>角色基础!F16</f>
        <v>防御</v>
      </c>
      <c r="F16" s="1" t="str">
        <f>角色基础!G16</f>
        <v>超级稀有</v>
      </c>
      <c r="G16" s="22">
        <f>VLOOKUP($D16,角色基础!$E:$U,MATCH(G$15,角色基础!$E$15:$U$15,0),0)</f>
        <v>0.75</v>
      </c>
      <c r="H16" s="22">
        <f>VLOOKUP($D16,角色基础!$E:$U,MATCH("伤害",角色基础!$E$15:$U$15,0),0)*VLOOKUP($D16,角色基础!$E:$U,MATCH("伤害偏向",角色基础!$E$15:$U$15,0),0)</f>
        <v>4.5</v>
      </c>
      <c r="I16" s="22">
        <f>VLOOKUP($D16,角色基础!$E:$U,MATCH("承伤",角色基础!$E$15:$U$15,0),0)*VLOOKUP($D16,角色基础!$E:$U,MATCH("承伤偏向",角色基础!$E$15:$U$15,0),0)</f>
        <v>111.11111111111111</v>
      </c>
      <c r="J16" s="1">
        <f>VLOOKUP(VLOOKUP($E16,角色基础!$K$4:$L$10,2,0),角色基础!$E$4:$H$7,4,0)</f>
        <v>2</v>
      </c>
      <c r="K16" s="1">
        <v>10</v>
      </c>
      <c r="L16" s="1">
        <v>2</v>
      </c>
      <c r="M16" s="31">
        <f>(1-G16)/G16*K16</f>
        <v>3.333333333333333</v>
      </c>
      <c r="N16" s="31">
        <f>J16*K16/H16</f>
        <v>4.4444444444444446</v>
      </c>
      <c r="O16" s="31">
        <f>J16*K16/I16</f>
        <v>0.18</v>
      </c>
      <c r="P16" s="1">
        <v>2</v>
      </c>
      <c r="Q16" s="22">
        <f t="shared" ref="Q16:Q35" si="0">G16/(G16+(1-G16)*P16)</f>
        <v>0.6</v>
      </c>
      <c r="R16" s="44">
        <f t="shared" ref="R16:R35" si="1">(1-Q16)/G16*K16</f>
        <v>5.333333333333333</v>
      </c>
      <c r="S16" s="45">
        <f>$R16/$M16*N16</f>
        <v>7.1111111111111116</v>
      </c>
      <c r="T16" s="45">
        <f>$R16/$M16*O16</f>
        <v>0.28799999999999998</v>
      </c>
      <c r="U16" s="31">
        <f>(R16-M16)/($T$14-1)</f>
        <v>2.0202020202020204E-2</v>
      </c>
      <c r="V16" s="31">
        <f>(S16-N16)/($T$14-1)</f>
        <v>2.6936026936026938E-2</v>
      </c>
      <c r="W16" s="31">
        <f>(T16-O16)/($T$14-1)</f>
        <v>1.0909090909090907E-3</v>
      </c>
    </row>
    <row r="17" spans="4:23" ht="14.25" customHeight="1" x14ac:dyDescent="0.2">
      <c r="D17" s="1" t="str">
        <f>角色基础!E17</f>
        <v>饼干2</v>
      </c>
      <c r="E17" s="1" t="str">
        <f>角色基础!F17</f>
        <v>防御</v>
      </c>
      <c r="F17" s="1" t="str">
        <f>角色基础!G17</f>
        <v>超级稀有</v>
      </c>
      <c r="G17" s="22">
        <f>VLOOKUP($D17,角色基础!$E:$U,MATCH(G$15,角色基础!$E$15:$U$15,0),0)</f>
        <v>0.75</v>
      </c>
      <c r="H17" s="22">
        <f>VLOOKUP($D17,角色基础!$E:$U,MATCH("伤害",角色基础!$E$15:$U$15,0),0)*VLOOKUP($D17,角色基础!$E:$U,MATCH("伤害偏向",角色基础!$E$15:$U$15,0),0)</f>
        <v>5</v>
      </c>
      <c r="I17" s="22">
        <f>VLOOKUP($D17,角色基础!$E:$U,MATCH("承伤",角色基础!$E$15:$U$15,0),0)*VLOOKUP($D17,角色基础!$E:$U,MATCH("承伤偏向",角色基础!$E$15:$U$15,0),0)</f>
        <v>100</v>
      </c>
      <c r="J17" s="1">
        <f>VLOOKUP(VLOOKUP($E17,角色基础!$K$4:$L$10,2,0),角色基础!$E$4:$H$7,4,0)</f>
        <v>2</v>
      </c>
      <c r="K17" s="1">
        <v>10</v>
      </c>
      <c r="L17" s="1">
        <v>2</v>
      </c>
      <c r="M17" s="31">
        <f t="shared" ref="M17:M35" si="2">(1-G17)/G17*K17</f>
        <v>3.333333333333333</v>
      </c>
      <c r="N17" s="31">
        <f t="shared" ref="N17:N35" si="3">J17*K17/H17</f>
        <v>4</v>
      </c>
      <c r="O17" s="31">
        <f t="shared" ref="O17:O35" si="4">J17*K17/I17</f>
        <v>0.2</v>
      </c>
      <c r="P17" s="1">
        <v>2</v>
      </c>
      <c r="Q17" s="22">
        <f t="shared" si="0"/>
        <v>0.6</v>
      </c>
      <c r="R17" s="44">
        <f t="shared" si="1"/>
        <v>5.333333333333333</v>
      </c>
      <c r="S17" s="45">
        <f>$R17/$M17*N17</f>
        <v>6.4</v>
      </c>
      <c r="T17" s="45">
        <f>$R17/$M17*O17</f>
        <v>0.32000000000000006</v>
      </c>
      <c r="U17" s="31">
        <f>(R17-M17)/($T$14-1)</f>
        <v>2.0202020202020204E-2</v>
      </c>
      <c r="V17" s="31">
        <f>(S17-N17)/($T$14-1)</f>
        <v>2.4242424242424246E-2</v>
      </c>
      <c r="W17" s="31">
        <f>(T17-O17)/($T$14-1)</f>
        <v>1.2121212121212126E-3</v>
      </c>
    </row>
    <row r="18" spans="4:23" ht="14.25" customHeight="1" x14ac:dyDescent="0.2">
      <c r="D18" s="1" t="str">
        <f>角色基础!E18</f>
        <v>饼干3</v>
      </c>
      <c r="E18" s="1" t="str">
        <f>角色基础!F18</f>
        <v>突击</v>
      </c>
      <c r="F18" s="1" t="str">
        <f>角色基础!G18</f>
        <v>超级稀有</v>
      </c>
      <c r="G18" s="22">
        <f>VLOOKUP($D18,角色基础!$E:$U,MATCH(G$15,角色基础!$E$15:$U$15,0),0)</f>
        <v>0.751</v>
      </c>
      <c r="H18" s="22">
        <f>VLOOKUP($D18,角色基础!$E:$U,MATCH("伤害",角色基础!$E$15:$U$15,0),0)*VLOOKUP($D18,角色基础!$E:$U,MATCH("伤害偏向",角色基础!$E$15:$U$15,0),0)</f>
        <v>5.5</v>
      </c>
      <c r="I18" s="22">
        <f>VLOOKUP($D18,角色基础!$E:$U,MATCH("承伤",角色基础!$E$15:$U$15,0),0)*VLOOKUP($D18,角色基础!$E:$U,MATCH("承伤偏向",角色基础!$E$15:$U$15,0),0)</f>
        <v>90.909090909090907</v>
      </c>
      <c r="J18" s="1">
        <f>VLOOKUP(VLOOKUP($E18,角色基础!$K$4:$L$10,2,0),角色基础!$E$4:$H$7,4,0)</f>
        <v>2</v>
      </c>
      <c r="K18" s="1">
        <v>10</v>
      </c>
      <c r="L18" s="1">
        <v>2</v>
      </c>
      <c r="M18" s="31">
        <f t="shared" si="2"/>
        <v>3.3155792276964045</v>
      </c>
      <c r="N18" s="31">
        <f t="shared" si="3"/>
        <v>3.6363636363636362</v>
      </c>
      <c r="O18" s="31">
        <f t="shared" si="4"/>
        <v>0.22</v>
      </c>
      <c r="P18" s="1">
        <v>2</v>
      </c>
      <c r="Q18" s="22">
        <f t="shared" si="0"/>
        <v>0.60128102481985579</v>
      </c>
      <c r="R18" s="44">
        <f t="shared" si="1"/>
        <v>5.309174103597126</v>
      </c>
      <c r="S18" s="45">
        <f>$R18/$M18*N18</f>
        <v>5.8228400902540232</v>
      </c>
      <c r="T18" s="45">
        <f>$R18/$M18*O18</f>
        <v>0.3522818254603684</v>
      </c>
      <c r="U18" s="31">
        <f>(R18-M18)/($T$14-1)</f>
        <v>2.0137321978795166E-2</v>
      </c>
      <c r="V18" s="31">
        <f>(S18-N18)/($T$14-1)</f>
        <v>2.2085620746367544E-2</v>
      </c>
      <c r="W18" s="31">
        <f>(T18-O18)/($T$14-1)</f>
        <v>1.3361800551552365E-3</v>
      </c>
    </row>
    <row r="19" spans="4:23" ht="14.25" customHeight="1" x14ac:dyDescent="0.2">
      <c r="D19" s="1" t="str">
        <f>角色基础!E19</f>
        <v>饼干4</v>
      </c>
      <c r="E19" s="1" t="str">
        <f>角色基础!F19</f>
        <v>突击</v>
      </c>
      <c r="F19" s="1" t="str">
        <f>角色基础!G19</f>
        <v>超级稀有</v>
      </c>
      <c r="G19" s="22">
        <f>VLOOKUP($D19,角色基础!$E:$U,MATCH(G$15,角色基础!$E$15:$U$15,0),0)</f>
        <v>0.751</v>
      </c>
      <c r="H19" s="22">
        <f>VLOOKUP($D19,角色基础!$E:$U,MATCH("伤害",角色基础!$E$15:$U$15,0),0)*VLOOKUP($D19,角色基础!$E:$U,MATCH("伤害偏向",角色基础!$E$15:$U$15,0),0)</f>
        <v>6</v>
      </c>
      <c r="I19" s="22">
        <f>VLOOKUP($D19,角色基础!$E:$U,MATCH("承伤",角色基础!$E$15:$U$15,0),0)*VLOOKUP($D19,角色基础!$E:$U,MATCH("承伤偏向",角色基础!$E$15:$U$15,0),0)</f>
        <v>83.333333333333343</v>
      </c>
      <c r="J19" s="1">
        <f>VLOOKUP(VLOOKUP($E19,角色基础!$K$4:$L$10,2,0),角色基础!$E$4:$H$7,4,0)</f>
        <v>2</v>
      </c>
      <c r="K19" s="1">
        <v>10</v>
      </c>
      <c r="L19" s="1">
        <v>2</v>
      </c>
      <c r="M19" s="31">
        <f t="shared" si="2"/>
        <v>3.3155792276964045</v>
      </c>
      <c r="N19" s="31">
        <f t="shared" si="3"/>
        <v>3.3333333333333335</v>
      </c>
      <c r="O19" s="31">
        <f t="shared" si="4"/>
        <v>0.23999999999999996</v>
      </c>
      <c r="P19" s="1">
        <v>2</v>
      </c>
      <c r="Q19" s="22">
        <f t="shared" si="0"/>
        <v>0.60128102481985579</v>
      </c>
      <c r="R19" s="44">
        <f t="shared" si="1"/>
        <v>5.309174103597126</v>
      </c>
      <c r="S19" s="45">
        <f>$R19/$M19*N19</f>
        <v>5.3376034160661883</v>
      </c>
      <c r="T19" s="45">
        <f>$R19/$M19*O19</f>
        <v>0.38430744595676547</v>
      </c>
      <c r="U19" s="31">
        <f>(R19-M19)/($T$14-1)</f>
        <v>2.0137321978795166E-2</v>
      </c>
      <c r="V19" s="31">
        <f>(S19-N19)/($T$14-1)</f>
        <v>2.0245152350836917E-2</v>
      </c>
      <c r="W19" s="31">
        <f>(T19-O19)/($T$14-1)</f>
        <v>1.4576509692602576E-3</v>
      </c>
    </row>
    <row r="20" spans="4:23" ht="14.25" customHeight="1" x14ac:dyDescent="0.2">
      <c r="D20" s="1" t="str">
        <f>角色基础!E20</f>
        <v>饼干5</v>
      </c>
      <c r="E20" s="1" t="str">
        <f>角色基础!F20</f>
        <v>魔法</v>
      </c>
      <c r="F20" s="1" t="str">
        <f>角色基础!G20</f>
        <v>超级稀有</v>
      </c>
      <c r="G20" s="22">
        <f>VLOOKUP($D20,角色基础!$E:$U,MATCH(G$15,角色基础!$E$15:$U$15,0),0)</f>
        <v>0.8</v>
      </c>
      <c r="H20" s="22">
        <f>VLOOKUP($D20,角色基础!$E:$U,MATCH("伤害",角色基础!$E$15:$U$15,0),0)*VLOOKUP($D20,角色基础!$E:$U,MATCH("伤害偏向",角色基础!$E$15:$U$15,0),0)</f>
        <v>10.5</v>
      </c>
      <c r="I20" s="22">
        <f>VLOOKUP($D20,角色基础!$E:$U,MATCH("承伤",角色基础!$E$15:$U$15,0),0)*VLOOKUP($D20,角色基础!$E:$U,MATCH("承伤偏向",角色基础!$E$15:$U$15,0),0)</f>
        <v>38.095238095238095</v>
      </c>
      <c r="J20" s="1">
        <f>VLOOKUP(VLOOKUP($E20,角色基础!$K$4:$L$10,2,0),角色基础!$E$4:$H$7,4,0)</f>
        <v>0</v>
      </c>
      <c r="K20" s="1">
        <v>10</v>
      </c>
      <c r="L20" s="1">
        <v>2</v>
      </c>
      <c r="M20" s="31">
        <f t="shared" si="2"/>
        <v>2.4999999999999996</v>
      </c>
      <c r="N20" s="31">
        <f t="shared" si="3"/>
        <v>0</v>
      </c>
      <c r="O20" s="31">
        <f t="shared" si="4"/>
        <v>0</v>
      </c>
      <c r="P20" s="1">
        <v>2</v>
      </c>
      <c r="Q20" s="22">
        <f t="shared" si="0"/>
        <v>0.66666666666666674</v>
      </c>
      <c r="R20" s="44">
        <f t="shared" si="1"/>
        <v>4.1666666666666661</v>
      </c>
      <c r="S20" s="45">
        <f>$R20/$M20*N20</f>
        <v>0</v>
      </c>
      <c r="T20" s="45">
        <f>$R20/$M20*O20</f>
        <v>0</v>
      </c>
      <c r="U20" s="31">
        <f>(R20-M20)/($T$14-1)</f>
        <v>1.6835016835016835E-2</v>
      </c>
      <c r="V20" s="31">
        <f>(S20-N20)/($T$14-1)</f>
        <v>0</v>
      </c>
      <c r="W20" s="31">
        <f>(T20-O20)/($T$14-1)</f>
        <v>0</v>
      </c>
    </row>
    <row r="21" spans="4:23" ht="14.25" customHeight="1" x14ac:dyDescent="0.2">
      <c r="D21" s="1" t="str">
        <f>角色基础!E21</f>
        <v>饼干6</v>
      </c>
      <c r="E21" s="1" t="str">
        <f>角色基础!F21</f>
        <v>魔法</v>
      </c>
      <c r="F21" s="1" t="str">
        <f>角色基础!G21</f>
        <v>超级稀有</v>
      </c>
      <c r="G21" s="22">
        <f>VLOOKUP($D21,角色基础!$E:$U,MATCH(G$15,角色基础!$E$15:$U$15,0),0)</f>
        <v>0.8</v>
      </c>
      <c r="H21" s="22">
        <f>VLOOKUP($D21,角色基础!$E:$U,MATCH("伤害",角色基础!$E$15:$U$15,0),0)*VLOOKUP($D21,角色基础!$E:$U,MATCH("伤害偏向",角色基础!$E$15:$U$15,0),0)</f>
        <v>10</v>
      </c>
      <c r="I21" s="22">
        <f>VLOOKUP($D21,角色基础!$E:$U,MATCH("承伤",角色基础!$E$15:$U$15,0),0)*VLOOKUP($D21,角色基础!$E:$U,MATCH("承伤偏向",角色基础!$E$15:$U$15,0),0)</f>
        <v>40</v>
      </c>
      <c r="J21" s="1">
        <f>VLOOKUP(VLOOKUP($E21,角色基础!$K$4:$L$10,2,0),角色基础!$E$4:$H$7,4,0)</f>
        <v>0</v>
      </c>
      <c r="K21" s="1">
        <v>10</v>
      </c>
      <c r="L21" s="1">
        <v>2</v>
      </c>
      <c r="M21" s="31">
        <f t="shared" si="2"/>
        <v>2.4999999999999996</v>
      </c>
      <c r="N21" s="31">
        <f t="shared" si="3"/>
        <v>0</v>
      </c>
      <c r="O21" s="31">
        <f t="shared" si="4"/>
        <v>0</v>
      </c>
      <c r="P21" s="1">
        <v>2</v>
      </c>
      <c r="Q21" s="22">
        <f t="shared" si="0"/>
        <v>0.66666666666666674</v>
      </c>
      <c r="R21" s="44">
        <f t="shared" si="1"/>
        <v>4.1666666666666661</v>
      </c>
      <c r="S21" s="45">
        <f>$R21/$M21*N21</f>
        <v>0</v>
      </c>
      <c r="T21" s="45">
        <f>$R21/$M21*O21</f>
        <v>0</v>
      </c>
      <c r="U21" s="31">
        <f>(R21-M21)/($T$14-1)</f>
        <v>1.6835016835016835E-2</v>
      </c>
      <c r="V21" s="31">
        <f>(S21-N21)/($T$14-1)</f>
        <v>0</v>
      </c>
      <c r="W21" s="31">
        <f>(T21-O21)/($T$14-1)</f>
        <v>0</v>
      </c>
    </row>
    <row r="22" spans="4:23" ht="14.25" customHeight="1" x14ac:dyDescent="0.2">
      <c r="D22" s="1" t="str">
        <f>角色基础!E22</f>
        <v>饼干7</v>
      </c>
      <c r="E22" s="1" t="str">
        <f>角色基础!F22</f>
        <v>射击</v>
      </c>
      <c r="F22" s="1" t="str">
        <f>角色基础!G22</f>
        <v>超级稀有</v>
      </c>
      <c r="G22" s="22">
        <f>VLOOKUP($D22,角色基础!$E:$U,MATCH(G$15,角色基础!$E$15:$U$15,0),0)</f>
        <v>0.80500000000000005</v>
      </c>
      <c r="H22" s="22">
        <f>VLOOKUP($D22,角色基础!$E:$U,MATCH("伤害",角色基础!$E$15:$U$15,0),0)*VLOOKUP($D22,角色基础!$E:$U,MATCH("伤害偏向",角色基础!$E$15:$U$15,0),0)</f>
        <v>9.6</v>
      </c>
      <c r="I22" s="22">
        <f>VLOOKUP($D22,角色基础!$E:$U,MATCH("承伤",角色基础!$E$15:$U$15,0),0)*VLOOKUP($D22,角色基础!$E:$U,MATCH("承伤偏向",角色基础!$E$15:$U$15,0),0)</f>
        <v>41.666666666666671</v>
      </c>
      <c r="J22" s="1">
        <f>VLOOKUP(VLOOKUP($E22,角色基础!$K$4:$L$10,2,0),角色基础!$E$4:$H$7,4,0)</f>
        <v>0</v>
      </c>
      <c r="K22" s="1">
        <v>10</v>
      </c>
      <c r="L22" s="1">
        <v>2</v>
      </c>
      <c r="M22" s="31">
        <f t="shared" si="2"/>
        <v>2.4223602484472044</v>
      </c>
      <c r="N22" s="31">
        <f t="shared" si="3"/>
        <v>0</v>
      </c>
      <c r="O22" s="31">
        <f t="shared" si="4"/>
        <v>0</v>
      </c>
      <c r="P22" s="1">
        <v>2</v>
      </c>
      <c r="Q22" s="22">
        <f t="shared" si="0"/>
        <v>0.67364016736401688</v>
      </c>
      <c r="R22" s="44">
        <f t="shared" si="1"/>
        <v>4.0541594116271193</v>
      </c>
      <c r="S22" s="45">
        <f>$R22/$M22*N22</f>
        <v>0</v>
      </c>
      <c r="T22" s="45">
        <f>$R22/$M22*O22</f>
        <v>0</v>
      </c>
      <c r="U22" s="31">
        <f>(R22-M22)/($T$14-1)</f>
        <v>1.6482819830100151E-2</v>
      </c>
      <c r="V22" s="31">
        <f>(S22-N22)/($T$14-1)</f>
        <v>0</v>
      </c>
      <c r="W22" s="31">
        <f>(T22-O22)/($T$14-1)</f>
        <v>0</v>
      </c>
    </row>
    <row r="23" spans="4:23" ht="14.25" customHeight="1" x14ac:dyDescent="0.2">
      <c r="D23" s="1" t="str">
        <f>角色基础!E23</f>
        <v>饼干8</v>
      </c>
      <c r="E23" s="1" t="str">
        <f>角色基础!F23</f>
        <v>射击</v>
      </c>
      <c r="F23" s="1" t="str">
        <f>角色基础!G23</f>
        <v>超级稀有</v>
      </c>
      <c r="G23" s="22">
        <f>VLOOKUP($D23,角色基础!$E:$U,MATCH(G$15,角色基础!$E$15:$U$15,0),0)</f>
        <v>0.80500000000000005</v>
      </c>
      <c r="H23" s="22">
        <f>VLOOKUP($D23,角色基础!$E:$U,MATCH("伤害",角色基础!$E$15:$U$15,0),0)*VLOOKUP($D23,角色基础!$E:$U,MATCH("伤害偏向",角色基础!$E$15:$U$15,0),0)</f>
        <v>9.8000000000000007</v>
      </c>
      <c r="I23" s="22">
        <f>VLOOKUP($D23,角色基础!$E:$U,MATCH("承伤",角色基础!$E$15:$U$15,0),0)*VLOOKUP($D23,角色基础!$E:$U,MATCH("承伤偏向",角色基础!$E$15:$U$15,0),0)</f>
        <v>40.816326530612244</v>
      </c>
      <c r="J23" s="1">
        <f>VLOOKUP(VLOOKUP($E23,角色基础!$K$4:$L$10,2,0),角色基础!$E$4:$H$7,4,0)</f>
        <v>0</v>
      </c>
      <c r="K23" s="1">
        <v>10</v>
      </c>
      <c r="L23" s="1">
        <v>2</v>
      </c>
      <c r="M23" s="31">
        <f t="shared" si="2"/>
        <v>2.4223602484472044</v>
      </c>
      <c r="N23" s="31">
        <f t="shared" si="3"/>
        <v>0</v>
      </c>
      <c r="O23" s="31">
        <f t="shared" si="4"/>
        <v>0</v>
      </c>
      <c r="P23" s="1">
        <v>2</v>
      </c>
      <c r="Q23" s="22">
        <f t="shared" si="0"/>
        <v>0.67364016736401688</v>
      </c>
      <c r="R23" s="44">
        <f t="shared" si="1"/>
        <v>4.0541594116271193</v>
      </c>
      <c r="S23" s="45">
        <f>$R23/$M23*N23</f>
        <v>0</v>
      </c>
      <c r="T23" s="45">
        <f>$R23/$M23*O23</f>
        <v>0</v>
      </c>
      <c r="U23" s="31">
        <f>(R23-M23)/($T$14-1)</f>
        <v>1.6482819830100151E-2</v>
      </c>
      <c r="V23" s="31">
        <f>(S23-N23)/($T$14-1)</f>
        <v>0</v>
      </c>
      <c r="W23" s="31">
        <f>(T23-O23)/($T$14-1)</f>
        <v>0</v>
      </c>
    </row>
    <row r="24" spans="4:23" ht="14.25" customHeight="1" x14ac:dyDescent="0.2">
      <c r="D24" s="1" t="str">
        <f>角色基础!E24</f>
        <v>饼干9</v>
      </c>
      <c r="E24" s="1" t="str">
        <f>角色基础!F24</f>
        <v>刺杀</v>
      </c>
      <c r="F24" s="1" t="str">
        <f>角色基础!G24</f>
        <v>超级稀有</v>
      </c>
      <c r="G24" s="22">
        <f>VLOOKUP($D24,角色基础!$E:$U,MATCH(G$15,角色基础!$E$15:$U$15,0),0)</f>
        <v>0.77400000000000002</v>
      </c>
      <c r="H24" s="22">
        <f>VLOOKUP($D24,角色基础!$E:$U,MATCH("伤害",角色基础!$E$15:$U$15,0),0)*VLOOKUP($D24,角色基础!$E:$U,MATCH("伤害偏向",角色基础!$E$15:$U$15,0),0)</f>
        <v>9.3999999999999986</v>
      </c>
      <c r="I24" s="22">
        <f>VLOOKUP($D24,角色基础!$E:$U,MATCH("承伤",角色基础!$E$15:$U$15,0),0)*VLOOKUP($D24,角色基础!$E:$U,MATCH("承伤偏向",角色基础!$E$15:$U$15,0),0)</f>
        <v>42.553191489361701</v>
      </c>
      <c r="J24" s="1">
        <f>VLOOKUP(VLOOKUP($E24,角色基础!$K$4:$L$10,2,0),角色基础!$E$4:$H$7,4,0)</f>
        <v>0</v>
      </c>
      <c r="K24" s="1">
        <v>10</v>
      </c>
      <c r="L24" s="1">
        <v>2</v>
      </c>
      <c r="M24" s="31">
        <f t="shared" si="2"/>
        <v>2.9198966408268729</v>
      </c>
      <c r="N24" s="31">
        <f t="shared" si="3"/>
        <v>0</v>
      </c>
      <c r="O24" s="31">
        <f t="shared" si="4"/>
        <v>0</v>
      </c>
      <c r="P24" s="1">
        <v>2</v>
      </c>
      <c r="Q24" s="22">
        <f t="shared" si="0"/>
        <v>0.63132137030995106</v>
      </c>
      <c r="R24" s="44">
        <f t="shared" si="1"/>
        <v>4.7632897892771178</v>
      </c>
      <c r="S24" s="45">
        <f>$R24/$M24*N24</f>
        <v>0</v>
      </c>
      <c r="T24" s="45">
        <f>$R24/$M24*O24</f>
        <v>0</v>
      </c>
      <c r="U24" s="31">
        <f>(R24-M24)/($T$14-1)</f>
        <v>1.8620132812628736E-2</v>
      </c>
      <c r="V24" s="31">
        <f>(S24-N24)/($T$14-1)</f>
        <v>0</v>
      </c>
      <c r="W24" s="31">
        <f>(T24-O24)/($T$14-1)</f>
        <v>0</v>
      </c>
    </row>
    <row r="25" spans="4:23" ht="14.25" customHeight="1" x14ac:dyDescent="0.2">
      <c r="D25" s="1" t="str">
        <f>角色基础!E25</f>
        <v>饼干10</v>
      </c>
      <c r="E25" s="1" t="str">
        <f>角色基础!F25</f>
        <v>刺杀</v>
      </c>
      <c r="F25" s="1" t="str">
        <f>角色基础!G25</f>
        <v>超级稀有</v>
      </c>
      <c r="G25" s="22">
        <f>VLOOKUP($D25,角色基础!$E:$U,MATCH(G$15,角色基础!$E$15:$U$15,0),0)</f>
        <v>0.77400000000000002</v>
      </c>
      <c r="H25" s="22">
        <f>VLOOKUP($D25,角色基础!$E:$U,MATCH("伤害",角色基础!$E$15:$U$15,0),0)*VLOOKUP($D25,角色基础!$E:$U,MATCH("伤害偏向",角色基础!$E$15:$U$15,0),0)</f>
        <v>9</v>
      </c>
      <c r="I25" s="22">
        <f>VLOOKUP($D25,角色基础!$E:$U,MATCH("承伤",角色基础!$E$15:$U$15,0),0)*VLOOKUP($D25,角色基础!$E:$U,MATCH("承伤偏向",角色基础!$E$15:$U$15,0),0)</f>
        <v>44.444444444444443</v>
      </c>
      <c r="J25" s="1">
        <f>VLOOKUP(VLOOKUP($E25,角色基础!$K$4:$L$10,2,0),角色基础!$E$4:$H$7,4,0)</f>
        <v>0</v>
      </c>
      <c r="K25" s="1">
        <v>10</v>
      </c>
      <c r="L25" s="1">
        <v>2</v>
      </c>
      <c r="M25" s="31">
        <f t="shared" si="2"/>
        <v>2.9198966408268729</v>
      </c>
      <c r="N25" s="31">
        <f t="shared" si="3"/>
        <v>0</v>
      </c>
      <c r="O25" s="31">
        <f t="shared" si="4"/>
        <v>0</v>
      </c>
      <c r="P25" s="1">
        <v>2</v>
      </c>
      <c r="Q25" s="22">
        <f t="shared" si="0"/>
        <v>0.63132137030995106</v>
      </c>
      <c r="R25" s="44">
        <f t="shared" si="1"/>
        <v>4.7632897892771178</v>
      </c>
      <c r="S25" s="45">
        <f>$R25/$M25*N25</f>
        <v>0</v>
      </c>
      <c r="T25" s="45">
        <f>$R25/$M25*O25</f>
        <v>0</v>
      </c>
      <c r="U25" s="31">
        <f>(R25-M25)/($T$14-1)</f>
        <v>1.8620132812628736E-2</v>
      </c>
      <c r="V25" s="31">
        <f>(S25-N25)/($T$14-1)</f>
        <v>0</v>
      </c>
      <c r="W25" s="31">
        <f>(T25-O25)/($T$14-1)</f>
        <v>0</v>
      </c>
    </row>
    <row r="26" spans="4:23" ht="14.25" customHeight="1" x14ac:dyDescent="0.2">
      <c r="D26" s="1" t="str">
        <f>角色基础!E26</f>
        <v>饼干11</v>
      </c>
      <c r="E26" s="1" t="str">
        <f>角色基础!F26</f>
        <v>恢复</v>
      </c>
      <c r="F26" s="1" t="str">
        <f>角色基础!G26</f>
        <v>超级稀有</v>
      </c>
      <c r="G26" s="22">
        <f>VLOOKUP($D26,角色基础!$E:$U,MATCH(G$15,角色基础!$E$15:$U$15,0),0)</f>
        <v>0.79800000000000004</v>
      </c>
      <c r="H26" s="22">
        <f>VLOOKUP($D26,角色基础!$E:$U,MATCH("伤害",角色基础!$E$15:$U$15,0),0)*VLOOKUP($D26,角色基础!$E:$U,MATCH("伤害偏向",角色基础!$E$15:$U$15,0),0)</f>
        <v>3.6</v>
      </c>
      <c r="I26" s="22">
        <f>VLOOKUP($D26,角色基础!$E:$U,MATCH("承伤",角色基础!$E$15:$U$15,0),0)*VLOOKUP($D26,角色基础!$E:$U,MATCH("承伤偏向",角色基础!$E$15:$U$15,0),0)</f>
        <v>55.555555555555557</v>
      </c>
      <c r="J26" s="1">
        <f>VLOOKUP(VLOOKUP($E26,角色基础!$K$4:$L$10,2,0),角色基础!$E$4:$H$7,4,0)</f>
        <v>6</v>
      </c>
      <c r="K26" s="1">
        <v>10</v>
      </c>
      <c r="L26" s="1">
        <v>2</v>
      </c>
      <c r="M26" s="31">
        <f t="shared" si="2"/>
        <v>2.5313283208020043</v>
      </c>
      <c r="N26" s="31">
        <f t="shared" si="3"/>
        <v>16.666666666666668</v>
      </c>
      <c r="O26" s="31">
        <f t="shared" si="4"/>
        <v>1.08</v>
      </c>
      <c r="P26" s="1">
        <v>2</v>
      </c>
      <c r="Q26" s="22">
        <f t="shared" si="0"/>
        <v>0.6638935108153079</v>
      </c>
      <c r="R26" s="44">
        <f t="shared" si="1"/>
        <v>4.2118607667254651</v>
      </c>
      <c r="S26" s="45">
        <f>$R26/$M26*N26</f>
        <v>27.731558513588467</v>
      </c>
      <c r="T26" s="45">
        <f>$R26/$M26*O26</f>
        <v>1.7970049916805326</v>
      </c>
      <c r="U26" s="31">
        <f>(R26-M26)/($T$14-1)</f>
        <v>1.6975075211348088E-2</v>
      </c>
      <c r="V26" s="31">
        <f>(S26-N26)/($T$14-1)</f>
        <v>0.1117665843123414</v>
      </c>
      <c r="W26" s="31">
        <f>(T26-O26)/($T$14-1)</f>
        <v>7.2424746634397229E-3</v>
      </c>
    </row>
    <row r="27" spans="4:23" ht="14.25" customHeight="1" x14ac:dyDescent="0.2">
      <c r="D27" s="1" t="str">
        <f>角色基础!E27</f>
        <v>饼干12</v>
      </c>
      <c r="E27" s="1" t="str">
        <f>角色基础!F27</f>
        <v>恢复</v>
      </c>
      <c r="F27" s="1" t="str">
        <f>角色基础!G27</f>
        <v>超级稀有</v>
      </c>
      <c r="G27" s="22">
        <f>VLOOKUP($D27,角色基础!$E:$U,MATCH(G$15,角色基础!$E$15:$U$15,0),0)</f>
        <v>0.79800000000000004</v>
      </c>
      <c r="H27" s="22">
        <f>VLOOKUP($D27,角色基础!$E:$U,MATCH("伤害",角色基础!$E$15:$U$15,0),0)*VLOOKUP($D27,角色基础!$E:$U,MATCH("伤害偏向",角色基础!$E$15:$U$15,0),0)</f>
        <v>4</v>
      </c>
      <c r="I27" s="22">
        <f>VLOOKUP($D27,角色基础!$E:$U,MATCH("承伤",角色基础!$E$15:$U$15,0),0)*VLOOKUP($D27,角色基础!$E:$U,MATCH("承伤偏向",角色基础!$E$15:$U$15,0),0)</f>
        <v>50</v>
      </c>
      <c r="J27" s="1">
        <f>VLOOKUP(VLOOKUP($E27,角色基础!$K$4:$L$10,2,0),角色基础!$E$4:$H$7,4,0)</f>
        <v>6</v>
      </c>
      <c r="K27" s="1">
        <v>10</v>
      </c>
      <c r="L27" s="1">
        <v>2</v>
      </c>
      <c r="M27" s="31">
        <f t="shared" si="2"/>
        <v>2.5313283208020043</v>
      </c>
      <c r="N27" s="31">
        <f t="shared" si="3"/>
        <v>15</v>
      </c>
      <c r="O27" s="31">
        <f t="shared" si="4"/>
        <v>1.2</v>
      </c>
      <c r="P27" s="1">
        <v>2</v>
      </c>
      <c r="Q27" s="22">
        <f t="shared" si="0"/>
        <v>0.6638935108153079</v>
      </c>
      <c r="R27" s="44">
        <f t="shared" si="1"/>
        <v>4.2118607667254651</v>
      </c>
      <c r="S27" s="45">
        <f>$R27/$M27*N27</f>
        <v>24.95840266222962</v>
      </c>
      <c r="T27" s="45">
        <f>$R27/$M27*O27</f>
        <v>1.9966722129783694</v>
      </c>
      <c r="U27" s="31">
        <f>(R27-M27)/($T$14-1)</f>
        <v>1.6975075211348088E-2</v>
      </c>
      <c r="V27" s="31">
        <f>(S27-N27)/($T$14-1)</f>
        <v>0.10058992588110727</v>
      </c>
      <c r="W27" s="31">
        <f>(T27-O27)/($T$14-1)</f>
        <v>8.0471940704885808E-3</v>
      </c>
    </row>
    <row r="28" spans="4:23" ht="14.25" customHeight="1" x14ac:dyDescent="0.2">
      <c r="D28" s="1" t="str">
        <f>角色基础!E28</f>
        <v>饼干13</v>
      </c>
      <c r="E28" s="1" t="str">
        <f>角色基础!F28</f>
        <v>恢复</v>
      </c>
      <c r="F28" s="1" t="str">
        <f>角色基础!G28</f>
        <v>超级稀有</v>
      </c>
      <c r="G28" s="22">
        <f>VLOOKUP($D28,角色基础!$E:$U,MATCH(G$15,角色基础!$E$15:$U$15,0),0)</f>
        <v>0.79800000000000004</v>
      </c>
      <c r="H28" s="22">
        <f>VLOOKUP($D28,角色基础!$E:$U,MATCH("伤害",角色基础!$E$15:$U$15,0),0)*VLOOKUP($D28,角色基础!$E:$U,MATCH("伤害偏向",角色基础!$E$15:$U$15,0),0)</f>
        <v>4.4000000000000004</v>
      </c>
      <c r="I28" s="22">
        <f>VLOOKUP($D28,角色基础!$E:$U,MATCH("承伤",角色基础!$E$15:$U$15,0),0)*VLOOKUP($D28,角色基础!$E:$U,MATCH("承伤偏向",角色基础!$E$15:$U$15,0),0)</f>
        <v>45.454545454545453</v>
      </c>
      <c r="J28" s="1">
        <f>VLOOKUP(VLOOKUP($E28,角色基础!$K$4:$L$10,2,0),角色基础!$E$4:$H$7,4,0)</f>
        <v>6</v>
      </c>
      <c r="K28" s="1">
        <v>10</v>
      </c>
      <c r="L28" s="1">
        <v>2</v>
      </c>
      <c r="M28" s="31">
        <f t="shared" si="2"/>
        <v>2.5313283208020043</v>
      </c>
      <c r="N28" s="31">
        <f t="shared" si="3"/>
        <v>13.636363636363635</v>
      </c>
      <c r="O28" s="31">
        <f t="shared" si="4"/>
        <v>1.32</v>
      </c>
      <c r="P28" s="1">
        <v>2</v>
      </c>
      <c r="Q28" s="22">
        <f t="shared" si="0"/>
        <v>0.6638935108153079</v>
      </c>
      <c r="R28" s="44">
        <f t="shared" si="1"/>
        <v>4.2118607667254651</v>
      </c>
      <c r="S28" s="45">
        <f>$R28/$M28*N28</f>
        <v>22.689456965663286</v>
      </c>
      <c r="T28" s="45">
        <f>$R28/$M28*O28</f>
        <v>2.1963394342762066</v>
      </c>
      <c r="U28" s="31">
        <f>(R28-M28)/($T$14-1)</f>
        <v>1.6975075211348088E-2</v>
      </c>
      <c r="V28" s="31">
        <f>(S28-N28)/($T$14-1)</f>
        <v>9.1445387164642941E-2</v>
      </c>
      <c r="W28" s="31">
        <f>(T28-O28)/($T$14-1)</f>
        <v>8.8519134775374396E-3</v>
      </c>
    </row>
    <row r="29" spans="4:23" ht="14.25" customHeight="1" x14ac:dyDescent="0.2">
      <c r="D29" s="1" t="str">
        <f>角色基础!E29</f>
        <v>饼干14</v>
      </c>
      <c r="E29" s="1" t="str">
        <f>角色基础!F29</f>
        <v>恢复</v>
      </c>
      <c r="F29" s="1" t="str">
        <f>角色基础!G29</f>
        <v>超级稀有</v>
      </c>
      <c r="G29" s="22">
        <f>VLOOKUP($D29,角色基础!$E:$U,MATCH(G$15,角色基础!$E$15:$U$15,0),0)</f>
        <v>0.79800000000000004</v>
      </c>
      <c r="H29" s="22">
        <f>VLOOKUP($D29,角色基础!$E:$U,MATCH("伤害",角色基础!$E$15:$U$15,0),0)*VLOOKUP($D29,角色基础!$E:$U,MATCH("伤害偏向",角色基础!$E$15:$U$15,0),0)</f>
        <v>4.8</v>
      </c>
      <c r="I29" s="22">
        <f>VLOOKUP($D29,角色基础!$E:$U,MATCH("承伤",角色基础!$E$15:$U$15,0),0)*VLOOKUP($D29,角色基础!$E:$U,MATCH("承伤偏向",角色基础!$E$15:$U$15,0),0)</f>
        <v>41.666666666666671</v>
      </c>
      <c r="J29" s="1">
        <f>VLOOKUP(VLOOKUP($E29,角色基础!$K$4:$L$10,2,0),角色基础!$E$4:$H$7,4,0)</f>
        <v>6</v>
      </c>
      <c r="K29" s="1">
        <v>10</v>
      </c>
      <c r="L29" s="1">
        <v>2</v>
      </c>
      <c r="M29" s="31">
        <f t="shared" si="2"/>
        <v>2.5313283208020043</v>
      </c>
      <c r="N29" s="31">
        <f t="shared" si="3"/>
        <v>12.5</v>
      </c>
      <c r="O29" s="31">
        <f t="shared" si="4"/>
        <v>1.44</v>
      </c>
      <c r="P29" s="1">
        <v>2</v>
      </c>
      <c r="Q29" s="22">
        <f t="shared" si="0"/>
        <v>0.6638935108153079</v>
      </c>
      <c r="R29" s="44">
        <f t="shared" si="1"/>
        <v>4.2118607667254651</v>
      </c>
      <c r="S29" s="45">
        <f>$R29/$M29*N29</f>
        <v>20.798668885191347</v>
      </c>
      <c r="T29" s="45">
        <f>$R29/$M29*O29</f>
        <v>2.3960066555740434</v>
      </c>
      <c r="U29" s="31">
        <f>(R29-M29)/($T$14-1)</f>
        <v>1.6975075211348088E-2</v>
      </c>
      <c r="V29" s="31">
        <f>(S29-N29)/($T$14-1)</f>
        <v>8.3824938234256033E-2</v>
      </c>
      <c r="W29" s="31">
        <f>(T29-O29)/($T$14-1)</f>
        <v>9.6566328845862966E-3</v>
      </c>
    </row>
    <row r="30" spans="4:23" ht="14.25" customHeight="1" x14ac:dyDescent="0.2">
      <c r="D30" s="1" t="str">
        <f>角色基础!E30</f>
        <v>饼干15</v>
      </c>
      <c r="E30" s="1" t="str">
        <f>角色基础!F30</f>
        <v>恢复</v>
      </c>
      <c r="F30" s="1" t="str">
        <f>角色基础!G30</f>
        <v>超级稀有</v>
      </c>
      <c r="G30" s="22">
        <f>VLOOKUP($D30,角色基础!$E:$U,MATCH(G$15,角色基础!$E$15:$U$15,0),0)</f>
        <v>0.79800000000000004</v>
      </c>
      <c r="H30" s="22">
        <f>VLOOKUP($D30,角色基础!$E:$U,MATCH("伤害",角色基础!$E$15:$U$15,0),0)*VLOOKUP($D30,角色基础!$E:$U,MATCH("伤害偏向",角色基础!$E$15:$U$15,0),0)</f>
        <v>4.8</v>
      </c>
      <c r="I30" s="22">
        <f>VLOOKUP($D30,角色基础!$E:$U,MATCH("承伤",角色基础!$E$15:$U$15,0),0)*VLOOKUP($D30,角色基础!$E:$U,MATCH("承伤偏向",角色基础!$E$15:$U$15,0),0)</f>
        <v>41.666666666666671</v>
      </c>
      <c r="J30" s="1">
        <f>VLOOKUP(VLOOKUP($E30,角色基础!$K$4:$L$10,2,0),角色基础!$E$4:$H$7,4,0)</f>
        <v>6</v>
      </c>
      <c r="K30" s="1">
        <v>10</v>
      </c>
      <c r="L30" s="1">
        <v>2</v>
      </c>
      <c r="M30" s="31">
        <f t="shared" si="2"/>
        <v>2.5313283208020043</v>
      </c>
      <c r="N30" s="31">
        <f t="shared" si="3"/>
        <v>12.5</v>
      </c>
      <c r="O30" s="31">
        <f t="shared" si="4"/>
        <v>1.44</v>
      </c>
      <c r="P30" s="1">
        <v>2</v>
      </c>
      <c r="Q30" s="22">
        <f t="shared" si="0"/>
        <v>0.6638935108153079</v>
      </c>
      <c r="R30" s="44">
        <f t="shared" si="1"/>
        <v>4.2118607667254651</v>
      </c>
      <c r="S30" s="45">
        <f>$R30/$M30*N30</f>
        <v>20.798668885191347</v>
      </c>
      <c r="T30" s="45">
        <f>$R30/$M30*O30</f>
        <v>2.3960066555740434</v>
      </c>
      <c r="U30" s="31">
        <f>(R30-M30)/($T$14-1)</f>
        <v>1.6975075211348088E-2</v>
      </c>
      <c r="V30" s="31">
        <f>(S30-N30)/($T$14-1)</f>
        <v>8.3824938234256033E-2</v>
      </c>
      <c r="W30" s="31">
        <f>(T30-O30)/($T$14-1)</f>
        <v>9.6566328845862966E-3</v>
      </c>
    </row>
    <row r="31" spans="4:23" ht="14.25" customHeight="1" x14ac:dyDescent="0.2">
      <c r="D31" s="1" t="str">
        <f>角色基础!E31</f>
        <v>饼干16</v>
      </c>
      <c r="E31" s="1" t="str">
        <f>角色基础!F31</f>
        <v>恢复</v>
      </c>
      <c r="F31" s="1" t="str">
        <f>角色基础!G31</f>
        <v>超级稀有</v>
      </c>
      <c r="G31" s="22">
        <f>VLOOKUP($D31,角色基础!$E:$U,MATCH(G$15,角色基础!$E$15:$U$15,0),0)</f>
        <v>0.79800000000000004</v>
      </c>
      <c r="H31" s="22">
        <f>VLOOKUP($D31,角色基础!$E:$U,MATCH("伤害",角色基础!$E$15:$U$15,0),0)*VLOOKUP($D31,角色基础!$E:$U,MATCH("伤害偏向",角色基础!$E$15:$U$15,0),0)</f>
        <v>4.8</v>
      </c>
      <c r="I31" s="22">
        <f>VLOOKUP($D31,角色基础!$E:$U,MATCH("承伤",角色基础!$E$15:$U$15,0),0)*VLOOKUP($D31,角色基础!$E:$U,MATCH("承伤偏向",角色基础!$E$15:$U$15,0),0)</f>
        <v>41.666666666666671</v>
      </c>
      <c r="J31" s="1">
        <f>VLOOKUP(VLOOKUP($E31,角色基础!$K$4:$L$10,2,0),角色基础!$E$4:$H$7,4,0)</f>
        <v>6</v>
      </c>
      <c r="K31" s="1">
        <v>10</v>
      </c>
      <c r="L31" s="1">
        <v>2</v>
      </c>
      <c r="M31" s="31">
        <f t="shared" si="2"/>
        <v>2.5313283208020043</v>
      </c>
      <c r="N31" s="31">
        <f t="shared" si="3"/>
        <v>12.5</v>
      </c>
      <c r="O31" s="31">
        <f t="shared" si="4"/>
        <v>1.44</v>
      </c>
      <c r="P31" s="1">
        <v>2</v>
      </c>
      <c r="Q31" s="22">
        <f t="shared" si="0"/>
        <v>0.6638935108153079</v>
      </c>
      <c r="R31" s="44">
        <f t="shared" si="1"/>
        <v>4.2118607667254651</v>
      </c>
      <c r="S31" s="45">
        <f>$R31/$M31*N31</f>
        <v>20.798668885191347</v>
      </c>
      <c r="T31" s="45">
        <f>$R31/$M31*O31</f>
        <v>2.3960066555740434</v>
      </c>
      <c r="U31" s="31">
        <f>(R31-M31)/($T$14-1)</f>
        <v>1.6975075211348088E-2</v>
      </c>
      <c r="V31" s="31">
        <f>(S31-N31)/($T$14-1)</f>
        <v>8.3824938234256033E-2</v>
      </c>
      <c r="W31" s="31">
        <f>(T31-O31)/($T$14-1)</f>
        <v>9.6566328845862966E-3</v>
      </c>
    </row>
    <row r="32" spans="4:23" ht="14.25" customHeight="1" x14ac:dyDescent="0.2">
      <c r="D32" s="1" t="str">
        <f>角色基础!E32</f>
        <v>饼干17</v>
      </c>
      <c r="E32" s="1" t="str">
        <f>角色基础!F32</f>
        <v>恢复</v>
      </c>
      <c r="F32" s="1" t="str">
        <f>角色基础!G32</f>
        <v>超级稀有</v>
      </c>
      <c r="G32" s="22">
        <f>VLOOKUP($D32,角色基础!$E:$U,MATCH(G$15,角色基础!$E$15:$U$15,0),0)</f>
        <v>0.79800000000000004</v>
      </c>
      <c r="H32" s="22">
        <f>VLOOKUP($D32,角色基础!$E:$U,MATCH("伤害",角色基础!$E$15:$U$15,0),0)*VLOOKUP($D32,角色基础!$E:$U,MATCH("伤害偏向",角色基础!$E$15:$U$15,0),0)</f>
        <v>4.8</v>
      </c>
      <c r="I32" s="22">
        <f>VLOOKUP($D32,角色基础!$E:$U,MATCH("承伤",角色基础!$E$15:$U$15,0),0)*VLOOKUP($D32,角色基础!$E:$U,MATCH("承伤偏向",角色基础!$E$15:$U$15,0),0)</f>
        <v>41.666666666666671</v>
      </c>
      <c r="J32" s="1">
        <f>VLOOKUP(VLOOKUP($E32,角色基础!$K$4:$L$10,2,0),角色基础!$E$4:$H$7,4,0)</f>
        <v>6</v>
      </c>
      <c r="K32" s="1">
        <v>10</v>
      </c>
      <c r="L32" s="1">
        <v>2</v>
      </c>
      <c r="M32" s="31">
        <f t="shared" si="2"/>
        <v>2.5313283208020043</v>
      </c>
      <c r="N32" s="31">
        <f t="shared" si="3"/>
        <v>12.5</v>
      </c>
      <c r="O32" s="31">
        <f t="shared" si="4"/>
        <v>1.44</v>
      </c>
      <c r="P32" s="1">
        <v>2</v>
      </c>
      <c r="Q32" s="22">
        <f t="shared" si="0"/>
        <v>0.6638935108153079</v>
      </c>
      <c r="R32" s="44">
        <f t="shared" si="1"/>
        <v>4.2118607667254651</v>
      </c>
      <c r="S32" s="45">
        <f>$R32/$M32*N32</f>
        <v>20.798668885191347</v>
      </c>
      <c r="T32" s="45">
        <f>$R32/$M32*O32</f>
        <v>2.3960066555740434</v>
      </c>
      <c r="U32" s="31">
        <f>(R32-M32)/($T$14-1)</f>
        <v>1.6975075211348088E-2</v>
      </c>
      <c r="V32" s="31">
        <f>(S32-N32)/($T$14-1)</f>
        <v>8.3824938234256033E-2</v>
      </c>
      <c r="W32" s="31">
        <f>(T32-O32)/($T$14-1)</f>
        <v>9.6566328845862966E-3</v>
      </c>
    </row>
    <row r="33" spans="4:23" ht="14.25" customHeight="1" x14ac:dyDescent="0.2">
      <c r="D33" s="1" t="str">
        <f>角色基础!E33</f>
        <v>饼干18</v>
      </c>
      <c r="E33" s="1" t="str">
        <f>角色基础!F33</f>
        <v>恢复</v>
      </c>
      <c r="F33" s="1" t="str">
        <f>角色基础!G33</f>
        <v>超级稀有</v>
      </c>
      <c r="G33" s="22">
        <f>VLOOKUP($D33,角色基础!$E:$U,MATCH(G$15,角色基础!$E$15:$U$15,0),0)</f>
        <v>0.79800000000000004</v>
      </c>
      <c r="H33" s="22">
        <f>VLOOKUP($D33,角色基础!$E:$U,MATCH("伤害",角色基础!$E$15:$U$15,0),0)*VLOOKUP($D33,角色基础!$E:$U,MATCH("伤害偏向",角色基础!$E$15:$U$15,0),0)</f>
        <v>4.8</v>
      </c>
      <c r="I33" s="22">
        <f>VLOOKUP($D33,角色基础!$E:$U,MATCH("承伤",角色基础!$E$15:$U$15,0),0)*VLOOKUP($D33,角色基础!$E:$U,MATCH("承伤偏向",角色基础!$E$15:$U$15,0),0)</f>
        <v>41.666666666666671</v>
      </c>
      <c r="J33" s="1">
        <f>VLOOKUP(VLOOKUP($E33,角色基础!$K$4:$L$10,2,0),角色基础!$E$4:$H$7,4,0)</f>
        <v>6</v>
      </c>
      <c r="K33" s="1">
        <v>10</v>
      </c>
      <c r="L33" s="1">
        <v>2</v>
      </c>
      <c r="M33" s="31">
        <f t="shared" si="2"/>
        <v>2.5313283208020043</v>
      </c>
      <c r="N33" s="31">
        <f t="shared" si="3"/>
        <v>12.5</v>
      </c>
      <c r="O33" s="31">
        <f t="shared" si="4"/>
        <v>1.44</v>
      </c>
      <c r="P33" s="1">
        <v>2</v>
      </c>
      <c r="Q33" s="22">
        <f t="shared" si="0"/>
        <v>0.6638935108153079</v>
      </c>
      <c r="R33" s="44">
        <f t="shared" si="1"/>
        <v>4.2118607667254651</v>
      </c>
      <c r="S33" s="45">
        <f>$R33/$M33*N33</f>
        <v>20.798668885191347</v>
      </c>
      <c r="T33" s="45">
        <f>$R33/$M33*O33</f>
        <v>2.3960066555740434</v>
      </c>
      <c r="U33" s="31">
        <f>(R33-M33)/($T$14-1)</f>
        <v>1.6975075211348088E-2</v>
      </c>
      <c r="V33" s="31">
        <f>(S33-N33)/($T$14-1)</f>
        <v>8.3824938234256033E-2</v>
      </c>
      <c r="W33" s="31">
        <f>(T33-O33)/($T$14-1)</f>
        <v>9.6566328845862966E-3</v>
      </c>
    </row>
    <row r="34" spans="4:23" ht="14.25" customHeight="1" x14ac:dyDescent="0.2">
      <c r="D34" s="1" t="str">
        <f>角色基础!E34</f>
        <v>饼干19</v>
      </c>
      <c r="E34" s="1" t="str">
        <f>角色基础!F34</f>
        <v>恢复</v>
      </c>
      <c r="F34" s="1" t="str">
        <f>角色基础!G34</f>
        <v>超级稀有</v>
      </c>
      <c r="G34" s="22">
        <f>VLOOKUP($D34,角色基础!$E:$U,MATCH(G$15,角色基础!$E$15:$U$15,0),0)</f>
        <v>0.79800000000000004</v>
      </c>
      <c r="H34" s="22">
        <f>VLOOKUP($D34,角色基础!$E:$U,MATCH("伤害",角色基础!$E$15:$U$15,0),0)*VLOOKUP($D34,角色基础!$E:$U,MATCH("伤害偏向",角色基础!$E$15:$U$15,0),0)</f>
        <v>4.8</v>
      </c>
      <c r="I34" s="22">
        <f>VLOOKUP($D34,角色基础!$E:$U,MATCH("承伤",角色基础!$E$15:$U$15,0),0)*VLOOKUP($D34,角色基础!$E:$U,MATCH("承伤偏向",角色基础!$E$15:$U$15,0),0)</f>
        <v>41.666666666666671</v>
      </c>
      <c r="J34" s="1">
        <f>VLOOKUP(VLOOKUP($E34,角色基础!$K$4:$L$10,2,0),角色基础!$E$4:$H$7,4,0)</f>
        <v>6</v>
      </c>
      <c r="K34" s="1">
        <v>10</v>
      </c>
      <c r="L34" s="1">
        <v>2</v>
      </c>
      <c r="M34" s="31">
        <f t="shared" si="2"/>
        <v>2.5313283208020043</v>
      </c>
      <c r="N34" s="31">
        <f t="shared" si="3"/>
        <v>12.5</v>
      </c>
      <c r="O34" s="31">
        <f t="shared" si="4"/>
        <v>1.44</v>
      </c>
      <c r="P34" s="1">
        <v>2</v>
      </c>
      <c r="Q34" s="22">
        <f t="shared" si="0"/>
        <v>0.6638935108153079</v>
      </c>
      <c r="R34" s="44">
        <f t="shared" si="1"/>
        <v>4.2118607667254651</v>
      </c>
      <c r="S34" s="45">
        <f>$R34/$M34*N34</f>
        <v>20.798668885191347</v>
      </c>
      <c r="T34" s="45">
        <f>$R34/$M34*O34</f>
        <v>2.3960066555740434</v>
      </c>
      <c r="U34" s="31">
        <f>(R34-M34)/($T$14-1)</f>
        <v>1.6975075211348088E-2</v>
      </c>
      <c r="V34" s="31">
        <f>(S34-N34)/($T$14-1)</f>
        <v>8.3824938234256033E-2</v>
      </c>
      <c r="W34" s="31">
        <f>(T34-O34)/($T$14-1)</f>
        <v>9.6566328845862966E-3</v>
      </c>
    </row>
    <row r="35" spans="4:23" ht="14.25" customHeight="1" x14ac:dyDescent="0.2">
      <c r="D35" s="1" t="str">
        <f>角色基础!E35</f>
        <v>饼干20</v>
      </c>
      <c r="E35" s="1" t="str">
        <f>角色基础!F35</f>
        <v>恢复</v>
      </c>
      <c r="F35" s="1" t="str">
        <f>角色基础!G35</f>
        <v>超级稀有</v>
      </c>
      <c r="G35" s="22">
        <f>VLOOKUP($D35,角色基础!$E:$U,MATCH(G$15,角色基础!$E$15:$U$15,0),0)</f>
        <v>0.79800000000000004</v>
      </c>
      <c r="H35" s="22">
        <f>VLOOKUP($D35,角色基础!$E:$U,MATCH("伤害",角色基础!$E$15:$U$15,0),0)*VLOOKUP($D35,角色基础!$E:$U,MATCH("伤害偏向",角色基础!$E$15:$U$15,0),0)</f>
        <v>4.8</v>
      </c>
      <c r="I35" s="22">
        <f>VLOOKUP($D35,角色基础!$E:$U,MATCH("承伤",角色基础!$E$15:$U$15,0),0)*VLOOKUP($D35,角色基础!$E:$U,MATCH("承伤偏向",角色基础!$E$15:$U$15,0),0)</f>
        <v>41.666666666666671</v>
      </c>
      <c r="J35" s="1">
        <f>VLOOKUP(VLOOKUP($E35,角色基础!$K$4:$L$10,2,0),角色基础!$E$4:$H$7,4,0)</f>
        <v>6</v>
      </c>
      <c r="K35" s="1">
        <v>10</v>
      </c>
      <c r="L35" s="1">
        <v>2</v>
      </c>
      <c r="M35" s="31">
        <f t="shared" si="2"/>
        <v>2.5313283208020043</v>
      </c>
      <c r="N35" s="31">
        <f t="shared" si="3"/>
        <v>12.5</v>
      </c>
      <c r="O35" s="31">
        <f t="shared" si="4"/>
        <v>1.44</v>
      </c>
      <c r="P35" s="1">
        <v>2</v>
      </c>
      <c r="Q35" s="22">
        <f t="shared" si="0"/>
        <v>0.6638935108153079</v>
      </c>
      <c r="R35" s="44">
        <f t="shared" si="1"/>
        <v>4.2118607667254651</v>
      </c>
      <c r="S35" s="45">
        <f>$R35/$M35*N35</f>
        <v>20.798668885191347</v>
      </c>
      <c r="T35" s="45">
        <f>$R35/$M35*O35</f>
        <v>2.3960066555740434</v>
      </c>
      <c r="U35" s="31">
        <f>(R35-M35)/($T$14-1)</f>
        <v>1.6975075211348088E-2</v>
      </c>
      <c r="V35" s="31">
        <f>(S35-N35)/($T$14-1)</f>
        <v>8.3824938234256033E-2</v>
      </c>
      <c r="W35" s="31">
        <f>(T35-O35)/($T$14-1)</f>
        <v>9.6566328845862966E-3</v>
      </c>
    </row>
  </sheetData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D8" sqref="D8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角色基础</vt:lpstr>
      <vt:lpstr>角色成长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2023-03-13T07:51:15Z</dcterms:modified>
</cp:coreProperties>
</file>
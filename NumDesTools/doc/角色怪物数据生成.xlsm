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updateLinks="always" defaultThemeVersion="166925"/>
  <mc:AlternateContent xmlns:mc="http://schemas.openxmlformats.org/markup-compatibility/2006">
    <mc:Choice Requires="x15">
      <x15ac:absPath xmlns:x15ac="http://schemas.microsoft.com/office/spreadsheetml/2010/11/ac" url="D:\Pro\ExcelToolsAlbum\ExcelDna-Pro\NumDesTools\NumDesTools\doc\"/>
    </mc:Choice>
  </mc:AlternateContent>
  <xr:revisionPtr revIDLastSave="0" documentId="13_ncr:1_{6CEF8285-E6F7-42CF-949E-241DA3FC8914}" xr6:coauthVersionLast="47" xr6:coauthVersionMax="47" xr10:uidLastSave="{00000000-0000-0000-0000-000000000000}"/>
  <bookViews>
    <workbookView xWindow="-120" yWindow="-120" windowWidth="29040" windowHeight="15720" xr2:uid="{1A43F594-E40F-48AA-93E3-9F5F3F4EE1B9}"/>
  </bookViews>
  <sheets>
    <sheet name="角色基础" sheetId="1" r:id="rId1"/>
    <sheet name="角色成长" sheetId="5" r:id="rId2"/>
    <sheet name="怪物基础" sheetId="2" r:id="rId3"/>
    <sheet name="角色技能" sheetId="3" r:id="rId4"/>
    <sheet name="怪物技能" sheetId="4" r:id="rId5"/>
  </sheets>
  <externalReferences>
    <externalReference r:id="rId6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18" i="1" l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4" i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3" i="1"/>
  <c r="Q9" i="1"/>
  <c r="Q8" i="1"/>
  <c r="P8" i="1"/>
  <c r="P11" i="1"/>
  <c r="P16" i="1"/>
  <c r="Q16" i="1"/>
  <c r="E25" i="2"/>
  <c r="E26" i="2"/>
  <c r="E27" i="2"/>
  <c r="E28" i="2"/>
  <c r="E29" i="2"/>
  <c r="E24" i="2"/>
  <c r="AC10" i="2"/>
  <c r="G6" i="2"/>
  <c r="H6" i="2"/>
  <c r="Z5" i="2" s="1"/>
  <c r="I6" i="2"/>
  <c r="G7" i="2"/>
  <c r="H7" i="2"/>
  <c r="I7" i="2"/>
  <c r="G8" i="2"/>
  <c r="H8" i="2"/>
  <c r="I8" i="2"/>
  <c r="G9" i="2"/>
  <c r="H9" i="2"/>
  <c r="Z6" i="2" s="1"/>
  <c r="I9" i="2"/>
  <c r="H5" i="2"/>
  <c r="Z4" i="2" s="1"/>
  <c r="I5" i="2"/>
  <c r="AA4" i="2" s="1"/>
  <c r="AA5" i="2" s="1"/>
  <c r="AA6" i="2" s="1"/>
  <c r="G5" i="2"/>
  <c r="Y4" i="2" l="1"/>
  <c r="Y5" i="2" s="1"/>
  <c r="Y6" i="2" s="1"/>
  <c r="AC8" i="2"/>
  <c r="AC9" i="2" l="1"/>
  <c r="AB25" i="2" l="1"/>
  <c r="AC25" i="2"/>
  <c r="AB26" i="2"/>
  <c r="AC26" i="2"/>
  <c r="AB27" i="2"/>
  <c r="AC27" i="2"/>
  <c r="AB28" i="2"/>
  <c r="AC28" i="2"/>
  <c r="AB29" i="2"/>
  <c r="AC29" i="2"/>
  <c r="AC24" i="2"/>
  <c r="AB24" i="2"/>
  <c r="D16" i="2"/>
  <c r="F5" i="5" s="1"/>
  <c r="D15" i="2"/>
  <c r="E5" i="5" s="1"/>
  <c r="C20" i="5"/>
  <c r="G24" i="2"/>
  <c r="AA24" i="2" s="1"/>
  <c r="C5" i="5"/>
  <c r="O24" i="2" a="1"/>
  <c r="O24" i="2" s="1"/>
  <c r="N24" i="2"/>
  <c r="N25" i="2"/>
  <c r="N26" i="2"/>
  <c r="N27" i="2"/>
  <c r="N28" i="2"/>
  <c r="N29" i="2"/>
  <c r="G25" i="2"/>
  <c r="AA25" i="2" s="1"/>
  <c r="G26" i="2"/>
  <c r="AA26" i="2" s="1"/>
  <c r="G27" i="2"/>
  <c r="AA27" i="2" s="1"/>
  <c r="G28" i="2"/>
  <c r="AA28" i="2" s="1"/>
  <c r="G29" i="2"/>
  <c r="AA29" i="2" s="1"/>
  <c r="D14" i="2" l="1"/>
  <c r="D5" i="5" s="1"/>
  <c r="E8" i="2"/>
  <c r="F8" i="2"/>
  <c r="E9" i="2"/>
  <c r="F9" i="2"/>
  <c r="E6" i="2"/>
  <c r="F6" i="2"/>
  <c r="E7" i="2"/>
  <c r="F7" i="2"/>
  <c r="F5" i="2"/>
  <c r="E5" i="2"/>
  <c r="Z8" i="2" l="1"/>
  <c r="Z7" i="2"/>
  <c r="Z9" i="2"/>
  <c r="P17" i="1"/>
  <c r="P18" i="1"/>
  <c r="P19" i="1"/>
  <c r="P20" i="1"/>
  <c r="P21" i="1"/>
  <c r="P22" i="1"/>
  <c r="P23" i="1"/>
  <c r="P24" i="1"/>
  <c r="P25" i="1"/>
  <c r="P26" i="1"/>
  <c r="P27" i="1"/>
  <c r="Q17" i="1"/>
  <c r="Q18" i="1"/>
  <c r="Q19" i="1"/>
  <c r="Q20" i="1"/>
  <c r="Q21" i="1"/>
  <c r="Q22" i="1"/>
  <c r="Q23" i="1"/>
  <c r="Q24" i="1"/>
  <c r="Q25" i="1"/>
  <c r="Q26" i="1"/>
  <c r="Q27" i="1"/>
  <c r="Y7" i="2" l="1"/>
  <c r="AA7" i="2"/>
  <c r="AB7" i="2" s="1"/>
  <c r="P24" i="2"/>
  <c r="Y24" i="2" s="1"/>
  <c r="AA9" i="1"/>
  <c r="AB9" i="1"/>
  <c r="AC9" i="1"/>
  <c r="AA10" i="1"/>
  <c r="AB10" i="1"/>
  <c r="AC10" i="1"/>
  <c r="AA11" i="1"/>
  <c r="AB11" i="1"/>
  <c r="AC11" i="1"/>
  <c r="AA12" i="1"/>
  <c r="AB12" i="1"/>
  <c r="AC12" i="1"/>
  <c r="AA13" i="1"/>
  <c r="AB13" i="1"/>
  <c r="AC13" i="1"/>
  <c r="AA14" i="1"/>
  <c r="AB14" i="1"/>
  <c r="AC14" i="1"/>
  <c r="AA15" i="1"/>
  <c r="AB15" i="1"/>
  <c r="AC15" i="1"/>
  <c r="AA16" i="1"/>
  <c r="AB16" i="1"/>
  <c r="AC16" i="1"/>
  <c r="AA17" i="1"/>
  <c r="AB17" i="1"/>
  <c r="AC17" i="1"/>
  <c r="AA18" i="1"/>
  <c r="AB18" i="1"/>
  <c r="AC18" i="1"/>
  <c r="AA19" i="1"/>
  <c r="AB19" i="1"/>
  <c r="AC19" i="1"/>
  <c r="AA20" i="1"/>
  <c r="AB20" i="1"/>
  <c r="AC20" i="1"/>
  <c r="AA21" i="1"/>
  <c r="AB21" i="1"/>
  <c r="AC21" i="1"/>
  <c r="AA22" i="1"/>
  <c r="AB22" i="1"/>
  <c r="AC22" i="1"/>
  <c r="AA23" i="1"/>
  <c r="AB23" i="1"/>
  <c r="AC23" i="1"/>
  <c r="AA24" i="1"/>
  <c r="AB24" i="1"/>
  <c r="AC24" i="1"/>
  <c r="AA25" i="1"/>
  <c r="AB25" i="1"/>
  <c r="AC25" i="1"/>
  <c r="AA26" i="1"/>
  <c r="AB26" i="1"/>
  <c r="AC26" i="1"/>
  <c r="AA27" i="1"/>
  <c r="AB27" i="1"/>
  <c r="AC27" i="1"/>
  <c r="AA28" i="1"/>
  <c r="AB28" i="1"/>
  <c r="AC28" i="1"/>
  <c r="AA29" i="1"/>
  <c r="AB29" i="1"/>
  <c r="AC29" i="1"/>
  <c r="AA30" i="1"/>
  <c r="AB30" i="1"/>
  <c r="AC30" i="1"/>
  <c r="AA31" i="1"/>
  <c r="AB31" i="1"/>
  <c r="AC31" i="1"/>
  <c r="AA32" i="1"/>
  <c r="AB32" i="1"/>
  <c r="AC32" i="1"/>
  <c r="AA33" i="1"/>
  <c r="AB33" i="1"/>
  <c r="AC33" i="1"/>
  <c r="AA34" i="1"/>
  <c r="AB34" i="1"/>
  <c r="AC34" i="1"/>
  <c r="AA35" i="1"/>
  <c r="AB35" i="1"/>
  <c r="AC35" i="1"/>
  <c r="AA36" i="1"/>
  <c r="AB36" i="1"/>
  <c r="AC36" i="1"/>
  <c r="AA37" i="1"/>
  <c r="AB37" i="1"/>
  <c r="AC37" i="1"/>
  <c r="AA38" i="1"/>
  <c r="AB38" i="1"/>
  <c r="AC38" i="1"/>
  <c r="AA39" i="1"/>
  <c r="AB39" i="1"/>
  <c r="AC39" i="1"/>
  <c r="AA40" i="1"/>
  <c r="AB40" i="1"/>
  <c r="AC40" i="1"/>
  <c r="AA41" i="1"/>
  <c r="AB41" i="1"/>
  <c r="AC41" i="1"/>
  <c r="AA42" i="1"/>
  <c r="AB42" i="1"/>
  <c r="AC42" i="1"/>
  <c r="AA43" i="1"/>
  <c r="AB43" i="1"/>
  <c r="AC43" i="1"/>
  <c r="AA44" i="1"/>
  <c r="AB44" i="1"/>
  <c r="AC44" i="1"/>
  <c r="AA45" i="1"/>
  <c r="AB45" i="1"/>
  <c r="AC45" i="1"/>
  <c r="AA46" i="1"/>
  <c r="AB46" i="1"/>
  <c r="AC46" i="1"/>
  <c r="AA47" i="1"/>
  <c r="AB47" i="1"/>
  <c r="AC47" i="1"/>
  <c r="AA48" i="1"/>
  <c r="AB48" i="1"/>
  <c r="AC48" i="1"/>
  <c r="AA49" i="1"/>
  <c r="AB49" i="1"/>
  <c r="AC49" i="1"/>
  <c r="AA50" i="1"/>
  <c r="AB50" i="1"/>
  <c r="AC50" i="1"/>
  <c r="AA51" i="1"/>
  <c r="AB51" i="1"/>
  <c r="AC51" i="1"/>
  <c r="AA52" i="1"/>
  <c r="AB52" i="1"/>
  <c r="AC52" i="1"/>
  <c r="AA53" i="1"/>
  <c r="AB53" i="1"/>
  <c r="AC53" i="1"/>
  <c r="AA54" i="1"/>
  <c r="AB54" i="1"/>
  <c r="AC54" i="1"/>
  <c r="AA55" i="1"/>
  <c r="AB55" i="1"/>
  <c r="AC55" i="1"/>
  <c r="AA56" i="1"/>
  <c r="AB56" i="1"/>
  <c r="AC56" i="1"/>
  <c r="AA57" i="1"/>
  <c r="AB57" i="1"/>
  <c r="AC57" i="1"/>
  <c r="AA58" i="1"/>
  <c r="AB58" i="1"/>
  <c r="AC58" i="1"/>
  <c r="AA59" i="1"/>
  <c r="AB59" i="1"/>
  <c r="AC59" i="1"/>
  <c r="AA60" i="1"/>
  <c r="AB60" i="1"/>
  <c r="AC60" i="1"/>
  <c r="AA61" i="1"/>
  <c r="AB61" i="1"/>
  <c r="AC61" i="1"/>
  <c r="AA62" i="1"/>
  <c r="AB62" i="1"/>
  <c r="AC62" i="1"/>
  <c r="AA63" i="1"/>
  <c r="AB63" i="1"/>
  <c r="AC63" i="1"/>
  <c r="AA64" i="1"/>
  <c r="AB64" i="1"/>
  <c r="AC64" i="1"/>
  <c r="AA65" i="1"/>
  <c r="AB65" i="1"/>
  <c r="AC65" i="1"/>
  <c r="AA66" i="1"/>
  <c r="AB66" i="1"/>
  <c r="AC66" i="1"/>
  <c r="AA67" i="1"/>
  <c r="AB67" i="1"/>
  <c r="AC67" i="1"/>
  <c r="AA68" i="1"/>
  <c r="AB68" i="1"/>
  <c r="AC68" i="1"/>
  <c r="AA69" i="1"/>
  <c r="AB69" i="1"/>
  <c r="AC69" i="1"/>
  <c r="AA70" i="1"/>
  <c r="AB70" i="1"/>
  <c r="AC70" i="1"/>
  <c r="AA71" i="1"/>
  <c r="AB71" i="1"/>
  <c r="AC71" i="1"/>
  <c r="AA72" i="1"/>
  <c r="AB72" i="1"/>
  <c r="AC72" i="1"/>
  <c r="AA73" i="1"/>
  <c r="AB73" i="1"/>
  <c r="AC73" i="1"/>
  <c r="AA74" i="1"/>
  <c r="AB74" i="1"/>
  <c r="AC74" i="1"/>
  <c r="AA75" i="1"/>
  <c r="AB75" i="1"/>
  <c r="AC75" i="1"/>
  <c r="AA76" i="1"/>
  <c r="AB76" i="1"/>
  <c r="AC76" i="1"/>
  <c r="AA77" i="1"/>
  <c r="AB77" i="1"/>
  <c r="AC77" i="1"/>
  <c r="AA78" i="1"/>
  <c r="AB78" i="1"/>
  <c r="AC78" i="1"/>
  <c r="AA79" i="1"/>
  <c r="AB79" i="1"/>
  <c r="AC79" i="1"/>
  <c r="AA80" i="1"/>
  <c r="AB80" i="1"/>
  <c r="AC80" i="1"/>
  <c r="AA81" i="1"/>
  <c r="AB81" i="1"/>
  <c r="AC81" i="1"/>
  <c r="AA82" i="1"/>
  <c r="AB82" i="1"/>
  <c r="AC82" i="1"/>
  <c r="AA83" i="1"/>
  <c r="AB83" i="1"/>
  <c r="AC83" i="1"/>
  <c r="AA84" i="1"/>
  <c r="AB84" i="1"/>
  <c r="AC84" i="1"/>
  <c r="AA85" i="1"/>
  <c r="AB85" i="1"/>
  <c r="AC85" i="1"/>
  <c r="AA86" i="1"/>
  <c r="AB86" i="1"/>
  <c r="AC86" i="1"/>
  <c r="AA87" i="1"/>
  <c r="AB87" i="1"/>
  <c r="AC87" i="1"/>
  <c r="AA88" i="1"/>
  <c r="AB88" i="1"/>
  <c r="AC88" i="1"/>
  <c r="AA89" i="1"/>
  <c r="AB89" i="1"/>
  <c r="AC89" i="1"/>
  <c r="AA90" i="1"/>
  <c r="AB90" i="1"/>
  <c r="AC90" i="1"/>
  <c r="AA91" i="1"/>
  <c r="AB91" i="1"/>
  <c r="AC91" i="1"/>
  <c r="AA92" i="1"/>
  <c r="AB92" i="1"/>
  <c r="AC92" i="1"/>
  <c r="AA93" i="1"/>
  <c r="AB93" i="1"/>
  <c r="AC93" i="1"/>
  <c r="AA94" i="1"/>
  <c r="AB94" i="1"/>
  <c r="AC94" i="1"/>
  <c r="AA95" i="1"/>
  <c r="AB95" i="1"/>
  <c r="AC95" i="1"/>
  <c r="AA96" i="1"/>
  <c r="AB96" i="1"/>
  <c r="AC96" i="1"/>
  <c r="AA97" i="1"/>
  <c r="AB97" i="1"/>
  <c r="AC97" i="1"/>
  <c r="AA98" i="1"/>
  <c r="AB98" i="1"/>
  <c r="AC98" i="1"/>
  <c r="AA99" i="1"/>
  <c r="AB99" i="1"/>
  <c r="AC99" i="1"/>
  <c r="AA100" i="1"/>
  <c r="AB100" i="1"/>
  <c r="AC100" i="1"/>
  <c r="AA101" i="1"/>
  <c r="AB101" i="1"/>
  <c r="AC101" i="1"/>
  <c r="AA102" i="1"/>
  <c r="AB102" i="1"/>
  <c r="AC102" i="1"/>
  <c r="AB4" i="1"/>
  <c r="AB5" i="1"/>
  <c r="AB6" i="1"/>
  <c r="AB7" i="1"/>
  <c r="AB8" i="1"/>
  <c r="AB3" i="1"/>
  <c r="AA4" i="1"/>
  <c r="AC4" i="1"/>
  <c r="AA5" i="1"/>
  <c r="AC5" i="1"/>
  <c r="AA6" i="1"/>
  <c r="AC6" i="1"/>
  <c r="AA7" i="1"/>
  <c r="AC7" i="1"/>
  <c r="AA8" i="1"/>
  <c r="AC8" i="1"/>
  <c r="AC3" i="1"/>
  <c r="AA3" i="1"/>
  <c r="Z1" i="1"/>
  <c r="Y1" i="1"/>
  <c r="F6" i="1"/>
  <c r="G6" i="1"/>
  <c r="F7" i="1"/>
  <c r="G7" i="1"/>
  <c r="G5" i="1"/>
  <c r="R11" i="1" s="1"/>
  <c r="F5" i="1"/>
  <c r="N11" i="1" l="1"/>
  <c r="N16" i="1"/>
  <c r="R9" i="1"/>
  <c r="S9" i="1" s="1"/>
  <c r="S8" i="1" s="1"/>
  <c r="R16" i="1"/>
  <c r="Y7" i="1"/>
  <c r="AE7" i="1" s="1"/>
  <c r="Y21" i="1"/>
  <c r="AE21" i="1" s="1"/>
  <c r="Y41" i="1"/>
  <c r="AE41" i="1" s="1"/>
  <c r="Y61" i="1"/>
  <c r="AE61" i="1" s="1"/>
  <c r="Y81" i="1"/>
  <c r="AE81" i="1" s="1"/>
  <c r="Y101" i="1"/>
  <c r="AE101" i="1" s="1"/>
  <c r="Y63" i="1"/>
  <c r="AE63" i="1" s="1"/>
  <c r="Y50" i="1"/>
  <c r="AE50" i="1" s="1"/>
  <c r="Y17" i="1"/>
  <c r="AE17" i="1" s="1"/>
  <c r="Y97" i="1"/>
  <c r="AE97" i="1" s="1"/>
  <c r="Y86" i="1"/>
  <c r="AE86" i="1" s="1"/>
  <c r="Y33" i="1"/>
  <c r="AE33" i="1" s="1"/>
  <c r="Y93" i="1"/>
  <c r="AE93" i="1" s="1"/>
  <c r="Y80" i="1"/>
  <c r="AE80" i="1" s="1"/>
  <c r="Y100" i="1"/>
  <c r="AE100" i="1" s="1"/>
  <c r="Y27" i="1"/>
  <c r="AE27" i="1" s="1"/>
  <c r="Y47" i="1"/>
  <c r="AE47" i="1" s="1"/>
  <c r="Y67" i="1"/>
  <c r="AE67" i="1" s="1"/>
  <c r="Y87" i="1"/>
  <c r="AE87" i="1" s="1"/>
  <c r="Y8" i="1"/>
  <c r="AE8" i="1" s="1"/>
  <c r="Y28" i="1"/>
  <c r="AE28" i="1" s="1"/>
  <c r="Y48" i="1"/>
  <c r="AE48" i="1" s="1"/>
  <c r="Y68" i="1"/>
  <c r="AE68" i="1" s="1"/>
  <c r="Y88" i="1"/>
  <c r="AE88" i="1" s="1"/>
  <c r="Y56" i="1"/>
  <c r="AE56" i="1" s="1"/>
  <c r="Y76" i="1"/>
  <c r="AE76" i="1" s="1"/>
  <c r="Y43" i="1"/>
  <c r="AE43" i="1" s="1"/>
  <c r="Y10" i="1"/>
  <c r="AE10" i="1" s="1"/>
  <c r="Y70" i="1"/>
  <c r="AE70" i="1" s="1"/>
  <c r="Y37" i="1"/>
  <c r="AE37" i="1" s="1"/>
  <c r="Y19" i="1"/>
  <c r="AE19" i="1" s="1"/>
  <c r="Y79" i="1"/>
  <c r="AE79" i="1" s="1"/>
  <c r="Y15" i="1"/>
  <c r="AE15" i="1" s="1"/>
  <c r="Y35" i="1"/>
  <c r="AE35" i="1" s="1"/>
  <c r="Y55" i="1"/>
  <c r="AE55" i="1" s="1"/>
  <c r="Y75" i="1"/>
  <c r="AE75" i="1" s="1"/>
  <c r="Y95" i="1"/>
  <c r="AE95" i="1" s="1"/>
  <c r="Y9" i="1"/>
  <c r="AE9" i="1" s="1"/>
  <c r="Y29" i="1"/>
  <c r="AE29" i="1" s="1"/>
  <c r="Y49" i="1"/>
  <c r="AE49" i="1" s="1"/>
  <c r="Y69" i="1"/>
  <c r="AE69" i="1" s="1"/>
  <c r="Y89" i="1"/>
  <c r="AE89" i="1" s="1"/>
  <c r="Y36" i="1"/>
  <c r="AE36" i="1" s="1"/>
  <c r="Y12" i="1"/>
  <c r="AE12" i="1" s="1"/>
  <c r="Y72" i="1"/>
  <c r="AE72" i="1" s="1"/>
  <c r="Y92" i="1"/>
  <c r="AE92" i="1" s="1"/>
  <c r="Y99" i="1"/>
  <c r="AE99" i="1" s="1"/>
  <c r="Y3" i="1"/>
  <c r="AE3" i="1" s="1"/>
  <c r="Y22" i="1"/>
  <c r="AE22" i="1" s="1"/>
  <c r="Y42" i="1"/>
  <c r="AE42" i="1" s="1"/>
  <c r="Y62" i="1"/>
  <c r="AE62" i="1" s="1"/>
  <c r="Y82" i="1"/>
  <c r="AE82" i="1" s="1"/>
  <c r="Y102" i="1"/>
  <c r="AE102" i="1" s="1"/>
  <c r="Y16" i="1"/>
  <c r="AE16" i="1" s="1"/>
  <c r="Y96" i="1"/>
  <c r="AE96" i="1" s="1"/>
  <c r="Y23" i="1"/>
  <c r="AE23" i="1" s="1"/>
  <c r="Y83" i="1"/>
  <c r="AE83" i="1" s="1"/>
  <c r="Y4" i="1"/>
  <c r="AE4" i="1" s="1"/>
  <c r="Y57" i="1"/>
  <c r="AE57" i="1" s="1"/>
  <c r="Y52" i="1"/>
  <c r="AE52" i="1" s="1"/>
  <c r="Y39" i="1"/>
  <c r="AE39" i="1" s="1"/>
  <c r="Y14" i="1"/>
  <c r="AE14" i="1" s="1"/>
  <c r="Y34" i="1"/>
  <c r="AE34" i="1" s="1"/>
  <c r="Y54" i="1"/>
  <c r="AE54" i="1" s="1"/>
  <c r="Y94" i="1"/>
  <c r="AE94" i="1" s="1"/>
  <c r="Y30" i="1"/>
  <c r="AE30" i="1" s="1"/>
  <c r="Y90" i="1"/>
  <c r="AE90" i="1" s="1"/>
  <c r="Y77" i="1"/>
  <c r="AE77" i="1" s="1"/>
  <c r="Y24" i="1"/>
  <c r="AE24" i="1" s="1"/>
  <c r="Y44" i="1"/>
  <c r="AE44" i="1" s="1"/>
  <c r="Y64" i="1"/>
  <c r="AE64" i="1" s="1"/>
  <c r="Y84" i="1"/>
  <c r="AE84" i="1" s="1"/>
  <c r="Y85" i="1"/>
  <c r="AE85" i="1" s="1"/>
  <c r="Y74" i="1"/>
  <c r="AE74" i="1" s="1"/>
  <c r="Y11" i="1"/>
  <c r="AE11" i="1" s="1"/>
  <c r="Y31" i="1"/>
  <c r="AE31" i="1" s="1"/>
  <c r="Y51" i="1"/>
  <c r="AE51" i="1" s="1"/>
  <c r="Y71" i="1"/>
  <c r="AE71" i="1" s="1"/>
  <c r="Y91" i="1"/>
  <c r="AE91" i="1" s="1"/>
  <c r="Y18" i="1"/>
  <c r="AE18" i="1" s="1"/>
  <c r="Y38" i="1"/>
  <c r="AE38" i="1" s="1"/>
  <c r="Y58" i="1"/>
  <c r="AE58" i="1" s="1"/>
  <c r="Y78" i="1"/>
  <c r="AE78" i="1" s="1"/>
  <c r="Y98" i="1"/>
  <c r="AE98" i="1" s="1"/>
  <c r="Y25" i="1"/>
  <c r="AE25" i="1" s="1"/>
  <c r="Y45" i="1"/>
  <c r="AE45" i="1" s="1"/>
  <c r="Y65" i="1"/>
  <c r="AE65" i="1" s="1"/>
  <c r="Y32" i="1"/>
  <c r="AE32" i="1" s="1"/>
  <c r="Y59" i="1"/>
  <c r="AE59" i="1" s="1"/>
  <c r="Y26" i="1"/>
  <c r="AE26" i="1" s="1"/>
  <c r="Y46" i="1"/>
  <c r="AE46" i="1" s="1"/>
  <c r="Y66" i="1"/>
  <c r="AE66" i="1" s="1"/>
  <c r="Y13" i="1"/>
  <c r="AE13" i="1" s="1"/>
  <c r="Y53" i="1"/>
  <c r="AE53" i="1" s="1"/>
  <c r="Y73" i="1"/>
  <c r="AE73" i="1" s="1"/>
  <c r="Y20" i="1"/>
  <c r="AE20" i="1" s="1"/>
  <c r="Y40" i="1"/>
  <c r="AE40" i="1" s="1"/>
  <c r="Y60" i="1"/>
  <c r="AE60" i="1" s="1"/>
  <c r="Y5" i="1"/>
  <c r="AE5" i="1" s="1"/>
  <c r="Y6" i="1"/>
  <c r="AE6" i="1" s="1"/>
  <c r="X8" i="1"/>
  <c r="Z14" i="1"/>
  <c r="AG14" i="1" s="1"/>
  <c r="X28" i="1"/>
  <c r="Z34" i="1"/>
  <c r="AG34" i="1" s="1"/>
  <c r="X48" i="1"/>
  <c r="Z54" i="1"/>
  <c r="AG54" i="1" s="1"/>
  <c r="X68" i="1"/>
  <c r="Z74" i="1"/>
  <c r="AG74" i="1" s="1"/>
  <c r="X88" i="1"/>
  <c r="Z94" i="1"/>
  <c r="AG94" i="1" s="1"/>
  <c r="Z69" i="1"/>
  <c r="AG69" i="1" s="1"/>
  <c r="X10" i="1"/>
  <c r="Z23" i="1"/>
  <c r="AG23" i="1" s="1"/>
  <c r="X77" i="1"/>
  <c r="Z50" i="1"/>
  <c r="AG50" i="1" s="1"/>
  <c r="Z37" i="1"/>
  <c r="AG37" i="1" s="1"/>
  <c r="Z77" i="1"/>
  <c r="AG77" i="1" s="1"/>
  <c r="X59" i="1"/>
  <c r="X26" i="1"/>
  <c r="X86" i="1"/>
  <c r="Z19" i="1"/>
  <c r="AG19" i="1" s="1"/>
  <c r="X53" i="1"/>
  <c r="Z66" i="1"/>
  <c r="AG66" i="1" s="1"/>
  <c r="X7" i="1"/>
  <c r="Z33" i="1"/>
  <c r="AG33" i="1" s="1"/>
  <c r="Z53" i="1"/>
  <c r="AG53" i="1" s="1"/>
  <c r="X67" i="1"/>
  <c r="X14" i="1"/>
  <c r="Z20" i="1"/>
  <c r="AG20" i="1" s="1"/>
  <c r="X34" i="1"/>
  <c r="Z40" i="1"/>
  <c r="AG40" i="1" s="1"/>
  <c r="X54" i="1"/>
  <c r="Z60" i="1"/>
  <c r="AG60" i="1" s="1"/>
  <c r="X74" i="1"/>
  <c r="Z80" i="1"/>
  <c r="AG80" i="1" s="1"/>
  <c r="X94" i="1"/>
  <c r="Z100" i="1"/>
  <c r="AG100" i="1" s="1"/>
  <c r="X15" i="1"/>
  <c r="Z21" i="1"/>
  <c r="AG21" i="1" s="1"/>
  <c r="X35" i="1"/>
  <c r="Z41" i="1"/>
  <c r="AG41" i="1" s="1"/>
  <c r="X55" i="1"/>
  <c r="Z61" i="1"/>
  <c r="AG61" i="1" s="1"/>
  <c r="X75" i="1"/>
  <c r="Z81" i="1"/>
  <c r="AG81" i="1" s="1"/>
  <c r="X95" i="1"/>
  <c r="Z101" i="1"/>
  <c r="AG101" i="1" s="1"/>
  <c r="Z29" i="1"/>
  <c r="AG29" i="1" s="1"/>
  <c r="Z89" i="1"/>
  <c r="AG89" i="1" s="1"/>
  <c r="Z3" i="1"/>
  <c r="AG3" i="1" s="1"/>
  <c r="Z76" i="1"/>
  <c r="AG76" i="1" s="1"/>
  <c r="X3" i="1"/>
  <c r="X37" i="1"/>
  <c r="X97" i="1"/>
  <c r="Z10" i="1"/>
  <c r="AG10" i="1" s="1"/>
  <c r="X64" i="1"/>
  <c r="Z90" i="1"/>
  <c r="AG90" i="1" s="1"/>
  <c r="Z17" i="1"/>
  <c r="AG17" i="1" s="1"/>
  <c r="X71" i="1"/>
  <c r="X92" i="1"/>
  <c r="Z25" i="1"/>
  <c r="AG25" i="1" s="1"/>
  <c r="Z45" i="1"/>
  <c r="AG45" i="1" s="1"/>
  <c r="Z65" i="1"/>
  <c r="AG65" i="1" s="1"/>
  <c r="X99" i="1"/>
  <c r="Z52" i="1"/>
  <c r="AG52" i="1" s="1"/>
  <c r="Z8" i="1"/>
  <c r="AG8" i="1" s="1"/>
  <c r="X22" i="1"/>
  <c r="Z28" i="1"/>
  <c r="AG28" i="1" s="1"/>
  <c r="X42" i="1"/>
  <c r="Z48" i="1"/>
  <c r="AG48" i="1" s="1"/>
  <c r="X62" i="1"/>
  <c r="Z68" i="1"/>
  <c r="AG68" i="1" s="1"/>
  <c r="X82" i="1"/>
  <c r="Z88" i="1"/>
  <c r="AG88" i="1" s="1"/>
  <c r="X102" i="1"/>
  <c r="X16" i="1"/>
  <c r="Z22" i="1"/>
  <c r="AG22" i="1" s="1"/>
  <c r="X36" i="1"/>
  <c r="Z42" i="1"/>
  <c r="AG42" i="1" s="1"/>
  <c r="X56" i="1"/>
  <c r="Z62" i="1"/>
  <c r="AG62" i="1" s="1"/>
  <c r="X76" i="1"/>
  <c r="Z82" i="1"/>
  <c r="AG82" i="1" s="1"/>
  <c r="X96" i="1"/>
  <c r="Z102" i="1"/>
  <c r="AG102" i="1" s="1"/>
  <c r="X23" i="1"/>
  <c r="X63" i="1"/>
  <c r="X83" i="1"/>
  <c r="Z16" i="1"/>
  <c r="AG16" i="1" s="1"/>
  <c r="X50" i="1"/>
  <c r="X90" i="1"/>
  <c r="Z43" i="1"/>
  <c r="AG43" i="1" s="1"/>
  <c r="Z83" i="1"/>
  <c r="AG83" i="1" s="1"/>
  <c r="Z30" i="1"/>
  <c r="AG30" i="1" s="1"/>
  <c r="X44" i="1"/>
  <c r="Z70" i="1"/>
  <c r="AG70" i="1" s="1"/>
  <c r="X11" i="1"/>
  <c r="Z57" i="1"/>
  <c r="AG57" i="1" s="1"/>
  <c r="X39" i="1"/>
  <c r="Z12" i="1"/>
  <c r="AG12" i="1" s="1"/>
  <c r="X46" i="1"/>
  <c r="Z72" i="1"/>
  <c r="AG72" i="1" s="1"/>
  <c r="X13" i="1"/>
  <c r="Z39" i="1"/>
  <c r="AG39" i="1" s="1"/>
  <c r="Z59" i="1"/>
  <c r="AG59" i="1" s="1"/>
  <c r="X73" i="1"/>
  <c r="X9" i="1"/>
  <c r="Z15" i="1"/>
  <c r="AG15" i="1" s="1"/>
  <c r="X29" i="1"/>
  <c r="Z35" i="1"/>
  <c r="AG35" i="1" s="1"/>
  <c r="X49" i="1"/>
  <c r="Z55" i="1"/>
  <c r="AG55" i="1" s="1"/>
  <c r="X69" i="1"/>
  <c r="Z75" i="1"/>
  <c r="AG75" i="1" s="1"/>
  <c r="X89" i="1"/>
  <c r="Z95" i="1"/>
  <c r="AG95" i="1" s="1"/>
  <c r="Z49" i="1"/>
  <c r="AG49" i="1" s="1"/>
  <c r="Z36" i="1"/>
  <c r="AG36" i="1" s="1"/>
  <c r="Z56" i="1"/>
  <c r="AG56" i="1" s="1"/>
  <c r="Z96" i="1"/>
  <c r="AG96" i="1" s="1"/>
  <c r="X17" i="1"/>
  <c r="Z63" i="1"/>
  <c r="AG63" i="1" s="1"/>
  <c r="X84" i="1"/>
  <c r="X31" i="1"/>
  <c r="X51" i="1"/>
  <c r="X91" i="1"/>
  <c r="X19" i="1"/>
  <c r="X79" i="1"/>
  <c r="Z79" i="1"/>
  <c r="AG79" i="1" s="1"/>
  <c r="X20" i="1"/>
  <c r="X80" i="1"/>
  <c r="Z7" i="1"/>
  <c r="AG7" i="1" s="1"/>
  <c r="X21" i="1"/>
  <c r="X41" i="1"/>
  <c r="Z47" i="1"/>
  <c r="AG47" i="1" s="1"/>
  <c r="X61" i="1"/>
  <c r="Z67" i="1"/>
  <c r="AG67" i="1" s="1"/>
  <c r="X81" i="1"/>
  <c r="Z87" i="1"/>
  <c r="AG87" i="1" s="1"/>
  <c r="X101" i="1"/>
  <c r="Z9" i="1"/>
  <c r="AG9" i="1" s="1"/>
  <c r="X43" i="1"/>
  <c r="X30" i="1"/>
  <c r="X70" i="1"/>
  <c r="X57" i="1"/>
  <c r="X24" i="1"/>
  <c r="Z97" i="1"/>
  <c r="AG97" i="1" s="1"/>
  <c r="X66" i="1"/>
  <c r="X33" i="1"/>
  <c r="Z99" i="1"/>
  <c r="AG99" i="1" s="1"/>
  <c r="Z26" i="1"/>
  <c r="AG26" i="1" s="1"/>
  <c r="Z46" i="1"/>
  <c r="AG46" i="1" s="1"/>
  <c r="X60" i="1"/>
  <c r="Z86" i="1"/>
  <c r="AG86" i="1" s="1"/>
  <c r="Z27" i="1"/>
  <c r="AG27" i="1" s="1"/>
  <c r="X4" i="1"/>
  <c r="Z4" i="1"/>
  <c r="AG4" i="1" s="1"/>
  <c r="X18" i="1"/>
  <c r="Z24" i="1"/>
  <c r="AG24" i="1" s="1"/>
  <c r="X38" i="1"/>
  <c r="Z44" i="1"/>
  <c r="AG44" i="1" s="1"/>
  <c r="X58" i="1"/>
  <c r="Z64" i="1"/>
  <c r="AG64" i="1" s="1"/>
  <c r="X78" i="1"/>
  <c r="Z84" i="1"/>
  <c r="AG84" i="1" s="1"/>
  <c r="X98" i="1"/>
  <c r="Z11" i="1"/>
  <c r="AG11" i="1" s="1"/>
  <c r="X25" i="1"/>
  <c r="Z31" i="1"/>
  <c r="AG31" i="1" s="1"/>
  <c r="X45" i="1"/>
  <c r="Z51" i="1"/>
  <c r="AG51" i="1" s="1"/>
  <c r="X65" i="1"/>
  <c r="Z71" i="1"/>
  <c r="AG71" i="1" s="1"/>
  <c r="X85" i="1"/>
  <c r="Z91" i="1"/>
  <c r="AG91" i="1" s="1"/>
  <c r="X12" i="1"/>
  <c r="Z18" i="1"/>
  <c r="AG18" i="1" s="1"/>
  <c r="X32" i="1"/>
  <c r="Z38" i="1"/>
  <c r="AG38" i="1" s="1"/>
  <c r="X52" i="1"/>
  <c r="Z58" i="1"/>
  <c r="AG58" i="1" s="1"/>
  <c r="X72" i="1"/>
  <c r="Z78" i="1"/>
  <c r="AG78" i="1" s="1"/>
  <c r="Z98" i="1"/>
  <c r="AG98" i="1" s="1"/>
  <c r="Z85" i="1"/>
  <c r="AG85" i="1" s="1"/>
  <c r="Z32" i="1"/>
  <c r="AG32" i="1" s="1"/>
  <c r="Z92" i="1"/>
  <c r="AG92" i="1" s="1"/>
  <c r="X93" i="1"/>
  <c r="X40" i="1"/>
  <c r="X100" i="1"/>
  <c r="Z13" i="1"/>
  <c r="AG13" i="1" s="1"/>
  <c r="X27" i="1"/>
  <c r="X47" i="1"/>
  <c r="Z73" i="1"/>
  <c r="AG73" i="1" s="1"/>
  <c r="X87" i="1"/>
  <c r="Z93" i="1"/>
  <c r="AG93" i="1" s="1"/>
  <c r="X5" i="1"/>
  <c r="Z5" i="1"/>
  <c r="AG5" i="1" s="1"/>
  <c r="X6" i="1"/>
  <c r="Z6" i="1"/>
  <c r="AG6" i="1" s="1"/>
  <c r="AA9" i="2"/>
  <c r="AB9" i="2" s="1"/>
  <c r="AA8" i="2"/>
  <c r="AB8" i="2" s="1"/>
  <c r="AD7" i="2"/>
  <c r="Y9" i="2"/>
  <c r="Y8" i="2"/>
  <c r="AD24" i="2"/>
  <c r="R19" i="1"/>
  <c r="T18" i="1"/>
  <c r="T17" i="1"/>
  <c r="T19" i="1"/>
  <c r="T16" i="1"/>
  <c r="R27" i="1"/>
  <c r="T26" i="1"/>
  <c r="T27" i="1"/>
  <c r="R24" i="1"/>
  <c r="T25" i="1"/>
  <c r="T20" i="1"/>
  <c r="T24" i="1"/>
  <c r="T21" i="1"/>
  <c r="T23" i="1"/>
  <c r="T22" i="1"/>
  <c r="S18" i="1"/>
  <c r="S16" i="1"/>
  <c r="AC1" i="1" s="1"/>
  <c r="S17" i="1"/>
  <c r="S19" i="1"/>
  <c r="S27" i="1"/>
  <c r="S26" i="1"/>
  <c r="S20" i="1"/>
  <c r="S21" i="1"/>
  <c r="S24" i="1"/>
  <c r="S22" i="1"/>
  <c r="S23" i="1"/>
  <c r="S25" i="1"/>
  <c r="R17" i="1"/>
  <c r="R21" i="1"/>
  <c r="R23" i="1"/>
  <c r="R25" i="1"/>
  <c r="N22" i="1"/>
  <c r="N23" i="1"/>
  <c r="N24" i="1"/>
  <c r="N21" i="1"/>
  <c r="N25" i="1"/>
  <c r="N20" i="1"/>
  <c r="R22" i="1"/>
  <c r="R18" i="1"/>
  <c r="R20" i="1"/>
  <c r="N26" i="1"/>
  <c r="N27" i="1"/>
  <c r="R26" i="1"/>
  <c r="N18" i="1"/>
  <c r="N17" i="1"/>
  <c r="N19" i="1"/>
  <c r="AB10" i="2" l="1"/>
  <c r="AD18" i="1"/>
  <c r="AD44" i="1"/>
  <c r="AD71" i="1"/>
  <c r="AD98" i="1"/>
  <c r="AD27" i="1"/>
  <c r="AD36" i="1"/>
  <c r="AD53" i="1"/>
  <c r="AD62" i="1"/>
  <c r="AD80" i="1"/>
  <c r="AD89" i="1"/>
  <c r="AD9" i="1"/>
  <c r="AD20" i="1"/>
  <c r="AD81" i="1"/>
  <c r="AD3" i="1"/>
  <c r="AD29" i="1"/>
  <c r="AD38" i="1"/>
  <c r="AD46" i="1"/>
  <c r="AD55" i="1"/>
  <c r="AD64" i="1"/>
  <c r="AD91" i="1"/>
  <c r="AD100" i="1"/>
  <c r="AD73" i="1"/>
  <c r="AD82" i="1"/>
  <c r="AD11" i="1"/>
  <c r="AD21" i="1"/>
  <c r="AD39" i="1"/>
  <c r="AD47" i="1"/>
  <c r="AD56" i="1"/>
  <c r="AD35" i="1"/>
  <c r="AD17" i="1"/>
  <c r="AD19" i="1"/>
  <c r="AD99" i="1"/>
  <c r="AD37" i="1"/>
  <c r="AD45" i="1"/>
  <c r="AD54" i="1"/>
  <c r="AD63" i="1"/>
  <c r="AD72" i="1"/>
  <c r="AD90" i="1"/>
  <c r="AD10" i="1"/>
  <c r="AD30" i="1"/>
  <c r="AD26" i="1"/>
  <c r="AD61" i="1"/>
  <c r="AD88" i="1"/>
  <c r="AD8" i="1"/>
  <c r="AD65" i="1"/>
  <c r="AD74" i="1"/>
  <c r="AD83" i="1"/>
  <c r="AD92" i="1"/>
  <c r="AD101" i="1"/>
  <c r="AD40" i="1"/>
  <c r="AD66" i="1"/>
  <c r="AD84" i="1"/>
  <c r="AD102" i="1"/>
  <c r="AD23" i="1"/>
  <c r="AD49" i="1"/>
  <c r="AD32" i="1"/>
  <c r="AD67" i="1"/>
  <c r="AD4" i="1"/>
  <c r="AD13" i="1"/>
  <c r="AD41" i="1"/>
  <c r="AD50" i="1"/>
  <c r="AD85" i="1"/>
  <c r="AD24" i="1"/>
  <c r="AD68" i="1"/>
  <c r="AD77" i="1"/>
  <c r="AD95" i="1"/>
  <c r="AD14" i="1"/>
  <c r="AD33" i="1"/>
  <c r="AD42" i="1"/>
  <c r="AD51" i="1"/>
  <c r="AD86" i="1"/>
  <c r="AD15" i="1"/>
  <c r="AD60" i="1"/>
  <c r="AD69" i="1"/>
  <c r="AD78" i="1"/>
  <c r="AD22" i="1"/>
  <c r="AD31" i="1"/>
  <c r="AD48" i="1"/>
  <c r="AD57" i="1"/>
  <c r="AD12" i="1"/>
  <c r="AD75" i="1"/>
  <c r="AD93" i="1"/>
  <c r="AD58" i="1"/>
  <c r="AD76" i="1"/>
  <c r="AD94" i="1"/>
  <c r="AD59" i="1"/>
  <c r="AD5" i="1"/>
  <c r="AD96" i="1"/>
  <c r="AD6" i="1"/>
  <c r="AD16" i="1"/>
  <c r="AD25" i="1"/>
  <c r="AD34" i="1"/>
  <c r="AD43" i="1"/>
  <c r="AD87" i="1"/>
  <c r="AD7" i="1"/>
  <c r="AD52" i="1"/>
  <c r="AD70" i="1"/>
  <c r="AD79" i="1"/>
  <c r="AD97" i="1"/>
  <c r="AD28" i="1"/>
  <c r="AD8" i="2"/>
  <c r="AD9" i="2"/>
  <c r="AD10" i="2" l="1"/>
  <c r="F25" i="2"/>
  <c r="Q25" i="2" s="1"/>
  <c r="Z25" i="2" s="1"/>
  <c r="F28" i="2"/>
  <c r="Q28" i="2" s="1"/>
  <c r="Z28" i="2" s="1"/>
  <c r="F26" i="2"/>
  <c r="Q26" i="2" s="1"/>
  <c r="Z26" i="2" s="1"/>
  <c r="F29" i="2"/>
  <c r="Q29" i="2" s="1"/>
  <c r="Z29" i="2" s="1"/>
  <c r="F24" i="2"/>
  <c r="Q24" i="2" s="1"/>
  <c r="Z24" i="2" s="1"/>
  <c r="F27" i="2"/>
  <c r="Q27" i="2" s="1"/>
  <c r="Z27" i="2" s="1"/>
  <c r="O25" i="2" a="1"/>
  <c r="O25" i="2" s="1"/>
  <c r="P25" i="2" s="1"/>
  <c r="Y25" i="2" s="1"/>
  <c r="AD25" i="2" s="1"/>
  <c r="O29" i="2" a="1"/>
  <c r="O29" i="2" s="1"/>
  <c r="P29" i="2" s="1"/>
  <c r="Y29" i="2" s="1"/>
  <c r="AD29" i="2" s="1"/>
  <c r="O26" i="2" a="1"/>
  <c r="O26" i="2" s="1"/>
  <c r="P26" i="2" s="1"/>
  <c r="Y26" i="2" s="1"/>
  <c r="AD26" i="2" s="1"/>
  <c r="O27" i="2" a="1"/>
  <c r="O27" i="2" s="1"/>
  <c r="P27" i="2" s="1"/>
  <c r="Y27" i="2" s="1"/>
  <c r="AD27" i="2" s="1"/>
  <c r="O28" i="2" a="1"/>
  <c r="O28" i="2" s="1"/>
  <c r="P28" i="2" s="1"/>
  <c r="Y28" i="2" s="1"/>
  <c r="AD2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J15" authorId="0" shapeId="0" xr:uid="{90A8311D-4DCF-49FC-9CDA-3D3033F8E82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范围：0.7~1.3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R23" authorId="0" shapeId="0" xr:uid="{15BE777B-509C-492A-AA55-406547017536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防御偏向</t>
        </r>
      </text>
    </comment>
    <comment ref="S23" authorId="0" shapeId="0" xr:uid="{8F2BBCCE-8B44-4CB3-A3CA-3D886FF02E2C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暴击率</t>
        </r>
      </text>
    </comment>
    <comment ref="T23" authorId="0" shapeId="0" xr:uid="{83C41195-D7F5-4004-80BF-E9DEAFB53EAC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爆伤</t>
        </r>
      </text>
    </comment>
    <comment ref="U23" authorId="0" shapeId="0" xr:uid="{1FCF254C-799F-445F-BF71-B070B8FCAA6E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攻速</t>
        </r>
      </text>
    </comment>
    <comment ref="V23" authorId="0" shapeId="0" xr:uid="{7A091828-BD2A-48F3-BB36-DD1826763F2E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普攻伤害占比</t>
        </r>
      </text>
    </comment>
    <comment ref="W23" authorId="0" shapeId="0" xr:uid="{A44FEC11-A669-42BB-97A1-CA091FC390DB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技能CD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<sst xmlns="http://schemas.openxmlformats.org/spreadsheetml/2006/main" count="202" uniqueCount="124">
  <si>
    <t>基础数据引用自（战斗数值.xlsm）</t>
    <phoneticPr fontId="1" type="noConversion"/>
  </si>
  <si>
    <t>伤害</t>
    <phoneticPr fontId="1" type="noConversion"/>
  </si>
  <si>
    <t>承伤</t>
    <phoneticPr fontId="1" type="noConversion"/>
  </si>
  <si>
    <t>普攻占比</t>
    <phoneticPr fontId="1" type="noConversion"/>
  </si>
  <si>
    <t>角色名</t>
    <phoneticPr fontId="1" type="noConversion"/>
  </si>
  <si>
    <t>类型</t>
    <phoneticPr fontId="1" type="noConversion"/>
  </si>
  <si>
    <t>防御力</t>
    <phoneticPr fontId="1" type="noConversion"/>
  </si>
  <si>
    <t>攻击力</t>
    <phoneticPr fontId="1" type="noConversion"/>
  </si>
  <si>
    <t>攻速</t>
    <phoneticPr fontId="1" type="noConversion"/>
  </si>
  <si>
    <t>公共参数</t>
    <phoneticPr fontId="1" type="noConversion"/>
  </si>
  <si>
    <t>参数值</t>
    <phoneticPr fontId="1" type="noConversion"/>
  </si>
  <si>
    <t>生命上限</t>
    <phoneticPr fontId="1" type="noConversion"/>
  </si>
  <si>
    <t>属性放大比</t>
    <phoneticPr fontId="1" type="noConversion"/>
  </si>
  <si>
    <t>属性增长率</t>
    <phoneticPr fontId="1" type="noConversion"/>
  </si>
  <si>
    <t>暴击MAX</t>
    <phoneticPr fontId="1" type="noConversion"/>
  </si>
  <si>
    <t>暴伤MAX</t>
    <phoneticPr fontId="1" type="noConversion"/>
  </si>
  <si>
    <t>分类</t>
    <phoneticPr fontId="1" type="noConversion"/>
  </si>
  <si>
    <t>参数名</t>
    <phoneticPr fontId="1" type="noConversion"/>
  </si>
  <si>
    <t>攻击偏向</t>
    <phoneticPr fontId="1" type="noConversion"/>
  </si>
  <si>
    <t>防御偏向</t>
    <phoneticPr fontId="1" type="noConversion"/>
  </si>
  <si>
    <t>基准防御力</t>
    <phoneticPr fontId="1" type="noConversion"/>
  </si>
  <si>
    <t>生命偏向</t>
    <phoneticPr fontId="1" type="noConversion"/>
  </si>
  <si>
    <t>品质</t>
    <phoneticPr fontId="1" type="noConversion"/>
  </si>
  <si>
    <t>防御力换算</t>
    <phoneticPr fontId="1" type="noConversion"/>
  </si>
  <si>
    <t>R</t>
  </si>
  <si>
    <t>SR</t>
  </si>
  <si>
    <t>SSR</t>
  </si>
  <si>
    <t>UR</t>
  </si>
  <si>
    <t>SSR</t>
    <phoneticPr fontId="1" type="noConversion"/>
  </si>
  <si>
    <t>防御见长，输出较低</t>
  </si>
  <si>
    <t>防御</t>
  </si>
  <si>
    <t>有一定输出和防御能力</t>
  </si>
  <si>
    <t>突击</t>
  </si>
  <si>
    <t>群体输出能力强</t>
  </si>
  <si>
    <t>魔法</t>
  </si>
  <si>
    <t>单体输出能力强</t>
  </si>
  <si>
    <t>射击</t>
  </si>
  <si>
    <t>对后排输出能力强</t>
  </si>
  <si>
    <t>刺杀</t>
  </si>
  <si>
    <t>更侧重单体治疗能力</t>
  </si>
  <si>
    <t>恢复</t>
  </si>
  <si>
    <t>输出</t>
  </si>
  <si>
    <t>输出</t>
    <phoneticPr fontId="1" type="noConversion"/>
  </si>
  <si>
    <t>治疗</t>
  </si>
  <si>
    <t>治疗</t>
    <phoneticPr fontId="1" type="noConversion"/>
  </si>
  <si>
    <t>坦克</t>
  </si>
  <si>
    <t>坦克</t>
    <phoneticPr fontId="1" type="noConversion"/>
  </si>
  <si>
    <t>包装类型</t>
    <phoneticPr fontId="1" type="noConversion"/>
  </si>
  <si>
    <t>手调参数</t>
    <phoneticPr fontId="1" type="noConversion"/>
  </si>
  <si>
    <t>计算参数</t>
    <phoneticPr fontId="1" type="noConversion"/>
  </si>
  <si>
    <t>输出参数</t>
    <phoneticPr fontId="1" type="noConversion"/>
  </si>
  <si>
    <t>升级占比</t>
    <phoneticPr fontId="1" type="noConversion"/>
  </si>
  <si>
    <t>角色数据</t>
    <phoneticPr fontId="1" type="noConversion"/>
  </si>
  <si>
    <t>升星占比</t>
    <phoneticPr fontId="1" type="noConversion"/>
  </si>
  <si>
    <t>公共占比</t>
    <phoneticPr fontId="1" type="noConversion"/>
  </si>
  <si>
    <t>装备占比</t>
    <phoneticPr fontId="1" type="noConversion"/>
  </si>
  <si>
    <t>攻击力</t>
  </si>
  <si>
    <t>生命上限</t>
  </si>
  <si>
    <t>防御力</t>
  </si>
  <si>
    <t>暴击率</t>
  </si>
  <si>
    <t>暴击倍率</t>
  </si>
  <si>
    <t>攻速</t>
  </si>
  <si>
    <t>等级</t>
    <phoneticPr fontId="1" type="noConversion"/>
  </si>
  <si>
    <t>升级数据</t>
    <phoneticPr fontId="1" type="noConversion"/>
  </si>
  <si>
    <t>饼干1</t>
  </si>
  <si>
    <t>饼干2</t>
  </si>
  <si>
    <t>饼干3</t>
  </si>
  <si>
    <t>饼干4</t>
  </si>
  <si>
    <t>饼干5</t>
  </si>
  <si>
    <t>饼干6</t>
  </si>
  <si>
    <t>饼干7</t>
  </si>
  <si>
    <t>饼干8</t>
  </si>
  <si>
    <t>饼干9</t>
  </si>
  <si>
    <t>饼干10</t>
  </si>
  <si>
    <t>饼干11</t>
  </si>
  <si>
    <t>饼干12</t>
  </si>
  <si>
    <t>参数Max</t>
    <phoneticPr fontId="1" type="noConversion"/>
  </si>
  <si>
    <t>参数Min</t>
    <phoneticPr fontId="1" type="noConversion"/>
  </si>
  <si>
    <t>↓</t>
    <phoneticPr fontId="1" type="noConversion"/>
  </si>
  <si>
    <t>复制上一行数据填新卡数据</t>
    <phoneticPr fontId="1" type="noConversion"/>
  </si>
  <si>
    <t>DataTable</t>
    <phoneticPr fontId="1" type="noConversion"/>
  </si>
  <si>
    <t>饼干1</t>
    <phoneticPr fontId="1" type="noConversion"/>
  </si>
  <si>
    <t>站位</t>
    <phoneticPr fontId="1" type="noConversion"/>
  </si>
  <si>
    <t>伤害</t>
  </si>
  <si>
    <t>承伤</t>
  </si>
  <si>
    <t>在整体基础上，在根据怪物实际数量进行攻防的分割：伤害=2*整体伤害/(1+怪物数量)）；承伤=整体承伤/怪物数量</t>
    <phoneticPr fontId="1" type="noConversion"/>
  </si>
  <si>
    <t>星级</t>
    <phoneticPr fontId="1" type="noConversion"/>
  </si>
  <si>
    <t>公共</t>
    <phoneticPr fontId="1" type="noConversion"/>
  </si>
  <si>
    <t>装备</t>
    <phoneticPr fontId="1" type="noConversion"/>
  </si>
  <si>
    <t>品质*（1+星级）*（1+公共+装备）</t>
    <phoneticPr fontId="1" type="noConversion"/>
  </si>
  <si>
    <t>剩余数量</t>
    <phoneticPr fontId="1" type="noConversion"/>
  </si>
  <si>
    <t>基础伤害</t>
    <phoneticPr fontId="1" type="noConversion"/>
  </si>
  <si>
    <t>基础承伤</t>
    <phoneticPr fontId="1" type="noConversion"/>
  </si>
  <si>
    <t>基础防御力</t>
    <phoneticPr fontId="1" type="noConversion"/>
  </si>
  <si>
    <t>怪物属性</t>
    <phoneticPr fontId="1" type="noConversion"/>
  </si>
  <si>
    <t>大招威力</t>
    <phoneticPr fontId="1" type="noConversion"/>
  </si>
  <si>
    <t>获取最小单位攻击力后，设定其他非最小单位怪物攻击比例可计算得出各自攻击力，生命值按照占用最小单位数量计算得出</t>
    <phoneticPr fontId="1" type="noConversion"/>
  </si>
  <si>
    <t>攻击比</t>
    <phoneticPr fontId="1" type="noConversion"/>
  </si>
  <si>
    <t>最小单位比</t>
    <phoneticPr fontId="1" type="noConversion"/>
  </si>
  <si>
    <t>角色等级</t>
    <phoneticPr fontId="1" type="noConversion"/>
  </si>
  <si>
    <t>细分难度</t>
    <phoneticPr fontId="1" type="noConversion"/>
  </si>
  <si>
    <t>全角色</t>
    <phoneticPr fontId="1" type="noConversion"/>
  </si>
  <si>
    <t>角色配置</t>
    <phoneticPr fontId="1" type="noConversion"/>
  </si>
  <si>
    <t>关卡序号</t>
    <phoneticPr fontId="1" type="noConversion"/>
  </si>
  <si>
    <t>怪物波数</t>
    <phoneticPr fontId="1" type="noConversion"/>
  </si>
  <si>
    <t>总攻击比</t>
    <phoneticPr fontId="1" type="noConversion"/>
  </si>
  <si>
    <t>输出比</t>
    <phoneticPr fontId="1" type="noConversion"/>
  </si>
  <si>
    <t>防御力固定，方便反算血量</t>
    <phoneticPr fontId="1" type="noConversion"/>
  </si>
  <si>
    <t>此字段目前是给定值，后续细化：最基础的是按照等级分，后续在等级基础上在细分若干难度</t>
    <phoneticPr fontId="1" type="noConversion"/>
  </si>
  <si>
    <t>每波怪防御力：自定义比例*基础防御力</t>
  </si>
  <si>
    <t>每波怪伤害：100%*基础伤害</t>
    <phoneticPr fontId="1" type="noConversion"/>
  </si>
  <si>
    <t>每波怪承伤：1/总波数*基础承伤</t>
    <phoneticPr fontId="1" type="noConversion"/>
  </si>
  <si>
    <t>预估角色成长进度</t>
    <phoneticPr fontId="1" type="noConversion"/>
  </si>
  <si>
    <t>怪物参数</t>
    <phoneticPr fontId="1" type="noConversion"/>
  </si>
  <si>
    <t>怪物基础</t>
    <phoneticPr fontId="1" type="noConversion"/>
  </si>
  <si>
    <t>0~9难度差异:0.005</t>
    <phoneticPr fontId="1" type="noConversion"/>
  </si>
  <si>
    <t>DEF</t>
    <phoneticPr fontId="1" type="noConversion"/>
  </si>
  <si>
    <t>CRIT</t>
    <phoneticPr fontId="1" type="noConversion"/>
  </si>
  <si>
    <t>MUL</t>
    <phoneticPr fontId="1" type="noConversion"/>
  </si>
  <si>
    <t>ATR</t>
    <phoneticPr fontId="1" type="noConversion"/>
  </si>
  <si>
    <t>NOR</t>
    <phoneticPr fontId="1" type="noConversion"/>
  </si>
  <si>
    <t>SKC</t>
    <phoneticPr fontId="1" type="noConversion"/>
  </si>
  <si>
    <t>怪物战斗的基础模型是对标角色的标准模型而定，最基础的模型把怪物看成1个整体（BOSS）进行基础计算(实际是按照2个BOSS合成1个)，默认每波的节奏一样（血量均分）</t>
    <phoneticPr fontId="1" type="noConversion"/>
  </si>
  <si>
    <t>节奏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</si>
</sst>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 * #,##0.00_ ;_ * \-#,##0.00_ ;_ * &quot;-&quot;??_ ;_ @_ "/>
    <numFmt numFmtId="176" formatCode="0.000"/>
    <numFmt numFmtId="177" formatCode="_ * #,##0_ ;_ * \-#,##0_ ;_ * &quot;-&quot;??_ ;_ @_ "/>
    <numFmt numFmtId="178" formatCode="0.0%"/>
    <numFmt numFmtId="179" formatCode="0.0000"/>
    <numFmt numFmtId="180" formatCode="0.000000000000000%"/>
    <numFmt numFmtId="181" formatCode="0.0"/>
    <numFmt numFmtId="182" formatCode="0.00_ "/>
  </numFmts>
  <fonts count="1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color theme="1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9"/>
      <color theme="1"/>
      <name val="微软雅黑"/>
      <family val="2"/>
      <charset val="134"/>
    </font>
    <font>
      <i/>
      <sz val="9"/>
      <color theme="1"/>
      <name val="微软雅黑"/>
      <family val="2"/>
      <charset val="134"/>
    </font>
    <font>
      <sz val="11"/>
      <color theme="1"/>
      <name val="等线"/>
      <family val="2"/>
      <charset val="134"/>
      <scheme val="minor"/>
    </font>
    <font>
      <b/>
      <sz val="9"/>
      <color rgb="FFFF0000"/>
      <name val="微软雅黑"/>
      <family val="2"/>
      <charset val="134"/>
    </font>
    <font>
      <b/>
      <i/>
      <sz val="9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</borders>
  <cellStyleXfs count="3">
    <xf numFmtId="0" fontId="0" fillId="0" borderId="0">
      <alignment vertical="center"/>
    </xf>
    <xf numFmtId="43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</cellStyleXfs>
  <cellXfs count="54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/>
    </xf>
    <xf numFmtId="0" fontId="2" fillId="0" borderId="3" xfId="0" applyFont="1" applyBorder="1" applyAlignment="1">
      <alignment horizontal="center" vertical="center" shrinkToFit="1"/>
    </xf>
    <xf numFmtId="0" fontId="6" fillId="0" borderId="1" xfId="0" applyFont="1" applyBorder="1" applyAlignment="1">
      <alignment horizontal="center" vertical="center" shrinkToFit="1"/>
    </xf>
    <xf numFmtId="0" fontId="6" fillId="2" borderId="1" xfId="0" applyFont="1" applyFill="1" applyBorder="1" applyAlignment="1">
      <alignment horizontal="center" vertical="center" shrinkToFit="1"/>
    </xf>
    <xf numFmtId="0" fontId="6" fillId="3" borderId="1" xfId="0" applyFont="1" applyFill="1" applyBorder="1" applyAlignment="1">
      <alignment horizontal="center" vertical="center" shrinkToFit="1"/>
    </xf>
    <xf numFmtId="0" fontId="6" fillId="0" borderId="2" xfId="0" applyFont="1" applyBorder="1" applyAlignment="1">
      <alignment horizontal="center" vertical="center" shrinkToFit="1"/>
    </xf>
    <xf numFmtId="2" fontId="2" fillId="0" borderId="3" xfId="0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right" vertical="center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6" fillId="0" borderId="4" xfId="0" applyFont="1" applyBorder="1" applyAlignment="1">
      <alignment horizontal="center" vertical="center" shrinkToFit="1"/>
    </xf>
    <xf numFmtId="1" fontId="6" fillId="0" borderId="4" xfId="0" applyNumberFormat="1" applyFont="1" applyBorder="1" applyAlignment="1">
      <alignment horizontal="center" vertical="center" shrinkToFit="1"/>
    </xf>
    <xf numFmtId="0" fontId="6" fillId="3" borderId="4" xfId="0" applyFont="1" applyFill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0" fontId="6" fillId="0" borderId="10" xfId="0" applyFont="1" applyBorder="1" applyAlignment="1">
      <alignment horizontal="center" vertical="center" shrinkToFit="1"/>
    </xf>
    <xf numFmtId="0" fontId="6" fillId="0" borderId="5" xfId="0" applyFont="1" applyBorder="1" applyAlignment="1">
      <alignment horizontal="center" vertical="center" shrinkToFit="1"/>
    </xf>
    <xf numFmtId="0" fontId="6" fillId="2" borderId="11" xfId="0" applyFont="1" applyFill="1" applyBorder="1" applyAlignment="1">
      <alignment horizontal="center" vertical="center" shrinkToFit="1"/>
    </xf>
    <xf numFmtId="0" fontId="6" fillId="2" borderId="4" xfId="0" applyFont="1" applyFill="1" applyBorder="1" applyAlignment="1">
      <alignment horizontal="center" vertical="center" shrinkToFit="1"/>
    </xf>
    <xf numFmtId="0" fontId="6" fillId="4" borderId="12" xfId="0" applyFont="1" applyFill="1" applyBorder="1" applyAlignment="1">
      <alignment horizontal="center" vertical="center" shrinkToFit="1"/>
    </xf>
    <xf numFmtId="0" fontId="6" fillId="4" borderId="4" xfId="0" applyFont="1" applyFill="1" applyBorder="1" applyAlignment="1">
      <alignment horizontal="center" vertical="center" shrinkToFit="1"/>
    </xf>
    <xf numFmtId="2" fontId="2" fillId="0" borderId="1" xfId="0" applyNumberFormat="1" applyFon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7" fillId="0" borderId="1" xfId="0" applyFont="1" applyBorder="1" applyAlignment="1">
      <alignment horizontal="right" vertical="center"/>
    </xf>
    <xf numFmtId="177" fontId="2" fillId="0" borderId="1" xfId="1" applyNumberFormat="1" applyFont="1" applyBorder="1" applyAlignment="1">
      <alignment horizontal="center" vertical="center" shrinkToFit="1"/>
    </xf>
    <xf numFmtId="0" fontId="9" fillId="0" borderId="1" xfId="0" applyFont="1" applyBorder="1" applyAlignment="1">
      <alignment horizontal="left" vertical="center"/>
    </xf>
    <xf numFmtId="0" fontId="6" fillId="4" borderId="1" xfId="0" applyFont="1" applyFill="1" applyBorder="1" applyAlignment="1">
      <alignment horizontal="center" vertical="center" shrinkToFit="1"/>
    </xf>
    <xf numFmtId="178" fontId="2" fillId="0" borderId="1" xfId="2" applyNumberFormat="1" applyFont="1" applyBorder="1" applyAlignment="1">
      <alignment horizontal="center" vertical="center" shrinkToFit="1"/>
    </xf>
    <xf numFmtId="10" fontId="2" fillId="0" borderId="1" xfId="2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left" vertical="center"/>
    </xf>
    <xf numFmtId="0" fontId="2" fillId="0" borderId="2" xfId="0" applyFont="1" applyBorder="1" applyAlignment="1">
      <alignment horizontal="center" vertical="center" shrinkToFit="1"/>
    </xf>
    <xf numFmtId="179" fontId="2" fillId="0" borderId="1" xfId="0" applyNumberFormat="1" applyFont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0" fontId="2" fillId="0" borderId="14" xfId="0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0" fontId="2" fillId="0" borderId="2" xfId="0" applyFont="1" applyBorder="1" applyAlignment="1">
      <alignment vertical="center" shrinkToFit="1"/>
    </xf>
    <xf numFmtId="0" fontId="2" fillId="0" borderId="14" xfId="0" applyFont="1" applyBorder="1" applyAlignment="1">
      <alignment vertical="center" shrinkToFit="1"/>
    </xf>
    <xf numFmtId="0" fontId="2" fillId="0" borderId="13" xfId="0" applyFont="1" applyBorder="1" applyAlignment="1">
      <alignment vertical="center" shrinkToFit="1"/>
    </xf>
    <xf numFmtId="0" fontId="2" fillId="0" borderId="1" xfId="0" applyNumberFormat="1" applyFont="1" applyBorder="1" applyAlignment="1">
      <alignment horizontal="center" vertical="center" shrinkToFit="1"/>
    </xf>
    <xf numFmtId="0" fontId="10" fillId="3" borderId="1" xfId="0" applyFont="1" applyFill="1" applyBorder="1" applyAlignment="1">
      <alignment horizontal="center" vertical="center" shrinkToFit="1"/>
    </xf>
    <xf numFmtId="10" fontId="2" fillId="0" borderId="1" xfId="0" applyNumberFormat="1" applyFont="1" applyBorder="1" applyAlignment="1">
      <alignment horizontal="center" vertical="center" shrinkToFit="1"/>
    </xf>
    <xf numFmtId="180" fontId="2" fillId="0" borderId="1" xfId="0" applyNumberFormat="1" applyFont="1" applyBorder="1" applyAlignment="1">
      <alignment horizontal="center" vertical="center" shrinkToFit="1"/>
    </xf>
    <xf numFmtId="181" fontId="2" fillId="0" borderId="1" xfId="0" applyNumberFormat="1" applyFont="1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2" fontId="9" fillId="0" borderId="1" xfId="0" applyNumberFormat="1" applyFont="1" applyBorder="1" applyAlignment="1">
      <alignment horizontal="center" vertical="center" shrinkToFit="1"/>
    </xf>
    <xf numFmtId="182" fontId="2" fillId="0" borderId="1" xfId="0" applyNumberFormat="1" applyFont="1" applyBorder="1" applyAlignment="1">
      <alignment horizontal="center" vertical="center" shrinkToFit="1"/>
    </xf>
    <xf numFmtId="20" fontId="2" fillId="0" borderId="1" xfId="0" applyNumberFormat="1" applyFont="1" applyBorder="1" applyAlignment="1">
      <alignment horizontal="center" vertical="center" shrinkToFit="1"/>
    </xf>
    <xf numFmtId="22" fontId="2" fillId="0" borderId="1" xfId="0" applyNumberFormat="1" applyFont="1" applyBorder="1" applyAlignment="1">
      <alignment horizontal="center" vertical="center" shrinkToFit="1"/>
    </xf>
    <xf numFmtId="0" fontId="6" fillId="0" borderId="6" xfId="0" applyFont="1" applyBorder="1" applyAlignment="1">
      <alignment horizontal="center" vertical="center" shrinkToFit="1"/>
    </xf>
    <xf numFmtId="0" fontId="6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</cellXfs>
  <cellStyles count="3">
    <cellStyle name="百分比" xfId="2" builtinId="5"/>
    <cellStyle name="常规" xfId="0" builtinId="0"/>
    <cellStyle name="千位分隔" xfId="1" builtinId="3"/>
  </cellStyles>
  <dxfs count="4">
    <dxf>
      <font>
        <strike/>
      </font>
    </dxf>
    <dxf>
      <font>
        <strike/>
      </font>
    </dxf>
    <dxf>
      <font>
        <strike/>
      </font>
    </dxf>
    <dxf>
      <font>
        <strike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5112;&#26007;&#25968;&#205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基础模型(废）"/>
      <sheetName val="基础模型"/>
      <sheetName val="战斗公式"/>
      <sheetName val="角色设定"/>
      <sheetName val="角色成长"/>
      <sheetName val="角色品星"/>
      <sheetName val="角色升级"/>
      <sheetName val="技能模板"/>
      <sheetName val="角色技能"/>
      <sheetName val="怪物设定"/>
      <sheetName val="战斗模拟"/>
    </sheetNames>
    <sheetDataSet>
      <sheetData sheetId="0"/>
      <sheetData sheetId="1">
        <row r="34">
          <cell r="E34">
            <v>4.5</v>
          </cell>
          <cell r="F34">
            <v>111.11111111111111</v>
          </cell>
          <cell r="G34">
            <v>2</v>
          </cell>
        </row>
        <row r="35">
          <cell r="E35">
            <v>11</v>
          </cell>
          <cell r="F35">
            <v>36.36363636363636</v>
          </cell>
          <cell r="G35">
            <v>0</v>
          </cell>
        </row>
        <row r="36">
          <cell r="E36">
            <v>5</v>
          </cell>
          <cell r="F36">
            <v>100</v>
          </cell>
          <cell r="G36">
            <v>2</v>
          </cell>
        </row>
        <row r="37">
          <cell r="E37">
            <v>12</v>
          </cell>
          <cell r="F37">
            <v>33.333333333333336</v>
          </cell>
          <cell r="G37">
            <v>0</v>
          </cell>
        </row>
        <row r="38">
          <cell r="E38">
            <v>3.88</v>
          </cell>
          <cell r="F38">
            <v>48.5</v>
          </cell>
          <cell r="G38">
            <v>6</v>
          </cell>
        </row>
      </sheetData>
      <sheetData sheetId="2"/>
      <sheetData sheetId="3">
        <row r="5">
          <cell r="E5">
            <v>5</v>
          </cell>
          <cell r="F5">
            <v>100</v>
          </cell>
        </row>
        <row r="6">
          <cell r="E6">
            <v>10</v>
          </cell>
          <cell r="F6">
            <v>40</v>
          </cell>
        </row>
        <row r="7">
          <cell r="E7">
            <v>4</v>
          </cell>
          <cell r="F7">
            <v>50</v>
          </cell>
        </row>
      </sheetData>
      <sheetData sheetId="4"/>
      <sheetData sheetId="5"/>
      <sheetData sheetId="6"/>
      <sheetData sheetId="7"/>
      <sheetData sheetId="8"/>
      <sheetData sheetId="9">
        <row r="6">
          <cell r="C6" t="str">
            <v>1~1</v>
          </cell>
          <cell r="D6" t="str">
            <v>坦克</v>
          </cell>
        </row>
        <row r="7">
          <cell r="C7" t="str">
            <v>1~2</v>
          </cell>
          <cell r="D7" t="str">
            <v>输出</v>
          </cell>
        </row>
        <row r="8">
          <cell r="C8" t="str">
            <v>2~1</v>
          </cell>
          <cell r="D8" t="str">
            <v>坦克</v>
          </cell>
        </row>
        <row r="9">
          <cell r="C9" t="str">
            <v>2~2</v>
          </cell>
          <cell r="D9" t="str">
            <v>输出</v>
          </cell>
        </row>
        <row r="10">
          <cell r="C10">
            <v>0</v>
          </cell>
          <cell r="D10" t="str">
            <v>治疗</v>
          </cell>
        </row>
      </sheetData>
      <sheetData sheetId="1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50D35-049C-4BF1-8187-863D929EF18C}">
  <sheetPr codeName="Sheet1"/>
  <dimension ref="A1:AG102"/>
  <sheetViews>
    <sheetView tabSelected="1" zoomScaleNormal="100" workbookViewId="0">
      <pane xSplit="8" ySplit="15" topLeftCell="I16" activePane="bottomRight" state="frozen"/>
      <selection pane="topRight" activeCell="I1" sqref="I1"/>
      <selection pane="bottomLeft" activeCell="A16" sqref="A16"/>
      <selection pane="bottomRight" activeCell="P31" sqref="P31"/>
    </sheetView>
  </sheetViews>
  <sheetFormatPr defaultRowHeight="14.25" customHeight="1" x14ac:dyDescent="0.2"/>
  <cols>
    <col min="1" max="16384" width="9" style="1"/>
  </cols>
  <sheetData>
    <row r="1" spans="2:33" ht="14.25" customHeight="1" x14ac:dyDescent="0.2">
      <c r="B1" s="5" t="s">
        <v>48</v>
      </c>
      <c r="C1" s="6" t="s">
        <v>49</v>
      </c>
      <c r="D1" s="29" t="s">
        <v>50</v>
      </c>
      <c r="E1" s="28"/>
      <c r="G1" s="2"/>
      <c r="P1" s="22"/>
      <c r="Q1" s="22"/>
      <c r="R1" s="22"/>
      <c r="V1" s="2" t="s">
        <v>63</v>
      </c>
      <c r="X1" s="1" t="s">
        <v>81</v>
      </c>
      <c r="Y1" s="1" t="str">
        <f>VLOOKUP($X1,$E:$G,3,0)</f>
        <v>SSR</v>
      </c>
      <c r="Z1" s="1" t="str">
        <f>VLOOKUP($X1,$E:$G,2,0)</f>
        <v>防御</v>
      </c>
      <c r="AA1" s="1">
        <v>0.05</v>
      </c>
      <c r="AB1" s="1">
        <v>1.5</v>
      </c>
      <c r="AC1" s="1">
        <f>VLOOKUP(X1,$E:$U,15,0)</f>
        <v>5</v>
      </c>
    </row>
    <row r="2" spans="2:33" ht="14.25" customHeight="1" x14ac:dyDescent="0.2">
      <c r="B2" s="2" t="s">
        <v>0</v>
      </c>
      <c r="P2" s="22"/>
      <c r="Q2" s="22"/>
      <c r="R2" s="22"/>
      <c r="W2" s="1" t="s">
        <v>62</v>
      </c>
      <c r="X2" s="1" t="s">
        <v>56</v>
      </c>
      <c r="Y2" s="1" t="s">
        <v>57</v>
      </c>
      <c r="Z2" s="1" t="s">
        <v>58</v>
      </c>
      <c r="AA2" s="1" t="s">
        <v>59</v>
      </c>
      <c r="AB2" s="1" t="s">
        <v>60</v>
      </c>
      <c r="AC2" s="1" t="s">
        <v>61</v>
      </c>
    </row>
    <row r="3" spans="2:33" ht="14.25" customHeight="1" x14ac:dyDescent="0.2">
      <c r="K3" s="2" t="s">
        <v>47</v>
      </c>
      <c r="P3" s="22"/>
      <c r="Q3" s="22"/>
      <c r="R3" s="22"/>
      <c r="W3" s="1">
        <v>1</v>
      </c>
      <c r="X3" s="22">
        <f>VLOOKUP($X$1,$E:$R,MATCH(X$2,$E$15:$R$15,0),0)*$C$6^($W3-1)*$C$13*VLOOKUP($Y$1,$B:$C,2,0)</f>
        <v>70.3125</v>
      </c>
      <c r="Y3" s="22">
        <f>VLOOKUP(VLOOKUP($Z$1,$K$4:$L$10,2,0),$E$4:$G$7,3,0)*$C$5*VLOOKUP($X$1,$E:$R,MATCH("生命偏向",$E$15:$R$15,0),0)/(1+VLOOKUP($X$1,$E:$R,MATCH($Z$2,$E$15:$R$15,0),0)*$C$6^($W3-1)/$C$8)*$C$6^($W3-1)*$C$13*VLOOKUP($Y$1,$B:$C,2,0)</f>
        <v>2479.5437639474335</v>
      </c>
      <c r="Z3" s="22">
        <f>VLOOKUP($X$1,$E:$R,MATCH(Z$2,$E$15:$R$15,0),0)*$C$6^($W3-1)*$C$13*VLOOKUP($Y$1,$B:$C,2,0)</f>
        <v>247.5</v>
      </c>
      <c r="AA3" s="1">
        <f>$AA$1</f>
        <v>0.05</v>
      </c>
      <c r="AB3" s="1">
        <f>$AB$1</f>
        <v>1.5</v>
      </c>
      <c r="AC3" s="1">
        <f t="shared" ref="AC3:AC34" si="0">VLOOKUP($X$1,$E:$R,MATCH(AC$2,$E$15:$R$15,0),0)</f>
        <v>0.9</v>
      </c>
      <c r="AD3" s="22">
        <f>$N$11*$C$6^(W3-1)-X3</f>
        <v>0</v>
      </c>
      <c r="AE3" s="22">
        <f>$R$11*$C$6^(W3-1)/(1+AF3/$C$13/$C$8)*$C$13-Y3</f>
        <v>0</v>
      </c>
      <c r="AF3" s="22">
        <f>$P$11*$C$6^(W3-1)</f>
        <v>247.5</v>
      </c>
      <c r="AG3" s="48">
        <f>AF3-Z3</f>
        <v>0</v>
      </c>
    </row>
    <row r="4" spans="2:33" ht="14.25" customHeight="1" thickBot="1" x14ac:dyDescent="0.25">
      <c r="B4" s="12" t="s">
        <v>9</v>
      </c>
      <c r="C4" s="19" t="s">
        <v>10</v>
      </c>
      <c r="E4" s="12" t="s">
        <v>5</v>
      </c>
      <c r="F4" s="12" t="s">
        <v>1</v>
      </c>
      <c r="G4" s="12" t="s">
        <v>2</v>
      </c>
      <c r="J4" s="9"/>
      <c r="K4" s="12" t="s">
        <v>47</v>
      </c>
      <c r="L4" s="13" t="s">
        <v>5</v>
      </c>
      <c r="P4" s="22"/>
      <c r="Q4" s="22"/>
      <c r="R4" s="22"/>
      <c r="W4" s="1">
        <v>2</v>
      </c>
      <c r="X4" s="22">
        <f t="shared" ref="X4:X67" si="1">VLOOKUP($X$1,$E:$R,MATCH(X$2,$E$15:$R$15,0),0)*$C$6^($W4-1)*$C$13*VLOOKUP($Y$1,$B:$C,2,0)</f>
        <v>73.828125</v>
      </c>
      <c r="Y4" s="22">
        <f>VLOOKUP(VLOOKUP($Z$1,$K$4:$L$10,2,0),$E$4:$G$7,3,0)*$C$5*VLOOKUP($X$1,$E:$R,MATCH("生命偏向",$E$15:$R$15,0),0)/(1+VLOOKUP($X$1,$E:$R,MATCH($Z$2,$E$15:$R$15,0),0)*$C$6^($W4-1)/$C$8)*$C$6^($W4-1)*$C$13*VLOOKUP($Y$1,$B:$C,2,0)</f>
        <v>2602.4562229685348</v>
      </c>
      <c r="Z4" s="22">
        <f t="shared" ref="Z4:Z67" si="2">VLOOKUP($X$1,$E:$R,MATCH(Z$2,$E$15:$R$15,0),0)*$C$6^($W4-1)*$C$13*VLOOKUP($Y$1,$B:$C,2,0)</f>
        <v>259.875</v>
      </c>
      <c r="AA4" s="1">
        <f t="shared" ref="AA4:AA67" si="3">$AA$1</f>
        <v>0.05</v>
      </c>
      <c r="AB4" s="1">
        <f t="shared" ref="AB4:AB67" si="4">$AB$1</f>
        <v>1.5</v>
      </c>
      <c r="AC4" s="1">
        <f t="shared" si="0"/>
        <v>0.9</v>
      </c>
      <c r="AD4" s="22">
        <f t="shared" ref="AD4:AD17" si="5">$N$11*$C$6^(W4-1)-X4</f>
        <v>0</v>
      </c>
      <c r="AE4" s="22">
        <f t="shared" ref="AE4:AE17" si="6">$R$11*$C$6^(W4-1)/(1+AF4/$C$13/$C$8)*$C$13-Y4</f>
        <v>0</v>
      </c>
      <c r="AF4" s="22">
        <f t="shared" ref="AF4:AF17" si="7">$P$11*$C$6^(W4-1)</f>
        <v>259.875</v>
      </c>
      <c r="AG4" s="48">
        <f t="shared" ref="AG4:AG67" si="8">AF4-Z4</f>
        <v>0</v>
      </c>
    </row>
    <row r="5" spans="2:33" ht="14.25" customHeight="1" x14ac:dyDescent="0.2">
      <c r="B5" s="3" t="s">
        <v>12</v>
      </c>
      <c r="C5" s="3">
        <v>75</v>
      </c>
      <c r="D5" s="3"/>
      <c r="E5" s="3" t="s">
        <v>46</v>
      </c>
      <c r="F5" s="11">
        <f>[1]角色设定!E5</f>
        <v>5</v>
      </c>
      <c r="G5" s="11">
        <f>[1]角色设定!F5</f>
        <v>100</v>
      </c>
      <c r="J5" s="9" t="s">
        <v>29</v>
      </c>
      <c r="K5" s="3" t="s">
        <v>30</v>
      </c>
      <c r="L5" s="11" t="s">
        <v>45</v>
      </c>
      <c r="P5" s="22"/>
      <c r="Q5" s="22"/>
      <c r="R5" s="22"/>
      <c r="W5" s="1">
        <v>3</v>
      </c>
      <c r="X5" s="22">
        <f t="shared" si="1"/>
        <v>77.51953125</v>
      </c>
      <c r="Y5" s="22">
        <f t="shared" ref="Y5:Y67" si="9">VLOOKUP(VLOOKUP($Z$1,$K$4:$L$10,2,0),$E$4:$G$7,3,0)*$C$5*VLOOKUP($X$1,$E:$R,MATCH("生命偏向",$E$15:$R$15,0),0)/(1+VLOOKUP($X$1,$E:$R,MATCH($Z$2,$E$15:$R$15,0),0)*$C$6^($W5-1)/$C$8)*$C$6^($W5-1)*$C$13*VLOOKUP($Y$1,$B:$C,2,0)</f>
        <v>2731.4061539014206</v>
      </c>
      <c r="Z5" s="22">
        <f t="shared" si="2"/>
        <v>272.86874999999998</v>
      </c>
      <c r="AA5" s="1">
        <f t="shared" si="3"/>
        <v>0.05</v>
      </c>
      <c r="AB5" s="1">
        <f t="shared" si="4"/>
        <v>1.5</v>
      </c>
      <c r="AC5" s="1">
        <f t="shared" si="0"/>
        <v>0.9</v>
      </c>
      <c r="AD5" s="22">
        <f t="shared" si="5"/>
        <v>0</v>
      </c>
      <c r="AE5" s="22">
        <f t="shared" si="6"/>
        <v>0</v>
      </c>
      <c r="AF5" s="22">
        <f t="shared" si="7"/>
        <v>272.86875000000003</v>
      </c>
      <c r="AG5" s="48">
        <f t="shared" si="8"/>
        <v>0</v>
      </c>
    </row>
    <row r="6" spans="2:33" ht="14.25" customHeight="1" x14ac:dyDescent="0.2">
      <c r="B6" s="1" t="s">
        <v>13</v>
      </c>
      <c r="C6" s="1">
        <v>1.05</v>
      </c>
      <c r="E6" s="1" t="s">
        <v>42</v>
      </c>
      <c r="F6" s="10">
        <f>[1]角色设定!E6</f>
        <v>10</v>
      </c>
      <c r="G6" s="10">
        <f>[1]角色设定!F6</f>
        <v>40</v>
      </c>
      <c r="J6" s="9" t="s">
        <v>31</v>
      </c>
      <c r="K6" s="1" t="s">
        <v>32</v>
      </c>
      <c r="L6" s="10" t="s">
        <v>45</v>
      </c>
      <c r="W6" s="1">
        <v>4</v>
      </c>
      <c r="X6" s="22">
        <f t="shared" si="1"/>
        <v>81.395507812500014</v>
      </c>
      <c r="Y6" s="22">
        <f t="shared" si="9"/>
        <v>2866.6844984492327</v>
      </c>
      <c r="Z6" s="22">
        <f t="shared" si="2"/>
        <v>286.51218750000004</v>
      </c>
      <c r="AA6" s="1">
        <f t="shared" si="3"/>
        <v>0.05</v>
      </c>
      <c r="AB6" s="1">
        <f t="shared" si="4"/>
        <v>1.5</v>
      </c>
      <c r="AC6" s="1">
        <f t="shared" si="0"/>
        <v>0.9</v>
      </c>
      <c r="AD6" s="22">
        <f t="shared" si="5"/>
        <v>0</v>
      </c>
      <c r="AE6" s="22">
        <f t="shared" si="6"/>
        <v>0</v>
      </c>
      <c r="AF6" s="22">
        <f t="shared" si="7"/>
        <v>286.51218750000004</v>
      </c>
      <c r="AG6" s="48">
        <f t="shared" si="8"/>
        <v>0</v>
      </c>
    </row>
    <row r="7" spans="2:33" ht="14.25" customHeight="1" x14ac:dyDescent="0.2">
      <c r="B7" s="1" t="s">
        <v>20</v>
      </c>
      <c r="C7" s="1">
        <v>11</v>
      </c>
      <c r="E7" s="1" t="s">
        <v>44</v>
      </c>
      <c r="F7" s="10">
        <f>[1]角色设定!E7</f>
        <v>4</v>
      </c>
      <c r="G7" s="10">
        <f>[1]角色设定!F7</f>
        <v>50</v>
      </c>
      <c r="J7" s="9" t="s">
        <v>33</v>
      </c>
      <c r="K7" s="1" t="s">
        <v>34</v>
      </c>
      <c r="L7" s="10" t="s">
        <v>41</v>
      </c>
      <c r="W7" s="1">
        <v>5</v>
      </c>
      <c r="X7" s="22">
        <f t="shared" si="1"/>
        <v>85.465283203124997</v>
      </c>
      <c r="Y7" s="22">
        <f t="shared" si="9"/>
        <v>3008.5956487777989</v>
      </c>
      <c r="Z7" s="22">
        <f t="shared" si="2"/>
        <v>300.83779687499998</v>
      </c>
      <c r="AA7" s="1">
        <f t="shared" si="3"/>
        <v>0.05</v>
      </c>
      <c r="AB7" s="1">
        <f t="shared" si="4"/>
        <v>1.5</v>
      </c>
      <c r="AC7" s="1">
        <f t="shared" si="0"/>
        <v>0.9</v>
      </c>
      <c r="AD7" s="22">
        <f t="shared" si="5"/>
        <v>0</v>
      </c>
      <c r="AE7" s="22">
        <f t="shared" si="6"/>
        <v>0</v>
      </c>
      <c r="AF7" s="22">
        <f t="shared" si="7"/>
        <v>300.83779687499998</v>
      </c>
      <c r="AG7" s="48">
        <f t="shared" si="8"/>
        <v>0</v>
      </c>
    </row>
    <row r="8" spans="2:33" ht="14.25" customHeight="1" x14ac:dyDescent="0.2">
      <c r="B8" s="1" t="s">
        <v>23</v>
      </c>
      <c r="C8" s="1">
        <v>100000</v>
      </c>
      <c r="F8" s="10"/>
      <c r="G8" s="10"/>
      <c r="J8" s="9" t="s">
        <v>35</v>
      </c>
      <c r="K8" s="1" t="s">
        <v>36</v>
      </c>
      <c r="L8" s="10" t="s">
        <v>41</v>
      </c>
      <c r="P8" s="1">
        <f>P11*$C$6</f>
        <v>259.875</v>
      </c>
      <c r="Q8" s="1">
        <f>P8/C13</f>
        <v>866.25</v>
      </c>
      <c r="R8" s="22"/>
      <c r="S8" s="1">
        <f>S9*C13</f>
        <v>2602.4562229685357</v>
      </c>
      <c r="W8" s="1">
        <v>6</v>
      </c>
      <c r="X8" s="22">
        <f t="shared" si="1"/>
        <v>89.738547363281256</v>
      </c>
      <c r="Y8" s="22">
        <f t="shared" si="9"/>
        <v>3157.4580113350626</v>
      </c>
      <c r="Z8" s="22">
        <f t="shared" si="2"/>
        <v>315.87968671875001</v>
      </c>
      <c r="AA8" s="1">
        <f t="shared" si="3"/>
        <v>0.05</v>
      </c>
      <c r="AB8" s="1">
        <f t="shared" si="4"/>
        <v>1.5</v>
      </c>
      <c r="AC8" s="1">
        <f t="shared" si="0"/>
        <v>0.9</v>
      </c>
      <c r="AD8" s="22">
        <f t="shared" si="5"/>
        <v>0</v>
      </c>
      <c r="AE8" s="22">
        <f t="shared" si="6"/>
        <v>0</v>
      </c>
      <c r="AF8" s="22">
        <f t="shared" si="7"/>
        <v>315.87968671875001</v>
      </c>
      <c r="AG8" s="48">
        <f t="shared" si="8"/>
        <v>0</v>
      </c>
    </row>
    <row r="9" spans="2:33" ht="14.25" customHeight="1" x14ac:dyDescent="0.2">
      <c r="B9" s="1" t="s">
        <v>24</v>
      </c>
      <c r="C9" s="1">
        <v>0.6</v>
      </c>
      <c r="J9" s="9" t="s">
        <v>37</v>
      </c>
      <c r="K9" s="1" t="s">
        <v>38</v>
      </c>
      <c r="L9" s="10" t="s">
        <v>41</v>
      </c>
      <c r="Q9" s="1">
        <f>1+Q8/C8</f>
        <v>1.0086625</v>
      </c>
      <c r="R9" s="4">
        <f>VLOOKUP(VLOOKUP($F16,$K$4:$L$10,2,0),$E$4:$G$7,3,0)*$C$5*Q16*C6</f>
        <v>8750.0000000000018</v>
      </c>
      <c r="S9" s="1">
        <f>R9/Q9</f>
        <v>8674.8540765617854</v>
      </c>
      <c r="W9" s="1">
        <v>7</v>
      </c>
      <c r="X9" s="22">
        <f t="shared" si="1"/>
        <v>94.225474731445303</v>
      </c>
      <c r="Y9" s="22">
        <f t="shared" si="9"/>
        <v>3313.6045882884573</v>
      </c>
      <c r="Z9" s="22">
        <f t="shared" si="2"/>
        <v>331.67367105468747</v>
      </c>
      <c r="AA9" s="1">
        <f t="shared" si="3"/>
        <v>0.05</v>
      </c>
      <c r="AB9" s="1">
        <f t="shared" si="4"/>
        <v>1.5</v>
      </c>
      <c r="AC9" s="1">
        <f t="shared" si="0"/>
        <v>0.9</v>
      </c>
      <c r="AD9" s="22">
        <f t="shared" si="5"/>
        <v>0</v>
      </c>
      <c r="AE9" s="22">
        <f t="shared" si="6"/>
        <v>0</v>
      </c>
      <c r="AF9" s="22">
        <f t="shared" si="7"/>
        <v>331.67367105468747</v>
      </c>
      <c r="AG9" s="48">
        <f t="shared" si="8"/>
        <v>0</v>
      </c>
    </row>
    <row r="10" spans="2:33" ht="14.25" customHeight="1" x14ac:dyDescent="0.2">
      <c r="B10" s="1" t="s">
        <v>25</v>
      </c>
      <c r="C10" s="1">
        <v>0.8</v>
      </c>
      <c r="J10" s="9" t="s">
        <v>39</v>
      </c>
      <c r="K10" s="1" t="s">
        <v>40</v>
      </c>
      <c r="L10" s="10" t="s">
        <v>43</v>
      </c>
      <c r="W10" s="1">
        <v>8</v>
      </c>
      <c r="X10" s="22">
        <f t="shared" si="1"/>
        <v>98.936748468017583</v>
      </c>
      <c r="Y10" s="22">
        <f t="shared" si="9"/>
        <v>3477.3835764641367</v>
      </c>
      <c r="Z10" s="22">
        <f t="shared" si="2"/>
        <v>348.25735460742192</v>
      </c>
      <c r="AA10" s="1">
        <f t="shared" si="3"/>
        <v>0.05</v>
      </c>
      <c r="AB10" s="1">
        <f t="shared" si="4"/>
        <v>1.5</v>
      </c>
      <c r="AC10" s="1">
        <f t="shared" si="0"/>
        <v>0.9</v>
      </c>
      <c r="AD10" s="22">
        <f t="shared" si="5"/>
        <v>0</v>
      </c>
      <c r="AE10" s="22">
        <f t="shared" si="6"/>
        <v>0</v>
      </c>
      <c r="AF10" s="22">
        <f t="shared" si="7"/>
        <v>348.25735460742192</v>
      </c>
      <c r="AG10" s="48">
        <f t="shared" si="8"/>
        <v>0</v>
      </c>
    </row>
    <row r="11" spans="2:33" ht="14.25" customHeight="1" x14ac:dyDescent="0.2">
      <c r="B11" s="1" t="s">
        <v>26</v>
      </c>
      <c r="C11" s="1">
        <v>1</v>
      </c>
      <c r="H11" s="2" t="s">
        <v>52</v>
      </c>
      <c r="N11" s="46">
        <f>I16/J16/(1+K16*(L16-1))*$C$5*M16*F5*C13</f>
        <v>70.3125</v>
      </c>
      <c r="O11" s="46"/>
      <c r="P11" s="46">
        <f>P16*$C$13</f>
        <v>247.5</v>
      </c>
      <c r="Q11" s="46"/>
      <c r="R11" s="47">
        <f>VLOOKUP(VLOOKUP($F16,$K$4:$L$10,2,0),$E$4:$G$7,3,0)*$C$5*Q16</f>
        <v>8333.3333333333339</v>
      </c>
      <c r="W11" s="1">
        <v>9</v>
      </c>
      <c r="X11" s="22">
        <f t="shared" si="1"/>
        <v>103.88358589141845</v>
      </c>
      <c r="Y11" s="22">
        <f t="shared" si="9"/>
        <v>3649.1589835769714</v>
      </c>
      <c r="Z11" s="22">
        <f t="shared" si="2"/>
        <v>365.67022233779295</v>
      </c>
      <c r="AA11" s="1">
        <f t="shared" si="3"/>
        <v>0.05</v>
      </c>
      <c r="AB11" s="1">
        <f t="shared" si="4"/>
        <v>1.5</v>
      </c>
      <c r="AC11" s="1">
        <f t="shared" si="0"/>
        <v>0.9</v>
      </c>
      <c r="AD11" s="22">
        <f t="shared" si="5"/>
        <v>0</v>
      </c>
      <c r="AE11" s="22">
        <f t="shared" si="6"/>
        <v>0</v>
      </c>
      <c r="AF11" s="22">
        <f t="shared" si="7"/>
        <v>365.67022233779301</v>
      </c>
      <c r="AG11" s="48">
        <f t="shared" si="8"/>
        <v>0</v>
      </c>
    </row>
    <row r="12" spans="2:33" ht="14.25" customHeight="1" x14ac:dyDescent="0.2">
      <c r="B12" s="1" t="s">
        <v>27</v>
      </c>
      <c r="C12" s="1">
        <v>1.2</v>
      </c>
      <c r="H12" s="7" t="s">
        <v>16</v>
      </c>
      <c r="I12" s="51" t="s">
        <v>1</v>
      </c>
      <c r="J12" s="52"/>
      <c r="K12" s="52"/>
      <c r="L12" s="52"/>
      <c r="M12" s="52"/>
      <c r="N12" s="53"/>
      <c r="O12" s="51" t="s">
        <v>2</v>
      </c>
      <c r="P12" s="52"/>
      <c r="Q12" s="52"/>
      <c r="R12" s="53"/>
      <c r="S12" s="24"/>
      <c r="T12" s="24"/>
      <c r="U12" s="24"/>
      <c r="V12" s="24"/>
      <c r="W12" s="1">
        <v>10</v>
      </c>
      <c r="X12" s="22">
        <f t="shared" si="1"/>
        <v>109.07776518598939</v>
      </c>
      <c r="Y12" s="22">
        <f t="shared" si="9"/>
        <v>3829.3112614333759</v>
      </c>
      <c r="Z12" s="22">
        <f t="shared" si="2"/>
        <v>383.95373345468266</v>
      </c>
      <c r="AA12" s="1">
        <f t="shared" si="3"/>
        <v>0.05</v>
      </c>
      <c r="AB12" s="1">
        <f t="shared" si="4"/>
        <v>1.5</v>
      </c>
      <c r="AC12" s="1">
        <f t="shared" si="0"/>
        <v>0.9</v>
      </c>
      <c r="AD12" s="22">
        <f t="shared" si="5"/>
        <v>0</v>
      </c>
      <c r="AE12" s="22">
        <f t="shared" si="6"/>
        <v>0</v>
      </c>
      <c r="AF12" s="22">
        <f t="shared" si="7"/>
        <v>383.95373345468266</v>
      </c>
      <c r="AG12" s="48">
        <f t="shared" si="8"/>
        <v>0</v>
      </c>
    </row>
    <row r="13" spans="2:33" ht="14.25" customHeight="1" x14ac:dyDescent="0.2">
      <c r="B13" s="1" t="s">
        <v>51</v>
      </c>
      <c r="C13" s="1">
        <v>0.3</v>
      </c>
      <c r="F13" s="7"/>
      <c r="H13" s="7" t="s">
        <v>77</v>
      </c>
      <c r="I13" s="15">
        <v>0.7</v>
      </c>
      <c r="J13" s="4">
        <v>0.8</v>
      </c>
      <c r="K13" s="4">
        <v>0</v>
      </c>
      <c r="L13" s="4">
        <v>1.5</v>
      </c>
      <c r="M13" s="4">
        <v>0.8</v>
      </c>
      <c r="N13" s="16"/>
      <c r="O13" s="15">
        <v>0.25</v>
      </c>
      <c r="R13" s="25"/>
      <c r="S13" s="24"/>
      <c r="T13" s="24"/>
      <c r="U13" s="24"/>
      <c r="V13" s="24"/>
      <c r="W13" s="1">
        <v>11</v>
      </c>
      <c r="X13" s="22">
        <f t="shared" si="1"/>
        <v>114.53165344528885</v>
      </c>
      <c r="Y13" s="22">
        <f t="shared" si="9"/>
        <v>4018.2379556690089</v>
      </c>
      <c r="Z13" s="22">
        <f t="shared" si="2"/>
        <v>403.15142012741677</v>
      </c>
      <c r="AA13" s="1">
        <f t="shared" si="3"/>
        <v>0.05</v>
      </c>
      <c r="AB13" s="1">
        <f t="shared" si="4"/>
        <v>1.5</v>
      </c>
      <c r="AC13" s="1">
        <f t="shared" si="0"/>
        <v>0.9</v>
      </c>
      <c r="AD13" s="22">
        <f t="shared" si="5"/>
        <v>0</v>
      </c>
      <c r="AE13" s="22">
        <f t="shared" si="6"/>
        <v>0</v>
      </c>
      <c r="AF13" s="22">
        <f t="shared" si="7"/>
        <v>403.15142012741677</v>
      </c>
      <c r="AG13" s="48">
        <f t="shared" si="8"/>
        <v>0</v>
      </c>
    </row>
    <row r="14" spans="2:33" ht="14.25" customHeight="1" x14ac:dyDescent="0.2">
      <c r="B14" s="1" t="s">
        <v>53</v>
      </c>
      <c r="C14" s="1">
        <v>0.3</v>
      </c>
      <c r="F14" s="7"/>
      <c r="H14" s="7" t="s">
        <v>76</v>
      </c>
      <c r="I14" s="15">
        <v>0.9</v>
      </c>
      <c r="J14" s="4">
        <v>1.2</v>
      </c>
      <c r="K14" s="4">
        <v>1</v>
      </c>
      <c r="L14" s="4">
        <v>5</v>
      </c>
      <c r="M14" s="4">
        <v>1.2</v>
      </c>
      <c r="N14" s="16"/>
      <c r="O14" s="15">
        <v>1</v>
      </c>
      <c r="P14" s="4"/>
      <c r="Q14" s="4"/>
      <c r="R14" s="16"/>
      <c r="S14" s="24"/>
      <c r="T14" s="24"/>
      <c r="U14" s="24"/>
      <c r="V14" s="24"/>
      <c r="W14" s="1">
        <v>12</v>
      </c>
      <c r="X14" s="22">
        <f t="shared" si="1"/>
        <v>120.25823611755331</v>
      </c>
      <c r="Y14" s="22">
        <f t="shared" si="9"/>
        <v>4216.3543714494253</v>
      </c>
      <c r="Z14" s="22">
        <f t="shared" si="2"/>
        <v>423.30899113378769</v>
      </c>
      <c r="AA14" s="1">
        <f t="shared" si="3"/>
        <v>0.05</v>
      </c>
      <c r="AB14" s="1">
        <f t="shared" si="4"/>
        <v>1.5</v>
      </c>
      <c r="AC14" s="1">
        <f t="shared" si="0"/>
        <v>0.9</v>
      </c>
      <c r="AD14" s="22">
        <f t="shared" si="5"/>
        <v>0</v>
      </c>
      <c r="AE14" s="22">
        <f t="shared" si="6"/>
        <v>0</v>
      </c>
      <c r="AF14" s="22">
        <f t="shared" si="7"/>
        <v>423.30899113378769</v>
      </c>
      <c r="AG14" s="48">
        <f t="shared" si="8"/>
        <v>0</v>
      </c>
    </row>
    <row r="15" spans="2:33" ht="14.25" customHeight="1" thickBot="1" x14ac:dyDescent="0.25">
      <c r="B15" s="1" t="s">
        <v>54</v>
      </c>
      <c r="C15" s="1">
        <v>0.25</v>
      </c>
      <c r="E15" s="12" t="s">
        <v>4</v>
      </c>
      <c r="F15" s="17" t="s">
        <v>5</v>
      </c>
      <c r="G15" s="12" t="s">
        <v>22</v>
      </c>
      <c r="H15" s="17" t="s">
        <v>17</v>
      </c>
      <c r="I15" s="18" t="s">
        <v>3</v>
      </c>
      <c r="J15" s="19" t="s">
        <v>8</v>
      </c>
      <c r="K15" s="19" t="s">
        <v>14</v>
      </c>
      <c r="L15" s="19" t="s">
        <v>15</v>
      </c>
      <c r="M15" s="19" t="s">
        <v>18</v>
      </c>
      <c r="N15" s="20" t="s">
        <v>7</v>
      </c>
      <c r="O15" s="18" t="s">
        <v>19</v>
      </c>
      <c r="P15" s="21" t="s">
        <v>6</v>
      </c>
      <c r="Q15" s="14" t="s">
        <v>21</v>
      </c>
      <c r="R15" s="20" t="s">
        <v>11</v>
      </c>
      <c r="S15" s="24" t="s">
        <v>1</v>
      </c>
      <c r="T15" s="24" t="s">
        <v>2</v>
      </c>
      <c r="U15" s="24" t="s">
        <v>80</v>
      </c>
      <c r="V15" s="24"/>
      <c r="W15" s="1">
        <v>13</v>
      </c>
      <c r="X15" s="22">
        <f t="shared" si="1"/>
        <v>126.27114792343095</v>
      </c>
      <c r="Y15" s="22">
        <f t="shared" si="9"/>
        <v>4424.0942544122618</v>
      </c>
      <c r="Z15" s="22">
        <f t="shared" si="2"/>
        <v>444.47444069047697</v>
      </c>
      <c r="AA15" s="1">
        <f t="shared" si="3"/>
        <v>0.05</v>
      </c>
      <c r="AB15" s="1">
        <f t="shared" si="4"/>
        <v>1.5</v>
      </c>
      <c r="AC15" s="1">
        <f t="shared" si="0"/>
        <v>0.9</v>
      </c>
      <c r="AD15" s="22">
        <f t="shared" si="5"/>
        <v>0</v>
      </c>
      <c r="AE15" s="22">
        <f t="shared" si="6"/>
        <v>0</v>
      </c>
      <c r="AF15" s="22">
        <f t="shared" si="7"/>
        <v>444.47444069047697</v>
      </c>
      <c r="AG15" s="48">
        <f t="shared" si="8"/>
        <v>0</v>
      </c>
    </row>
    <row r="16" spans="2:33" ht="14.25" customHeight="1" x14ac:dyDescent="0.2">
      <c r="B16" s="1" t="s">
        <v>55</v>
      </c>
      <c r="C16" s="1">
        <v>0.15</v>
      </c>
      <c r="E16" s="3" t="s">
        <v>64</v>
      </c>
      <c r="F16" s="3" t="s">
        <v>30</v>
      </c>
      <c r="G16" s="3" t="s">
        <v>28</v>
      </c>
      <c r="H16" s="3">
        <v>1</v>
      </c>
      <c r="I16" s="23">
        <v>0.75</v>
      </c>
      <c r="J16" s="23">
        <v>0.9</v>
      </c>
      <c r="K16" s="23">
        <v>0.4</v>
      </c>
      <c r="L16" s="23">
        <v>1.5</v>
      </c>
      <c r="M16" s="23">
        <v>0.9</v>
      </c>
      <c r="N16" s="8">
        <f>I16/J16/(1+K16*(L16-1))*$C$5*M16*VLOOKUP(VLOOKUP($F16,$K$4:$L$10,2,0),$E$4:$G$7,2,0)</f>
        <v>234.375</v>
      </c>
      <c r="O16" s="23">
        <v>1</v>
      </c>
      <c r="P16" s="8">
        <f>$C$7*O16*$C$5</f>
        <v>825</v>
      </c>
      <c r="Q16" s="23">
        <f>1/M16</f>
        <v>1.1111111111111112</v>
      </c>
      <c r="R16" s="8">
        <f>VLOOKUP(VLOOKUP($F16,$K$4:$L$10,2,0),$E$4:$G$7,3,0)*$C$5*Q16/(1+P16/$C$8)</f>
        <v>8265.1458798247786</v>
      </c>
      <c r="S16" s="1">
        <f t="shared" ref="S16:S27" si="10">VLOOKUP(VLOOKUP($F16,$K$4:$L$10,2,0),$E$4:$G$7,2,0)</f>
        <v>5</v>
      </c>
      <c r="T16" s="1">
        <f t="shared" ref="T16:T27" si="11">VLOOKUP(VLOOKUP($F16,$K$4:$L$10,2,0),$E$4:$G$7,3,0)</f>
        <v>100</v>
      </c>
      <c r="U16" s="41">
        <v>1001</v>
      </c>
      <c r="W16" s="1">
        <v>14</v>
      </c>
      <c r="X16" s="22">
        <f t="shared" si="1"/>
        <v>132.58470531960253</v>
      </c>
      <c r="Y16" s="22">
        <f t="shared" si="9"/>
        <v>4641.9104859636518</v>
      </c>
      <c r="Z16" s="22">
        <f t="shared" si="2"/>
        <v>466.69816272500088</v>
      </c>
      <c r="AA16" s="1">
        <f t="shared" si="3"/>
        <v>0.05</v>
      </c>
      <c r="AB16" s="1">
        <f t="shared" si="4"/>
        <v>1.5</v>
      </c>
      <c r="AC16" s="1">
        <f t="shared" si="0"/>
        <v>0.9</v>
      </c>
      <c r="AD16" s="22">
        <f t="shared" si="5"/>
        <v>0</v>
      </c>
      <c r="AE16" s="22">
        <f t="shared" si="6"/>
        <v>0</v>
      </c>
      <c r="AF16" s="22">
        <f t="shared" si="7"/>
        <v>466.69816272500088</v>
      </c>
      <c r="AG16" s="48">
        <f t="shared" si="8"/>
        <v>0</v>
      </c>
    </row>
    <row r="17" spans="1:33" ht="14.25" customHeight="1" x14ac:dyDescent="0.2">
      <c r="A17" s="27"/>
      <c r="B17" s="27"/>
      <c r="C17" s="27"/>
      <c r="D17" s="27"/>
      <c r="E17" s="1" t="s">
        <v>65</v>
      </c>
      <c r="F17" s="1" t="s">
        <v>30</v>
      </c>
      <c r="G17" s="3" t="s">
        <v>28</v>
      </c>
      <c r="H17" s="1">
        <v>2</v>
      </c>
      <c r="I17" s="23">
        <v>0.75</v>
      </c>
      <c r="J17" s="23">
        <v>0.9</v>
      </c>
      <c r="K17" s="23">
        <v>0.4</v>
      </c>
      <c r="L17" s="23">
        <v>1.5</v>
      </c>
      <c r="M17" s="23">
        <v>1</v>
      </c>
      <c r="N17" s="8">
        <f t="shared" ref="N17:N27" si="12">I17/J17/(1+K17*(L17-1))*$C$5*M17*VLOOKUP(VLOOKUP($F17,$K$4:$L$10,2,0),$E$4:$G$7,2,0)</f>
        <v>260.41666666666663</v>
      </c>
      <c r="O17" s="23">
        <v>1</v>
      </c>
      <c r="P17" s="8">
        <f t="shared" ref="P17:P27" si="13">$C$7*O17*$C$5</f>
        <v>825</v>
      </c>
      <c r="Q17" s="23">
        <f t="shared" ref="Q17:Q27" si="14">1/M17</f>
        <v>1</v>
      </c>
      <c r="R17" s="8">
        <f t="shared" ref="R17:R27" si="15">VLOOKUP(VLOOKUP($F17,$K$4:$L$10,2,0),$E$4:$G$7,3,0)*$C$5*Q17/(1+P17/$C$8)</f>
        <v>7438.6312918423</v>
      </c>
      <c r="S17" s="1">
        <f t="shared" si="10"/>
        <v>5</v>
      </c>
      <c r="T17" s="1">
        <f t="shared" si="11"/>
        <v>100</v>
      </c>
      <c r="U17" s="41">
        <v>1002</v>
      </c>
      <c r="W17" s="1">
        <v>15</v>
      </c>
      <c r="X17" s="22">
        <f t="shared" si="1"/>
        <v>139.21394058558261</v>
      </c>
      <c r="Y17" s="22">
        <f t="shared" si="9"/>
        <v>4870.2757918576535</v>
      </c>
      <c r="Z17" s="22">
        <f t="shared" si="2"/>
        <v>490.03307086125079</v>
      </c>
      <c r="AA17" s="1">
        <f t="shared" si="3"/>
        <v>0.05</v>
      </c>
      <c r="AB17" s="1">
        <f t="shared" si="4"/>
        <v>1.5</v>
      </c>
      <c r="AC17" s="1">
        <f t="shared" si="0"/>
        <v>0.9</v>
      </c>
      <c r="AD17" s="22">
        <f t="shared" si="5"/>
        <v>0</v>
      </c>
      <c r="AE17" s="22">
        <f t="shared" si="6"/>
        <v>0</v>
      </c>
      <c r="AF17" s="22">
        <f t="shared" si="7"/>
        <v>490.03307086125085</v>
      </c>
      <c r="AG17" s="48">
        <f t="shared" si="8"/>
        <v>0</v>
      </c>
    </row>
    <row r="18" spans="1:33" ht="14.25" customHeight="1" x14ac:dyDescent="0.2">
      <c r="A18" s="27"/>
      <c r="B18" s="27"/>
      <c r="C18" s="27"/>
      <c r="D18" s="27"/>
      <c r="E18" s="1" t="s">
        <v>66</v>
      </c>
      <c r="F18" s="1" t="s">
        <v>32</v>
      </c>
      <c r="G18" s="3" t="s">
        <v>28</v>
      </c>
      <c r="H18" s="3">
        <v>3</v>
      </c>
      <c r="I18" s="23">
        <v>0.751</v>
      </c>
      <c r="J18" s="23">
        <v>0.95</v>
      </c>
      <c r="K18" s="23">
        <v>0.4</v>
      </c>
      <c r="L18" s="23">
        <v>1.5</v>
      </c>
      <c r="M18" s="23">
        <v>1.1000000000000001</v>
      </c>
      <c r="N18" s="8">
        <f t="shared" si="12"/>
        <v>271.74342105263162</v>
      </c>
      <c r="O18" s="23">
        <v>0.82</v>
      </c>
      <c r="P18" s="8">
        <f t="shared" si="13"/>
        <v>676.5</v>
      </c>
      <c r="Q18" s="23">
        <f t="shared" si="14"/>
        <v>0.90909090909090906</v>
      </c>
      <c r="R18" s="8">
        <f t="shared" si="15"/>
        <v>6772.3667570702382</v>
      </c>
      <c r="S18" s="1">
        <f t="shared" si="10"/>
        <v>5</v>
      </c>
      <c r="T18" s="1">
        <f t="shared" si="11"/>
        <v>100</v>
      </c>
      <c r="U18" s="41">
        <v>1003</v>
      </c>
      <c r="W18" s="1">
        <v>16</v>
      </c>
      <c r="X18" s="22">
        <f t="shared" si="1"/>
        <v>146.17463761486181</v>
      </c>
      <c r="Y18" s="22">
        <f t="shared" si="9"/>
        <v>5109.6834627845165</v>
      </c>
      <c r="Z18" s="22">
        <f t="shared" si="2"/>
        <v>514.53472440431358</v>
      </c>
      <c r="AA18" s="1">
        <f t="shared" si="3"/>
        <v>0.05</v>
      </c>
      <c r="AB18" s="1">
        <f t="shared" si="4"/>
        <v>1.5</v>
      </c>
      <c r="AC18" s="1">
        <f t="shared" si="0"/>
        <v>0.9</v>
      </c>
      <c r="AD18" s="22">
        <f t="shared" ref="AD18:AD81" si="16">$N$11*$C$6^(W18-1)-X18</f>
        <v>0</v>
      </c>
      <c r="AE18" s="22">
        <f t="shared" ref="AE18:AE81" si="17">$R$11*$C$6^(W18-1)/(1+AF18/$C$13/$C$8)*$C$13-Y18</f>
        <v>0</v>
      </c>
      <c r="AF18" s="22">
        <f t="shared" ref="AF18:AF81" si="18">$P$11*$C$6^(W18-1)</f>
        <v>514.53472440431358</v>
      </c>
      <c r="AG18" s="48">
        <f t="shared" si="8"/>
        <v>0</v>
      </c>
    </row>
    <row r="19" spans="1:33" ht="14.25" customHeight="1" x14ac:dyDescent="0.2">
      <c r="A19" s="27"/>
      <c r="B19" s="27"/>
      <c r="C19" s="27"/>
      <c r="D19" s="27"/>
      <c r="E19" s="1" t="s">
        <v>67</v>
      </c>
      <c r="F19" s="1" t="s">
        <v>32</v>
      </c>
      <c r="G19" s="3" t="s">
        <v>28</v>
      </c>
      <c r="H19" s="1">
        <v>4</v>
      </c>
      <c r="I19" s="23">
        <v>0.751</v>
      </c>
      <c r="J19" s="23">
        <v>0.95</v>
      </c>
      <c r="K19" s="23">
        <v>0.4</v>
      </c>
      <c r="L19" s="23">
        <v>1.5</v>
      </c>
      <c r="M19" s="23">
        <v>1.2</v>
      </c>
      <c r="N19" s="8">
        <f t="shared" si="12"/>
        <v>296.44736842105266</v>
      </c>
      <c r="O19" s="23">
        <v>0.82</v>
      </c>
      <c r="P19" s="8">
        <f t="shared" si="13"/>
        <v>676.5</v>
      </c>
      <c r="Q19" s="23">
        <f t="shared" si="14"/>
        <v>0.83333333333333337</v>
      </c>
      <c r="R19" s="8">
        <f t="shared" si="15"/>
        <v>6208.002860647719</v>
      </c>
      <c r="S19" s="1">
        <f t="shared" si="10"/>
        <v>5</v>
      </c>
      <c r="T19" s="1">
        <f t="shared" si="11"/>
        <v>100</v>
      </c>
      <c r="U19" s="41">
        <v>1004</v>
      </c>
      <c r="W19" s="1">
        <v>17</v>
      </c>
      <c r="X19" s="22">
        <f t="shared" si="1"/>
        <v>153.48336949560488</v>
      </c>
      <c r="Y19" s="22">
        <f t="shared" si="9"/>
        <v>5360.6480854698393</v>
      </c>
      <c r="Z19" s="22">
        <f t="shared" si="2"/>
        <v>540.26146062452915</v>
      </c>
      <c r="AA19" s="1">
        <f t="shared" si="3"/>
        <v>0.05</v>
      </c>
      <c r="AB19" s="1">
        <f t="shared" si="4"/>
        <v>1.5</v>
      </c>
      <c r="AC19" s="1">
        <f t="shared" si="0"/>
        <v>0.9</v>
      </c>
      <c r="AD19" s="22">
        <f t="shared" si="16"/>
        <v>0</v>
      </c>
      <c r="AE19" s="22">
        <f t="shared" si="17"/>
        <v>0</v>
      </c>
      <c r="AF19" s="22">
        <f t="shared" si="18"/>
        <v>540.26146062452915</v>
      </c>
      <c r="AG19" s="48">
        <f t="shared" si="8"/>
        <v>0</v>
      </c>
    </row>
    <row r="20" spans="1:33" ht="14.25" customHeight="1" x14ac:dyDescent="0.2">
      <c r="A20" s="27"/>
      <c r="B20" s="27"/>
      <c r="C20" s="27"/>
      <c r="D20" s="27"/>
      <c r="E20" s="1" t="s">
        <v>68</v>
      </c>
      <c r="F20" s="1" t="s">
        <v>34</v>
      </c>
      <c r="G20" s="3" t="s">
        <v>28</v>
      </c>
      <c r="H20" s="3">
        <v>5</v>
      </c>
      <c r="I20" s="23">
        <v>0.8</v>
      </c>
      <c r="J20" s="23">
        <v>1</v>
      </c>
      <c r="K20" s="23">
        <v>0.4</v>
      </c>
      <c r="L20" s="23">
        <v>1.5</v>
      </c>
      <c r="M20" s="23">
        <v>1.05</v>
      </c>
      <c r="N20" s="8">
        <f t="shared" si="12"/>
        <v>525.00000000000011</v>
      </c>
      <c r="O20" s="23">
        <v>0.45</v>
      </c>
      <c r="P20" s="8">
        <f t="shared" si="13"/>
        <v>371.25</v>
      </c>
      <c r="Q20" s="23">
        <f t="shared" si="14"/>
        <v>0.95238095238095233</v>
      </c>
      <c r="R20" s="8">
        <f t="shared" si="15"/>
        <v>2846.5749476497072</v>
      </c>
      <c r="S20" s="1">
        <f t="shared" si="10"/>
        <v>10</v>
      </c>
      <c r="T20" s="1">
        <f t="shared" si="11"/>
        <v>40</v>
      </c>
      <c r="U20" s="41">
        <v>1005</v>
      </c>
      <c r="W20" s="1">
        <v>18</v>
      </c>
      <c r="X20" s="22">
        <f t="shared" si="1"/>
        <v>161.15753797038516</v>
      </c>
      <c r="Y20" s="22">
        <f t="shared" si="9"/>
        <v>5623.7062825410703</v>
      </c>
      <c r="Z20" s="22">
        <f t="shared" si="2"/>
        <v>567.2745336557557</v>
      </c>
      <c r="AA20" s="1">
        <f t="shared" si="3"/>
        <v>0.05</v>
      </c>
      <c r="AB20" s="1">
        <f t="shared" si="4"/>
        <v>1.5</v>
      </c>
      <c r="AC20" s="1">
        <f t="shared" si="0"/>
        <v>0.9</v>
      </c>
      <c r="AD20" s="22">
        <f t="shared" si="16"/>
        <v>0</v>
      </c>
      <c r="AE20" s="22">
        <f t="shared" si="17"/>
        <v>0</v>
      </c>
      <c r="AF20" s="22">
        <f t="shared" si="18"/>
        <v>567.2745336557557</v>
      </c>
      <c r="AG20" s="48">
        <f t="shared" si="8"/>
        <v>0</v>
      </c>
    </row>
    <row r="21" spans="1:33" ht="14.25" customHeight="1" x14ac:dyDescent="0.2">
      <c r="E21" s="1" t="s">
        <v>69</v>
      </c>
      <c r="F21" s="1" t="s">
        <v>34</v>
      </c>
      <c r="G21" s="3" t="s">
        <v>28</v>
      </c>
      <c r="H21" s="1">
        <v>6</v>
      </c>
      <c r="I21" s="23">
        <v>0.8</v>
      </c>
      <c r="J21" s="23">
        <v>1</v>
      </c>
      <c r="K21" s="23">
        <v>0.4</v>
      </c>
      <c r="L21" s="23">
        <v>1.5</v>
      </c>
      <c r="M21" s="23">
        <v>1</v>
      </c>
      <c r="N21" s="8">
        <f t="shared" si="12"/>
        <v>500.00000000000006</v>
      </c>
      <c r="O21" s="23">
        <v>0.45</v>
      </c>
      <c r="P21" s="8">
        <f t="shared" si="13"/>
        <v>371.25</v>
      </c>
      <c r="Q21" s="23">
        <f t="shared" si="14"/>
        <v>1</v>
      </c>
      <c r="R21" s="8">
        <f t="shared" si="15"/>
        <v>2988.9036950321929</v>
      </c>
      <c r="S21" s="1">
        <f t="shared" si="10"/>
        <v>10</v>
      </c>
      <c r="T21" s="1">
        <f t="shared" si="11"/>
        <v>40</v>
      </c>
      <c r="U21" s="41">
        <v>1006</v>
      </c>
      <c r="W21" s="1">
        <v>19</v>
      </c>
      <c r="X21" s="22">
        <f t="shared" si="1"/>
        <v>169.21541486890439</v>
      </c>
      <c r="Y21" s="22">
        <f t="shared" si="9"/>
        <v>5899.4174591484452</v>
      </c>
      <c r="Z21" s="22">
        <f t="shared" si="2"/>
        <v>595.63826033854343</v>
      </c>
      <c r="AA21" s="1">
        <f t="shared" si="3"/>
        <v>0.05</v>
      </c>
      <c r="AB21" s="1">
        <f t="shared" si="4"/>
        <v>1.5</v>
      </c>
      <c r="AC21" s="1">
        <f t="shared" si="0"/>
        <v>0.9</v>
      </c>
      <c r="AD21" s="22">
        <f t="shared" si="16"/>
        <v>0</v>
      </c>
      <c r="AE21" s="22">
        <f t="shared" si="17"/>
        <v>0</v>
      </c>
      <c r="AF21" s="22">
        <f t="shared" si="18"/>
        <v>595.63826033854343</v>
      </c>
      <c r="AG21" s="48">
        <f t="shared" si="8"/>
        <v>0</v>
      </c>
    </row>
    <row r="22" spans="1:33" ht="14.25" customHeight="1" x14ac:dyDescent="0.2">
      <c r="E22" s="1" t="s">
        <v>70</v>
      </c>
      <c r="F22" s="1" t="s">
        <v>36</v>
      </c>
      <c r="G22" s="3" t="s">
        <v>28</v>
      </c>
      <c r="H22" s="3">
        <v>7</v>
      </c>
      <c r="I22" s="23">
        <v>0.80500000000000005</v>
      </c>
      <c r="J22" s="23">
        <v>1.1000000000000001</v>
      </c>
      <c r="K22" s="23">
        <v>0.4</v>
      </c>
      <c r="L22" s="23">
        <v>1.5</v>
      </c>
      <c r="M22" s="23">
        <v>0.96</v>
      </c>
      <c r="N22" s="8">
        <f t="shared" si="12"/>
        <v>439.09090909090912</v>
      </c>
      <c r="O22" s="23">
        <v>0.41</v>
      </c>
      <c r="P22" s="8">
        <f t="shared" si="13"/>
        <v>338.25</v>
      </c>
      <c r="Q22" s="23">
        <f t="shared" si="14"/>
        <v>1.0416666666666667</v>
      </c>
      <c r="R22" s="8">
        <f t="shared" si="15"/>
        <v>3114.465321051543</v>
      </c>
      <c r="S22" s="1">
        <f t="shared" si="10"/>
        <v>10</v>
      </c>
      <c r="T22" s="1">
        <f t="shared" si="11"/>
        <v>40</v>
      </c>
      <c r="U22" s="41">
        <v>1007</v>
      </c>
      <c r="W22" s="1">
        <v>20</v>
      </c>
      <c r="X22" s="22">
        <f t="shared" si="1"/>
        <v>177.6761856123496</v>
      </c>
      <c r="Y22" s="22">
        <f t="shared" si="9"/>
        <v>6188.3645540334164</v>
      </c>
      <c r="Z22" s="22">
        <f t="shared" si="2"/>
        <v>625.42017335547064</v>
      </c>
      <c r="AA22" s="1">
        <f t="shared" si="3"/>
        <v>0.05</v>
      </c>
      <c r="AB22" s="1">
        <f t="shared" si="4"/>
        <v>1.5</v>
      </c>
      <c r="AC22" s="1">
        <f t="shared" si="0"/>
        <v>0.9</v>
      </c>
      <c r="AD22" s="22">
        <f t="shared" si="16"/>
        <v>0</v>
      </c>
      <c r="AE22" s="22">
        <f t="shared" si="17"/>
        <v>0</v>
      </c>
      <c r="AF22" s="22">
        <f t="shared" si="18"/>
        <v>625.42017335547064</v>
      </c>
      <c r="AG22" s="48">
        <f t="shared" si="8"/>
        <v>0</v>
      </c>
    </row>
    <row r="23" spans="1:33" ht="14.25" customHeight="1" x14ac:dyDescent="0.2">
      <c r="E23" s="1" t="s">
        <v>71</v>
      </c>
      <c r="F23" s="1" t="s">
        <v>36</v>
      </c>
      <c r="G23" s="3" t="s">
        <v>28</v>
      </c>
      <c r="H23" s="1">
        <v>8</v>
      </c>
      <c r="I23" s="23">
        <v>0.80500000000000005</v>
      </c>
      <c r="J23" s="23">
        <v>1.1000000000000001</v>
      </c>
      <c r="K23" s="23">
        <v>0.4</v>
      </c>
      <c r="L23" s="23">
        <v>1.5</v>
      </c>
      <c r="M23" s="23">
        <v>0.98</v>
      </c>
      <c r="N23" s="8">
        <f t="shared" si="12"/>
        <v>448.23863636363637</v>
      </c>
      <c r="O23" s="23">
        <v>0.41</v>
      </c>
      <c r="P23" s="8">
        <f t="shared" si="13"/>
        <v>338.25</v>
      </c>
      <c r="Q23" s="23">
        <f t="shared" si="14"/>
        <v>1.0204081632653061</v>
      </c>
      <c r="R23" s="8">
        <f t="shared" si="15"/>
        <v>3050.9048042953891</v>
      </c>
      <c r="S23" s="1">
        <f t="shared" si="10"/>
        <v>10</v>
      </c>
      <c r="T23" s="1">
        <f t="shared" si="11"/>
        <v>40</v>
      </c>
      <c r="U23" s="41">
        <v>1008</v>
      </c>
      <c r="W23" s="1">
        <v>21</v>
      </c>
      <c r="X23" s="22">
        <f t="shared" si="1"/>
        <v>186.5599948929671</v>
      </c>
      <c r="Y23" s="22">
        <f t="shared" si="9"/>
        <v>6491.1547924167853</v>
      </c>
      <c r="Z23" s="22">
        <f t="shared" si="2"/>
        <v>656.6911820232441</v>
      </c>
      <c r="AA23" s="1">
        <f t="shared" si="3"/>
        <v>0.05</v>
      </c>
      <c r="AB23" s="1">
        <f t="shared" si="4"/>
        <v>1.5</v>
      </c>
      <c r="AC23" s="1">
        <f t="shared" si="0"/>
        <v>0.9</v>
      </c>
      <c r="AD23" s="22">
        <f t="shared" si="16"/>
        <v>0</v>
      </c>
      <c r="AE23" s="22">
        <f t="shared" si="17"/>
        <v>0</v>
      </c>
      <c r="AF23" s="22">
        <f t="shared" si="18"/>
        <v>656.69118202324421</v>
      </c>
      <c r="AG23" s="48">
        <f t="shared" si="8"/>
        <v>0</v>
      </c>
    </row>
    <row r="24" spans="1:33" ht="14.25" customHeight="1" x14ac:dyDescent="0.2">
      <c r="E24" s="1" t="s">
        <v>72</v>
      </c>
      <c r="F24" s="1" t="s">
        <v>38</v>
      </c>
      <c r="G24" s="3" t="s">
        <v>28</v>
      </c>
      <c r="H24" s="3">
        <v>9</v>
      </c>
      <c r="I24" s="23">
        <v>0.77400000000000002</v>
      </c>
      <c r="J24" s="23">
        <v>1.2</v>
      </c>
      <c r="K24" s="23">
        <v>0.4</v>
      </c>
      <c r="L24" s="23">
        <v>1.5</v>
      </c>
      <c r="M24" s="23">
        <v>0.94</v>
      </c>
      <c r="N24" s="8">
        <f t="shared" si="12"/>
        <v>378.93750000000006</v>
      </c>
      <c r="O24" s="23">
        <v>0.64</v>
      </c>
      <c r="P24" s="8">
        <f t="shared" si="13"/>
        <v>528</v>
      </c>
      <c r="Q24" s="23">
        <f t="shared" si="14"/>
        <v>1.0638297872340425</v>
      </c>
      <c r="R24" s="8">
        <f t="shared" si="15"/>
        <v>3174.7268041760781</v>
      </c>
      <c r="S24" s="1">
        <f t="shared" si="10"/>
        <v>10</v>
      </c>
      <c r="T24" s="1">
        <f t="shared" si="11"/>
        <v>40</v>
      </c>
      <c r="U24" s="41">
        <v>1009</v>
      </c>
      <c r="W24" s="1">
        <v>22</v>
      </c>
      <c r="X24" s="22">
        <f t="shared" si="1"/>
        <v>195.88799463761544</v>
      </c>
      <c r="Y24" s="22">
        <f t="shared" si="9"/>
        <v>6808.4204377303522</v>
      </c>
      <c r="Z24" s="22">
        <f t="shared" si="2"/>
        <v>689.52574112440641</v>
      </c>
      <c r="AA24" s="1">
        <f t="shared" si="3"/>
        <v>0.05</v>
      </c>
      <c r="AB24" s="1">
        <f t="shared" si="4"/>
        <v>1.5</v>
      </c>
      <c r="AC24" s="1">
        <f t="shared" si="0"/>
        <v>0.9</v>
      </c>
      <c r="AD24" s="22">
        <f t="shared" si="16"/>
        <v>0</v>
      </c>
      <c r="AE24" s="22">
        <f t="shared" si="17"/>
        <v>0</v>
      </c>
      <c r="AF24" s="22">
        <f t="shared" si="18"/>
        <v>689.52574112440641</v>
      </c>
      <c r="AG24" s="48">
        <f t="shared" si="8"/>
        <v>0</v>
      </c>
    </row>
    <row r="25" spans="1:33" ht="14.25" customHeight="1" x14ac:dyDescent="0.2">
      <c r="E25" s="1" t="s">
        <v>73</v>
      </c>
      <c r="F25" s="1" t="s">
        <v>38</v>
      </c>
      <c r="G25" s="3" t="s">
        <v>28</v>
      </c>
      <c r="H25" s="1">
        <v>10</v>
      </c>
      <c r="I25" s="23">
        <v>0.77400000000000002</v>
      </c>
      <c r="J25" s="23">
        <v>1.2</v>
      </c>
      <c r="K25" s="23">
        <v>0.4</v>
      </c>
      <c r="L25" s="23">
        <v>1.5</v>
      </c>
      <c r="M25" s="23">
        <v>0.9</v>
      </c>
      <c r="N25" s="8">
        <f t="shared" si="12"/>
        <v>362.81250000000006</v>
      </c>
      <c r="O25" s="23">
        <v>0.64</v>
      </c>
      <c r="P25" s="8">
        <f t="shared" si="13"/>
        <v>528</v>
      </c>
      <c r="Q25" s="23">
        <f t="shared" si="14"/>
        <v>1.1111111111111112</v>
      </c>
      <c r="R25" s="8">
        <f t="shared" si="15"/>
        <v>3315.8257732505708</v>
      </c>
      <c r="S25" s="1">
        <f t="shared" si="10"/>
        <v>10</v>
      </c>
      <c r="T25" s="1">
        <f t="shared" si="11"/>
        <v>40</v>
      </c>
      <c r="U25" s="41">
        <v>1010</v>
      </c>
      <c r="W25" s="1">
        <v>23</v>
      </c>
      <c r="X25" s="22">
        <f t="shared" si="1"/>
        <v>205.68239436949619</v>
      </c>
      <c r="Y25" s="22">
        <f t="shared" si="9"/>
        <v>7140.81953883796</v>
      </c>
      <c r="Z25" s="22">
        <f t="shared" si="2"/>
        <v>724.00202818062655</v>
      </c>
      <c r="AA25" s="1">
        <f t="shared" si="3"/>
        <v>0.05</v>
      </c>
      <c r="AB25" s="1">
        <f t="shared" si="4"/>
        <v>1.5</v>
      </c>
      <c r="AC25" s="1">
        <f t="shared" si="0"/>
        <v>0.9</v>
      </c>
      <c r="AD25" s="22">
        <f t="shared" si="16"/>
        <v>0</v>
      </c>
      <c r="AE25" s="22">
        <f t="shared" si="17"/>
        <v>0</v>
      </c>
      <c r="AF25" s="22">
        <f t="shared" si="18"/>
        <v>724.00202818062667</v>
      </c>
      <c r="AG25" s="48">
        <f t="shared" si="8"/>
        <v>0</v>
      </c>
    </row>
    <row r="26" spans="1:33" ht="14.25" customHeight="1" x14ac:dyDescent="0.2">
      <c r="E26" s="1" t="s">
        <v>74</v>
      </c>
      <c r="F26" s="1" t="s">
        <v>40</v>
      </c>
      <c r="G26" s="3" t="s">
        <v>28</v>
      </c>
      <c r="H26" s="3">
        <v>11</v>
      </c>
      <c r="I26" s="23">
        <v>0.79800000000000004</v>
      </c>
      <c r="J26" s="23">
        <v>0.9</v>
      </c>
      <c r="K26" s="23">
        <v>0.4</v>
      </c>
      <c r="L26" s="23">
        <v>1.5</v>
      </c>
      <c r="M26" s="23">
        <v>0.9</v>
      </c>
      <c r="N26" s="8">
        <f t="shared" si="12"/>
        <v>199.50000000000003</v>
      </c>
      <c r="O26" s="23">
        <v>0.25</v>
      </c>
      <c r="P26" s="8">
        <f t="shared" si="13"/>
        <v>206.25</v>
      </c>
      <c r="Q26" s="23">
        <f t="shared" si="14"/>
        <v>1.1111111111111112</v>
      </c>
      <c r="R26" s="8">
        <f t="shared" si="15"/>
        <v>4158.0906047942781</v>
      </c>
      <c r="S26" s="1">
        <f t="shared" si="10"/>
        <v>4</v>
      </c>
      <c r="T26" s="1">
        <f t="shared" si="11"/>
        <v>50</v>
      </c>
      <c r="U26" s="41">
        <v>1011</v>
      </c>
      <c r="W26" s="1">
        <v>24</v>
      </c>
      <c r="X26" s="22">
        <f t="shared" si="1"/>
        <v>215.96651408797106</v>
      </c>
      <c r="Y26" s="22">
        <f t="shared" si="9"/>
        <v>7489.0366689833218</v>
      </c>
      <c r="Z26" s="22">
        <f t="shared" si="2"/>
        <v>760.20212958965817</v>
      </c>
      <c r="AA26" s="1">
        <f t="shared" si="3"/>
        <v>0.05</v>
      </c>
      <c r="AB26" s="1">
        <f t="shared" si="4"/>
        <v>1.5</v>
      </c>
      <c r="AC26" s="1">
        <f t="shared" si="0"/>
        <v>0.9</v>
      </c>
      <c r="AD26" s="22">
        <f t="shared" si="16"/>
        <v>0</v>
      </c>
      <c r="AE26" s="22">
        <f t="shared" si="17"/>
        <v>0</v>
      </c>
      <c r="AF26" s="22">
        <f t="shared" si="18"/>
        <v>760.20212958965817</v>
      </c>
      <c r="AG26" s="48">
        <f t="shared" si="8"/>
        <v>0</v>
      </c>
    </row>
    <row r="27" spans="1:33" ht="14.25" customHeight="1" x14ac:dyDescent="0.2">
      <c r="D27" s="1" t="s">
        <v>78</v>
      </c>
      <c r="E27" s="1" t="s">
        <v>75</v>
      </c>
      <c r="F27" s="1" t="s">
        <v>40</v>
      </c>
      <c r="G27" s="3" t="s">
        <v>28</v>
      </c>
      <c r="H27" s="1">
        <v>12</v>
      </c>
      <c r="I27" s="23">
        <v>0.79800000000000004</v>
      </c>
      <c r="J27" s="23">
        <v>0.9</v>
      </c>
      <c r="K27" s="23">
        <v>0.4</v>
      </c>
      <c r="L27" s="23">
        <v>1.5</v>
      </c>
      <c r="M27" s="23">
        <v>1</v>
      </c>
      <c r="N27" s="8">
        <f t="shared" si="12"/>
        <v>221.66666666666669</v>
      </c>
      <c r="O27" s="23">
        <v>0.25</v>
      </c>
      <c r="P27" s="8">
        <f t="shared" si="13"/>
        <v>206.25</v>
      </c>
      <c r="Q27" s="23">
        <f t="shared" si="14"/>
        <v>1</v>
      </c>
      <c r="R27" s="8">
        <f t="shared" si="15"/>
        <v>3742.2815443148502</v>
      </c>
      <c r="S27" s="1">
        <f t="shared" si="10"/>
        <v>4</v>
      </c>
      <c r="T27" s="1">
        <f t="shared" si="11"/>
        <v>50</v>
      </c>
      <c r="U27" s="41">
        <v>1012</v>
      </c>
      <c r="W27" s="1">
        <v>25</v>
      </c>
      <c r="X27" s="22">
        <f t="shared" si="1"/>
        <v>226.76483979236957</v>
      </c>
      <c r="Y27" s="22">
        <f t="shared" si="9"/>
        <v>7853.7836522617481</v>
      </c>
      <c r="Z27" s="22">
        <f t="shared" si="2"/>
        <v>798.21223606914089</v>
      </c>
      <c r="AA27" s="1">
        <f t="shared" si="3"/>
        <v>0.05</v>
      </c>
      <c r="AB27" s="1">
        <f t="shared" si="4"/>
        <v>1.5</v>
      </c>
      <c r="AC27" s="1">
        <f t="shared" si="0"/>
        <v>0.9</v>
      </c>
      <c r="AD27" s="22">
        <f t="shared" si="16"/>
        <v>0</v>
      </c>
      <c r="AE27" s="22">
        <f t="shared" si="17"/>
        <v>0</v>
      </c>
      <c r="AF27" s="22">
        <f t="shared" si="18"/>
        <v>798.21223606914089</v>
      </c>
      <c r="AG27" s="48">
        <f t="shared" si="8"/>
        <v>0</v>
      </c>
    </row>
    <row r="28" spans="1:33" ht="14.25" customHeight="1" x14ac:dyDescent="0.2">
      <c r="D28" s="26" t="s">
        <v>79</v>
      </c>
      <c r="W28" s="1">
        <v>26</v>
      </c>
      <c r="X28" s="22">
        <f t="shared" si="1"/>
        <v>238.10308178198807</v>
      </c>
      <c r="Y28" s="22">
        <f t="shared" si="9"/>
        <v>8235.8002729395957</v>
      </c>
      <c r="Z28" s="22">
        <f t="shared" si="2"/>
        <v>838.12284787259807</v>
      </c>
      <c r="AA28" s="1">
        <f t="shared" si="3"/>
        <v>0.05</v>
      </c>
      <c r="AB28" s="1">
        <f t="shared" si="4"/>
        <v>1.5</v>
      </c>
      <c r="AC28" s="1">
        <f t="shared" si="0"/>
        <v>0.9</v>
      </c>
      <c r="AD28" s="22">
        <f t="shared" si="16"/>
        <v>0</v>
      </c>
      <c r="AE28" s="22">
        <f t="shared" si="17"/>
        <v>0</v>
      </c>
      <c r="AF28" s="22">
        <f t="shared" si="18"/>
        <v>838.12284787259796</v>
      </c>
      <c r="AG28" s="48">
        <f t="shared" si="8"/>
        <v>0</v>
      </c>
    </row>
    <row r="29" spans="1:33" ht="14.25" customHeight="1" x14ac:dyDescent="0.2">
      <c r="W29" s="1">
        <v>27</v>
      </c>
      <c r="X29" s="22">
        <f t="shared" si="1"/>
        <v>250.00823587108746</v>
      </c>
      <c r="Y29" s="22">
        <f t="shared" si="9"/>
        <v>8635.8549624382176</v>
      </c>
      <c r="Z29" s="22">
        <f t="shared" si="2"/>
        <v>880.02899026622788</v>
      </c>
      <c r="AA29" s="1">
        <f t="shared" si="3"/>
        <v>0.05</v>
      </c>
      <c r="AB29" s="1">
        <f t="shared" si="4"/>
        <v>1.5</v>
      </c>
      <c r="AC29" s="1">
        <f t="shared" si="0"/>
        <v>0.9</v>
      </c>
      <c r="AD29" s="22">
        <f t="shared" si="16"/>
        <v>0</v>
      </c>
      <c r="AE29" s="22">
        <f t="shared" si="17"/>
        <v>0</v>
      </c>
      <c r="AF29" s="22">
        <f t="shared" si="18"/>
        <v>880.02899026622788</v>
      </c>
      <c r="AG29" s="48">
        <f t="shared" si="8"/>
        <v>0</v>
      </c>
    </row>
    <row r="30" spans="1:33" ht="14.25" customHeight="1" x14ac:dyDescent="0.2">
      <c r="E30" s="1">
        <v>1</v>
      </c>
      <c r="F30" s="1">
        <v>2</v>
      </c>
      <c r="G30" s="1">
        <v>3</v>
      </c>
      <c r="H30" s="1">
        <v>4</v>
      </c>
      <c r="I30" s="1">
        <v>5</v>
      </c>
      <c r="J30" s="1">
        <v>6</v>
      </c>
      <c r="K30" s="1">
        <v>7</v>
      </c>
      <c r="L30" s="1">
        <v>8</v>
      </c>
      <c r="M30" s="1">
        <v>9</v>
      </c>
      <c r="N30" s="1">
        <v>10</v>
      </c>
      <c r="O30" s="1">
        <v>11</v>
      </c>
      <c r="P30" s="1">
        <v>12</v>
      </c>
      <c r="Q30" s="1">
        <v>13</v>
      </c>
      <c r="R30" s="1">
        <v>14</v>
      </c>
      <c r="S30" s="1">
        <v>15</v>
      </c>
      <c r="T30" s="1">
        <v>16</v>
      </c>
      <c r="U30" s="1">
        <v>17</v>
      </c>
      <c r="W30" s="1">
        <v>28</v>
      </c>
      <c r="X30" s="22">
        <f t="shared" si="1"/>
        <v>262.50864766464184</v>
      </c>
      <c r="Y30" s="22">
        <f t="shared" si="9"/>
        <v>9054.7454582577429</v>
      </c>
      <c r="Z30" s="22">
        <f t="shared" si="2"/>
        <v>924.03043977953939</v>
      </c>
      <c r="AA30" s="1">
        <f t="shared" si="3"/>
        <v>0.05</v>
      </c>
      <c r="AB30" s="1">
        <f t="shared" si="4"/>
        <v>1.5</v>
      </c>
      <c r="AC30" s="1">
        <f t="shared" si="0"/>
        <v>0.9</v>
      </c>
      <c r="AD30" s="22">
        <f t="shared" si="16"/>
        <v>0</v>
      </c>
      <c r="AE30" s="22">
        <f t="shared" si="17"/>
        <v>0</v>
      </c>
      <c r="AF30" s="22">
        <f t="shared" si="18"/>
        <v>924.03043977953939</v>
      </c>
      <c r="AG30" s="48">
        <f t="shared" si="8"/>
        <v>0</v>
      </c>
    </row>
    <row r="31" spans="1:33" ht="14.25" customHeight="1" x14ac:dyDescent="0.2">
      <c r="O31" s="22"/>
      <c r="W31" s="1">
        <v>29</v>
      </c>
      <c r="X31" s="22">
        <f t="shared" si="1"/>
        <v>275.63408004787391</v>
      </c>
      <c r="Y31" s="22">
        <f t="shared" si="9"/>
        <v>9493.2994285396962</v>
      </c>
      <c r="Z31" s="22">
        <f t="shared" si="2"/>
        <v>970.23196176851616</v>
      </c>
      <c r="AA31" s="1">
        <f t="shared" si="3"/>
        <v>0.05</v>
      </c>
      <c r="AB31" s="1">
        <f t="shared" si="4"/>
        <v>1.5</v>
      </c>
      <c r="AC31" s="1">
        <f t="shared" si="0"/>
        <v>0.9</v>
      </c>
      <c r="AD31" s="22">
        <f t="shared" si="16"/>
        <v>0</v>
      </c>
      <c r="AE31" s="22">
        <f t="shared" si="17"/>
        <v>0</v>
      </c>
      <c r="AF31" s="22">
        <f t="shared" si="18"/>
        <v>970.23196176851627</v>
      </c>
      <c r="AG31" s="48">
        <f t="shared" si="8"/>
        <v>0</v>
      </c>
    </row>
    <row r="32" spans="1:33" ht="14.25" customHeight="1" x14ac:dyDescent="0.2">
      <c r="O32" s="22"/>
      <c r="W32" s="1">
        <v>30</v>
      </c>
      <c r="X32" s="22">
        <f t="shared" si="1"/>
        <v>289.41578405026769</v>
      </c>
      <c r="Y32" s="22">
        <f t="shared" si="9"/>
        <v>9952.3750553564532</v>
      </c>
      <c r="Z32" s="22">
        <f t="shared" si="2"/>
        <v>1018.7435598569422</v>
      </c>
      <c r="AA32" s="1">
        <f t="shared" si="3"/>
        <v>0.05</v>
      </c>
      <c r="AB32" s="1">
        <f t="shared" si="4"/>
        <v>1.5</v>
      </c>
      <c r="AC32" s="1">
        <f t="shared" si="0"/>
        <v>0.9</v>
      </c>
      <c r="AD32" s="22">
        <f t="shared" si="16"/>
        <v>0</v>
      </c>
      <c r="AE32" s="22">
        <f t="shared" si="17"/>
        <v>0</v>
      </c>
      <c r="AF32" s="22">
        <f t="shared" si="18"/>
        <v>1018.7435598569423</v>
      </c>
      <c r="AG32" s="48">
        <f t="shared" si="8"/>
        <v>0</v>
      </c>
    </row>
    <row r="33" spans="2:33" ht="14.25" customHeight="1" x14ac:dyDescent="0.2">
      <c r="B33" s="27"/>
      <c r="L33" s="49"/>
      <c r="O33" s="22"/>
      <c r="W33" s="1">
        <v>31</v>
      </c>
      <c r="X33" s="22">
        <f t="shared" si="1"/>
        <v>303.88657325278092</v>
      </c>
      <c r="Y33" s="22">
        <f t="shared" si="9"/>
        <v>10432.861569170167</v>
      </c>
      <c r="Z33" s="22">
        <f t="shared" si="2"/>
        <v>1069.6807378497888</v>
      </c>
      <c r="AA33" s="1">
        <f t="shared" si="3"/>
        <v>0.05</v>
      </c>
      <c r="AB33" s="1">
        <f t="shared" si="4"/>
        <v>1.5</v>
      </c>
      <c r="AC33" s="1">
        <f t="shared" si="0"/>
        <v>0.9</v>
      </c>
      <c r="AD33" s="22">
        <f t="shared" si="16"/>
        <v>0</v>
      </c>
      <c r="AE33" s="22">
        <f t="shared" si="17"/>
        <v>0</v>
      </c>
      <c r="AF33" s="22">
        <f t="shared" si="18"/>
        <v>1069.680737849789</v>
      </c>
      <c r="AG33" s="48">
        <f t="shared" si="8"/>
        <v>0</v>
      </c>
    </row>
    <row r="34" spans="2:33" ht="14.25" customHeight="1" x14ac:dyDescent="0.2">
      <c r="L34" s="50"/>
      <c r="M34" s="50"/>
      <c r="O34" s="22"/>
      <c r="W34" s="1">
        <v>32</v>
      </c>
      <c r="X34" s="22">
        <f t="shared" si="1"/>
        <v>319.08090191542016</v>
      </c>
      <c r="Y34" s="22">
        <f t="shared" si="9"/>
        <v>10935.67972622518</v>
      </c>
      <c r="Z34" s="22">
        <f t="shared" si="2"/>
        <v>1123.164774742279</v>
      </c>
      <c r="AA34" s="1">
        <f t="shared" si="3"/>
        <v>0.05</v>
      </c>
      <c r="AB34" s="1">
        <f t="shared" si="4"/>
        <v>1.5</v>
      </c>
      <c r="AC34" s="1">
        <f t="shared" si="0"/>
        <v>0.9</v>
      </c>
      <c r="AD34" s="22">
        <f t="shared" si="16"/>
        <v>0</v>
      </c>
      <c r="AE34" s="22">
        <f t="shared" si="17"/>
        <v>0</v>
      </c>
      <c r="AF34" s="22">
        <f t="shared" si="18"/>
        <v>1123.164774742279</v>
      </c>
      <c r="AG34" s="48">
        <f t="shared" si="8"/>
        <v>0</v>
      </c>
    </row>
    <row r="35" spans="2:33" ht="14.25" customHeight="1" x14ac:dyDescent="0.2">
      <c r="O35" s="22"/>
      <c r="W35" s="1">
        <v>33</v>
      </c>
      <c r="X35" s="22">
        <f t="shared" si="1"/>
        <v>335.03494701119115</v>
      </c>
      <c r="Y35" s="22">
        <f t="shared" si="9"/>
        <v>11461.782219927374</v>
      </c>
      <c r="Z35" s="22">
        <f t="shared" si="2"/>
        <v>1179.3230134793926</v>
      </c>
      <c r="AA35" s="1">
        <f t="shared" si="3"/>
        <v>0.05</v>
      </c>
      <c r="AB35" s="1">
        <f t="shared" si="4"/>
        <v>1.5</v>
      </c>
      <c r="AC35" s="1">
        <f t="shared" ref="AC35:AC66" si="19">VLOOKUP($X$1,$E:$R,MATCH(AC$2,$E$15:$R$15,0),0)</f>
        <v>0.9</v>
      </c>
      <c r="AD35" s="22">
        <f t="shared" si="16"/>
        <v>0</v>
      </c>
      <c r="AE35" s="22">
        <f t="shared" si="17"/>
        <v>0</v>
      </c>
      <c r="AF35" s="22">
        <f t="shared" si="18"/>
        <v>1179.3230134793928</v>
      </c>
      <c r="AG35" s="48">
        <f t="shared" si="8"/>
        <v>0</v>
      </c>
    </row>
    <row r="36" spans="2:33" ht="14.25" customHeight="1" x14ac:dyDescent="0.2">
      <c r="O36" s="22"/>
      <c r="W36" s="1">
        <v>34</v>
      </c>
      <c r="X36" s="22">
        <f t="shared" si="1"/>
        <v>351.78669436175068</v>
      </c>
      <c r="Y36" s="22">
        <f t="shared" si="9"/>
        <v>12012.154016524355</v>
      </c>
      <c r="Z36" s="22">
        <f t="shared" si="2"/>
        <v>1238.2891641533622</v>
      </c>
      <c r="AA36" s="1">
        <f t="shared" si="3"/>
        <v>0.05</v>
      </c>
      <c r="AB36" s="1">
        <f t="shared" si="4"/>
        <v>1.5</v>
      </c>
      <c r="AC36" s="1">
        <f t="shared" si="19"/>
        <v>0.9</v>
      </c>
      <c r="AD36" s="22">
        <f t="shared" si="16"/>
        <v>0</v>
      </c>
      <c r="AE36" s="22">
        <f t="shared" si="17"/>
        <v>0</v>
      </c>
      <c r="AF36" s="22">
        <f t="shared" si="18"/>
        <v>1238.2891641533624</v>
      </c>
      <c r="AG36" s="48">
        <f t="shared" si="8"/>
        <v>0</v>
      </c>
    </row>
    <row r="37" spans="2:33" ht="14.25" customHeight="1" x14ac:dyDescent="0.2">
      <c r="O37" s="22"/>
      <c r="W37" s="1">
        <v>35</v>
      </c>
      <c r="X37" s="22">
        <f t="shared" si="1"/>
        <v>369.37602907983813</v>
      </c>
      <c r="Y37" s="22">
        <f t="shared" si="9"/>
        <v>12587.812604633802</v>
      </c>
      <c r="Z37" s="22">
        <f t="shared" si="2"/>
        <v>1300.2036223610305</v>
      </c>
      <c r="AA37" s="1">
        <f t="shared" si="3"/>
        <v>0.05</v>
      </c>
      <c r="AB37" s="1">
        <f t="shared" si="4"/>
        <v>1.5</v>
      </c>
      <c r="AC37" s="1">
        <f t="shared" si="19"/>
        <v>0.9</v>
      </c>
      <c r="AD37" s="22">
        <f t="shared" si="16"/>
        <v>0</v>
      </c>
      <c r="AE37" s="22">
        <f t="shared" si="17"/>
        <v>0</v>
      </c>
      <c r="AF37" s="22">
        <f t="shared" si="18"/>
        <v>1300.2036223610305</v>
      </c>
      <c r="AG37" s="48">
        <f t="shared" si="8"/>
        <v>0</v>
      </c>
    </row>
    <row r="38" spans="2:33" ht="14.25" customHeight="1" x14ac:dyDescent="0.2">
      <c r="O38" s="22"/>
      <c r="W38" s="1">
        <v>36</v>
      </c>
      <c r="X38" s="22">
        <f t="shared" si="1"/>
        <v>387.84483053383013</v>
      </c>
      <c r="Y38" s="22">
        <f t="shared" si="9"/>
        <v>13189.808147379197</v>
      </c>
      <c r="Z38" s="22">
        <f t="shared" si="2"/>
        <v>1365.2138034790821</v>
      </c>
      <c r="AA38" s="1">
        <f t="shared" si="3"/>
        <v>0.05</v>
      </c>
      <c r="AB38" s="1">
        <f t="shared" si="4"/>
        <v>1.5</v>
      </c>
      <c r="AC38" s="1">
        <f t="shared" si="19"/>
        <v>0.9</v>
      </c>
      <c r="AD38" s="22">
        <f t="shared" si="16"/>
        <v>0</v>
      </c>
      <c r="AE38" s="22">
        <f t="shared" si="17"/>
        <v>0</v>
      </c>
      <c r="AF38" s="22">
        <f t="shared" si="18"/>
        <v>1365.2138034790821</v>
      </c>
      <c r="AG38" s="48">
        <f t="shared" si="8"/>
        <v>0</v>
      </c>
    </row>
    <row r="39" spans="2:33" ht="14.25" customHeight="1" x14ac:dyDescent="0.2">
      <c r="O39" s="22"/>
      <c r="W39" s="1">
        <v>37</v>
      </c>
      <c r="X39" s="22">
        <f t="shared" si="1"/>
        <v>407.2370720605216</v>
      </c>
      <c r="Y39" s="22">
        <f t="shared" si="9"/>
        <v>13819.223525086285</v>
      </c>
      <c r="Z39" s="22">
        <f t="shared" si="2"/>
        <v>1433.4744936530362</v>
      </c>
      <c r="AA39" s="1">
        <f t="shared" si="3"/>
        <v>0.05</v>
      </c>
      <c r="AB39" s="1">
        <f t="shared" si="4"/>
        <v>1.5</v>
      </c>
      <c r="AC39" s="1">
        <f t="shared" si="19"/>
        <v>0.9</v>
      </c>
      <c r="AD39" s="22">
        <f t="shared" si="16"/>
        <v>0</v>
      </c>
      <c r="AE39" s="22">
        <f t="shared" si="17"/>
        <v>0</v>
      </c>
      <c r="AF39" s="22">
        <f t="shared" si="18"/>
        <v>1433.474493653036</v>
      </c>
      <c r="AG39" s="48">
        <f t="shared" si="8"/>
        <v>0</v>
      </c>
    </row>
    <row r="40" spans="2:33" ht="14.25" customHeight="1" x14ac:dyDescent="0.2">
      <c r="O40" s="22"/>
      <c r="W40" s="1">
        <v>38</v>
      </c>
      <c r="X40" s="22">
        <f t="shared" si="1"/>
        <v>427.59892566354773</v>
      </c>
      <c r="Y40" s="22">
        <f t="shared" si="9"/>
        <v>14477.174255677215</v>
      </c>
      <c r="Z40" s="22">
        <f t="shared" si="2"/>
        <v>1505.1482183356879</v>
      </c>
      <c r="AA40" s="1">
        <f t="shared" si="3"/>
        <v>0.05</v>
      </c>
      <c r="AB40" s="1">
        <f t="shared" si="4"/>
        <v>1.5</v>
      </c>
      <c r="AC40" s="1">
        <f t="shared" si="19"/>
        <v>0.9</v>
      </c>
      <c r="AD40" s="22">
        <f t="shared" si="16"/>
        <v>0</v>
      </c>
      <c r="AE40" s="22">
        <f t="shared" si="17"/>
        <v>0</v>
      </c>
      <c r="AF40" s="22">
        <f t="shared" si="18"/>
        <v>1505.1482183356879</v>
      </c>
      <c r="AG40" s="48">
        <f t="shared" si="8"/>
        <v>0</v>
      </c>
    </row>
    <row r="41" spans="2:33" ht="14.25" customHeight="1" x14ac:dyDescent="0.2">
      <c r="O41" s="22"/>
      <c r="W41" s="1">
        <v>39</v>
      </c>
      <c r="X41" s="22">
        <f t="shared" si="1"/>
        <v>448.97887194672506</v>
      </c>
      <c r="Y41" s="22">
        <f t="shared" si="9"/>
        <v>15164.808279079392</v>
      </c>
      <c r="Z41" s="22">
        <f t="shared" si="2"/>
        <v>1580.4056292524722</v>
      </c>
      <c r="AA41" s="1">
        <f t="shared" si="3"/>
        <v>0.05</v>
      </c>
      <c r="AB41" s="1">
        <f t="shared" si="4"/>
        <v>1.5</v>
      </c>
      <c r="AC41" s="1">
        <f t="shared" si="19"/>
        <v>0.9</v>
      </c>
      <c r="AD41" s="22">
        <f t="shared" si="16"/>
        <v>0</v>
      </c>
      <c r="AE41" s="22">
        <f t="shared" si="17"/>
        <v>0</v>
      </c>
      <c r="AF41" s="22">
        <f t="shared" si="18"/>
        <v>1580.4056292524722</v>
      </c>
      <c r="AG41" s="48">
        <f t="shared" si="8"/>
        <v>0</v>
      </c>
    </row>
    <row r="42" spans="2:33" ht="14.25" customHeight="1" x14ac:dyDescent="0.2">
      <c r="W42" s="1">
        <v>40</v>
      </c>
      <c r="X42" s="22">
        <f t="shared" si="1"/>
        <v>471.42781554406133</v>
      </c>
      <c r="Y42" s="22">
        <f t="shared" si="9"/>
        <v>15883.305591152272</v>
      </c>
      <c r="Z42" s="22">
        <f t="shared" si="2"/>
        <v>1659.4259107150963</v>
      </c>
      <c r="AA42" s="1">
        <f t="shared" si="3"/>
        <v>0.05</v>
      </c>
      <c r="AB42" s="1">
        <f t="shared" si="4"/>
        <v>1.5</v>
      </c>
      <c r="AC42" s="1">
        <f t="shared" si="19"/>
        <v>0.9</v>
      </c>
      <c r="AD42" s="22">
        <f t="shared" si="16"/>
        <v>0</v>
      </c>
      <c r="AE42" s="22">
        <f t="shared" si="17"/>
        <v>0</v>
      </c>
      <c r="AF42" s="22">
        <f t="shared" si="18"/>
        <v>1659.4259107150961</v>
      </c>
      <c r="AG42" s="48">
        <f t="shared" si="8"/>
        <v>0</v>
      </c>
    </row>
    <row r="43" spans="2:33" ht="14.25" customHeight="1" x14ac:dyDescent="0.2">
      <c r="W43" s="1">
        <v>41</v>
      </c>
      <c r="X43" s="22">
        <f t="shared" si="1"/>
        <v>494.99920632126435</v>
      </c>
      <c r="Y43" s="22">
        <f t="shared" si="9"/>
        <v>16633.877711837493</v>
      </c>
      <c r="Z43" s="22">
        <f t="shared" si="2"/>
        <v>1742.3972062508506</v>
      </c>
      <c r="AA43" s="1">
        <f t="shared" si="3"/>
        <v>0.05</v>
      </c>
      <c r="AB43" s="1">
        <f t="shared" si="4"/>
        <v>1.5</v>
      </c>
      <c r="AC43" s="1">
        <f t="shared" si="19"/>
        <v>0.9</v>
      </c>
      <c r="AD43" s="22">
        <f t="shared" si="16"/>
        <v>0</v>
      </c>
      <c r="AE43" s="22">
        <f t="shared" si="17"/>
        <v>0</v>
      </c>
      <c r="AF43" s="22">
        <f t="shared" si="18"/>
        <v>1742.3972062508506</v>
      </c>
      <c r="AG43" s="48">
        <f t="shared" si="8"/>
        <v>0</v>
      </c>
    </row>
    <row r="44" spans="2:33" ht="14.25" customHeight="1" x14ac:dyDescent="0.2">
      <c r="W44" s="1">
        <v>42</v>
      </c>
      <c r="X44" s="22">
        <f t="shared" si="1"/>
        <v>519.74916663732756</v>
      </c>
      <c r="Y44" s="22">
        <f t="shared" si="9"/>
        <v>17417.766971469613</v>
      </c>
      <c r="Z44" s="22">
        <f t="shared" si="2"/>
        <v>1829.5170665633932</v>
      </c>
      <c r="AA44" s="1">
        <f t="shared" si="3"/>
        <v>0.05</v>
      </c>
      <c r="AB44" s="1">
        <f t="shared" si="4"/>
        <v>1.5</v>
      </c>
      <c r="AC44" s="1">
        <f t="shared" si="19"/>
        <v>0.9</v>
      </c>
      <c r="AD44" s="22">
        <f t="shared" si="16"/>
        <v>0</v>
      </c>
      <c r="AE44" s="22">
        <f t="shared" si="17"/>
        <v>0</v>
      </c>
      <c r="AF44" s="22">
        <f t="shared" si="18"/>
        <v>1829.5170665633934</v>
      </c>
      <c r="AG44" s="48">
        <f t="shared" si="8"/>
        <v>0</v>
      </c>
    </row>
    <row r="45" spans="2:33" ht="14.25" customHeight="1" x14ac:dyDescent="0.2">
      <c r="W45" s="1">
        <v>43</v>
      </c>
      <c r="X45" s="22">
        <f t="shared" si="1"/>
        <v>545.73662496919394</v>
      </c>
      <c r="Y45" s="22">
        <f t="shared" si="9"/>
        <v>18236.245598458801</v>
      </c>
      <c r="Z45" s="22">
        <f t="shared" si="2"/>
        <v>1920.9929198915629</v>
      </c>
      <c r="AA45" s="1">
        <f t="shared" si="3"/>
        <v>0.05</v>
      </c>
      <c r="AB45" s="1">
        <f t="shared" si="4"/>
        <v>1.5</v>
      </c>
      <c r="AC45" s="1">
        <f t="shared" si="19"/>
        <v>0.9</v>
      </c>
      <c r="AD45" s="22">
        <f t="shared" si="16"/>
        <v>0</v>
      </c>
      <c r="AE45" s="22">
        <f t="shared" si="17"/>
        <v>0</v>
      </c>
      <c r="AF45" s="22">
        <f t="shared" si="18"/>
        <v>1920.9929198915629</v>
      </c>
      <c r="AG45" s="48">
        <f t="shared" si="8"/>
        <v>0</v>
      </c>
    </row>
    <row r="46" spans="2:33" ht="14.25" customHeight="1" x14ac:dyDescent="0.2">
      <c r="W46" s="1">
        <v>44</v>
      </c>
      <c r="X46" s="22">
        <f t="shared" si="1"/>
        <v>573.0234562176538</v>
      </c>
      <c r="Y46" s="22">
        <f t="shared" si="9"/>
        <v>19090.614590891411</v>
      </c>
      <c r="Z46" s="22">
        <f t="shared" si="2"/>
        <v>2017.0425658861411</v>
      </c>
      <c r="AA46" s="1">
        <f t="shared" si="3"/>
        <v>0.05</v>
      </c>
      <c r="AB46" s="1">
        <f t="shared" si="4"/>
        <v>1.5</v>
      </c>
      <c r="AC46" s="1">
        <f t="shared" si="19"/>
        <v>0.9</v>
      </c>
      <c r="AD46" s="22">
        <f t="shared" si="16"/>
        <v>0</v>
      </c>
      <c r="AE46" s="22">
        <f t="shared" si="17"/>
        <v>0</v>
      </c>
      <c r="AF46" s="22">
        <f t="shared" si="18"/>
        <v>2017.0425658861413</v>
      </c>
      <c r="AG46" s="48">
        <f t="shared" si="8"/>
        <v>0</v>
      </c>
    </row>
    <row r="47" spans="2:33" ht="14.25" customHeight="1" x14ac:dyDescent="0.2">
      <c r="W47" s="1">
        <v>45</v>
      </c>
      <c r="X47" s="22">
        <f t="shared" si="1"/>
        <v>601.6746290285364</v>
      </c>
      <c r="Y47" s="22">
        <f t="shared" si="9"/>
        <v>19982.202354006091</v>
      </c>
      <c r="Z47" s="22">
        <f t="shared" si="2"/>
        <v>2117.8946941804484</v>
      </c>
      <c r="AA47" s="1">
        <f t="shared" si="3"/>
        <v>0.05</v>
      </c>
      <c r="AB47" s="1">
        <f t="shared" si="4"/>
        <v>1.5</v>
      </c>
      <c r="AC47" s="1">
        <f t="shared" si="19"/>
        <v>0.9</v>
      </c>
      <c r="AD47" s="22">
        <f t="shared" si="16"/>
        <v>0</v>
      </c>
      <c r="AE47" s="22">
        <f t="shared" si="17"/>
        <v>0</v>
      </c>
      <c r="AF47" s="22">
        <f t="shared" si="18"/>
        <v>2117.8946941804484</v>
      </c>
      <c r="AG47" s="48">
        <f t="shared" si="8"/>
        <v>0</v>
      </c>
    </row>
    <row r="48" spans="2:33" ht="14.25" customHeight="1" x14ac:dyDescent="0.2">
      <c r="W48" s="1">
        <v>46</v>
      </c>
      <c r="X48" s="22">
        <f t="shared" si="1"/>
        <v>631.75836047996336</v>
      </c>
      <c r="Y48" s="22">
        <f t="shared" si="9"/>
        <v>20912.36308501364</v>
      </c>
      <c r="Z48" s="22">
        <f t="shared" si="2"/>
        <v>2223.7894288894709</v>
      </c>
      <c r="AA48" s="1">
        <f t="shared" si="3"/>
        <v>0.05</v>
      </c>
      <c r="AB48" s="1">
        <f t="shared" si="4"/>
        <v>1.5</v>
      </c>
      <c r="AC48" s="1">
        <f t="shared" si="19"/>
        <v>0.9</v>
      </c>
      <c r="AD48" s="22">
        <f t="shared" si="16"/>
        <v>0</v>
      </c>
      <c r="AE48" s="22">
        <f t="shared" si="17"/>
        <v>0</v>
      </c>
      <c r="AF48" s="22">
        <f t="shared" si="18"/>
        <v>2223.7894288894709</v>
      </c>
      <c r="AG48" s="48">
        <f t="shared" si="8"/>
        <v>0</v>
      </c>
    </row>
    <row r="49" spans="23:33" ht="14.25" customHeight="1" x14ac:dyDescent="0.2">
      <c r="W49" s="1">
        <v>47</v>
      </c>
      <c r="X49" s="22">
        <f t="shared" si="1"/>
        <v>663.34627850396134</v>
      </c>
      <c r="Y49" s="22">
        <f t="shared" si="9"/>
        <v>21882.474886360644</v>
      </c>
      <c r="Z49" s="22">
        <f t="shared" si="2"/>
        <v>2334.9789003339438</v>
      </c>
      <c r="AA49" s="1">
        <f t="shared" si="3"/>
        <v>0.05</v>
      </c>
      <c r="AB49" s="1">
        <f t="shared" si="4"/>
        <v>1.5</v>
      </c>
      <c r="AC49" s="1">
        <f t="shared" si="19"/>
        <v>0.9</v>
      </c>
      <c r="AD49" s="22">
        <f t="shared" si="16"/>
        <v>0</v>
      </c>
      <c r="AE49" s="22">
        <f t="shared" si="17"/>
        <v>0</v>
      </c>
      <c r="AF49" s="22">
        <f t="shared" si="18"/>
        <v>2334.9789003339442</v>
      </c>
      <c r="AG49" s="48">
        <f t="shared" si="8"/>
        <v>0</v>
      </c>
    </row>
    <row r="50" spans="23:33" ht="14.25" customHeight="1" x14ac:dyDescent="0.2">
      <c r="W50" s="1">
        <v>48</v>
      </c>
      <c r="X50" s="22">
        <f t="shared" si="1"/>
        <v>696.51359242915953</v>
      </c>
      <c r="Y50" s="22">
        <f t="shared" si="9"/>
        <v>22893.937588314857</v>
      </c>
      <c r="Z50" s="22">
        <f t="shared" si="2"/>
        <v>2451.7278453506419</v>
      </c>
      <c r="AA50" s="1">
        <f t="shared" si="3"/>
        <v>0.05</v>
      </c>
      <c r="AB50" s="1">
        <f t="shared" si="4"/>
        <v>1.5</v>
      </c>
      <c r="AC50" s="1">
        <f t="shared" si="19"/>
        <v>0.9</v>
      </c>
      <c r="AD50" s="22">
        <f t="shared" si="16"/>
        <v>0</v>
      </c>
      <c r="AE50" s="22">
        <f t="shared" si="17"/>
        <v>0</v>
      </c>
      <c r="AF50" s="22">
        <f t="shared" si="18"/>
        <v>2451.7278453506419</v>
      </c>
      <c r="AG50" s="48">
        <f t="shared" si="8"/>
        <v>0</v>
      </c>
    </row>
    <row r="51" spans="23:33" ht="14.25" customHeight="1" x14ac:dyDescent="0.2">
      <c r="W51" s="1">
        <v>49</v>
      </c>
      <c r="X51" s="22">
        <f t="shared" si="1"/>
        <v>731.33927205061752</v>
      </c>
      <c r="Y51" s="22">
        <f t="shared" si="9"/>
        <v>23948.170261701849</v>
      </c>
      <c r="Z51" s="22">
        <f t="shared" si="2"/>
        <v>2574.3142376181736</v>
      </c>
      <c r="AA51" s="1">
        <f t="shared" si="3"/>
        <v>0.05</v>
      </c>
      <c r="AB51" s="1">
        <f t="shared" si="4"/>
        <v>1.5</v>
      </c>
      <c r="AC51" s="1">
        <f t="shared" si="19"/>
        <v>0.9</v>
      </c>
      <c r="AD51" s="22">
        <f t="shared" si="16"/>
        <v>0</v>
      </c>
      <c r="AE51" s="22">
        <f t="shared" si="17"/>
        <v>0</v>
      </c>
      <c r="AF51" s="22">
        <f t="shared" si="18"/>
        <v>2574.314237618174</v>
      </c>
      <c r="AG51" s="48">
        <f t="shared" si="8"/>
        <v>0</v>
      </c>
    </row>
    <row r="52" spans="23:33" ht="14.25" customHeight="1" x14ac:dyDescent="0.2">
      <c r="W52" s="1">
        <v>50</v>
      </c>
      <c r="X52" s="22">
        <f t="shared" si="1"/>
        <v>767.90623565314854</v>
      </c>
      <c r="Y52" s="22">
        <f t="shared" si="9"/>
        <v>25046.608401777103</v>
      </c>
      <c r="Z52" s="22">
        <f t="shared" si="2"/>
        <v>2703.0299494990827</v>
      </c>
      <c r="AA52" s="1">
        <f t="shared" si="3"/>
        <v>0.05</v>
      </c>
      <c r="AB52" s="1">
        <f t="shared" si="4"/>
        <v>1.5</v>
      </c>
      <c r="AC52" s="1">
        <f t="shared" si="19"/>
        <v>0.9</v>
      </c>
      <c r="AD52" s="22">
        <f t="shared" si="16"/>
        <v>0</v>
      </c>
      <c r="AE52" s="22">
        <f t="shared" si="17"/>
        <v>0</v>
      </c>
      <c r="AF52" s="22">
        <f t="shared" si="18"/>
        <v>2703.0299494990827</v>
      </c>
      <c r="AG52" s="48">
        <f t="shared" si="8"/>
        <v>0</v>
      </c>
    </row>
    <row r="53" spans="23:33" ht="14.25" customHeight="1" x14ac:dyDescent="0.2">
      <c r="W53" s="1">
        <v>51</v>
      </c>
      <c r="X53" s="22">
        <f t="shared" si="1"/>
        <v>806.3015474358059</v>
      </c>
      <c r="Y53" s="22">
        <f t="shared" si="9"/>
        <v>26190.700764605783</v>
      </c>
      <c r="Z53" s="22">
        <f t="shared" si="2"/>
        <v>2838.1814469740366</v>
      </c>
      <c r="AA53" s="1">
        <f t="shared" si="3"/>
        <v>0.05</v>
      </c>
      <c r="AB53" s="1">
        <f t="shared" si="4"/>
        <v>1.5</v>
      </c>
      <c r="AC53" s="1">
        <f t="shared" si="19"/>
        <v>0.9</v>
      </c>
      <c r="AD53" s="22">
        <f t="shared" si="16"/>
        <v>0</v>
      </c>
      <c r="AE53" s="22">
        <f t="shared" si="17"/>
        <v>0</v>
      </c>
      <c r="AF53" s="22">
        <f t="shared" si="18"/>
        <v>2838.181446974037</v>
      </c>
      <c r="AG53" s="48">
        <f t="shared" si="8"/>
        <v>0</v>
      </c>
    </row>
    <row r="54" spans="23:33" ht="14.25" customHeight="1" x14ac:dyDescent="0.2">
      <c r="W54" s="1">
        <v>52</v>
      </c>
      <c r="X54" s="22">
        <f t="shared" si="1"/>
        <v>846.61662480759628</v>
      </c>
      <c r="Y54" s="22">
        <f t="shared" si="9"/>
        <v>27381.905837978502</v>
      </c>
      <c r="Z54" s="22">
        <f t="shared" si="2"/>
        <v>2980.0905193227386</v>
      </c>
      <c r="AA54" s="1">
        <f t="shared" si="3"/>
        <v>0.05</v>
      </c>
      <c r="AB54" s="1">
        <f t="shared" si="4"/>
        <v>1.5</v>
      </c>
      <c r="AC54" s="1">
        <f t="shared" si="19"/>
        <v>0.9</v>
      </c>
      <c r="AD54" s="22">
        <f t="shared" si="16"/>
        <v>0</v>
      </c>
      <c r="AE54" s="22">
        <f t="shared" si="17"/>
        <v>0</v>
      </c>
      <c r="AF54" s="22">
        <f t="shared" si="18"/>
        <v>2980.0905193227386</v>
      </c>
      <c r="AG54" s="48">
        <f t="shared" si="8"/>
        <v>0</v>
      </c>
    </row>
    <row r="55" spans="23:33" ht="14.25" customHeight="1" x14ac:dyDescent="0.2">
      <c r="W55" s="1">
        <v>53</v>
      </c>
      <c r="X55" s="22">
        <f t="shared" si="1"/>
        <v>888.94745604797606</v>
      </c>
      <c r="Y55" s="22">
        <f t="shared" si="9"/>
        <v>28621.687929847281</v>
      </c>
      <c r="Z55" s="22">
        <f t="shared" si="2"/>
        <v>3129.0950452888756</v>
      </c>
      <c r="AA55" s="1">
        <f t="shared" si="3"/>
        <v>0.05</v>
      </c>
      <c r="AB55" s="1">
        <f t="shared" si="4"/>
        <v>1.5</v>
      </c>
      <c r="AC55" s="1">
        <f t="shared" si="19"/>
        <v>0.9</v>
      </c>
      <c r="AD55" s="22">
        <f t="shared" si="16"/>
        <v>0</v>
      </c>
      <c r="AE55" s="22">
        <f t="shared" si="17"/>
        <v>0</v>
      </c>
      <c r="AF55" s="22">
        <f t="shared" si="18"/>
        <v>3129.0950452888756</v>
      </c>
      <c r="AG55" s="48">
        <f t="shared" si="8"/>
        <v>0</v>
      </c>
    </row>
    <row r="56" spans="23:33" ht="14.25" customHeight="1" x14ac:dyDescent="0.2">
      <c r="W56" s="1">
        <v>54</v>
      </c>
      <c r="X56" s="22">
        <f t="shared" si="1"/>
        <v>933.39482885037478</v>
      </c>
      <c r="Y56" s="22">
        <f t="shared" si="9"/>
        <v>29911.512858559334</v>
      </c>
      <c r="Z56" s="22">
        <f t="shared" si="2"/>
        <v>3285.5497975533194</v>
      </c>
      <c r="AA56" s="1">
        <f t="shared" si="3"/>
        <v>0.05</v>
      </c>
      <c r="AB56" s="1">
        <f t="shared" si="4"/>
        <v>1.5</v>
      </c>
      <c r="AC56" s="1">
        <f t="shared" si="19"/>
        <v>0.9</v>
      </c>
      <c r="AD56" s="22">
        <f t="shared" si="16"/>
        <v>0</v>
      </c>
      <c r="AE56" s="22">
        <f t="shared" si="17"/>
        <v>0</v>
      </c>
      <c r="AF56" s="22">
        <f t="shared" si="18"/>
        <v>3285.5497975533194</v>
      </c>
      <c r="AG56" s="48">
        <f t="shared" si="8"/>
        <v>0</v>
      </c>
    </row>
    <row r="57" spans="23:33" ht="14.25" customHeight="1" x14ac:dyDescent="0.2">
      <c r="W57" s="1">
        <v>55</v>
      </c>
      <c r="X57" s="22">
        <f t="shared" si="1"/>
        <v>980.06457029289345</v>
      </c>
      <c r="Y57" s="22">
        <f t="shared" si="9"/>
        <v>31252.843230829989</v>
      </c>
      <c r="Z57" s="22">
        <f t="shared" si="2"/>
        <v>3449.8272874309851</v>
      </c>
      <c r="AA57" s="1">
        <f t="shared" si="3"/>
        <v>0.05</v>
      </c>
      <c r="AB57" s="1">
        <f t="shared" si="4"/>
        <v>1.5</v>
      </c>
      <c r="AC57" s="1">
        <f t="shared" si="19"/>
        <v>0.9</v>
      </c>
      <c r="AD57" s="22">
        <f t="shared" si="16"/>
        <v>0</v>
      </c>
      <c r="AE57" s="22">
        <f t="shared" si="17"/>
        <v>0</v>
      </c>
      <c r="AF57" s="22">
        <f t="shared" si="18"/>
        <v>3449.8272874309851</v>
      </c>
      <c r="AG57" s="48">
        <f t="shared" si="8"/>
        <v>0</v>
      </c>
    </row>
    <row r="58" spans="23:33" ht="14.25" customHeight="1" x14ac:dyDescent="0.2">
      <c r="W58" s="1">
        <v>56</v>
      </c>
      <c r="X58" s="22">
        <f t="shared" si="1"/>
        <v>1029.0677988075383</v>
      </c>
      <c r="Y58" s="22">
        <f t="shared" si="9"/>
        <v>32647.13329546633</v>
      </c>
      <c r="Z58" s="22">
        <f t="shared" si="2"/>
        <v>3622.318651802535</v>
      </c>
      <c r="AA58" s="1">
        <f t="shared" si="3"/>
        <v>0.05</v>
      </c>
      <c r="AB58" s="1">
        <f t="shared" si="4"/>
        <v>1.5</v>
      </c>
      <c r="AC58" s="1">
        <f t="shared" si="19"/>
        <v>0.9</v>
      </c>
      <c r="AD58" s="22">
        <f t="shared" si="16"/>
        <v>0</v>
      </c>
      <c r="AE58" s="22">
        <f t="shared" si="17"/>
        <v>0</v>
      </c>
      <c r="AF58" s="22">
        <f t="shared" si="18"/>
        <v>3622.318651802535</v>
      </c>
      <c r="AG58" s="48">
        <f t="shared" si="8"/>
        <v>0</v>
      </c>
    </row>
    <row r="59" spans="23:33" ht="14.25" customHeight="1" x14ac:dyDescent="0.2">
      <c r="W59" s="1">
        <v>57</v>
      </c>
      <c r="X59" s="22">
        <f t="shared" si="1"/>
        <v>1080.5211887479149</v>
      </c>
      <c r="Y59" s="22">
        <f t="shared" si="9"/>
        <v>34095.823363362841</v>
      </c>
      <c r="Z59" s="22">
        <f t="shared" si="2"/>
        <v>3803.4345843926608</v>
      </c>
      <c r="AA59" s="1">
        <f t="shared" si="3"/>
        <v>0.05</v>
      </c>
      <c r="AB59" s="1">
        <f t="shared" si="4"/>
        <v>1.5</v>
      </c>
      <c r="AC59" s="1">
        <f t="shared" si="19"/>
        <v>0.9</v>
      </c>
      <c r="AD59" s="22">
        <f t="shared" si="16"/>
        <v>0</v>
      </c>
      <c r="AE59" s="22">
        <f t="shared" si="17"/>
        <v>0</v>
      </c>
      <c r="AF59" s="22">
        <f t="shared" si="18"/>
        <v>3803.4345843926612</v>
      </c>
      <c r="AG59" s="48">
        <f t="shared" si="8"/>
        <v>0</v>
      </c>
    </row>
    <row r="60" spans="23:33" ht="14.25" customHeight="1" x14ac:dyDescent="0.2">
      <c r="W60" s="1">
        <v>58</v>
      </c>
      <c r="X60" s="22">
        <f t="shared" si="1"/>
        <v>1134.547248185311</v>
      </c>
      <c r="Y60" s="22">
        <f t="shared" si="9"/>
        <v>35600.333787270545</v>
      </c>
      <c r="Z60" s="22">
        <f t="shared" si="2"/>
        <v>3993.6063136122948</v>
      </c>
      <c r="AA60" s="1">
        <f t="shared" si="3"/>
        <v>0.05</v>
      </c>
      <c r="AB60" s="1">
        <f t="shared" si="4"/>
        <v>1.5</v>
      </c>
      <c r="AC60" s="1">
        <f t="shared" si="19"/>
        <v>0.9</v>
      </c>
      <c r="AD60" s="22">
        <f t="shared" si="16"/>
        <v>0</v>
      </c>
      <c r="AE60" s="22">
        <f t="shared" si="17"/>
        <v>0</v>
      </c>
      <c r="AF60" s="22">
        <f t="shared" si="18"/>
        <v>3993.6063136122948</v>
      </c>
      <c r="AG60" s="48">
        <f t="shared" si="8"/>
        <v>0</v>
      </c>
    </row>
    <row r="61" spans="23:33" ht="14.25" customHeight="1" x14ac:dyDescent="0.2">
      <c r="W61" s="1">
        <v>59</v>
      </c>
      <c r="X61" s="22">
        <f t="shared" si="1"/>
        <v>1191.2746105945766</v>
      </c>
      <c r="Y61" s="22">
        <f t="shared" si="9"/>
        <v>37162.058498318307</v>
      </c>
      <c r="Z61" s="22">
        <f t="shared" si="2"/>
        <v>4193.2866292929093</v>
      </c>
      <c r="AA61" s="1">
        <f t="shared" si="3"/>
        <v>0.05</v>
      </c>
      <c r="AB61" s="1">
        <f t="shared" si="4"/>
        <v>1.5</v>
      </c>
      <c r="AC61" s="1">
        <f t="shared" si="19"/>
        <v>0.9</v>
      </c>
      <c r="AD61" s="22">
        <f t="shared" si="16"/>
        <v>0</v>
      </c>
      <c r="AE61" s="22">
        <f t="shared" si="17"/>
        <v>0</v>
      </c>
      <c r="AF61" s="22">
        <f t="shared" si="18"/>
        <v>4193.2866292929093</v>
      </c>
      <c r="AG61" s="48">
        <f t="shared" si="8"/>
        <v>0</v>
      </c>
    </row>
    <row r="62" spans="23:33" ht="14.25" customHeight="1" x14ac:dyDescent="0.2">
      <c r="W62" s="1">
        <v>60</v>
      </c>
      <c r="X62" s="22">
        <f t="shared" si="1"/>
        <v>1250.8383411243053</v>
      </c>
      <c r="Y62" s="22">
        <f t="shared" si="9"/>
        <v>38782.358100264144</v>
      </c>
      <c r="Z62" s="22">
        <f t="shared" si="2"/>
        <v>4402.9509607575546</v>
      </c>
      <c r="AA62" s="1">
        <f t="shared" si="3"/>
        <v>0.05</v>
      </c>
      <c r="AB62" s="1">
        <f t="shared" si="4"/>
        <v>1.5</v>
      </c>
      <c r="AC62" s="1">
        <f t="shared" si="19"/>
        <v>0.9</v>
      </c>
      <c r="AD62" s="22">
        <f t="shared" si="16"/>
        <v>0</v>
      </c>
      <c r="AE62" s="22">
        <f t="shared" si="17"/>
        <v>0</v>
      </c>
      <c r="AF62" s="22">
        <f t="shared" si="18"/>
        <v>4402.9509607575555</v>
      </c>
      <c r="AG62" s="48">
        <f t="shared" si="8"/>
        <v>0</v>
      </c>
    </row>
    <row r="63" spans="23:33" ht="14.25" customHeight="1" x14ac:dyDescent="0.2">
      <c r="W63" s="1">
        <v>61</v>
      </c>
      <c r="X63" s="22">
        <f t="shared" si="1"/>
        <v>1313.3802581805205</v>
      </c>
      <c r="Y63" s="22">
        <f t="shared" si="9"/>
        <v>40462.552526988205</v>
      </c>
      <c r="Z63" s="22">
        <f t="shared" si="2"/>
        <v>4623.0985087954323</v>
      </c>
      <c r="AA63" s="1">
        <f t="shared" si="3"/>
        <v>0.05</v>
      </c>
      <c r="AB63" s="1">
        <f t="shared" si="4"/>
        <v>1.5</v>
      </c>
      <c r="AC63" s="1">
        <f t="shared" si="19"/>
        <v>0.9</v>
      </c>
      <c r="AD63" s="22">
        <f t="shared" si="16"/>
        <v>0</v>
      </c>
      <c r="AE63" s="22">
        <f t="shared" si="17"/>
        <v>0</v>
      </c>
      <c r="AF63" s="22">
        <f t="shared" si="18"/>
        <v>4623.0985087954323</v>
      </c>
      <c r="AG63" s="48">
        <f t="shared" si="8"/>
        <v>0</v>
      </c>
    </row>
    <row r="64" spans="23:33" ht="14.25" customHeight="1" x14ac:dyDescent="0.2">
      <c r="W64" s="1">
        <v>62</v>
      </c>
      <c r="X64" s="22">
        <f t="shared" si="1"/>
        <v>1379.0492710895469</v>
      </c>
      <c r="Y64" s="22">
        <f t="shared" si="9"/>
        <v>42203.913273819373</v>
      </c>
      <c r="Z64" s="22">
        <f t="shared" si="2"/>
        <v>4854.2534342352046</v>
      </c>
      <c r="AA64" s="1">
        <f t="shared" si="3"/>
        <v>0.05</v>
      </c>
      <c r="AB64" s="1">
        <f t="shared" si="4"/>
        <v>1.5</v>
      </c>
      <c r="AC64" s="1">
        <f t="shared" si="19"/>
        <v>0.9</v>
      </c>
      <c r="AD64" s="22">
        <f t="shared" si="16"/>
        <v>0</v>
      </c>
      <c r="AE64" s="22">
        <f t="shared" si="17"/>
        <v>0</v>
      </c>
      <c r="AF64" s="22">
        <f t="shared" si="18"/>
        <v>4854.2534342352055</v>
      </c>
      <c r="AG64" s="48">
        <f t="shared" si="8"/>
        <v>0</v>
      </c>
    </row>
    <row r="65" spans="23:33" ht="14.25" customHeight="1" x14ac:dyDescent="0.2">
      <c r="W65" s="1">
        <v>63</v>
      </c>
      <c r="X65" s="22">
        <f t="shared" si="1"/>
        <v>1448.0017346440236</v>
      </c>
      <c r="Y65" s="22">
        <f t="shared" si="9"/>
        <v>44007.655218910222</v>
      </c>
      <c r="Z65" s="22">
        <f t="shared" si="2"/>
        <v>5096.9661059469627</v>
      </c>
      <c r="AA65" s="1">
        <f t="shared" si="3"/>
        <v>0.05</v>
      </c>
      <c r="AB65" s="1">
        <f t="shared" si="4"/>
        <v>1.5</v>
      </c>
      <c r="AC65" s="1">
        <f t="shared" si="19"/>
        <v>0.9</v>
      </c>
      <c r="AD65" s="22">
        <f t="shared" si="16"/>
        <v>0</v>
      </c>
      <c r="AE65" s="22">
        <f t="shared" si="17"/>
        <v>0</v>
      </c>
      <c r="AF65" s="22">
        <f t="shared" si="18"/>
        <v>5096.9661059469636</v>
      </c>
      <c r="AG65" s="48">
        <f t="shared" si="8"/>
        <v>0</v>
      </c>
    </row>
    <row r="66" spans="23:33" ht="14.25" customHeight="1" x14ac:dyDescent="0.2">
      <c r="W66" s="1">
        <v>64</v>
      </c>
      <c r="X66" s="22">
        <f t="shared" si="1"/>
        <v>1520.4018213762256</v>
      </c>
      <c r="Y66" s="22">
        <f t="shared" si="9"/>
        <v>45874.928057029945</v>
      </c>
      <c r="Z66" s="22">
        <f t="shared" si="2"/>
        <v>5351.8144112443133</v>
      </c>
      <c r="AA66" s="1">
        <f t="shared" si="3"/>
        <v>0.05</v>
      </c>
      <c r="AB66" s="1">
        <f t="shared" si="4"/>
        <v>1.5</v>
      </c>
      <c r="AC66" s="1">
        <f t="shared" si="19"/>
        <v>0.9</v>
      </c>
      <c r="AD66" s="22">
        <f t="shared" si="16"/>
        <v>0</v>
      </c>
      <c r="AE66" s="22">
        <f t="shared" si="17"/>
        <v>0</v>
      </c>
      <c r="AF66" s="22">
        <f t="shared" si="18"/>
        <v>5351.8144112443142</v>
      </c>
      <c r="AG66" s="48">
        <f t="shared" si="8"/>
        <v>0</v>
      </c>
    </row>
    <row r="67" spans="23:33" ht="14.25" customHeight="1" x14ac:dyDescent="0.2">
      <c r="W67" s="1">
        <v>65</v>
      </c>
      <c r="X67" s="22">
        <f t="shared" si="1"/>
        <v>1596.4219124450367</v>
      </c>
      <c r="Y67" s="22">
        <f t="shared" si="9"/>
        <v>47806.807374803793</v>
      </c>
      <c r="Z67" s="22">
        <f t="shared" si="2"/>
        <v>5619.4051318065294</v>
      </c>
      <c r="AA67" s="1">
        <f t="shared" si="3"/>
        <v>0.05</v>
      </c>
      <c r="AB67" s="1">
        <f t="shared" si="4"/>
        <v>1.5</v>
      </c>
      <c r="AC67" s="1">
        <f t="shared" ref="AC67:AC102" si="20">VLOOKUP($X$1,$E:$R,MATCH(AC$2,$E$15:$R$15,0),0)</f>
        <v>0.9</v>
      </c>
      <c r="AD67" s="22">
        <f t="shared" si="16"/>
        <v>0</v>
      </c>
      <c r="AE67" s="22">
        <f t="shared" si="17"/>
        <v>0</v>
      </c>
      <c r="AF67" s="22">
        <f t="shared" si="18"/>
        <v>5619.4051318065294</v>
      </c>
      <c r="AG67" s="48">
        <f t="shared" si="8"/>
        <v>0</v>
      </c>
    </row>
    <row r="68" spans="23:33" ht="14.25" customHeight="1" x14ac:dyDescent="0.2">
      <c r="W68" s="1">
        <v>66</v>
      </c>
      <c r="X68" s="22">
        <f t="shared" ref="X68:X102" si="21">VLOOKUP($X$1,$E:$R,MATCH(X$2,$E$15:$R$15,0),0)*$C$6^($W68-1)*$C$13*VLOOKUP($Y$1,$B:$C,2,0)</f>
        <v>1676.2430080672887</v>
      </c>
      <c r="Y68" s="22">
        <f t="shared" ref="Y68:Y102" si="22">VLOOKUP(VLOOKUP($Z$1,$K$4:$L$10,2,0),$E$4:$G$7,3,0)*$C$5*VLOOKUP($X$1,$E:$R,MATCH("生命偏向",$E$15:$R$15,0),0)/(1+VLOOKUP($X$1,$E:$R,MATCH($Z$2,$E$15:$R$15,0),0)*$C$6^($W68-1)/$C$8)*$C$6^($W68-1)*$C$13*VLOOKUP($Y$1,$B:$C,2,0)</f>
        <v>49804.285403553957</v>
      </c>
      <c r="Z68" s="22">
        <f t="shared" ref="Z68:Z102" si="23">VLOOKUP($X$1,$E:$R,MATCH(Z$2,$E$15:$R$15,0),0)*$C$6^($W68-1)*$C$13*VLOOKUP($Y$1,$B:$C,2,0)</f>
        <v>5900.3753883968566</v>
      </c>
      <c r="AA68" s="1">
        <f t="shared" ref="AA68:AA102" si="24">$AA$1</f>
        <v>0.05</v>
      </c>
      <c r="AB68" s="1">
        <f t="shared" ref="AB68:AB102" si="25">$AB$1</f>
        <v>1.5</v>
      </c>
      <c r="AC68" s="1">
        <f t="shared" si="20"/>
        <v>0.9</v>
      </c>
      <c r="AD68" s="22">
        <f t="shared" si="16"/>
        <v>0</v>
      </c>
      <c r="AE68" s="22">
        <f t="shared" si="17"/>
        <v>0</v>
      </c>
      <c r="AF68" s="22">
        <f t="shared" si="18"/>
        <v>5900.3753883968566</v>
      </c>
      <c r="AG68" s="48">
        <f t="shared" ref="AG68:AG102" si="26">AF68-Z68</f>
        <v>0</v>
      </c>
    </row>
    <row r="69" spans="23:33" ht="14.25" customHeight="1" x14ac:dyDescent="0.2">
      <c r="W69" s="1">
        <v>67</v>
      </c>
      <c r="X69" s="22">
        <f t="shared" si="21"/>
        <v>1760.0551584706529</v>
      </c>
      <c r="Y69" s="22">
        <f t="shared" si="22"/>
        <v>51868.26149342885</v>
      </c>
      <c r="Z69" s="22">
        <f t="shared" si="23"/>
        <v>6195.3941578166987</v>
      </c>
      <c r="AA69" s="1">
        <f t="shared" si="24"/>
        <v>0.05</v>
      </c>
      <c r="AB69" s="1">
        <f t="shared" si="25"/>
        <v>1.5</v>
      </c>
      <c r="AC69" s="1">
        <f t="shared" si="20"/>
        <v>0.9</v>
      </c>
      <c r="AD69" s="22">
        <f t="shared" si="16"/>
        <v>0</v>
      </c>
      <c r="AE69" s="22">
        <f t="shared" si="17"/>
        <v>0</v>
      </c>
      <c r="AF69" s="22">
        <f t="shared" si="18"/>
        <v>6195.3941578166987</v>
      </c>
      <c r="AG69" s="48">
        <f t="shared" si="26"/>
        <v>0</v>
      </c>
    </row>
    <row r="70" spans="23:33" ht="14.25" customHeight="1" x14ac:dyDescent="0.2">
      <c r="W70" s="1">
        <v>68</v>
      </c>
      <c r="X70" s="22">
        <f t="shared" si="21"/>
        <v>1848.0579163941857</v>
      </c>
      <c r="Y70" s="22">
        <f t="shared" si="22"/>
        <v>53999.532360376797</v>
      </c>
      <c r="Z70" s="22">
        <f t="shared" si="23"/>
        <v>6505.1638657075346</v>
      </c>
      <c r="AA70" s="1">
        <f t="shared" si="24"/>
        <v>0.05</v>
      </c>
      <c r="AB70" s="1">
        <f t="shared" si="25"/>
        <v>1.5</v>
      </c>
      <c r="AC70" s="1">
        <f t="shared" si="20"/>
        <v>0.9</v>
      </c>
      <c r="AD70" s="22">
        <f t="shared" si="16"/>
        <v>0</v>
      </c>
      <c r="AE70" s="22">
        <f t="shared" si="17"/>
        <v>0</v>
      </c>
      <c r="AF70" s="22">
        <f t="shared" si="18"/>
        <v>6505.1638657075337</v>
      </c>
      <c r="AG70" s="48">
        <f t="shared" si="26"/>
        <v>0</v>
      </c>
    </row>
    <row r="71" spans="23:33" ht="14.25" customHeight="1" x14ac:dyDescent="0.2">
      <c r="W71" s="1">
        <v>69</v>
      </c>
      <c r="X71" s="22">
        <f t="shared" si="21"/>
        <v>1940.4608122138948</v>
      </c>
      <c r="Y71" s="22">
        <f t="shared" si="22"/>
        <v>56198.782165628145</v>
      </c>
      <c r="Z71" s="22">
        <f t="shared" si="23"/>
        <v>6830.4220589929091</v>
      </c>
      <c r="AA71" s="1">
        <f t="shared" si="24"/>
        <v>0.05</v>
      </c>
      <c r="AB71" s="1">
        <f t="shared" si="25"/>
        <v>1.5</v>
      </c>
      <c r="AC71" s="1">
        <f t="shared" si="20"/>
        <v>0.9</v>
      </c>
      <c r="AD71" s="22">
        <f t="shared" si="16"/>
        <v>0</v>
      </c>
      <c r="AE71" s="22">
        <f t="shared" si="17"/>
        <v>0</v>
      </c>
      <c r="AF71" s="22">
        <f t="shared" si="18"/>
        <v>6830.42205899291</v>
      </c>
      <c r="AG71" s="48">
        <f t="shared" si="26"/>
        <v>0</v>
      </c>
    </row>
    <row r="72" spans="23:33" ht="14.25" customHeight="1" x14ac:dyDescent="0.2">
      <c r="W72" s="1">
        <v>70</v>
      </c>
      <c r="X72" s="22">
        <f t="shared" si="21"/>
        <v>2037.4838528245898</v>
      </c>
      <c r="Y72" s="22">
        <f t="shared" si="22"/>
        <v>58466.572495587236</v>
      </c>
      <c r="Z72" s="22">
        <f t="shared" si="23"/>
        <v>7171.943161942555</v>
      </c>
      <c r="AA72" s="1">
        <f t="shared" si="24"/>
        <v>0.05</v>
      </c>
      <c r="AB72" s="1">
        <f t="shared" si="25"/>
        <v>1.5</v>
      </c>
      <c r="AC72" s="1">
        <f t="shared" si="20"/>
        <v>0.9</v>
      </c>
      <c r="AD72" s="22">
        <f t="shared" si="16"/>
        <v>0</v>
      </c>
      <c r="AE72" s="22">
        <f t="shared" si="17"/>
        <v>0</v>
      </c>
      <c r="AF72" s="22">
        <f t="shared" si="18"/>
        <v>7171.9431619425559</v>
      </c>
      <c r="AG72" s="48">
        <f t="shared" si="26"/>
        <v>0</v>
      </c>
    </row>
    <row r="73" spans="23:33" ht="14.25" customHeight="1" x14ac:dyDescent="0.2">
      <c r="W73" s="1">
        <v>71</v>
      </c>
      <c r="X73" s="22">
        <f t="shared" si="21"/>
        <v>2139.358045465819</v>
      </c>
      <c r="Y73" s="22">
        <f t="shared" si="22"/>
        <v>60803.332318268309</v>
      </c>
      <c r="Z73" s="22">
        <f t="shared" si="23"/>
        <v>7530.5403200396831</v>
      </c>
      <c r="AA73" s="1">
        <f t="shared" si="24"/>
        <v>0.05</v>
      </c>
      <c r="AB73" s="1">
        <f t="shared" si="25"/>
        <v>1.5</v>
      </c>
      <c r="AC73" s="1">
        <f t="shared" si="20"/>
        <v>0.9</v>
      </c>
      <c r="AD73" s="22">
        <f t="shared" si="16"/>
        <v>0</v>
      </c>
      <c r="AE73" s="22">
        <f t="shared" si="17"/>
        <v>0</v>
      </c>
      <c r="AF73" s="22">
        <f t="shared" si="18"/>
        <v>7530.5403200396831</v>
      </c>
      <c r="AG73" s="48">
        <f t="shared" si="26"/>
        <v>0</v>
      </c>
    </row>
    <row r="74" spans="23:33" ht="14.25" customHeight="1" x14ac:dyDescent="0.2">
      <c r="W74" s="1">
        <v>72</v>
      </c>
      <c r="X74" s="22">
        <f t="shared" si="21"/>
        <v>2246.3259477391102</v>
      </c>
      <c r="Y74" s="22">
        <f t="shared" si="22"/>
        <v>63209.348000486119</v>
      </c>
      <c r="Z74" s="22">
        <f t="shared" si="23"/>
        <v>7907.0673360416677</v>
      </c>
      <c r="AA74" s="1">
        <f t="shared" si="24"/>
        <v>0.05</v>
      </c>
      <c r="AB74" s="1">
        <f t="shared" si="25"/>
        <v>1.5</v>
      </c>
      <c r="AC74" s="1">
        <f t="shared" si="20"/>
        <v>0.9</v>
      </c>
      <c r="AD74" s="22">
        <f t="shared" si="16"/>
        <v>0</v>
      </c>
      <c r="AE74" s="22">
        <f t="shared" si="17"/>
        <v>0</v>
      </c>
      <c r="AF74" s="22">
        <f t="shared" si="18"/>
        <v>7907.0673360416686</v>
      </c>
      <c r="AG74" s="48">
        <f t="shared" si="26"/>
        <v>0</v>
      </c>
    </row>
    <row r="75" spans="23:33" ht="14.25" customHeight="1" x14ac:dyDescent="0.2">
      <c r="W75" s="1">
        <v>73</v>
      </c>
      <c r="X75" s="22">
        <f t="shared" si="21"/>
        <v>2358.642245126066</v>
      </c>
      <c r="Y75" s="22">
        <f t="shared" si="22"/>
        <v>65684.753477761595</v>
      </c>
      <c r="Z75" s="22">
        <f t="shared" si="23"/>
        <v>8302.4207028437522</v>
      </c>
      <c r="AA75" s="1">
        <f t="shared" si="24"/>
        <v>0.05</v>
      </c>
      <c r="AB75" s="1">
        <f t="shared" si="25"/>
        <v>1.5</v>
      </c>
      <c r="AC75" s="1">
        <f t="shared" si="20"/>
        <v>0.9</v>
      </c>
      <c r="AD75" s="22">
        <f t="shared" si="16"/>
        <v>0</v>
      </c>
      <c r="AE75" s="22">
        <f t="shared" si="17"/>
        <v>0</v>
      </c>
      <c r="AF75" s="22">
        <f t="shared" si="18"/>
        <v>8302.4207028437522</v>
      </c>
      <c r="AG75" s="48">
        <f t="shared" si="26"/>
        <v>0</v>
      </c>
    </row>
    <row r="76" spans="23:33" ht="14.25" customHeight="1" x14ac:dyDescent="0.2">
      <c r="W76" s="1">
        <v>74</v>
      </c>
      <c r="X76" s="22">
        <f t="shared" si="21"/>
        <v>2476.5743573823688</v>
      </c>
      <c r="Y76" s="22">
        <f t="shared" si="22"/>
        <v>68229.520676139189</v>
      </c>
      <c r="Z76" s="22">
        <f t="shared" si="23"/>
        <v>8717.5417379859391</v>
      </c>
      <c r="AA76" s="1">
        <f t="shared" si="24"/>
        <v>0.05</v>
      </c>
      <c r="AB76" s="1">
        <f t="shared" si="25"/>
        <v>1.5</v>
      </c>
      <c r="AC76" s="1">
        <f t="shared" si="20"/>
        <v>0.9</v>
      </c>
      <c r="AD76" s="22">
        <f t="shared" si="16"/>
        <v>0</v>
      </c>
      <c r="AE76" s="22">
        <f t="shared" si="17"/>
        <v>0</v>
      </c>
      <c r="AF76" s="22">
        <f t="shared" si="18"/>
        <v>8717.5417379859391</v>
      </c>
      <c r="AG76" s="48">
        <f t="shared" si="26"/>
        <v>0</v>
      </c>
    </row>
    <row r="77" spans="23:33" ht="14.25" customHeight="1" x14ac:dyDescent="0.2">
      <c r="W77" s="1">
        <v>75</v>
      </c>
      <c r="X77" s="22">
        <f t="shared" si="21"/>
        <v>2600.4030752514873</v>
      </c>
      <c r="Y77" s="22">
        <f t="shared" si="22"/>
        <v>70843.450291633213</v>
      </c>
      <c r="Z77" s="22">
        <f t="shared" si="23"/>
        <v>9153.4188248852352</v>
      </c>
      <c r="AA77" s="1">
        <f t="shared" si="24"/>
        <v>0.05</v>
      </c>
      <c r="AB77" s="1">
        <f t="shared" si="25"/>
        <v>1.5</v>
      </c>
      <c r="AC77" s="1">
        <f t="shared" si="20"/>
        <v>0.9</v>
      </c>
      <c r="AD77" s="22">
        <f t="shared" si="16"/>
        <v>0</v>
      </c>
      <c r="AE77" s="22">
        <f t="shared" si="17"/>
        <v>0</v>
      </c>
      <c r="AF77" s="22">
        <f t="shared" si="18"/>
        <v>9153.4188248852352</v>
      </c>
      <c r="AG77" s="48">
        <f t="shared" si="26"/>
        <v>0</v>
      </c>
    </row>
    <row r="78" spans="23:33" ht="14.25" customHeight="1" x14ac:dyDescent="0.2">
      <c r="W78" s="1">
        <v>76</v>
      </c>
      <c r="X78" s="22">
        <f t="shared" si="21"/>
        <v>2730.4232290140621</v>
      </c>
      <c r="Y78" s="22">
        <f t="shared" si="22"/>
        <v>73526.16303861537</v>
      </c>
      <c r="Z78" s="22">
        <f t="shared" si="23"/>
        <v>9611.0897661294966</v>
      </c>
      <c r="AA78" s="1">
        <f t="shared" si="24"/>
        <v>0.05</v>
      </c>
      <c r="AB78" s="1">
        <f t="shared" si="25"/>
        <v>1.5</v>
      </c>
      <c r="AC78" s="1">
        <f t="shared" si="20"/>
        <v>0.9</v>
      </c>
      <c r="AD78" s="22">
        <f t="shared" si="16"/>
        <v>0</v>
      </c>
      <c r="AE78" s="22">
        <f t="shared" si="17"/>
        <v>0</v>
      </c>
      <c r="AF78" s="22">
        <f t="shared" si="18"/>
        <v>9611.0897661294985</v>
      </c>
      <c r="AG78" s="48">
        <f t="shared" si="26"/>
        <v>0</v>
      </c>
    </row>
    <row r="79" spans="23:33" ht="14.25" customHeight="1" x14ac:dyDescent="0.2">
      <c r="W79" s="1">
        <v>77</v>
      </c>
      <c r="X79" s="22">
        <f t="shared" si="21"/>
        <v>2866.9443904647646</v>
      </c>
      <c r="Y79" s="22">
        <f t="shared" si="22"/>
        <v>76277.09148290634</v>
      </c>
      <c r="Z79" s="22">
        <f t="shared" si="23"/>
        <v>10091.644254435971</v>
      </c>
      <c r="AA79" s="1">
        <f t="shared" si="24"/>
        <v>0.05</v>
      </c>
      <c r="AB79" s="1">
        <f t="shared" si="25"/>
        <v>1.5</v>
      </c>
      <c r="AC79" s="1">
        <f t="shared" si="20"/>
        <v>0.9</v>
      </c>
      <c r="AD79" s="22">
        <f t="shared" si="16"/>
        <v>0</v>
      </c>
      <c r="AE79" s="22">
        <f t="shared" si="17"/>
        <v>0</v>
      </c>
      <c r="AF79" s="22">
        <f t="shared" si="18"/>
        <v>10091.644254435972</v>
      </c>
      <c r="AG79" s="48">
        <f t="shared" si="26"/>
        <v>0</v>
      </c>
    </row>
    <row r="80" spans="23:33" ht="14.25" customHeight="1" x14ac:dyDescent="0.2">
      <c r="W80" s="1">
        <v>78</v>
      </c>
      <c r="X80" s="22">
        <f t="shared" si="21"/>
        <v>3010.2916099880035</v>
      </c>
      <c r="Y80" s="22">
        <f t="shared" si="22"/>
        <v>79095.472578423229</v>
      </c>
      <c r="Z80" s="22">
        <f t="shared" si="23"/>
        <v>10596.226467157772</v>
      </c>
      <c r="AA80" s="1">
        <f t="shared" si="24"/>
        <v>0.05</v>
      </c>
      <c r="AB80" s="1">
        <f t="shared" si="25"/>
        <v>1.5</v>
      </c>
      <c r="AC80" s="1">
        <f t="shared" si="20"/>
        <v>0.9</v>
      </c>
      <c r="AD80" s="22">
        <f t="shared" si="16"/>
        <v>0</v>
      </c>
      <c r="AE80" s="22">
        <f t="shared" si="17"/>
        <v>0</v>
      </c>
      <c r="AF80" s="22">
        <f t="shared" si="18"/>
        <v>10596.226467157772</v>
      </c>
      <c r="AG80" s="48">
        <f t="shared" si="26"/>
        <v>0</v>
      </c>
    </row>
    <row r="81" spans="23:33" ht="14.25" customHeight="1" x14ac:dyDescent="0.2">
      <c r="W81" s="1">
        <v>79</v>
      </c>
      <c r="X81" s="22">
        <f t="shared" si="21"/>
        <v>3160.8061904874025</v>
      </c>
      <c r="Y81" s="22">
        <f t="shared" si="22"/>
        <v>81980.341027748917</v>
      </c>
      <c r="Z81" s="22">
        <f t="shared" si="23"/>
        <v>11126.037790515658</v>
      </c>
      <c r="AA81" s="1">
        <f t="shared" si="24"/>
        <v>0.05</v>
      </c>
      <c r="AB81" s="1">
        <f t="shared" si="25"/>
        <v>1.5</v>
      </c>
      <c r="AC81" s="1">
        <f t="shared" si="20"/>
        <v>0.9</v>
      </c>
      <c r="AD81" s="22">
        <f t="shared" si="16"/>
        <v>0</v>
      </c>
      <c r="AE81" s="22">
        <f t="shared" si="17"/>
        <v>0</v>
      </c>
      <c r="AF81" s="22">
        <f t="shared" si="18"/>
        <v>11126.037790515658</v>
      </c>
      <c r="AG81" s="48">
        <f t="shared" si="26"/>
        <v>0</v>
      </c>
    </row>
    <row r="82" spans="23:33" ht="14.25" customHeight="1" x14ac:dyDescent="0.2">
      <c r="W82" s="1">
        <v>80</v>
      </c>
      <c r="X82" s="22">
        <f t="shared" si="21"/>
        <v>3318.846500011774</v>
      </c>
      <c r="Y82" s="22">
        <f t="shared" si="22"/>
        <v>84930.523586730968</v>
      </c>
      <c r="Z82" s="22">
        <f t="shared" si="23"/>
        <v>11682.339680041445</v>
      </c>
      <c r="AA82" s="1">
        <f t="shared" si="24"/>
        <v>0.05</v>
      </c>
      <c r="AB82" s="1">
        <f t="shared" si="25"/>
        <v>1.5</v>
      </c>
      <c r="AC82" s="1">
        <f t="shared" si="20"/>
        <v>0.9</v>
      </c>
      <c r="AD82" s="22">
        <f t="shared" ref="AD82:AD102" si="27">$N$11*$C$6^(W82-1)-X82</f>
        <v>0</v>
      </c>
      <c r="AE82" s="22">
        <f t="shared" ref="AE82:AE102" si="28">$R$11*$C$6^(W82-1)/(1+AF82/$C$13/$C$8)*$C$13-Y82</f>
        <v>0</v>
      </c>
      <c r="AF82" s="22">
        <f t="shared" ref="AF82:AF102" si="29">$P$11*$C$6^(W82-1)</f>
        <v>11682.339680041445</v>
      </c>
      <c r="AG82" s="48">
        <f t="shared" si="26"/>
        <v>0</v>
      </c>
    </row>
    <row r="83" spans="23:33" ht="14.25" customHeight="1" x14ac:dyDescent="0.2">
      <c r="W83" s="1">
        <v>81</v>
      </c>
      <c r="X83" s="22">
        <f t="shared" si="21"/>
        <v>3484.7888250123624</v>
      </c>
      <c r="Y83" s="22">
        <f t="shared" si="22"/>
        <v>87944.634431004175</v>
      </c>
      <c r="Z83" s="22">
        <f t="shared" si="23"/>
        <v>12266.456664043517</v>
      </c>
      <c r="AA83" s="1">
        <f t="shared" si="24"/>
        <v>0.05</v>
      </c>
      <c r="AB83" s="1">
        <f t="shared" si="25"/>
        <v>1.5</v>
      </c>
      <c r="AC83" s="1">
        <f t="shared" si="20"/>
        <v>0.9</v>
      </c>
      <c r="AD83" s="22">
        <f t="shared" si="27"/>
        <v>0</v>
      </c>
      <c r="AE83" s="22">
        <f t="shared" si="28"/>
        <v>0</v>
      </c>
      <c r="AF83" s="22">
        <f t="shared" si="29"/>
        <v>12266.456664043517</v>
      </c>
      <c r="AG83" s="48">
        <f t="shared" si="26"/>
        <v>0</v>
      </c>
    </row>
    <row r="84" spans="23:33" ht="14.25" customHeight="1" x14ac:dyDescent="0.2">
      <c r="W84" s="1">
        <v>82</v>
      </c>
      <c r="X84" s="22">
        <f t="shared" si="21"/>
        <v>3659.0282662629811</v>
      </c>
      <c r="Y84" s="22">
        <f t="shared" si="22"/>
        <v>91021.071698014348</v>
      </c>
      <c r="Z84" s="22">
        <f t="shared" si="23"/>
        <v>12879.779497245694</v>
      </c>
      <c r="AA84" s="1">
        <f t="shared" si="24"/>
        <v>0.05</v>
      </c>
      <c r="AB84" s="1">
        <f t="shared" si="25"/>
        <v>1.5</v>
      </c>
      <c r="AC84" s="1">
        <f t="shared" si="20"/>
        <v>0.9</v>
      </c>
      <c r="AD84" s="22">
        <f t="shared" si="27"/>
        <v>0</v>
      </c>
      <c r="AE84" s="22">
        <f t="shared" si="28"/>
        <v>0</v>
      </c>
      <c r="AF84" s="22">
        <f t="shared" si="29"/>
        <v>12879.779497245694</v>
      </c>
      <c r="AG84" s="48">
        <f t="shared" si="26"/>
        <v>0</v>
      </c>
    </row>
    <row r="85" spans="23:33" ht="14.25" customHeight="1" x14ac:dyDescent="0.2">
      <c r="W85" s="1">
        <v>83</v>
      </c>
      <c r="X85" s="22">
        <f t="shared" si="21"/>
        <v>3841.9796795761304</v>
      </c>
      <c r="Y85" s="22">
        <f t="shared" si="22"/>
        <v>94158.015311583062</v>
      </c>
      <c r="Z85" s="22">
        <f t="shared" si="23"/>
        <v>13523.768472107979</v>
      </c>
      <c r="AA85" s="1">
        <f t="shared" si="24"/>
        <v>0.05</v>
      </c>
      <c r="AB85" s="1">
        <f t="shared" si="25"/>
        <v>1.5</v>
      </c>
      <c r="AC85" s="1">
        <f t="shared" si="20"/>
        <v>0.9</v>
      </c>
      <c r="AD85" s="22">
        <f t="shared" si="27"/>
        <v>0</v>
      </c>
      <c r="AE85" s="22">
        <f t="shared" si="28"/>
        <v>0</v>
      </c>
      <c r="AF85" s="22">
        <f t="shared" si="29"/>
        <v>13523.768472107979</v>
      </c>
      <c r="AG85" s="48">
        <f t="shared" si="26"/>
        <v>0</v>
      </c>
    </row>
    <row r="86" spans="23:33" ht="14.25" customHeight="1" x14ac:dyDescent="0.2">
      <c r="W86" s="1">
        <v>84</v>
      </c>
      <c r="X86" s="22">
        <f t="shared" si="21"/>
        <v>4034.0786635549366</v>
      </c>
      <c r="Y86" s="22">
        <f t="shared" si="22"/>
        <v>97353.426187222896</v>
      </c>
      <c r="Z86" s="22">
        <f t="shared" si="23"/>
        <v>14199.956895713376</v>
      </c>
      <c r="AA86" s="1">
        <f t="shared" si="24"/>
        <v>0.05</v>
      </c>
      <c r="AB86" s="1">
        <f t="shared" si="25"/>
        <v>1.5</v>
      </c>
      <c r="AC86" s="1">
        <f t="shared" si="20"/>
        <v>0.9</v>
      </c>
      <c r="AD86" s="22">
        <f t="shared" si="27"/>
        <v>0</v>
      </c>
      <c r="AE86" s="22">
        <f t="shared" si="28"/>
        <v>0</v>
      </c>
      <c r="AF86" s="22">
        <f t="shared" si="29"/>
        <v>14199.956895713376</v>
      </c>
      <c r="AG86" s="48">
        <f t="shared" si="26"/>
        <v>0</v>
      </c>
    </row>
    <row r="87" spans="23:33" ht="14.25" customHeight="1" x14ac:dyDescent="0.2">
      <c r="W87" s="1">
        <v>85</v>
      </c>
      <c r="X87" s="22">
        <f t="shared" si="21"/>
        <v>4235.7825967326835</v>
      </c>
      <c r="Y87" s="22">
        <f t="shared" si="22"/>
        <v>100605.04690527155</v>
      </c>
      <c r="Z87" s="22">
        <f t="shared" si="23"/>
        <v>14909.954740499044</v>
      </c>
      <c r="AA87" s="1">
        <f t="shared" si="24"/>
        <v>0.05</v>
      </c>
      <c r="AB87" s="1">
        <f t="shared" si="25"/>
        <v>1.5</v>
      </c>
      <c r="AC87" s="1">
        <f t="shared" si="20"/>
        <v>0.9</v>
      </c>
      <c r="AD87" s="22">
        <f t="shared" si="27"/>
        <v>0</v>
      </c>
      <c r="AE87" s="22">
        <f t="shared" si="28"/>
        <v>0</v>
      </c>
      <c r="AF87" s="22">
        <f t="shared" si="29"/>
        <v>14909.954740499046</v>
      </c>
      <c r="AG87" s="48">
        <f t="shared" si="26"/>
        <v>0</v>
      </c>
    </row>
    <row r="88" spans="23:33" ht="14.25" customHeight="1" x14ac:dyDescent="0.2">
      <c r="W88" s="1">
        <v>86</v>
      </c>
      <c r="X88" s="22">
        <f t="shared" si="21"/>
        <v>4447.5717265693174</v>
      </c>
      <c r="Y88" s="22">
        <f t="shared" si="22"/>
        <v>103910.40392549161</v>
      </c>
      <c r="Z88" s="22">
        <f t="shared" si="23"/>
        <v>15655.452477523995</v>
      </c>
      <c r="AA88" s="1">
        <f t="shared" si="24"/>
        <v>0.05</v>
      </c>
      <c r="AB88" s="1">
        <f t="shared" si="25"/>
        <v>1.5</v>
      </c>
      <c r="AC88" s="1">
        <f t="shared" si="20"/>
        <v>0.9</v>
      </c>
      <c r="AD88" s="22">
        <f t="shared" si="27"/>
        <v>0</v>
      </c>
      <c r="AE88" s="22">
        <f t="shared" si="28"/>
        <v>0</v>
      </c>
      <c r="AF88" s="22">
        <f t="shared" si="29"/>
        <v>15655.452477523997</v>
      </c>
      <c r="AG88" s="48">
        <f t="shared" si="26"/>
        <v>0</v>
      </c>
    </row>
    <row r="89" spans="23:33" ht="14.25" customHeight="1" x14ac:dyDescent="0.2">
      <c r="W89" s="1">
        <v>87</v>
      </c>
      <c r="X89" s="22">
        <f t="shared" si="21"/>
        <v>4669.9503128977831</v>
      </c>
      <c r="Y89" s="22">
        <f t="shared" si="22"/>
        <v>107266.81140118426</v>
      </c>
      <c r="Z89" s="22">
        <f t="shared" si="23"/>
        <v>16438.225101400196</v>
      </c>
      <c r="AA89" s="1">
        <f t="shared" si="24"/>
        <v>0.05</v>
      </c>
      <c r="AB89" s="1">
        <f t="shared" si="25"/>
        <v>1.5</v>
      </c>
      <c r="AC89" s="1">
        <f t="shared" si="20"/>
        <v>0.9</v>
      </c>
      <c r="AD89" s="22">
        <f t="shared" si="27"/>
        <v>0</v>
      </c>
      <c r="AE89" s="22">
        <f t="shared" si="28"/>
        <v>0</v>
      </c>
      <c r="AF89" s="22">
        <f t="shared" si="29"/>
        <v>16438.225101400196</v>
      </c>
      <c r="AG89" s="48">
        <f t="shared" si="26"/>
        <v>0</v>
      </c>
    </row>
    <row r="90" spans="23:33" ht="14.25" customHeight="1" x14ac:dyDescent="0.2">
      <c r="W90" s="1">
        <v>88</v>
      </c>
      <c r="X90" s="22">
        <f t="shared" si="21"/>
        <v>4903.4478285426731</v>
      </c>
      <c r="Y90" s="22">
        <f t="shared" si="22"/>
        <v>110671.37663324687</v>
      </c>
      <c r="Z90" s="22">
        <f t="shared" si="23"/>
        <v>17260.136356470208</v>
      </c>
      <c r="AA90" s="1">
        <f t="shared" si="24"/>
        <v>0.05</v>
      </c>
      <c r="AB90" s="1">
        <f t="shared" si="25"/>
        <v>1.5</v>
      </c>
      <c r="AC90" s="1">
        <f t="shared" si="20"/>
        <v>0.9</v>
      </c>
      <c r="AD90" s="22">
        <f t="shared" si="27"/>
        <v>0</v>
      </c>
      <c r="AE90" s="22">
        <f t="shared" si="28"/>
        <v>0</v>
      </c>
      <c r="AF90" s="22">
        <f t="shared" si="29"/>
        <v>17260.136356470211</v>
      </c>
      <c r="AG90" s="48">
        <f t="shared" si="26"/>
        <v>0</v>
      </c>
    </row>
    <row r="91" spans="23:33" ht="14.25" customHeight="1" x14ac:dyDescent="0.2">
      <c r="W91" s="1">
        <v>89</v>
      </c>
      <c r="X91" s="22">
        <f t="shared" si="21"/>
        <v>5148.6202199698055</v>
      </c>
      <c r="Y91" s="22">
        <f t="shared" si="22"/>
        <v>114121.0071851961</v>
      </c>
      <c r="Z91" s="22">
        <f t="shared" si="23"/>
        <v>18123.143174293717</v>
      </c>
      <c r="AA91" s="1">
        <f t="shared" si="24"/>
        <v>0.05</v>
      </c>
      <c r="AB91" s="1">
        <f t="shared" si="25"/>
        <v>1.5</v>
      </c>
      <c r="AC91" s="1">
        <f t="shared" si="20"/>
        <v>0.9</v>
      </c>
      <c r="AD91" s="22">
        <f t="shared" si="27"/>
        <v>0</v>
      </c>
      <c r="AE91" s="22">
        <f t="shared" si="28"/>
        <v>0</v>
      </c>
      <c r="AF91" s="22">
        <f t="shared" si="29"/>
        <v>18123.143174293717</v>
      </c>
      <c r="AG91" s="48">
        <f t="shared" si="26"/>
        <v>0</v>
      </c>
    </row>
    <row r="92" spans="23:33" ht="14.25" customHeight="1" x14ac:dyDescent="0.2">
      <c r="W92" s="1">
        <v>90</v>
      </c>
      <c r="X92" s="22">
        <f t="shared" si="21"/>
        <v>5406.0512309682963</v>
      </c>
      <c r="Y92" s="22">
        <f t="shared" si="22"/>
        <v>117612.41965927026</v>
      </c>
      <c r="Z92" s="22">
        <f t="shared" si="23"/>
        <v>19029.300333008403</v>
      </c>
      <c r="AA92" s="1">
        <f t="shared" si="24"/>
        <v>0.05</v>
      </c>
      <c r="AB92" s="1">
        <f t="shared" si="25"/>
        <v>1.5</v>
      </c>
      <c r="AC92" s="1">
        <f t="shared" si="20"/>
        <v>0.9</v>
      </c>
      <c r="AD92" s="22">
        <f t="shared" si="27"/>
        <v>0</v>
      </c>
      <c r="AE92" s="22">
        <f t="shared" si="28"/>
        <v>0</v>
      </c>
      <c r="AF92" s="22">
        <f t="shared" si="29"/>
        <v>19029.300333008403</v>
      </c>
      <c r="AG92" s="48">
        <f t="shared" si="26"/>
        <v>0</v>
      </c>
    </row>
    <row r="93" spans="23:33" ht="14.25" customHeight="1" x14ac:dyDescent="0.2">
      <c r="W93" s="1">
        <v>91</v>
      </c>
      <c r="X93" s="22">
        <f t="shared" si="21"/>
        <v>5676.3537925167111</v>
      </c>
      <c r="Y93" s="22">
        <f t="shared" si="22"/>
        <v>121142.15011166938</v>
      </c>
      <c r="Z93" s="22">
        <f t="shared" si="23"/>
        <v>19980.765349658821</v>
      </c>
      <c r="AA93" s="1">
        <f t="shared" si="24"/>
        <v>0.05</v>
      </c>
      <c r="AB93" s="1">
        <f t="shared" si="25"/>
        <v>1.5</v>
      </c>
      <c r="AC93" s="1">
        <f t="shared" si="20"/>
        <v>0.9</v>
      </c>
      <c r="AD93" s="22">
        <f t="shared" si="27"/>
        <v>0</v>
      </c>
      <c r="AE93" s="22">
        <f t="shared" si="28"/>
        <v>0</v>
      </c>
      <c r="AF93" s="22">
        <f t="shared" si="29"/>
        <v>19980.765349658825</v>
      </c>
      <c r="AG93" s="48">
        <f t="shared" si="26"/>
        <v>0</v>
      </c>
    </row>
    <row r="94" spans="23:33" ht="14.25" customHeight="1" x14ac:dyDescent="0.2">
      <c r="W94" s="1">
        <v>92</v>
      </c>
      <c r="X94" s="22">
        <f t="shared" si="21"/>
        <v>5960.1714821425476</v>
      </c>
      <c r="Y94" s="22">
        <f t="shared" si="22"/>
        <v>124706.56606219306</v>
      </c>
      <c r="Z94" s="22">
        <f t="shared" si="23"/>
        <v>20979.80361714177</v>
      </c>
      <c r="AA94" s="1">
        <f t="shared" si="24"/>
        <v>0.05</v>
      </c>
      <c r="AB94" s="1">
        <f t="shared" si="25"/>
        <v>1.5</v>
      </c>
      <c r="AC94" s="1">
        <f t="shared" si="20"/>
        <v>0.9</v>
      </c>
      <c r="AD94" s="22">
        <f t="shared" si="27"/>
        <v>0</v>
      </c>
      <c r="AE94" s="22">
        <f t="shared" si="28"/>
        <v>0</v>
      </c>
      <c r="AF94" s="22">
        <f t="shared" si="29"/>
        <v>20979.80361714177</v>
      </c>
      <c r="AG94" s="48">
        <f t="shared" si="26"/>
        <v>0</v>
      </c>
    </row>
    <row r="95" spans="23:33" ht="14.25" customHeight="1" x14ac:dyDescent="0.2">
      <c r="W95" s="1">
        <v>93</v>
      </c>
      <c r="X95" s="22">
        <f t="shared" si="21"/>
        <v>6258.1800562496746</v>
      </c>
      <c r="Y95" s="22">
        <f t="shared" si="22"/>
        <v>128301.88003044584</v>
      </c>
      <c r="Z95" s="22">
        <f t="shared" si="23"/>
        <v>22028.793797998853</v>
      </c>
      <c r="AA95" s="1">
        <f t="shared" si="24"/>
        <v>0.05</v>
      </c>
      <c r="AB95" s="1">
        <f t="shared" si="25"/>
        <v>1.5</v>
      </c>
      <c r="AC95" s="1">
        <f t="shared" si="20"/>
        <v>0.9</v>
      </c>
      <c r="AD95" s="22">
        <f t="shared" si="27"/>
        <v>0</v>
      </c>
      <c r="AE95" s="22">
        <f t="shared" si="28"/>
        <v>0</v>
      </c>
      <c r="AF95" s="22">
        <f t="shared" si="29"/>
        <v>22028.793797998853</v>
      </c>
      <c r="AG95" s="48">
        <f t="shared" si="26"/>
        <v>0</v>
      </c>
    </row>
    <row r="96" spans="23:33" ht="14.25" customHeight="1" x14ac:dyDescent="0.2">
      <c r="W96" s="1">
        <v>94</v>
      </c>
      <c r="X96" s="22">
        <f t="shared" si="21"/>
        <v>6571.0890590621593</v>
      </c>
      <c r="Y96" s="22">
        <f t="shared" si="22"/>
        <v>131924.16450787999</v>
      </c>
      <c r="Z96" s="22">
        <f t="shared" si="23"/>
        <v>23130.2334878988</v>
      </c>
      <c r="AA96" s="1">
        <f t="shared" si="24"/>
        <v>0.05</v>
      </c>
      <c r="AB96" s="1">
        <f t="shared" si="25"/>
        <v>1.5</v>
      </c>
      <c r="AC96" s="1">
        <f t="shared" si="20"/>
        <v>0.9</v>
      </c>
      <c r="AD96" s="22">
        <f t="shared" si="27"/>
        <v>0</v>
      </c>
      <c r="AE96" s="22">
        <f t="shared" si="28"/>
        <v>0</v>
      </c>
      <c r="AF96" s="22">
        <f t="shared" si="29"/>
        <v>23130.2334878988</v>
      </c>
      <c r="AG96" s="48">
        <f t="shared" si="26"/>
        <v>0</v>
      </c>
    </row>
    <row r="97" spans="23:33" ht="14.25" customHeight="1" x14ac:dyDescent="0.2">
      <c r="W97" s="1">
        <v>95</v>
      </c>
      <c r="X97" s="22">
        <f t="shared" si="21"/>
        <v>6899.6435120152646</v>
      </c>
      <c r="Y97" s="22">
        <f t="shared" si="22"/>
        <v>135569.36825273937</v>
      </c>
      <c r="Z97" s="22">
        <f t="shared" si="23"/>
        <v>24286.74516229373</v>
      </c>
      <c r="AA97" s="1">
        <f t="shared" si="24"/>
        <v>0.05</v>
      </c>
      <c r="AB97" s="1">
        <f t="shared" si="25"/>
        <v>1.5</v>
      </c>
      <c r="AC97" s="1">
        <f t="shared" si="20"/>
        <v>0.9</v>
      </c>
      <c r="AD97" s="22">
        <f t="shared" si="27"/>
        <v>0</v>
      </c>
      <c r="AE97" s="22">
        <f t="shared" si="28"/>
        <v>0</v>
      </c>
      <c r="AF97" s="22">
        <f t="shared" si="29"/>
        <v>24286.745162293733</v>
      </c>
      <c r="AG97" s="48">
        <f t="shared" si="26"/>
        <v>0</v>
      </c>
    </row>
    <row r="98" spans="23:33" ht="14.25" customHeight="1" x14ac:dyDescent="0.2">
      <c r="W98" s="1">
        <v>96</v>
      </c>
      <c r="X98" s="22">
        <f t="shared" si="21"/>
        <v>7244.6256876160305</v>
      </c>
      <c r="Y98" s="22">
        <f t="shared" si="22"/>
        <v>139233.33377396557</v>
      </c>
      <c r="Z98" s="22">
        <f t="shared" si="23"/>
        <v>25501.082420408431</v>
      </c>
      <c r="AA98" s="1">
        <f t="shared" si="24"/>
        <v>0.05</v>
      </c>
      <c r="AB98" s="1">
        <f t="shared" si="25"/>
        <v>1.5</v>
      </c>
      <c r="AC98" s="1">
        <f t="shared" si="20"/>
        <v>0.9</v>
      </c>
      <c r="AD98" s="22">
        <f t="shared" si="27"/>
        <v>0</v>
      </c>
      <c r="AE98" s="22">
        <f t="shared" si="28"/>
        <v>0</v>
      </c>
      <c r="AF98" s="22">
        <f t="shared" si="29"/>
        <v>25501.082420408431</v>
      </c>
      <c r="AG98" s="48">
        <f t="shared" si="26"/>
        <v>0</v>
      </c>
    </row>
    <row r="99" spans="23:33" ht="14.25" customHeight="1" x14ac:dyDescent="0.2">
      <c r="W99" s="1">
        <v>97</v>
      </c>
      <c r="X99" s="22">
        <f t="shared" si="21"/>
        <v>7606.8569719968309</v>
      </c>
      <c r="Y99" s="22">
        <f t="shared" si="22"/>
        <v>142911.81585082461</v>
      </c>
      <c r="Z99" s="22">
        <f t="shared" si="23"/>
        <v>26776.136541428848</v>
      </c>
      <c r="AA99" s="1">
        <f t="shared" si="24"/>
        <v>0.05</v>
      </c>
      <c r="AB99" s="1">
        <f t="shared" si="25"/>
        <v>1.5</v>
      </c>
      <c r="AC99" s="1">
        <f t="shared" si="20"/>
        <v>0.9</v>
      </c>
      <c r="AD99" s="22">
        <f t="shared" si="27"/>
        <v>0</v>
      </c>
      <c r="AE99" s="22">
        <f t="shared" si="28"/>
        <v>0</v>
      </c>
      <c r="AF99" s="22">
        <f t="shared" si="29"/>
        <v>26776.136541428848</v>
      </c>
      <c r="AG99" s="48">
        <f t="shared" si="26"/>
        <v>0</v>
      </c>
    </row>
    <row r="100" spans="23:33" ht="14.25" customHeight="1" x14ac:dyDescent="0.2">
      <c r="W100" s="1">
        <v>98</v>
      </c>
      <c r="X100" s="22">
        <f t="shared" si="21"/>
        <v>7987.1998205966738</v>
      </c>
      <c r="Y100" s="22">
        <f t="shared" si="22"/>
        <v>146600.50091788144</v>
      </c>
      <c r="Z100" s="22">
        <f t="shared" si="23"/>
        <v>28114.943368500288</v>
      </c>
      <c r="AA100" s="1">
        <f t="shared" si="24"/>
        <v>0.05</v>
      </c>
      <c r="AB100" s="1">
        <f t="shared" si="25"/>
        <v>1.5</v>
      </c>
      <c r="AC100" s="1">
        <f t="shared" si="20"/>
        <v>0.9</v>
      </c>
      <c r="AD100" s="22">
        <f t="shared" si="27"/>
        <v>0</v>
      </c>
      <c r="AE100" s="22">
        <f t="shared" si="28"/>
        <v>0</v>
      </c>
      <c r="AF100" s="22">
        <f t="shared" si="29"/>
        <v>28114.943368500291</v>
      </c>
      <c r="AG100" s="48">
        <f t="shared" si="26"/>
        <v>0</v>
      </c>
    </row>
    <row r="101" spans="23:33" ht="14.25" customHeight="1" x14ac:dyDescent="0.2">
      <c r="W101" s="1">
        <v>99</v>
      </c>
      <c r="X101" s="22">
        <f t="shared" si="21"/>
        <v>8386.5598116265064</v>
      </c>
      <c r="Y101" s="22">
        <f t="shared" si="22"/>
        <v>150295.02713041584</v>
      </c>
      <c r="Z101" s="22">
        <f t="shared" si="23"/>
        <v>29520.690536925304</v>
      </c>
      <c r="AA101" s="1">
        <f t="shared" si="24"/>
        <v>0.05</v>
      </c>
      <c r="AB101" s="1">
        <f t="shared" si="25"/>
        <v>1.5</v>
      </c>
      <c r="AC101" s="1">
        <f t="shared" si="20"/>
        <v>0.9</v>
      </c>
      <c r="AD101" s="22">
        <f t="shared" si="27"/>
        <v>0</v>
      </c>
      <c r="AE101" s="22">
        <f t="shared" si="28"/>
        <v>0</v>
      </c>
      <c r="AF101" s="22">
        <f t="shared" si="29"/>
        <v>29520.690536925304</v>
      </c>
      <c r="AG101" s="48">
        <f t="shared" si="26"/>
        <v>0</v>
      </c>
    </row>
    <row r="102" spans="23:33" ht="14.25" customHeight="1" x14ac:dyDescent="0.2">
      <c r="W102" s="1">
        <v>100</v>
      </c>
      <c r="X102" s="22">
        <f t="shared" si="21"/>
        <v>8805.8878022078334</v>
      </c>
      <c r="Y102" s="22">
        <f t="shared" si="22"/>
        <v>153991.00491381201</v>
      </c>
      <c r="Z102" s="22">
        <f t="shared" si="23"/>
        <v>30996.725063771577</v>
      </c>
      <c r="AA102" s="1">
        <f t="shared" si="24"/>
        <v>0.05</v>
      </c>
      <c r="AB102" s="1">
        <f t="shared" si="25"/>
        <v>1.5</v>
      </c>
      <c r="AC102" s="1">
        <f t="shared" si="20"/>
        <v>0.9</v>
      </c>
      <c r="AD102" s="22">
        <f t="shared" si="27"/>
        <v>0</v>
      </c>
      <c r="AE102" s="22">
        <f t="shared" si="28"/>
        <v>0</v>
      </c>
      <c r="AF102" s="22">
        <f t="shared" si="29"/>
        <v>30996.725063771577</v>
      </c>
      <c r="AG102" s="48">
        <f t="shared" si="26"/>
        <v>0</v>
      </c>
    </row>
  </sheetData>
  <mergeCells count="2">
    <mergeCell ref="I12:N12"/>
    <mergeCell ref="O12:R12"/>
  </mergeCells>
  <phoneticPr fontId="1" type="noConversion"/>
  <conditionalFormatting sqref="I16:M27">
    <cfRule type="cellIs" dxfId="3" priority="4" operator="greaterThan">
      <formula>I$14</formula>
    </cfRule>
  </conditionalFormatting>
  <conditionalFormatting sqref="I16:M27">
    <cfRule type="cellIs" dxfId="2" priority="3" operator="lessThan">
      <formula>I$13</formula>
    </cfRule>
  </conditionalFormatting>
  <conditionalFormatting sqref="O16:O27">
    <cfRule type="cellIs" dxfId="1" priority="2" operator="greaterThan">
      <formula>O$14</formula>
    </cfRule>
  </conditionalFormatting>
  <conditionalFormatting sqref="O16:O27">
    <cfRule type="cellIs" dxfId="0" priority="1" operator="lessThan">
      <formula>O$13</formula>
    </cfRule>
  </conditionalFormatting>
  <pageMargins left="0.7" right="0.7" top="0.75" bottom="0.75" header="0.3" footer="0.3"/>
  <pageSetup paperSize="9" orientation="portrait" r:id="rId1"/>
  <ignoredErrors>
    <ignoredError sqref="Y3:Y4 Y5:Y102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574CF-A74C-445D-AB89-9E2C5DD7073A}">
  <dimension ref="B1:F20"/>
  <sheetViews>
    <sheetView workbookViewId="0">
      <selection activeCell="B2" sqref="B2"/>
    </sheetView>
  </sheetViews>
  <sheetFormatPr defaultRowHeight="14.25" customHeight="1" x14ac:dyDescent="0.2"/>
  <cols>
    <col min="1" max="16384" width="9" style="1"/>
  </cols>
  <sheetData>
    <row r="1" spans="2:6" ht="14.25" customHeight="1" x14ac:dyDescent="0.2">
      <c r="B1" s="5" t="s">
        <v>48</v>
      </c>
      <c r="C1" s="6" t="s">
        <v>49</v>
      </c>
      <c r="D1" s="29" t="s">
        <v>50</v>
      </c>
    </row>
    <row r="2" spans="2:6" ht="14.25" customHeight="1" x14ac:dyDescent="0.2">
      <c r="B2" s="2" t="s">
        <v>112</v>
      </c>
    </row>
    <row r="3" spans="2:6" ht="14.25" customHeight="1" x14ac:dyDescent="0.2">
      <c r="C3" s="32" t="s">
        <v>89</v>
      </c>
    </row>
    <row r="4" spans="2:6" ht="14.25" customHeight="1" x14ac:dyDescent="0.2">
      <c r="B4" s="2" t="s">
        <v>108</v>
      </c>
    </row>
    <row r="5" spans="2:6" ht="14.25" customHeight="1" x14ac:dyDescent="0.2">
      <c r="C5" s="1">
        <f>角色基础!C12</f>
        <v>1.2</v>
      </c>
      <c r="D5" s="1">
        <f>怪物基础!D14</f>
        <v>1</v>
      </c>
      <c r="E5" s="43">
        <f>怪物基础!D15</f>
        <v>0.41666666666666669</v>
      </c>
      <c r="F5" s="1">
        <f>怪物基础!D16</f>
        <v>0.25</v>
      </c>
    </row>
    <row r="6" spans="2:6" ht="14.25" customHeight="1" x14ac:dyDescent="0.2">
      <c r="B6" s="1" t="s">
        <v>62</v>
      </c>
      <c r="C6" s="6" t="s">
        <v>22</v>
      </c>
      <c r="D6" s="42" t="s">
        <v>86</v>
      </c>
      <c r="E6" s="42" t="s">
        <v>87</v>
      </c>
      <c r="F6" s="42" t="s">
        <v>88</v>
      </c>
    </row>
    <row r="7" spans="2:6" ht="14.25" customHeight="1" x14ac:dyDescent="0.2">
      <c r="B7" s="1">
        <v>1</v>
      </c>
      <c r="C7" s="1">
        <v>1</v>
      </c>
      <c r="D7" s="31">
        <v>1</v>
      </c>
      <c r="E7" s="31">
        <v>0.41666666666666669</v>
      </c>
      <c r="F7" s="31">
        <v>0.25</v>
      </c>
    </row>
    <row r="8" spans="2:6" ht="14.25" customHeight="1" x14ac:dyDescent="0.2">
      <c r="B8" s="1">
        <v>2</v>
      </c>
      <c r="C8" s="1">
        <v>1</v>
      </c>
      <c r="D8" s="31">
        <v>1</v>
      </c>
      <c r="E8" s="31">
        <v>0.41666666666666669</v>
      </c>
      <c r="F8" s="31">
        <v>0.25</v>
      </c>
    </row>
    <row r="9" spans="2:6" ht="14.25" customHeight="1" x14ac:dyDescent="0.2">
      <c r="B9" s="1">
        <v>3</v>
      </c>
      <c r="C9" s="1">
        <v>1</v>
      </c>
      <c r="D9" s="31">
        <v>1</v>
      </c>
      <c r="E9" s="31">
        <v>0.41666666666666669</v>
      </c>
      <c r="F9" s="31">
        <v>0.25</v>
      </c>
    </row>
    <row r="10" spans="2:6" ht="14.25" customHeight="1" x14ac:dyDescent="0.2">
      <c r="B10" s="1">
        <v>4</v>
      </c>
      <c r="C10" s="1">
        <v>1</v>
      </c>
      <c r="D10" s="31">
        <v>1</v>
      </c>
      <c r="E10" s="31">
        <v>0.41666666666666669</v>
      </c>
      <c r="F10" s="31">
        <v>0.25</v>
      </c>
    </row>
    <row r="11" spans="2:6" ht="14.25" customHeight="1" x14ac:dyDescent="0.2">
      <c r="B11" s="1">
        <v>5</v>
      </c>
      <c r="C11" s="1">
        <v>1</v>
      </c>
      <c r="D11" s="31">
        <v>1</v>
      </c>
      <c r="E11" s="31">
        <v>0.41666666666666669</v>
      </c>
      <c r="F11" s="31">
        <v>0.25</v>
      </c>
    </row>
    <row r="12" spans="2:6" ht="14.25" customHeight="1" x14ac:dyDescent="0.2">
      <c r="B12" s="1">
        <v>6</v>
      </c>
      <c r="C12" s="1">
        <v>1</v>
      </c>
      <c r="D12" s="31">
        <v>1</v>
      </c>
      <c r="E12" s="31">
        <v>0.41666666666666669</v>
      </c>
      <c r="F12" s="31">
        <v>0.25</v>
      </c>
    </row>
    <row r="13" spans="2:6" ht="14.25" customHeight="1" x14ac:dyDescent="0.2">
      <c r="B13" s="1">
        <v>7</v>
      </c>
      <c r="C13" s="1">
        <v>1</v>
      </c>
      <c r="D13" s="31">
        <v>1</v>
      </c>
      <c r="E13" s="31">
        <v>0.41666666666666669</v>
      </c>
      <c r="F13" s="31">
        <v>0.25</v>
      </c>
    </row>
    <row r="14" spans="2:6" ht="14.25" customHeight="1" x14ac:dyDescent="0.2">
      <c r="B14" s="1">
        <v>8</v>
      </c>
      <c r="C14" s="1">
        <v>1</v>
      </c>
      <c r="D14" s="31">
        <v>1</v>
      </c>
      <c r="E14" s="31">
        <v>0.41666666666666669</v>
      </c>
      <c r="F14" s="31">
        <v>0.25</v>
      </c>
    </row>
    <row r="15" spans="2:6" ht="14.25" customHeight="1" x14ac:dyDescent="0.2">
      <c r="B15" s="1">
        <v>9</v>
      </c>
      <c r="C15" s="1">
        <v>1</v>
      </c>
      <c r="D15" s="31">
        <v>1</v>
      </c>
      <c r="E15" s="31">
        <v>0.41666666666666669</v>
      </c>
      <c r="F15" s="31">
        <v>0.25</v>
      </c>
    </row>
    <row r="16" spans="2:6" ht="14.25" customHeight="1" x14ac:dyDescent="0.2">
      <c r="B16" s="1">
        <v>10</v>
      </c>
      <c r="C16" s="1">
        <v>1</v>
      </c>
      <c r="D16" s="31">
        <v>1</v>
      </c>
      <c r="E16" s="31">
        <v>0.41666666666666669</v>
      </c>
      <c r="F16" s="31">
        <v>0.25</v>
      </c>
    </row>
    <row r="20" spans="3:3" ht="14.25" customHeight="1" x14ac:dyDescent="0.2">
      <c r="C20" s="1">
        <f>C7*(1+D7)*(1+E7+F7)</f>
        <v>3.3333333333333335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C2CD-DD55-4E47-A7AC-8429E77EF58A}">
  <dimension ref="A1:AD33"/>
  <sheetViews>
    <sheetView workbookViewId="0">
      <pane xSplit="4" ySplit="15" topLeftCell="F16" activePane="bottomRight" state="frozen"/>
      <selection pane="topRight" activeCell="E1" sqref="E1"/>
      <selection pane="bottomLeft" activeCell="A16" sqref="A16"/>
      <selection pane="bottomRight" activeCell="Y29" sqref="Y29:Z29"/>
    </sheetView>
  </sheetViews>
  <sheetFormatPr defaultRowHeight="14.25" customHeight="1" x14ac:dyDescent="0.2"/>
  <cols>
    <col min="1" max="17" width="9" style="1"/>
    <col min="18" max="23" width="3.5" style="1" customWidth="1"/>
    <col min="24" max="16384" width="9" style="1"/>
  </cols>
  <sheetData>
    <row r="1" spans="1:30" ht="14.25" customHeight="1" x14ac:dyDescent="0.2">
      <c r="A1" s="2"/>
      <c r="B1" s="5" t="s">
        <v>48</v>
      </c>
      <c r="C1" s="6" t="s">
        <v>49</v>
      </c>
      <c r="D1" s="29" t="s">
        <v>50</v>
      </c>
      <c r="E1" s="2" t="s">
        <v>122</v>
      </c>
      <c r="G1" s="2"/>
    </row>
    <row r="2" spans="1:30" ht="14.25" customHeight="1" x14ac:dyDescent="0.2">
      <c r="B2" s="2" t="s">
        <v>0</v>
      </c>
      <c r="E2" s="2" t="s">
        <v>85</v>
      </c>
    </row>
    <row r="3" spans="1:30" ht="14.25" customHeight="1" x14ac:dyDescent="0.2">
      <c r="E3" s="2" t="s">
        <v>96</v>
      </c>
      <c r="X3" s="4" t="s">
        <v>90</v>
      </c>
      <c r="Y3" s="4" t="s">
        <v>83</v>
      </c>
      <c r="Z3" s="4" t="s">
        <v>84</v>
      </c>
      <c r="AA3" s="4" t="s">
        <v>43</v>
      </c>
    </row>
    <row r="4" spans="1:30" ht="14.25" customHeight="1" thickBot="1" x14ac:dyDescent="0.25">
      <c r="B4" s="12" t="s">
        <v>9</v>
      </c>
      <c r="C4" s="19" t="s">
        <v>10</v>
      </c>
      <c r="E4" s="12" t="s">
        <v>82</v>
      </c>
      <c r="F4" s="12" t="s">
        <v>5</v>
      </c>
      <c r="G4" s="12" t="s">
        <v>1</v>
      </c>
      <c r="H4" s="12" t="s">
        <v>2</v>
      </c>
      <c r="I4" s="12" t="s">
        <v>44</v>
      </c>
      <c r="J4" s="4"/>
      <c r="Y4" s="45">
        <f>G5+G6+G9/2</f>
        <v>17.440000000000001</v>
      </c>
      <c r="Z4" s="45">
        <f>H5</f>
        <v>111.11111111111111</v>
      </c>
      <c r="AA4" s="45">
        <f>I5+I9/2</f>
        <v>5</v>
      </c>
    </row>
    <row r="5" spans="1:30" ht="14.25" customHeight="1" x14ac:dyDescent="0.2">
      <c r="B5" s="3" t="s">
        <v>12</v>
      </c>
      <c r="C5" s="3">
        <v>75</v>
      </c>
      <c r="D5" s="3"/>
      <c r="E5" s="3" t="str">
        <f>[1]怪物设定!C6</f>
        <v>1~1</v>
      </c>
      <c r="F5" s="3" t="str">
        <f>[1]怪物设定!D6</f>
        <v>坦克</v>
      </c>
      <c r="G5" s="8">
        <f>[1]基础模型!E34</f>
        <v>4.5</v>
      </c>
      <c r="H5" s="8">
        <f>[1]基础模型!F34</f>
        <v>111.11111111111111</v>
      </c>
      <c r="I5" s="8">
        <f>[1]基础模型!G34</f>
        <v>2</v>
      </c>
      <c r="Y5" s="45">
        <f>Y4-G5</f>
        <v>12.940000000000001</v>
      </c>
      <c r="Z5" s="45">
        <f>H6</f>
        <v>36.36363636363636</v>
      </c>
      <c r="AA5" s="45">
        <f>AA4-I5</f>
        <v>3</v>
      </c>
    </row>
    <row r="6" spans="1:30" ht="14.25" customHeight="1" x14ac:dyDescent="0.2">
      <c r="B6" s="1" t="s">
        <v>13</v>
      </c>
      <c r="C6" s="1">
        <v>1.05</v>
      </c>
      <c r="E6" s="3" t="str">
        <f>[1]怪物设定!C7</f>
        <v>1~2</v>
      </c>
      <c r="F6" s="3" t="str">
        <f>[1]怪物设定!D7</f>
        <v>输出</v>
      </c>
      <c r="G6" s="8">
        <f>[1]基础模型!E35</f>
        <v>11</v>
      </c>
      <c r="H6" s="8">
        <f>[1]基础模型!F35</f>
        <v>36.36363636363636</v>
      </c>
      <c r="I6" s="8">
        <f>[1]基础模型!G35</f>
        <v>0</v>
      </c>
      <c r="R6" s="34"/>
      <c r="Y6" s="45">
        <f>Y5-G6</f>
        <v>1.9400000000000013</v>
      </c>
      <c r="Z6" s="45">
        <f>H9/2</f>
        <v>24.25</v>
      </c>
      <c r="AA6" s="45">
        <f>AA5-I6</f>
        <v>3</v>
      </c>
      <c r="AB6" s="4" t="s">
        <v>123</v>
      </c>
      <c r="AC6" s="5" t="s">
        <v>1</v>
      </c>
      <c r="AD6" s="6" t="s">
        <v>2</v>
      </c>
    </row>
    <row r="7" spans="1:30" ht="14.25" customHeight="1" x14ac:dyDescent="0.2">
      <c r="B7" s="1" t="s">
        <v>20</v>
      </c>
      <c r="C7" s="1">
        <v>11</v>
      </c>
      <c r="E7" s="3" t="str">
        <f>[1]怪物设定!C8</f>
        <v>2~1</v>
      </c>
      <c r="F7" s="3" t="str">
        <f>[1]怪物设定!D8</f>
        <v>坦克</v>
      </c>
      <c r="G7" s="8">
        <f>[1]基础模型!E36</f>
        <v>5</v>
      </c>
      <c r="H7" s="8">
        <f>[1]基础模型!F36</f>
        <v>100</v>
      </c>
      <c r="I7" s="8">
        <f>[1]基础模型!G36</f>
        <v>2</v>
      </c>
      <c r="R7" s="34"/>
      <c r="X7" s="1">
        <v>2</v>
      </c>
      <c r="Y7" s="45">
        <f t="shared" ref="Y7:AA9" si="0">Y4*$C$13</f>
        <v>5.2320000000000002</v>
      </c>
      <c r="Z7" s="45">
        <f t="shared" si="0"/>
        <v>33.333333333333336</v>
      </c>
      <c r="AA7" s="45">
        <f t="shared" si="0"/>
        <v>1.5</v>
      </c>
      <c r="AB7" s="22">
        <f>Z7/(AC7-AA7)</f>
        <v>21.533161068044791</v>
      </c>
      <c r="AC7" s="1">
        <v>3.048</v>
      </c>
      <c r="AD7" s="34">
        <f>Y7*AB7</f>
        <v>112.66149870801036</v>
      </c>
    </row>
    <row r="8" spans="1:30" ht="14.25" customHeight="1" x14ac:dyDescent="0.2">
      <c r="B8" s="1" t="s">
        <v>23</v>
      </c>
      <c r="C8" s="1">
        <v>100000</v>
      </c>
      <c r="E8" s="3" t="str">
        <f>[1]怪物设定!C9</f>
        <v>2~2</v>
      </c>
      <c r="F8" s="3" t="str">
        <f>[1]怪物设定!D9</f>
        <v>输出</v>
      </c>
      <c r="G8" s="8">
        <f>[1]基础模型!E37</f>
        <v>12</v>
      </c>
      <c r="H8" s="8">
        <f>[1]基础模型!F37</f>
        <v>33.333333333333336</v>
      </c>
      <c r="I8" s="8">
        <f>[1]基础模型!G37</f>
        <v>0</v>
      </c>
      <c r="R8" s="34"/>
      <c r="X8" s="1">
        <v>1</v>
      </c>
      <c r="Y8" s="45">
        <f t="shared" si="0"/>
        <v>3.8820000000000001</v>
      </c>
      <c r="Z8" s="45">
        <f t="shared" si="0"/>
        <v>10.909090909090908</v>
      </c>
      <c r="AA8" s="45">
        <f t="shared" si="0"/>
        <v>0.89999999999999991</v>
      </c>
      <c r="AB8" s="22">
        <f>Z8/(AC8-AA8)</f>
        <v>5.0787201625190441</v>
      </c>
      <c r="AC8" s="1">
        <f>AC7</f>
        <v>3.048</v>
      </c>
      <c r="AD8" s="34">
        <f>Y8*AB8</f>
        <v>19.715591670898931</v>
      </c>
    </row>
    <row r="9" spans="1:30" ht="14.25" customHeight="1" x14ac:dyDescent="0.2">
      <c r="B9" s="1" t="s">
        <v>24</v>
      </c>
      <c r="C9" s="1">
        <v>0.6</v>
      </c>
      <c r="E9" s="3">
        <f>[1]怪物设定!C10</f>
        <v>0</v>
      </c>
      <c r="F9" s="3" t="str">
        <f>[1]怪物设定!D10</f>
        <v>治疗</v>
      </c>
      <c r="G9" s="8">
        <f>[1]基础模型!E38</f>
        <v>3.88</v>
      </c>
      <c r="H9" s="8">
        <f>[1]基础模型!F38</f>
        <v>48.5</v>
      </c>
      <c r="I9" s="8">
        <f>[1]基础模型!G38</f>
        <v>6</v>
      </c>
      <c r="R9" s="34"/>
      <c r="X9" s="1">
        <v>0</v>
      </c>
      <c r="Y9" s="45">
        <f t="shared" si="0"/>
        <v>0.58200000000000041</v>
      </c>
      <c r="Z9" s="45">
        <f t="shared" si="0"/>
        <v>7.2749999999999995</v>
      </c>
      <c r="AA9" s="45">
        <f t="shared" si="0"/>
        <v>0.89999999999999991</v>
      </c>
      <c r="AB9" s="22">
        <f>Z9/(AC9-AA9)</f>
        <v>3.3868715083798877</v>
      </c>
      <c r="AC9" s="1">
        <f>AC8</f>
        <v>3.048</v>
      </c>
      <c r="AD9" s="34">
        <f>Y9*AB9</f>
        <v>1.971159217877096</v>
      </c>
    </row>
    <row r="10" spans="1:30" ht="14.25" customHeight="1" x14ac:dyDescent="0.2">
      <c r="B10" s="1" t="s">
        <v>25</v>
      </c>
      <c r="C10" s="1">
        <v>0.8</v>
      </c>
      <c r="R10" s="34"/>
      <c r="AA10" s="1" t="s">
        <v>101</v>
      </c>
      <c r="AB10" s="22">
        <f>SUM(AB7:AB9)</f>
        <v>29.998752738943722</v>
      </c>
      <c r="AC10" s="34">
        <f>MAX(AC7:AC9)*3/2</f>
        <v>4.5720000000000001</v>
      </c>
      <c r="AD10" s="34">
        <f>SUM(AD7:AD9)*2</f>
        <v>268.69649919357278</v>
      </c>
    </row>
    <row r="11" spans="1:30" ht="14.25" customHeight="1" x14ac:dyDescent="0.2">
      <c r="B11" s="1" t="s">
        <v>26</v>
      </c>
      <c r="C11" s="1">
        <v>1</v>
      </c>
      <c r="R11" s="34"/>
      <c r="AB11" s="22"/>
      <c r="AC11" s="34"/>
      <c r="AD11" s="34"/>
    </row>
    <row r="12" spans="1:30" ht="14.25" customHeight="1" x14ac:dyDescent="0.2">
      <c r="B12" s="1" t="s">
        <v>27</v>
      </c>
      <c r="C12" s="1">
        <v>1.2</v>
      </c>
      <c r="AB12" s="22"/>
      <c r="AC12" s="34"/>
      <c r="AD12" s="34"/>
    </row>
    <row r="13" spans="1:30" ht="14.25" customHeight="1" x14ac:dyDescent="0.2">
      <c r="B13" s="1" t="s">
        <v>51</v>
      </c>
      <c r="C13" s="1">
        <v>0.3</v>
      </c>
      <c r="AD13" s="34"/>
    </row>
    <row r="14" spans="1:30" ht="14.25" customHeight="1" x14ac:dyDescent="0.2">
      <c r="B14" s="1" t="s">
        <v>53</v>
      </c>
      <c r="C14" s="1">
        <v>0.3</v>
      </c>
      <c r="D14" s="30">
        <f>C14/$C$13</f>
        <v>1</v>
      </c>
    </row>
    <row r="15" spans="1:30" ht="14.25" customHeight="1" x14ac:dyDescent="0.2">
      <c r="B15" s="1" t="s">
        <v>54</v>
      </c>
      <c r="C15" s="1">
        <v>0.25</v>
      </c>
      <c r="D15" s="31">
        <f>C15/($C$13+$C$14)</f>
        <v>0.41666666666666669</v>
      </c>
    </row>
    <row r="16" spans="1:30" ht="14.25" customHeight="1" x14ac:dyDescent="0.2">
      <c r="B16" s="1" t="s">
        <v>55</v>
      </c>
      <c r="C16" s="1">
        <v>0.15</v>
      </c>
      <c r="D16" s="30">
        <f>C16/($C$13+$C$14)</f>
        <v>0.25</v>
      </c>
    </row>
    <row r="18" spans="2:30" ht="14.25" customHeight="1" x14ac:dyDescent="0.2">
      <c r="D18" s="44"/>
    </row>
    <row r="19" spans="2:30" ht="14.25" customHeight="1" x14ac:dyDescent="0.2">
      <c r="B19" s="2"/>
    </row>
    <row r="20" spans="2:30" ht="14.25" customHeight="1" x14ac:dyDescent="0.2">
      <c r="K20" s="2" t="s">
        <v>110</v>
      </c>
    </row>
    <row r="21" spans="2:30" ht="14.25" customHeight="1" x14ac:dyDescent="0.2">
      <c r="G21" s="2" t="s">
        <v>107</v>
      </c>
      <c r="K21" s="2" t="s">
        <v>111</v>
      </c>
    </row>
    <row r="22" spans="2:30" ht="14.25" customHeight="1" x14ac:dyDescent="0.2">
      <c r="B22" s="4" t="s">
        <v>114</v>
      </c>
      <c r="C22" s="2" t="s">
        <v>115</v>
      </c>
      <c r="E22" s="41">
        <v>3</v>
      </c>
      <c r="F22" s="41">
        <v>4</v>
      </c>
      <c r="G22" s="35">
        <v>100</v>
      </c>
      <c r="I22" s="4" t="s">
        <v>113</v>
      </c>
      <c r="K22" s="2" t="s">
        <v>109</v>
      </c>
      <c r="N22" s="38"/>
      <c r="O22" s="39"/>
      <c r="P22" s="39"/>
      <c r="Q22" s="40"/>
      <c r="R22" s="37">
        <v>1</v>
      </c>
      <c r="S22" s="1">
        <v>0.4</v>
      </c>
      <c r="T22" s="1">
        <v>1.5</v>
      </c>
      <c r="U22" s="1">
        <v>1</v>
      </c>
      <c r="V22" s="1">
        <v>0.8</v>
      </c>
      <c r="W22" s="1">
        <v>10</v>
      </c>
      <c r="X22" s="4" t="s">
        <v>94</v>
      </c>
      <c r="Y22" s="33"/>
      <c r="Z22" s="36"/>
      <c r="AA22" s="36"/>
      <c r="AB22" s="36"/>
      <c r="AC22" s="36"/>
    </row>
    <row r="23" spans="2:30" s="4" customFormat="1" ht="14.25" customHeight="1" x14ac:dyDescent="0.2">
      <c r="B23" s="5" t="s">
        <v>99</v>
      </c>
      <c r="C23" s="5" t="s">
        <v>100</v>
      </c>
      <c r="D23" s="5" t="s">
        <v>102</v>
      </c>
      <c r="E23" s="6" t="s">
        <v>91</v>
      </c>
      <c r="F23" s="6" t="s">
        <v>92</v>
      </c>
      <c r="G23" s="6" t="s">
        <v>93</v>
      </c>
      <c r="J23" s="5" t="s">
        <v>103</v>
      </c>
      <c r="K23" s="5" t="s">
        <v>104</v>
      </c>
      <c r="L23" s="5" t="s">
        <v>98</v>
      </c>
      <c r="M23" s="5" t="s">
        <v>97</v>
      </c>
      <c r="N23" s="6" t="s">
        <v>106</v>
      </c>
      <c r="O23" s="6" t="s">
        <v>105</v>
      </c>
      <c r="P23" s="6" t="s">
        <v>1</v>
      </c>
      <c r="Q23" s="6" t="s">
        <v>2</v>
      </c>
      <c r="R23" s="5" t="s">
        <v>116</v>
      </c>
      <c r="S23" s="5" t="s">
        <v>117</v>
      </c>
      <c r="T23" s="5" t="s">
        <v>118</v>
      </c>
      <c r="U23" s="5" t="s">
        <v>119</v>
      </c>
      <c r="V23" s="5" t="s">
        <v>120</v>
      </c>
      <c r="W23" s="5" t="s">
        <v>121</v>
      </c>
      <c r="Y23" s="29" t="s">
        <v>7</v>
      </c>
      <c r="Z23" s="29" t="s">
        <v>11</v>
      </c>
      <c r="AA23" s="29" t="s">
        <v>6</v>
      </c>
      <c r="AB23" s="29" t="s">
        <v>59</v>
      </c>
      <c r="AC23" s="29" t="s">
        <v>60</v>
      </c>
      <c r="AD23" s="29" t="s">
        <v>95</v>
      </c>
    </row>
    <row r="24" spans="2:30" ht="14.25" customHeight="1" x14ac:dyDescent="0.2">
      <c r="B24" s="1">
        <v>10</v>
      </c>
      <c r="C24" s="1">
        <v>0</v>
      </c>
      <c r="D24" s="1" t="s">
        <v>101</v>
      </c>
      <c r="E24" s="22">
        <f>VLOOKUP($D24,$AA$10:$AD$10,E$22,0)*$C$6^($B24-1)*(1+$C24*0.005)*VLOOKUP($B24,角色成长!$B:$F,2,0)*(1+VLOOKUP($B24,角色成长!$B:$F,3,0))*(1+VLOOKUP($B24,角色成长!$B:$F,4,0)+VLOOKUP($B24,角色成长!$B:$F,5,0))</f>
        <v>23.642242011512582</v>
      </c>
      <c r="F24" s="22">
        <f>VLOOKUP($D24,$AA$10:$AD$10,F$22,0)*$C$6^($B24-1)*(1+$C24*0.005)*VLOOKUP($B24,角色成长!$B:$F,2,0)*(1+VLOOKUP($B24,角色成长!$B:$F,3,0))*(1+VLOOKUP($B24,角色成长!$B:$F,4,0)+VLOOKUP($B24,角色成长!$B:$F,5,0))</f>
        <v>1389.4548691121267</v>
      </c>
      <c r="G24" s="22">
        <f t="shared" ref="G24:G29" si="1">G$22*$C$6^($B24-1)*(1+$C24*0.005)</f>
        <v>155.13282159785157</v>
      </c>
      <c r="J24" s="1">
        <v>1</v>
      </c>
      <c r="K24" s="1">
        <v>1</v>
      </c>
      <c r="L24" s="1">
        <v>1</v>
      </c>
      <c r="M24" s="1">
        <v>1</v>
      </c>
      <c r="N24" s="22">
        <f>SUMIFS($L$24:L24,$K$24:K24,K24,$J$24:J24,J24)/SUMIFS($L$24:$L$65533,$K$24:$K$65533,K24,$J$24:$J$65533,J24)</f>
        <v>0.1</v>
      </c>
      <c r="O24" s="1" cm="1">
        <f t="array" ref="O24">SUMPRODUCT(($J$24:$J$65533=J24)*($K$24:$K$65533=K24)*$M$24:$M$65533*$N$24:$N$65533)</f>
        <v>6</v>
      </c>
      <c r="P24" s="22">
        <f>E24/O24*M24</f>
        <v>3.9403736685854303</v>
      </c>
      <c r="Q24" s="22">
        <f t="shared" ref="Q24:Q29" si="2">L24/_xlfn.MAXIFS($K$24:$K$65533,$J$24:$J$65533,J24)/SUMIFS($L$24:$L$65533,$K$24:$K$65533,K24,$J$24:$J$65533,J24)*F24</f>
        <v>138.94548691121267</v>
      </c>
      <c r="R24" s="22"/>
      <c r="Y24" s="22">
        <f>P24*IF(V24="",$V$22,V24)*$C$5/IF(U24="",$U$22,U24)/(1+IF(S24="",$S$22,S24)*(IF(T24="",$T$22,T24)-1))</f>
        <v>197.01868342927153</v>
      </c>
      <c r="Z24" s="22">
        <f>Q24*$C$5/(1+AA24/$C$8)</f>
        <v>9334.809961979714</v>
      </c>
      <c r="AA24" s="22">
        <f>G24*$C$5*IF(R24="",$R$22,R24)</f>
        <v>11634.961619838869</v>
      </c>
      <c r="AB24" s="22">
        <f>IF(S24="",$S$22,S24)</f>
        <v>0.4</v>
      </c>
      <c r="AC24" s="22">
        <f>IF(T24="",$T$22,T24)</f>
        <v>1.5</v>
      </c>
      <c r="AD24" s="31">
        <f>P24*$C$5*(1-IF(V24="",$V$22,V24))/(1/IF(W24="",$W$22,W24))/(1+AB24*(AC24-1))/Y24</f>
        <v>2.4999999999999996</v>
      </c>
    </row>
    <row r="25" spans="2:30" ht="14.25" customHeight="1" x14ac:dyDescent="0.2">
      <c r="B25" s="1">
        <v>10</v>
      </c>
      <c r="C25" s="1">
        <v>0</v>
      </c>
      <c r="D25" s="1" t="s">
        <v>101</v>
      </c>
      <c r="E25" s="22">
        <f>VLOOKUP($D25,$AA$10:$AD$10,E$22,0)*$C$6^($B25-1)*(1+$C25*0.005)*VLOOKUP($B25,角色成长!$B:$F,2,0)*(1+VLOOKUP($B25,角色成长!$B:$F,3,0))*(1+VLOOKUP($B25,角色成长!$B:$F,4,0)+VLOOKUP($B25,角色成长!$B:$F,5,0))</f>
        <v>23.642242011512582</v>
      </c>
      <c r="F25" s="22">
        <f>VLOOKUP($D25,$AA$10:$AD$10,F$22,0)*$C$6^($B25-1)*(1+$C25*0.005)*VLOOKUP($B25,角色成长!$B:$F,2,0)*(1+VLOOKUP($B25,角色成长!$B:$F,3,0))*(1+VLOOKUP($B25,角色成长!$B:$F,4,0)+VLOOKUP($B25,角色成长!$B:$F,5,0))</f>
        <v>1389.4548691121267</v>
      </c>
      <c r="G25" s="22">
        <f t="shared" si="1"/>
        <v>155.13282159785157</v>
      </c>
      <c r="J25" s="1">
        <v>1</v>
      </c>
      <c r="K25" s="1">
        <v>1</v>
      </c>
      <c r="L25" s="1">
        <v>1</v>
      </c>
      <c r="M25" s="1">
        <v>1</v>
      </c>
      <c r="N25" s="22">
        <f>SUMIFS($L$24:L25,$K$24:K25,K25,$J$24:J25,J25)/SUMIFS($L$24:$L$65533,$K$24:$K$65533,K25,$J$24:$J$65533,J25)</f>
        <v>0.2</v>
      </c>
      <c r="O25" s="1" cm="1">
        <f t="array" ref="O25">SUMPRODUCT(($J$24:$J$65533=J25)*($K$24:$K$65533=K25)*$M$24:$M$65533*$N$24:$N$65533)</f>
        <v>6</v>
      </c>
      <c r="P25" s="22">
        <f t="shared" ref="P25:P29" si="3">E25/O25*M25</f>
        <v>3.9403736685854303</v>
      </c>
      <c r="Q25" s="22">
        <f t="shared" si="2"/>
        <v>138.94548691121267</v>
      </c>
      <c r="R25" s="22"/>
      <c r="Y25" s="22">
        <f t="shared" ref="Y25:Y29" si="4">P25*IF(V25="",$V$22,V25)*$C$5/IF(U25="",$U$22,U25)/(1+IF(S25="",$S$22,S25)*(IF(T25="",$T$22,T25)-1))</f>
        <v>197.01868342927153</v>
      </c>
      <c r="Z25" s="22">
        <f t="shared" ref="Z25:Z29" si="5">Q25*$C$5/(1+AA25/$C$8)</f>
        <v>9334.809961979714</v>
      </c>
      <c r="AA25" s="22">
        <f t="shared" ref="AA25:AA29" si="6">G25*$C$5*IF(R25="",$R$22,R25)</f>
        <v>11634.961619838869</v>
      </c>
      <c r="AB25" s="22">
        <f t="shared" ref="AB25:AB29" si="7">IF(S25="",$S$22,S25)</f>
        <v>0.4</v>
      </c>
      <c r="AC25" s="22">
        <f t="shared" ref="AC25:AC29" si="8">IF(T25="",$T$22,T25)</f>
        <v>1.5</v>
      </c>
      <c r="AD25" s="31">
        <f t="shared" ref="AD25:AD29" si="9">P25*$C$5*(1-IF(V25="",$V$22,V25))/(1/IF(W25="",$W$22,W25))/(1+AB25*(AC25-1))/Y25</f>
        <v>2.4999999999999996</v>
      </c>
    </row>
    <row r="26" spans="2:30" ht="14.25" customHeight="1" x14ac:dyDescent="0.2">
      <c r="B26" s="1">
        <v>10</v>
      </c>
      <c r="C26" s="1">
        <v>0</v>
      </c>
      <c r="D26" s="1" t="s">
        <v>101</v>
      </c>
      <c r="E26" s="22">
        <f>VLOOKUP($D26,$AA$10:$AD$10,E$22,0)*$C$6^($B26-1)*(1+$C26*0.005)*VLOOKUP($B26,角色成长!$B:$F,2,0)*(1+VLOOKUP($B26,角色成长!$B:$F,3,0))*(1+VLOOKUP($B26,角色成长!$B:$F,4,0)+VLOOKUP($B26,角色成长!$B:$F,5,0))</f>
        <v>23.642242011512582</v>
      </c>
      <c r="F26" s="22">
        <f>VLOOKUP($D26,$AA$10:$AD$10,F$22,0)*$C$6^($B26-1)*(1+$C26*0.005)*VLOOKUP($B26,角色成长!$B:$F,2,0)*(1+VLOOKUP($B26,角色成长!$B:$F,3,0))*(1+VLOOKUP($B26,角色成长!$B:$F,4,0)+VLOOKUP($B26,角色成长!$B:$F,5,0))</f>
        <v>1389.4548691121267</v>
      </c>
      <c r="G26" s="22">
        <f t="shared" si="1"/>
        <v>155.13282159785157</v>
      </c>
      <c r="J26" s="1">
        <v>1</v>
      </c>
      <c r="K26" s="1">
        <v>1</v>
      </c>
      <c r="L26" s="1">
        <v>1</v>
      </c>
      <c r="M26" s="1">
        <v>1</v>
      </c>
      <c r="N26" s="22">
        <f>SUMIFS($L$24:L26,$K$24:K26,K26,$J$24:J26,J26)/SUMIFS($L$24:$L$65533,$K$24:$K$65533,K26,$J$24:$J$65533,J26)</f>
        <v>0.3</v>
      </c>
      <c r="O26" s="1" cm="1">
        <f t="array" ref="O26">SUMPRODUCT(($J$24:$J$65533=J26)*($K$24:$K$65533=K26)*$M$24:$M$65533*$N$24:$N$65533)</f>
        <v>6</v>
      </c>
      <c r="P26" s="22">
        <f t="shared" si="3"/>
        <v>3.9403736685854303</v>
      </c>
      <c r="Q26" s="22">
        <f t="shared" si="2"/>
        <v>138.94548691121267</v>
      </c>
      <c r="R26" s="22"/>
      <c r="Y26" s="22">
        <f t="shared" si="4"/>
        <v>197.01868342927153</v>
      </c>
      <c r="Z26" s="22">
        <f t="shared" si="5"/>
        <v>9334.809961979714</v>
      </c>
      <c r="AA26" s="22">
        <f t="shared" si="6"/>
        <v>11634.961619838869</v>
      </c>
      <c r="AB26" s="22">
        <f t="shared" si="7"/>
        <v>0.4</v>
      </c>
      <c r="AC26" s="22">
        <f t="shared" si="8"/>
        <v>1.5</v>
      </c>
      <c r="AD26" s="31">
        <f t="shared" si="9"/>
        <v>2.4999999999999996</v>
      </c>
    </row>
    <row r="27" spans="2:30" ht="14.25" customHeight="1" x14ac:dyDescent="0.2">
      <c r="B27" s="1">
        <v>10</v>
      </c>
      <c r="C27" s="1">
        <v>0</v>
      </c>
      <c r="D27" s="1" t="s">
        <v>101</v>
      </c>
      <c r="E27" s="22">
        <f>VLOOKUP($D27,$AA$10:$AD$10,E$22,0)*$C$6^($B27-1)*(1+$C27*0.005)*VLOOKUP($B27,角色成长!$B:$F,2,0)*(1+VLOOKUP($B27,角色成长!$B:$F,3,0))*(1+VLOOKUP($B27,角色成长!$B:$F,4,0)+VLOOKUP($B27,角色成长!$B:$F,5,0))</f>
        <v>23.642242011512582</v>
      </c>
      <c r="F27" s="22">
        <f>VLOOKUP($D27,$AA$10:$AD$10,F$22,0)*$C$6^($B27-1)*(1+$C27*0.005)*VLOOKUP($B27,角色成长!$B:$F,2,0)*(1+VLOOKUP($B27,角色成长!$B:$F,3,0))*(1+VLOOKUP($B27,角色成长!$B:$F,4,0)+VLOOKUP($B27,角色成长!$B:$F,5,0))</f>
        <v>1389.4548691121267</v>
      </c>
      <c r="G27" s="22">
        <f t="shared" si="1"/>
        <v>155.13282159785157</v>
      </c>
      <c r="J27" s="1">
        <v>1</v>
      </c>
      <c r="K27" s="1">
        <v>1</v>
      </c>
      <c r="L27" s="1">
        <v>2</v>
      </c>
      <c r="M27" s="1">
        <v>2</v>
      </c>
      <c r="N27" s="22">
        <f>SUMIFS($L$24:L27,$K$24:K27,K27,$J$24:J27,J27)/SUMIFS($L$24:$L$65533,$K$24:$K$65533,K27,$J$24:$J$65533,J27)</f>
        <v>0.5</v>
      </c>
      <c r="O27" s="1" cm="1">
        <f t="array" ref="O27">SUMPRODUCT(($J$24:$J$65533=J27)*($K$24:$K$65533=K27)*$M$24:$M$65533*$N$24:$N$65533)</f>
        <v>6</v>
      </c>
      <c r="P27" s="22">
        <f t="shared" si="3"/>
        <v>7.8807473371708605</v>
      </c>
      <c r="Q27" s="22">
        <f t="shared" si="2"/>
        <v>277.89097382242534</v>
      </c>
      <c r="R27" s="22"/>
      <c r="Y27" s="22">
        <f t="shared" si="4"/>
        <v>394.03736685854307</v>
      </c>
      <c r="Z27" s="22">
        <f t="shared" si="5"/>
        <v>18669.619923959428</v>
      </c>
      <c r="AA27" s="22">
        <f t="shared" si="6"/>
        <v>11634.961619838869</v>
      </c>
      <c r="AB27" s="22">
        <f t="shared" si="7"/>
        <v>0.4</v>
      </c>
      <c r="AC27" s="22">
        <f t="shared" si="8"/>
        <v>1.5</v>
      </c>
      <c r="AD27" s="31">
        <f t="shared" si="9"/>
        <v>2.4999999999999996</v>
      </c>
    </row>
    <row r="28" spans="2:30" ht="14.25" customHeight="1" x14ac:dyDescent="0.2">
      <c r="B28" s="1">
        <v>10</v>
      </c>
      <c r="C28" s="1">
        <v>0</v>
      </c>
      <c r="D28" s="1" t="s">
        <v>101</v>
      </c>
      <c r="E28" s="22">
        <f>VLOOKUP($D28,$AA$10:$AD$10,E$22,0)*$C$6^($B28-1)*(1+$C28*0.005)*VLOOKUP($B28,角色成长!$B:$F,2,0)*(1+VLOOKUP($B28,角色成长!$B:$F,3,0))*(1+VLOOKUP($B28,角色成长!$B:$F,4,0)+VLOOKUP($B28,角色成长!$B:$F,5,0))</f>
        <v>23.642242011512582</v>
      </c>
      <c r="F28" s="22">
        <f>VLOOKUP($D28,$AA$10:$AD$10,F$22,0)*$C$6^($B28-1)*(1+$C28*0.005)*VLOOKUP($B28,角色成长!$B:$F,2,0)*(1+VLOOKUP($B28,角色成长!$B:$F,3,0))*(1+VLOOKUP($B28,角色成长!$B:$F,4,0)+VLOOKUP($B28,角色成长!$B:$F,5,0))</f>
        <v>1389.4548691121267</v>
      </c>
      <c r="G28" s="22">
        <f t="shared" si="1"/>
        <v>155.13282159785157</v>
      </c>
      <c r="J28" s="1">
        <v>1</v>
      </c>
      <c r="K28" s="1">
        <v>1</v>
      </c>
      <c r="L28" s="1">
        <v>2</v>
      </c>
      <c r="M28" s="1">
        <v>2</v>
      </c>
      <c r="N28" s="22">
        <f>SUMIFS($L$24:L28,$K$24:K28,K28,$J$24:J28,J28)/SUMIFS($L$24:$L$65533,$K$24:$K$65533,K28,$J$24:$J$65533,J28)</f>
        <v>0.7</v>
      </c>
      <c r="O28" s="1" cm="1">
        <f t="array" ref="O28">SUMPRODUCT(($J$24:$J$65533=J28)*($K$24:$K$65533=K28)*$M$24:$M$65533*$N$24:$N$65533)</f>
        <v>6</v>
      </c>
      <c r="P28" s="22">
        <f t="shared" si="3"/>
        <v>7.8807473371708605</v>
      </c>
      <c r="Q28" s="22">
        <f t="shared" si="2"/>
        <v>277.89097382242534</v>
      </c>
      <c r="R28" s="22"/>
      <c r="Y28" s="22">
        <f t="shared" si="4"/>
        <v>394.03736685854307</v>
      </c>
      <c r="Z28" s="22">
        <f t="shared" si="5"/>
        <v>18669.619923959428</v>
      </c>
      <c r="AA28" s="22">
        <f t="shared" si="6"/>
        <v>11634.961619838869</v>
      </c>
      <c r="AB28" s="22">
        <f t="shared" si="7"/>
        <v>0.4</v>
      </c>
      <c r="AC28" s="22">
        <f t="shared" si="8"/>
        <v>1.5</v>
      </c>
      <c r="AD28" s="31">
        <f t="shared" si="9"/>
        <v>2.4999999999999996</v>
      </c>
    </row>
    <row r="29" spans="2:30" ht="14.25" customHeight="1" x14ac:dyDescent="0.2">
      <c r="B29" s="1">
        <v>10</v>
      </c>
      <c r="C29" s="1">
        <v>0</v>
      </c>
      <c r="D29" s="1" t="s">
        <v>101</v>
      </c>
      <c r="E29" s="22">
        <f>VLOOKUP($D29,$AA$10:$AD$10,E$22,0)*$C$6^($B29-1)*(1+$C29*0.005)*VLOOKUP($B29,角色成长!$B:$F,2,0)*(1+VLOOKUP($B29,角色成长!$B:$F,3,0))*(1+VLOOKUP($B29,角色成长!$B:$F,4,0)+VLOOKUP($B29,角色成长!$B:$F,5,0))</f>
        <v>23.642242011512582</v>
      </c>
      <c r="F29" s="22">
        <f>VLOOKUP($D29,$AA$10:$AD$10,F$22,0)*$C$6^($B29-1)*(1+$C29*0.005)*VLOOKUP($B29,角色成长!$B:$F,2,0)*(1+VLOOKUP($B29,角色成长!$B:$F,3,0))*(1+VLOOKUP($B29,角色成长!$B:$F,4,0)+VLOOKUP($B29,角色成长!$B:$F,5,0))</f>
        <v>1389.4548691121267</v>
      </c>
      <c r="G29" s="22">
        <f t="shared" si="1"/>
        <v>155.13282159785157</v>
      </c>
      <c r="J29" s="1">
        <v>1</v>
      </c>
      <c r="K29" s="1">
        <v>1</v>
      </c>
      <c r="L29" s="1">
        <v>3</v>
      </c>
      <c r="M29" s="1">
        <v>3</v>
      </c>
      <c r="N29" s="22">
        <f>SUMIFS($L$24:L29,$K$24:K29,K29,$J$24:J29,J29)/SUMIFS($L$24:$L$65533,$K$24:$K$65533,K29,$J$24:$J$65533,J29)</f>
        <v>1</v>
      </c>
      <c r="O29" s="1" cm="1">
        <f t="array" ref="O29">SUMPRODUCT(($J$24:$J$65533=J29)*($K$24:$K$65533=K29)*$M$24:$M$65533*$N$24:$N$65533)</f>
        <v>6</v>
      </c>
      <c r="P29" s="22">
        <f t="shared" si="3"/>
        <v>11.821121005756291</v>
      </c>
      <c r="Q29" s="22">
        <f t="shared" si="2"/>
        <v>416.83646073363803</v>
      </c>
      <c r="R29" s="22"/>
      <c r="Y29" s="22">
        <f t="shared" si="4"/>
        <v>591.05605028781463</v>
      </c>
      <c r="Z29" s="22">
        <f t="shared" si="5"/>
        <v>28004.429885939146</v>
      </c>
      <c r="AA29" s="22">
        <f t="shared" si="6"/>
        <v>11634.961619838869</v>
      </c>
      <c r="AB29" s="22">
        <f t="shared" si="7"/>
        <v>0.4</v>
      </c>
      <c r="AC29" s="22">
        <f t="shared" si="8"/>
        <v>1.5</v>
      </c>
      <c r="AD29" s="31">
        <f t="shared" si="9"/>
        <v>2.4999999999999991</v>
      </c>
    </row>
    <row r="30" spans="2:30" ht="14.25" customHeight="1" x14ac:dyDescent="0.2">
      <c r="E30" s="22"/>
      <c r="F30" s="22"/>
      <c r="G30" s="22"/>
      <c r="N30" s="22"/>
      <c r="P30" s="22"/>
      <c r="Q30" s="22"/>
      <c r="Y30" s="22"/>
      <c r="Z30" s="22"/>
      <c r="AA30" s="22"/>
      <c r="AB30" s="22"/>
      <c r="AC30" s="22"/>
      <c r="AD30" s="31"/>
    </row>
    <row r="31" spans="2:30" ht="14.25" customHeight="1" x14ac:dyDescent="0.2">
      <c r="E31" s="22"/>
      <c r="F31" s="22"/>
      <c r="G31" s="22"/>
      <c r="N31" s="22"/>
      <c r="P31" s="22"/>
      <c r="Q31" s="22"/>
      <c r="Y31" s="22"/>
      <c r="Z31" s="22"/>
      <c r="AA31" s="22"/>
      <c r="AB31" s="22"/>
      <c r="AC31" s="22"/>
      <c r="AD31" s="31"/>
    </row>
    <row r="32" spans="2:30" ht="14.25" customHeight="1" x14ac:dyDescent="0.2">
      <c r="E32" s="22"/>
      <c r="F32" s="22"/>
      <c r="G32" s="22"/>
      <c r="N32" s="22"/>
      <c r="P32" s="22"/>
      <c r="Q32" s="22"/>
      <c r="Y32" s="22"/>
      <c r="Z32" s="22"/>
      <c r="AA32" s="22"/>
      <c r="AB32" s="22"/>
      <c r="AC32" s="22"/>
      <c r="AD32" s="31"/>
    </row>
    <row r="33" spans="5:30" ht="14.25" customHeight="1" x14ac:dyDescent="0.2">
      <c r="E33" s="22"/>
      <c r="F33" s="22"/>
      <c r="G33" s="22"/>
      <c r="N33" s="22"/>
      <c r="P33" s="22"/>
      <c r="Q33" s="22"/>
      <c r="Y33" s="22"/>
      <c r="Z33" s="22"/>
      <c r="AA33" s="22"/>
      <c r="AB33" s="22"/>
      <c r="AC33" s="22"/>
      <c r="AD33" s="31"/>
    </row>
  </sheetData>
  <phoneticPr fontId="1" type="noConversion"/>
  <pageMargins left="0.7" right="0.7" top="0.75" bottom="0.75" header="0.3" footer="0.3"/>
  <pageSetup paperSize="9" orientation="portrait" r:id="rId1"/>
  <ignoredErrors>
    <ignoredError sqref="Z5:Z7" formula="1"/>
  </ignoredError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0BE62-1FCC-4F0D-93A7-ECE30191F3A1}">
  <dimension ref="A1"/>
  <sheetViews>
    <sheetView workbookViewId="0"/>
  </sheetViews>
  <sheetFormatPr defaultRowHeight="14.25" customHeight="1" x14ac:dyDescent="0.2"/>
  <cols>
    <col min="1" max="16384" width="9" style="1"/>
  </cols>
  <sheetData>
    <row r="1" spans="1:1" ht="14.25" customHeight="1" x14ac:dyDescent="0.2">
      <c r="A1" s="2" t="s"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5BA36-C31A-4B8A-9799-C5C36284C0CB}">
  <dimension ref="A1"/>
  <sheetViews>
    <sheetView workbookViewId="0">
      <selection activeCell="D8" sqref="D8"/>
    </sheetView>
  </sheetViews>
  <sheetFormatPr defaultRowHeight="14.25" customHeight="1" x14ac:dyDescent="0.2"/>
  <cols>
    <col min="1" max="16384" width="9" style="1"/>
  </cols>
  <sheetData>
    <row r="1" spans="1:1" ht="14.25" customHeight="1" x14ac:dyDescent="0.2">
      <c r="A1" s="2" t="s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角色基础</vt:lpstr>
      <vt:lpstr>角色成长</vt:lpstr>
      <vt:lpstr>怪物基础</vt:lpstr>
      <vt:lpstr>角色技能</vt:lpstr>
      <vt:lpstr>怪物技能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2023-01-05T03:16:21Z</dcterms:created>
  <dcterms:modified xsi:type="dcterms:W3CDTF">2023-02-20T10:14:33Z</dcterms:modified>
</cp:coreProperties>
</file>
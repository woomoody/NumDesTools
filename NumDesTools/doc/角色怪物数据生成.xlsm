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\ExcelToolsAlbum\ExcelDna-Pro\NumDesTools\NumDesTools\doc\"/>
    </mc:Choice>
  </mc:AlternateContent>
  <xr:revisionPtr revIDLastSave="0" documentId="13_ncr:1_{3BCB3F9C-BAF3-46FC-8BB6-2CD429A608FD}" xr6:coauthVersionLast="47" xr6:coauthVersionMax="47" xr10:uidLastSave="{00000000-0000-0000-0000-000000000000}"/>
  <bookViews>
    <workbookView xWindow="28680" yWindow="-165" windowWidth="29040" windowHeight="15720" xr2:uid="{1A43F594-E40F-48AA-93E3-9F5F3F4EE1B9}"/>
  </bookViews>
  <sheets>
    <sheet name="角色基础" sheetId="1" r:id="rId1"/>
    <sheet name="怪物基础" sheetId="2" r:id="rId2"/>
    <sheet name="角色技能" sheetId="3" r:id="rId3"/>
    <sheet name="怪物技能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46" i="1" l="1"/>
  <c r="U47" i="1"/>
  <c r="O50" i="1"/>
  <c r="N50" i="1"/>
  <c r="N49" i="1"/>
  <c r="R47" i="1"/>
  <c r="R46" i="1"/>
  <c r="W28" i="1"/>
  <c r="W29" i="1"/>
  <c r="W30" i="1"/>
  <c r="W31" i="1"/>
  <c r="W32" i="1"/>
  <c r="W33" i="1"/>
  <c r="W36" i="1"/>
  <c r="W37" i="1"/>
  <c r="W38" i="1"/>
  <c r="W39" i="1"/>
  <c r="W40" i="1"/>
  <c r="W41" i="1"/>
  <c r="W42" i="1"/>
  <c r="W43" i="1"/>
  <c r="W27" i="1"/>
  <c r="T11" i="1"/>
  <c r="U11" i="1" s="1"/>
  <c r="S27" i="1"/>
  <c r="T27" i="1"/>
  <c r="S28" i="1"/>
  <c r="T28" i="1"/>
  <c r="S29" i="1"/>
  <c r="T29" i="1"/>
  <c r="T32" i="1"/>
  <c r="S32" i="1"/>
  <c r="S30" i="1"/>
  <c r="T30" i="1"/>
  <c r="S31" i="1"/>
  <c r="T31" i="1"/>
  <c r="S36" i="1"/>
  <c r="T36" i="1"/>
  <c r="S37" i="1"/>
  <c r="T37" i="1"/>
  <c r="S38" i="1"/>
  <c r="T38" i="1"/>
  <c r="S39" i="1"/>
  <c r="T39" i="1"/>
  <c r="S40" i="1"/>
  <c r="T40" i="1"/>
  <c r="S43" i="1"/>
  <c r="T43" i="1"/>
  <c r="T33" i="1"/>
  <c r="S33" i="1"/>
  <c r="R39" i="1"/>
  <c r="R40" i="1"/>
  <c r="R41" i="1"/>
  <c r="S41" i="1" s="1"/>
  <c r="R42" i="1"/>
  <c r="R43" i="1"/>
  <c r="R35" i="1"/>
  <c r="S35" i="1" s="1"/>
  <c r="W35" i="1" s="1"/>
  <c r="R36" i="1"/>
  <c r="R37" i="1"/>
  <c r="R38" i="1"/>
  <c r="R34" i="1"/>
  <c r="S34" i="1" s="1"/>
  <c r="W34" i="1" s="1"/>
  <c r="R17" i="1"/>
  <c r="S17" i="1"/>
  <c r="R18" i="1"/>
  <c r="S18" i="1"/>
  <c r="R19" i="1"/>
  <c r="S19" i="1"/>
  <c r="R20" i="1"/>
  <c r="S20" i="1"/>
  <c r="R21" i="1"/>
  <c r="S21" i="1"/>
  <c r="R22" i="1"/>
  <c r="S22" i="1"/>
  <c r="R23" i="1"/>
  <c r="S23" i="1"/>
  <c r="R24" i="1"/>
  <c r="S24" i="1"/>
  <c r="S16" i="1"/>
  <c r="R16" i="1"/>
  <c r="M27" i="1"/>
  <c r="N27" i="1"/>
  <c r="T10" i="1" l="1"/>
  <c r="O27" i="1"/>
  <c r="T9" i="1"/>
  <c r="W9" i="1" s="1"/>
  <c r="K27" i="1"/>
  <c r="T8" i="1"/>
  <c r="W8" i="1" s="1"/>
  <c r="T7" i="1"/>
  <c r="W7" i="1" s="1"/>
  <c r="T6" i="1"/>
  <c r="W6" i="1" s="1"/>
  <c r="V6" i="1" s="1"/>
  <c r="T5" i="1"/>
  <c r="U38" i="1" s="1"/>
  <c r="V38" i="1" s="1"/>
  <c r="U31" i="1"/>
  <c r="V31" i="1" s="1"/>
  <c r="T14" i="1"/>
  <c r="W14" i="1" s="1"/>
  <c r="Y14" i="1" s="1"/>
  <c r="T13" i="1"/>
  <c r="U13" i="1" s="1"/>
  <c r="T12" i="1"/>
  <c r="T22" i="1" s="1"/>
  <c r="T20" i="1"/>
  <c r="U14" i="1"/>
  <c r="V9" i="1"/>
  <c r="Y9" i="1"/>
  <c r="W11" i="1"/>
  <c r="W10" i="1"/>
  <c r="U10" i="1"/>
  <c r="T35" i="1"/>
  <c r="T42" i="1"/>
  <c r="S42" i="1"/>
  <c r="T41" i="1"/>
  <c r="T34" i="1"/>
  <c r="T19" i="1"/>
  <c r="T21" i="1"/>
  <c r="U43" i="1" l="1"/>
  <c r="V43" i="1" s="1"/>
  <c r="U8" i="1"/>
  <c r="U9" i="1"/>
  <c r="U33" i="1"/>
  <c r="V33" i="1" s="1"/>
  <c r="U30" i="1"/>
  <c r="V30" i="1" s="1"/>
  <c r="T18" i="1"/>
  <c r="U42" i="1"/>
  <c r="V42" i="1" s="1"/>
  <c r="U7" i="1"/>
  <c r="W13" i="1"/>
  <c r="V13" i="1" s="1"/>
  <c r="U6" i="1"/>
  <c r="Y6" i="1"/>
  <c r="U34" i="1"/>
  <c r="V34" i="1" s="1"/>
  <c r="U12" i="1"/>
  <c r="U41" i="1"/>
  <c r="V41" i="1" s="1"/>
  <c r="U28" i="1"/>
  <c r="V28" i="1" s="1"/>
  <c r="U35" i="1"/>
  <c r="V35" i="1" s="1"/>
  <c r="U36" i="1"/>
  <c r="V36" i="1" s="1"/>
  <c r="U29" i="1"/>
  <c r="V29" i="1" s="1"/>
  <c r="U40" i="1"/>
  <c r="V40" i="1" s="1"/>
  <c r="U39" i="1"/>
  <c r="V39" i="1" s="1"/>
  <c r="T16" i="1"/>
  <c r="W12" i="1"/>
  <c r="U5" i="1"/>
  <c r="W5" i="1"/>
  <c r="U32" i="1"/>
  <c r="V32" i="1" s="1"/>
  <c r="U27" i="1"/>
  <c r="V27" i="1" s="1"/>
  <c r="T17" i="1"/>
  <c r="U37" i="1"/>
  <c r="V37" i="1" s="1"/>
  <c r="T23" i="1"/>
  <c r="T24" i="1"/>
  <c r="V14" i="1"/>
  <c r="W20" i="1"/>
  <c r="V10" i="1"/>
  <c r="V20" i="1" s="1"/>
  <c r="Y10" i="1"/>
  <c r="W18" i="1"/>
  <c r="V8" i="1"/>
  <c r="Y8" i="1"/>
  <c r="W21" i="1"/>
  <c r="Y11" i="1"/>
  <c r="V11" i="1"/>
  <c r="W17" i="1"/>
  <c r="V7" i="1"/>
  <c r="V17" i="1" s="1"/>
  <c r="Y7" i="1"/>
  <c r="W19" i="1"/>
  <c r="V24" i="1" l="1"/>
  <c r="W23" i="1"/>
  <c r="W24" i="1"/>
  <c r="Y13" i="1"/>
  <c r="V12" i="1"/>
  <c r="V22" i="1" s="1"/>
  <c r="Y12" i="1"/>
  <c r="W22" i="1"/>
  <c r="Y5" i="1"/>
  <c r="W16" i="1"/>
  <c r="V5" i="1"/>
  <c r="V16" i="1" s="1"/>
  <c r="V21" i="1"/>
  <c r="V18" i="1"/>
  <c r="V19" i="1"/>
  <c r="V2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26" authorId="0" shapeId="0" xr:uid="{90A8311D-4DCF-49FC-9CDA-3D3033F8E82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范围：0.7~1.3</t>
        </r>
      </text>
    </comment>
  </commentList>
</comments>
</file>

<file path=xl/sharedStrings.xml><?xml version="1.0" encoding="utf-8"?>
<sst xmlns="http://schemas.openxmlformats.org/spreadsheetml/2006/main" count="58" uniqueCount="46">
  <si>
    <t>基础数据引用自（战斗数值.xlsm）</t>
    <phoneticPr fontId="1" type="noConversion"/>
  </si>
  <si>
    <t>伤害</t>
    <phoneticPr fontId="1" type="noConversion"/>
  </si>
  <si>
    <t>承伤</t>
    <phoneticPr fontId="1" type="noConversion"/>
  </si>
  <si>
    <t>普攻占比</t>
    <phoneticPr fontId="1" type="noConversion"/>
  </si>
  <si>
    <t>角色名</t>
    <phoneticPr fontId="1" type="noConversion"/>
  </si>
  <si>
    <t>类型</t>
    <phoneticPr fontId="1" type="noConversion"/>
  </si>
  <si>
    <t>饼干1</t>
    <phoneticPr fontId="1" type="noConversion"/>
  </si>
  <si>
    <t>防御</t>
    <phoneticPr fontId="1" type="noConversion"/>
  </si>
  <si>
    <t>防御力</t>
    <phoneticPr fontId="1" type="noConversion"/>
  </si>
  <si>
    <t>参数范围</t>
    <phoneticPr fontId="1" type="noConversion"/>
  </si>
  <si>
    <t>伤害换算为攻击时，暴击爆伤按照0.4、1.5的标准值计算，攻速自定义</t>
    <phoneticPr fontId="1" type="noConversion"/>
  </si>
  <si>
    <t>攻击力</t>
    <phoneticPr fontId="1" type="noConversion"/>
  </si>
  <si>
    <t>攻速</t>
    <phoneticPr fontId="1" type="noConversion"/>
  </si>
  <si>
    <t>公共参数</t>
    <phoneticPr fontId="1" type="noConversion"/>
  </si>
  <si>
    <t>参数值</t>
    <phoneticPr fontId="1" type="noConversion"/>
  </si>
  <si>
    <t>计算数值</t>
    <phoneticPr fontId="1" type="noConversion"/>
  </si>
  <si>
    <t>自定义值</t>
    <phoneticPr fontId="1" type="noConversion"/>
  </si>
  <si>
    <t>输出数值</t>
    <phoneticPr fontId="1" type="noConversion"/>
  </si>
  <si>
    <t>手动调整的参数</t>
    <phoneticPr fontId="1" type="noConversion"/>
  </si>
  <si>
    <t>计算过程中辅助用计算参数</t>
    <phoneticPr fontId="1" type="noConversion"/>
  </si>
  <si>
    <t>最终输出可用的参数值</t>
    <phoneticPr fontId="1" type="noConversion"/>
  </si>
  <si>
    <t>生命上限</t>
    <phoneticPr fontId="1" type="noConversion"/>
  </si>
  <si>
    <t>属性放大比</t>
    <phoneticPr fontId="1" type="noConversion"/>
  </si>
  <si>
    <t>属性增长率</t>
    <phoneticPr fontId="1" type="noConversion"/>
  </si>
  <si>
    <t>暴击MAX</t>
    <phoneticPr fontId="1" type="noConversion"/>
  </si>
  <si>
    <t>暴伤MAX</t>
    <phoneticPr fontId="1" type="noConversion"/>
  </si>
  <si>
    <t>0.8-1.2</t>
    <phoneticPr fontId="1" type="noConversion"/>
  </si>
  <si>
    <t>0.7-0.9</t>
    <phoneticPr fontId="1" type="noConversion"/>
  </si>
  <si>
    <t>0-1</t>
    <phoneticPr fontId="1" type="noConversion"/>
  </si>
  <si>
    <t>1.5-5</t>
    <phoneticPr fontId="1" type="noConversion"/>
  </si>
  <si>
    <t>分类</t>
    <phoneticPr fontId="1" type="noConversion"/>
  </si>
  <si>
    <t>参数名</t>
    <phoneticPr fontId="1" type="noConversion"/>
  </si>
  <si>
    <t>攻击偏向</t>
    <phoneticPr fontId="1" type="noConversion"/>
  </si>
  <si>
    <t>防御偏向</t>
    <phoneticPr fontId="1" type="noConversion"/>
  </si>
  <si>
    <t>基准防御力</t>
    <phoneticPr fontId="1" type="noConversion"/>
  </si>
  <si>
    <t>0.8-4.5</t>
    <phoneticPr fontId="1" type="noConversion"/>
  </si>
  <si>
    <t>生命偏向</t>
    <phoneticPr fontId="1" type="noConversion"/>
  </si>
  <si>
    <t>品质</t>
    <phoneticPr fontId="1" type="noConversion"/>
  </si>
  <si>
    <t>防御力换算</t>
    <phoneticPr fontId="1" type="noConversion"/>
  </si>
  <si>
    <t>R</t>
  </si>
  <si>
    <t>SR</t>
  </si>
  <si>
    <t>SSR</t>
  </si>
  <si>
    <t>UR</t>
  </si>
  <si>
    <t>SSR</t>
    <phoneticPr fontId="1" type="noConversion"/>
  </si>
  <si>
    <t>生命</t>
    <phoneticPr fontId="1" type="noConversion"/>
  </si>
  <si>
    <t>攻击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</si>
</sst>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84" formatCode="_ * #,##0_ ;_ * \-#,##0_ ;_ * &quot;-&quot;??_ ;_ @_ 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2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3" fontId="4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2" fontId="2" fillId="0" borderId="1" xfId="0" applyNumberFormat="1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0" fontId="7" fillId="0" borderId="1" xfId="0" applyFont="1" applyBorder="1" applyAlignment="1">
      <alignment horizontal="center" vertical="center" shrinkToFit="1"/>
    </xf>
    <xf numFmtId="0" fontId="7" fillId="2" borderId="1" xfId="0" applyFont="1" applyFill="1" applyBorder="1" applyAlignment="1">
      <alignment horizontal="center" vertical="center" shrinkToFit="1"/>
    </xf>
    <xf numFmtId="0" fontId="7" fillId="3" borderId="1" xfId="0" applyFont="1" applyFill="1" applyBorder="1" applyAlignment="1">
      <alignment horizontal="center" vertical="center" shrinkToFit="1"/>
    </xf>
    <xf numFmtId="0" fontId="7" fillId="0" borderId="2" xfId="0" applyFont="1" applyBorder="1" applyAlignment="1">
      <alignment horizontal="center" vertical="center" shrinkToFit="1"/>
    </xf>
    <xf numFmtId="0" fontId="7" fillId="2" borderId="13" xfId="0" applyFont="1" applyFill="1" applyBorder="1" applyAlignment="1">
      <alignment horizontal="center" vertical="center" shrinkToFit="1"/>
    </xf>
    <xf numFmtId="0" fontId="7" fillId="3" borderId="13" xfId="0" applyFont="1" applyFill="1" applyBorder="1" applyAlignment="1">
      <alignment horizontal="center" vertical="center" shrinkToFit="1"/>
    </xf>
    <xf numFmtId="0" fontId="7" fillId="4" borderId="13" xfId="0" applyFont="1" applyFill="1" applyBorder="1" applyAlignment="1">
      <alignment horizontal="center" vertical="center" shrinkToFit="1"/>
    </xf>
    <xf numFmtId="0" fontId="2" fillId="4" borderId="1" xfId="0" applyFont="1" applyFill="1" applyBorder="1" applyAlignment="1">
      <alignment horizontal="center" vertical="center" shrinkToFit="1"/>
    </xf>
    <xf numFmtId="0" fontId="7" fillId="4" borderId="14" xfId="0" applyFont="1" applyFill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8" xfId="0" applyFont="1" applyBorder="1" applyAlignment="1">
      <alignment horizontal="center" vertical="center" shrinkToFit="1"/>
    </xf>
    <xf numFmtId="0" fontId="7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7" fillId="2" borderId="12" xfId="0" applyFont="1" applyFill="1" applyBorder="1" applyAlignment="1">
      <alignment horizontal="center" vertical="center" shrinkToFit="1"/>
    </xf>
    <xf numFmtId="0" fontId="7" fillId="0" borderId="15" xfId="0" applyFont="1" applyBorder="1" applyAlignment="1">
      <alignment horizontal="center" vertical="center" shrinkToFit="1"/>
    </xf>
    <xf numFmtId="0" fontId="7" fillId="0" borderId="19" xfId="0" applyFont="1" applyBorder="1" applyAlignment="1">
      <alignment horizontal="center" vertical="center" shrinkToFit="1"/>
    </xf>
    <xf numFmtId="0" fontId="7" fillId="0" borderId="20" xfId="0" applyFont="1" applyBorder="1" applyAlignment="1">
      <alignment horizontal="center" vertical="center" shrinkToFit="1"/>
    </xf>
    <xf numFmtId="0" fontId="7" fillId="0" borderId="16" xfId="0" applyFont="1" applyBorder="1" applyAlignment="1">
      <alignment horizontal="center" vertical="center" shrinkToFit="1"/>
    </xf>
    <xf numFmtId="0" fontId="7" fillId="2" borderId="18" xfId="0" applyFont="1" applyFill="1" applyBorder="1" applyAlignment="1">
      <alignment horizontal="center" vertical="center" shrinkToFit="1"/>
    </xf>
    <xf numFmtId="2" fontId="2" fillId="0" borderId="5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 shrinkToFit="1"/>
    </xf>
    <xf numFmtId="2" fontId="7" fillId="0" borderId="1" xfId="0" applyNumberFormat="1" applyFont="1" applyBorder="1" applyAlignment="1">
      <alignment horizontal="center" vertical="center" shrinkToFit="1"/>
    </xf>
    <xf numFmtId="184" fontId="2" fillId="0" borderId="1" xfId="1" applyNumberFormat="1" applyFont="1" applyBorder="1" applyAlignment="1">
      <alignment horizontal="center" vertical="center" shrinkToFit="1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50D35-049C-4BF1-8187-863D929EF18C}">
  <dimension ref="A1:Y50"/>
  <sheetViews>
    <sheetView tabSelected="1" topLeftCell="A19" workbookViewId="0">
      <selection activeCell="L35" sqref="L35"/>
    </sheetView>
  </sheetViews>
  <sheetFormatPr defaultRowHeight="14.25" customHeight="1" x14ac:dyDescent="0.2"/>
  <cols>
    <col min="1" max="16384" width="9" style="1"/>
  </cols>
  <sheetData>
    <row r="1" spans="1:25" ht="14.25" customHeight="1" x14ac:dyDescent="0.2">
      <c r="A1" s="2" t="s">
        <v>0</v>
      </c>
      <c r="B1" s="2"/>
    </row>
    <row r="2" spans="1:25" ht="14.25" customHeight="1" x14ac:dyDescent="0.2">
      <c r="C2" s="2" t="s">
        <v>10</v>
      </c>
      <c r="D2" s="2"/>
      <c r="Q2" s="2"/>
    </row>
    <row r="3" spans="1:25" ht="14.25" customHeight="1" x14ac:dyDescent="0.2">
      <c r="Q3" s="2"/>
      <c r="R3" s="33">
        <v>100000</v>
      </c>
      <c r="T3" s="1">
        <v>20</v>
      </c>
      <c r="W3" s="1">
        <v>20</v>
      </c>
    </row>
    <row r="4" spans="1:25" ht="14.25" customHeight="1" x14ac:dyDescent="0.2">
      <c r="D4" s="1" t="s">
        <v>1</v>
      </c>
      <c r="E4" s="1" t="s">
        <v>2</v>
      </c>
      <c r="Q4" s="2"/>
      <c r="R4" s="1" t="s">
        <v>8</v>
      </c>
      <c r="S4" s="1" t="s">
        <v>45</v>
      </c>
      <c r="T4" s="1" t="s">
        <v>44</v>
      </c>
      <c r="V4" s="1" t="s">
        <v>45</v>
      </c>
      <c r="W4" s="1" t="s">
        <v>44</v>
      </c>
    </row>
    <row r="5" spans="1:25" ht="14.25" customHeight="1" x14ac:dyDescent="0.2">
      <c r="C5" s="1" t="s">
        <v>7</v>
      </c>
      <c r="D5" s="1">
        <v>5</v>
      </c>
      <c r="E5" s="1">
        <v>100</v>
      </c>
      <c r="Q5" s="2"/>
      <c r="R5" s="1">
        <v>50000000</v>
      </c>
      <c r="S5" s="1">
        <v>5</v>
      </c>
      <c r="T5" s="3">
        <f>S5*$T$3/(1+R5/$R$3)</f>
        <v>0.19960079840319361</v>
      </c>
      <c r="U5" s="1">
        <f>T5/(S5/(1+R5/$R$3))</f>
        <v>20</v>
      </c>
      <c r="V5" s="1">
        <f>W5/$W$3*(1+R5/$R$3)</f>
        <v>5</v>
      </c>
      <c r="W5" s="3">
        <f>T5</f>
        <v>0.19960079840319361</v>
      </c>
      <c r="Y5" s="1">
        <f>(W5/$W$3/S5-1)*R$3</f>
        <v>-99800.399201596796</v>
      </c>
    </row>
    <row r="6" spans="1:25" ht="14.25" customHeight="1" x14ac:dyDescent="0.2">
      <c r="Q6" s="2"/>
      <c r="R6" s="1">
        <v>20</v>
      </c>
      <c r="S6" s="1">
        <v>10</v>
      </c>
      <c r="T6" s="3">
        <f t="shared" ref="T6:T14" si="0">S6*$T$3/(1+R6/$R$3)</f>
        <v>199.96000799840033</v>
      </c>
      <c r="U6" s="1">
        <f t="shared" ref="U6:U14" si="1">T6/(S6/(1+R6/$R$3))</f>
        <v>20</v>
      </c>
      <c r="V6" s="1">
        <f t="shared" ref="V6:V14" si="2">W6/$W$3*(1+R6/$R$3)</f>
        <v>10</v>
      </c>
      <c r="W6" s="3">
        <f t="shared" ref="W6:W14" si="3">T6</f>
        <v>199.96000799840033</v>
      </c>
      <c r="Y6" s="1">
        <f>(W6/$W$3/S6-1)*R$3</f>
        <v>-19.996000799837876</v>
      </c>
    </row>
    <row r="7" spans="1:25" ht="14.25" customHeight="1" x14ac:dyDescent="0.2">
      <c r="Q7" s="2"/>
      <c r="R7" s="1">
        <v>30</v>
      </c>
      <c r="S7" s="1">
        <v>15</v>
      </c>
      <c r="T7" s="3">
        <f t="shared" si="0"/>
        <v>299.91002699190244</v>
      </c>
      <c r="U7" s="1">
        <f t="shared" si="1"/>
        <v>20</v>
      </c>
      <c r="V7" s="1">
        <f t="shared" si="2"/>
        <v>15</v>
      </c>
      <c r="W7" s="3">
        <f t="shared" si="3"/>
        <v>299.91002699190244</v>
      </c>
      <c r="Y7" s="1">
        <f>(W7/$W$3/S7-1)*R$3</f>
        <v>-29.991002699192304</v>
      </c>
    </row>
    <row r="8" spans="1:25" ht="14.25" customHeight="1" x14ac:dyDescent="0.2">
      <c r="Q8" s="2"/>
      <c r="R8" s="1">
        <v>40</v>
      </c>
      <c r="S8" s="1">
        <v>20</v>
      </c>
      <c r="T8" s="3">
        <f t="shared" si="0"/>
        <v>399.84006397441027</v>
      </c>
      <c r="U8" s="1">
        <f t="shared" si="1"/>
        <v>20</v>
      </c>
      <c r="V8" s="1">
        <f t="shared" si="2"/>
        <v>20</v>
      </c>
      <c r="W8" s="3">
        <f t="shared" si="3"/>
        <v>399.84006397441027</v>
      </c>
      <c r="Y8" s="1">
        <f>(W8/$W$3/S8-1)*R$3</f>
        <v>-39.984006397431045</v>
      </c>
    </row>
    <row r="9" spans="1:25" ht="14.25" customHeight="1" x14ac:dyDescent="0.2">
      <c r="R9" s="1">
        <v>50</v>
      </c>
      <c r="S9" s="1">
        <v>25</v>
      </c>
      <c r="T9" s="3">
        <f t="shared" si="0"/>
        <v>499.75012493753127</v>
      </c>
      <c r="U9" s="1">
        <f t="shared" si="1"/>
        <v>20</v>
      </c>
      <c r="V9" s="1">
        <f t="shared" si="2"/>
        <v>25</v>
      </c>
      <c r="W9" s="3">
        <f t="shared" si="3"/>
        <v>499.75012493753127</v>
      </c>
      <c r="Y9" s="1">
        <f t="shared" ref="Y6:Y14" si="4">(W9/$W$3/S9-1)*R$3</f>
        <v>-49.975012493741474</v>
      </c>
    </row>
    <row r="10" spans="1:25" ht="14.25" customHeight="1" x14ac:dyDescent="0.2">
      <c r="R10" s="1">
        <v>60</v>
      </c>
      <c r="S10" s="1">
        <v>30</v>
      </c>
      <c r="T10" s="3">
        <f t="shared" si="0"/>
        <v>599.64021587047773</v>
      </c>
      <c r="U10" s="1">
        <f t="shared" si="1"/>
        <v>20</v>
      </c>
      <c r="V10" s="1">
        <f t="shared" si="2"/>
        <v>30</v>
      </c>
      <c r="W10" s="3">
        <f t="shared" si="3"/>
        <v>599.64021587047773</v>
      </c>
      <c r="Y10" s="1">
        <f>(W10/$W$3/S10-1)*R$3</f>
        <v>-59.964021587044499</v>
      </c>
    </row>
    <row r="11" spans="1:25" ht="14.25" customHeight="1" x14ac:dyDescent="0.2">
      <c r="C11" s="8" t="s">
        <v>13</v>
      </c>
      <c r="D11" s="8" t="s">
        <v>14</v>
      </c>
      <c r="F11" s="8" t="s">
        <v>37</v>
      </c>
      <c r="G11" s="8" t="s">
        <v>14</v>
      </c>
      <c r="R11" s="1">
        <v>70</v>
      </c>
      <c r="S11" s="1">
        <v>35</v>
      </c>
      <c r="T11" s="3">
        <f t="shared" si="0"/>
        <v>699.51034276006806</v>
      </c>
      <c r="U11" s="1">
        <f t="shared" si="1"/>
        <v>20.000000000000004</v>
      </c>
      <c r="V11" s="1">
        <f t="shared" si="2"/>
        <v>35.000000000000007</v>
      </c>
      <c r="W11" s="3">
        <f t="shared" si="3"/>
        <v>699.51034276006806</v>
      </c>
      <c r="Y11" s="1">
        <f>(W11/$W$3/S11-1)*R$3</f>
        <v>-69.951034275983488</v>
      </c>
    </row>
    <row r="12" spans="1:25" ht="14.25" customHeight="1" x14ac:dyDescent="0.2">
      <c r="C12" s="1" t="s">
        <v>22</v>
      </c>
      <c r="D12" s="1">
        <v>42</v>
      </c>
      <c r="F12" s="1" t="s">
        <v>39</v>
      </c>
      <c r="G12" s="1">
        <v>0.6</v>
      </c>
      <c r="R12" s="1">
        <v>80</v>
      </c>
      <c r="S12" s="1">
        <v>40</v>
      </c>
      <c r="T12" s="3">
        <f t="shared" si="0"/>
        <v>799.36051159072747</v>
      </c>
      <c r="U12" s="1">
        <f t="shared" si="1"/>
        <v>20</v>
      </c>
      <c r="V12" s="1">
        <f t="shared" si="2"/>
        <v>40</v>
      </c>
      <c r="W12" s="3">
        <f t="shared" si="3"/>
        <v>799.36051159072747</v>
      </c>
      <c r="Y12" s="1">
        <f t="shared" si="4"/>
        <v>-79.936051159068541</v>
      </c>
    </row>
    <row r="13" spans="1:25" ht="14.25" customHeight="1" x14ac:dyDescent="0.2">
      <c r="C13" s="1" t="s">
        <v>23</v>
      </c>
      <c r="D13" s="1">
        <v>1.05</v>
      </c>
      <c r="F13" s="1" t="s">
        <v>40</v>
      </c>
      <c r="G13" s="1">
        <v>0.8</v>
      </c>
      <c r="R13" s="1">
        <v>90</v>
      </c>
      <c r="S13" s="1">
        <v>45</v>
      </c>
      <c r="T13" s="3">
        <f t="shared" si="0"/>
        <v>899.19072834449003</v>
      </c>
      <c r="U13" s="1">
        <f t="shared" si="1"/>
        <v>19.999999999999996</v>
      </c>
      <c r="V13" s="1">
        <f t="shared" si="2"/>
        <v>44.999999999999993</v>
      </c>
      <c r="W13" s="3">
        <f t="shared" si="3"/>
        <v>899.19072834449003</v>
      </c>
      <c r="Y13" s="1">
        <f>(W13/$W$3/S13-1)*R$3</f>
        <v>-89.919072834443455</v>
      </c>
    </row>
    <row r="14" spans="1:25" ht="14.25" customHeight="1" x14ac:dyDescent="0.2">
      <c r="C14" s="1" t="s">
        <v>34</v>
      </c>
      <c r="D14" s="1">
        <v>6</v>
      </c>
      <c r="F14" s="1" t="s">
        <v>41</v>
      </c>
      <c r="G14" s="1">
        <v>1</v>
      </c>
      <c r="L14" s="3"/>
      <c r="M14" s="3"/>
      <c r="N14" s="3"/>
      <c r="O14" s="3"/>
      <c r="R14" s="1">
        <v>100</v>
      </c>
      <c r="S14" s="1">
        <v>50</v>
      </c>
      <c r="T14" s="3">
        <f t="shared" si="0"/>
        <v>999.00099900099906</v>
      </c>
      <c r="U14" s="1">
        <f t="shared" si="1"/>
        <v>19.999999999999996</v>
      </c>
      <c r="V14" s="1">
        <f t="shared" si="2"/>
        <v>49.999999999999993</v>
      </c>
      <c r="W14" s="3">
        <f t="shared" si="3"/>
        <v>999.00099900099906</v>
      </c>
      <c r="Y14" s="1">
        <f t="shared" si="4"/>
        <v>-99.900099900096521</v>
      </c>
    </row>
    <row r="15" spans="1:25" ht="14.25" customHeight="1" x14ac:dyDescent="0.2">
      <c r="C15" s="1" t="s">
        <v>38</v>
      </c>
      <c r="D15" s="1">
        <v>100000</v>
      </c>
      <c r="E15" s="4"/>
      <c r="F15" s="1" t="s">
        <v>42</v>
      </c>
      <c r="G15" s="1">
        <v>1.2</v>
      </c>
      <c r="L15" s="3"/>
      <c r="M15" s="3"/>
      <c r="N15" s="3"/>
      <c r="O15" s="3"/>
    </row>
    <row r="16" spans="1:25" ht="14.25" customHeight="1" x14ac:dyDescent="0.2">
      <c r="E16" s="4"/>
      <c r="L16" s="3"/>
      <c r="M16" s="3"/>
      <c r="N16" s="3"/>
      <c r="O16" s="3"/>
      <c r="R16" s="3">
        <f>R6/R5</f>
        <v>3.9999999999999998E-7</v>
      </c>
      <c r="S16" s="3">
        <f>S6/S5</f>
        <v>2</v>
      </c>
      <c r="T16" s="3">
        <f>T6/T5</f>
        <v>1001.7996400719857</v>
      </c>
      <c r="V16" s="3">
        <f>V6/V5</f>
        <v>2</v>
      </c>
      <c r="W16" s="3">
        <f>W6/W5</f>
        <v>1001.7996400719857</v>
      </c>
    </row>
    <row r="17" spans="2:23" ht="14.25" customHeight="1" x14ac:dyDescent="0.2">
      <c r="E17" s="4"/>
      <c r="L17" s="3"/>
      <c r="M17" s="3"/>
      <c r="N17" s="3"/>
      <c r="O17" s="3"/>
      <c r="R17" s="3">
        <f t="shared" ref="R17:T17" si="5">R7/R6</f>
        <v>1.5</v>
      </c>
      <c r="S17" s="3">
        <f t="shared" si="5"/>
        <v>1.5</v>
      </c>
      <c r="T17" s="3">
        <f t="shared" si="5"/>
        <v>1.499850044986504</v>
      </c>
      <c r="V17" s="3">
        <f t="shared" ref="V17:W17" si="6">V7/V6</f>
        <v>1.5</v>
      </c>
      <c r="W17" s="3">
        <f t="shared" si="6"/>
        <v>1.499850044986504</v>
      </c>
    </row>
    <row r="18" spans="2:23" ht="14.25" customHeight="1" x14ac:dyDescent="0.2">
      <c r="E18" s="4"/>
      <c r="L18" s="3"/>
      <c r="M18" s="3"/>
      <c r="N18" s="3"/>
      <c r="O18" s="3"/>
      <c r="R18" s="3">
        <f t="shared" ref="R18:T18" si="7">R8/R7</f>
        <v>1.3333333333333333</v>
      </c>
      <c r="S18" s="3">
        <f t="shared" si="7"/>
        <v>1.3333333333333333</v>
      </c>
      <c r="T18" s="3">
        <f t="shared" si="7"/>
        <v>1.3332000533120085</v>
      </c>
      <c r="V18" s="3">
        <f t="shared" ref="V18:W18" si="8">V8/V7</f>
        <v>1.3333333333333333</v>
      </c>
      <c r="W18" s="3">
        <f t="shared" si="8"/>
        <v>1.3332000533120085</v>
      </c>
    </row>
    <row r="19" spans="2:23" ht="14.25" customHeight="1" x14ac:dyDescent="0.2">
      <c r="E19" s="4"/>
      <c r="L19" s="3"/>
      <c r="M19" s="3"/>
      <c r="N19" s="3"/>
      <c r="O19" s="3"/>
      <c r="R19" s="3">
        <f t="shared" ref="R19:T19" si="9">R9/R8</f>
        <v>1.25</v>
      </c>
      <c r="S19" s="3">
        <f t="shared" si="9"/>
        <v>1.25</v>
      </c>
      <c r="T19" s="3">
        <f t="shared" si="9"/>
        <v>1.2498750624687656</v>
      </c>
      <c r="V19" s="3">
        <f t="shared" ref="V19:W19" si="10">V9/V8</f>
        <v>1.25</v>
      </c>
      <c r="W19" s="3">
        <f t="shared" si="10"/>
        <v>1.2498750624687656</v>
      </c>
    </row>
    <row r="20" spans="2:23" ht="14.25" customHeight="1" x14ac:dyDescent="0.2">
      <c r="E20" s="4"/>
      <c r="R20" s="3">
        <f t="shared" ref="R20:T20" si="11">R10/R9</f>
        <v>1.2</v>
      </c>
      <c r="S20" s="3">
        <f t="shared" si="11"/>
        <v>1.2</v>
      </c>
      <c r="T20" s="3">
        <f t="shared" si="11"/>
        <v>1.1998800719568259</v>
      </c>
      <c r="V20" s="3">
        <f t="shared" ref="V20:W20" si="12">V10/V9</f>
        <v>1.2</v>
      </c>
      <c r="W20" s="3">
        <f t="shared" si="12"/>
        <v>1.1998800719568259</v>
      </c>
    </row>
    <row r="21" spans="2:23" ht="14.25" customHeight="1" x14ac:dyDescent="0.2">
      <c r="C21" s="9"/>
      <c r="D21" s="1" t="s">
        <v>16</v>
      </c>
      <c r="E21" s="2" t="s">
        <v>18</v>
      </c>
      <c r="R21" s="3">
        <f t="shared" ref="R21:T21" si="13">R11/R10</f>
        <v>1.1666666666666667</v>
      </c>
      <c r="S21" s="3">
        <f t="shared" si="13"/>
        <v>1.1666666666666667</v>
      </c>
      <c r="T21" s="3">
        <f t="shared" si="13"/>
        <v>1.1665500816095402</v>
      </c>
      <c r="U21" s="6"/>
      <c r="V21" s="3">
        <f t="shared" ref="V21:W21" si="14">V11/V10</f>
        <v>1.166666666666667</v>
      </c>
      <c r="W21" s="3">
        <f t="shared" si="14"/>
        <v>1.1665500816095402</v>
      </c>
    </row>
    <row r="22" spans="2:23" ht="14.25" customHeight="1" x14ac:dyDescent="0.2">
      <c r="C22" s="10"/>
      <c r="D22" s="1" t="s">
        <v>15</v>
      </c>
      <c r="E22" s="2" t="s">
        <v>19</v>
      </c>
      <c r="F22" s="6"/>
      <c r="G22" s="5"/>
      <c r="H22" s="6"/>
      <c r="I22" s="6"/>
      <c r="L22" s="6"/>
      <c r="M22" s="5"/>
      <c r="N22" s="6"/>
      <c r="O22" s="4"/>
      <c r="R22" s="3">
        <f t="shared" ref="R22:T22" si="15">R12/R11</f>
        <v>1.1428571428571428</v>
      </c>
      <c r="S22" s="3">
        <f t="shared" si="15"/>
        <v>1.1428571428571428</v>
      </c>
      <c r="T22" s="3">
        <f t="shared" si="15"/>
        <v>1.142742948498344</v>
      </c>
      <c r="U22" s="6"/>
      <c r="V22" s="3">
        <f t="shared" ref="V22:W22" si="16">V12/V11</f>
        <v>1.1428571428571426</v>
      </c>
      <c r="W22" s="3">
        <f t="shared" si="16"/>
        <v>1.142742948498344</v>
      </c>
    </row>
    <row r="23" spans="2:23" ht="14.25" customHeight="1" thickBot="1" x14ac:dyDescent="0.25">
      <c r="C23" s="15"/>
      <c r="D23" s="1" t="s">
        <v>17</v>
      </c>
      <c r="E23" s="2" t="s">
        <v>20</v>
      </c>
      <c r="F23" s="6"/>
      <c r="G23" s="5"/>
      <c r="H23" s="6"/>
      <c r="I23" s="6"/>
      <c r="L23" s="6"/>
      <c r="M23" s="5"/>
      <c r="N23" s="6"/>
      <c r="O23" s="4"/>
      <c r="R23" s="3">
        <f t="shared" ref="R23:T23" si="17">R13/R12</f>
        <v>1.125</v>
      </c>
      <c r="S23" s="3">
        <f t="shared" si="17"/>
        <v>1.125</v>
      </c>
      <c r="T23" s="3">
        <f t="shared" si="17"/>
        <v>1.124887601158957</v>
      </c>
      <c r="U23" s="6"/>
      <c r="V23" s="3">
        <f t="shared" ref="V23:W23" si="18">V13/V12</f>
        <v>1.1249999999999998</v>
      </c>
      <c r="W23" s="3">
        <f t="shared" si="18"/>
        <v>1.124887601158957</v>
      </c>
    </row>
    <row r="24" spans="2:23" ht="14.25" customHeight="1" x14ac:dyDescent="0.2">
      <c r="C24" s="11"/>
      <c r="D24" s="31"/>
      <c r="E24" s="25" t="s">
        <v>30</v>
      </c>
      <c r="F24" s="19" t="s">
        <v>1</v>
      </c>
      <c r="G24" s="20"/>
      <c r="H24" s="20"/>
      <c r="I24" s="20"/>
      <c r="J24" s="20"/>
      <c r="K24" s="21"/>
      <c r="L24" s="28" t="s">
        <v>2</v>
      </c>
      <c r="M24" s="20"/>
      <c r="N24" s="20"/>
      <c r="O24" s="21"/>
      <c r="P24" s="5"/>
      <c r="R24" s="3">
        <f t="shared" ref="R24:T24" si="19">R14/R13</f>
        <v>1.1111111111111112</v>
      </c>
      <c r="S24" s="3">
        <f t="shared" si="19"/>
        <v>1.1111111111111112</v>
      </c>
      <c r="T24" s="3">
        <f t="shared" si="19"/>
        <v>1.1110001110001111</v>
      </c>
      <c r="V24" s="3">
        <f t="shared" ref="V24:W24" si="20">V14/V13</f>
        <v>1.1111111111111112</v>
      </c>
      <c r="W24" s="3">
        <f t="shared" si="20"/>
        <v>1.1110001110001111</v>
      </c>
    </row>
    <row r="25" spans="2:23" ht="14.25" customHeight="1" x14ac:dyDescent="0.2">
      <c r="C25" s="11"/>
      <c r="D25" s="31"/>
      <c r="E25" s="26" t="s">
        <v>9</v>
      </c>
      <c r="F25" s="22" t="s">
        <v>27</v>
      </c>
      <c r="G25" s="17" t="s">
        <v>26</v>
      </c>
      <c r="H25" s="17" t="s">
        <v>28</v>
      </c>
      <c r="I25" s="17" t="s">
        <v>29</v>
      </c>
      <c r="J25" s="17" t="s">
        <v>26</v>
      </c>
      <c r="K25" s="23"/>
      <c r="L25" s="18" t="s">
        <v>35</v>
      </c>
      <c r="M25" s="17"/>
      <c r="N25" s="17"/>
      <c r="O25" s="23"/>
      <c r="P25" s="5"/>
    </row>
    <row r="26" spans="2:23" ht="14.25" customHeight="1" thickBot="1" x14ac:dyDescent="0.25">
      <c r="B26" s="8" t="s">
        <v>4</v>
      </c>
      <c r="C26" s="11" t="s">
        <v>5</v>
      </c>
      <c r="D26" s="31" t="s">
        <v>37</v>
      </c>
      <c r="E26" s="27" t="s">
        <v>31</v>
      </c>
      <c r="F26" s="24" t="s">
        <v>3</v>
      </c>
      <c r="G26" s="12" t="s">
        <v>12</v>
      </c>
      <c r="H26" s="12" t="s">
        <v>24</v>
      </c>
      <c r="I26" s="12" t="s">
        <v>25</v>
      </c>
      <c r="J26" s="12" t="s">
        <v>32</v>
      </c>
      <c r="K26" s="16" t="s">
        <v>11</v>
      </c>
      <c r="L26" s="29" t="s">
        <v>33</v>
      </c>
      <c r="M26" s="14" t="s">
        <v>8</v>
      </c>
      <c r="N26" s="13" t="s">
        <v>36</v>
      </c>
      <c r="O26" s="16" t="s">
        <v>21</v>
      </c>
      <c r="P26" s="5"/>
    </row>
    <row r="27" spans="2:23" ht="14.25" customHeight="1" x14ac:dyDescent="0.2">
      <c r="B27" s="1" t="s">
        <v>6</v>
      </c>
      <c r="C27" s="1" t="s">
        <v>7</v>
      </c>
      <c r="D27" s="7" t="s">
        <v>43</v>
      </c>
      <c r="E27" s="7">
        <v>1</v>
      </c>
      <c r="F27" s="7">
        <v>0.75</v>
      </c>
      <c r="G27" s="7">
        <v>0.9</v>
      </c>
      <c r="H27" s="7">
        <v>0.4</v>
      </c>
      <c r="I27" s="7">
        <v>1.5</v>
      </c>
      <c r="J27" s="7">
        <v>0.9</v>
      </c>
      <c r="K27" s="7" t="e">
        <f>VLOOKUP($C27,$R$3:$T$6,MATCH($F$24,$C$4:$E$4,0),0)*J27*$D$12*F27/G27/(1+H27*(I27-1))*VLOOKUP($D27,$F$11:$G$15,2,0)</f>
        <v>#N/A</v>
      </c>
      <c r="L27" s="7">
        <v>4.1669999999999998</v>
      </c>
      <c r="M27" s="30">
        <f>$D$14*$D$12*L27*VLOOKUP($D27,$F$11:$G$15,2,0)</f>
        <v>1050.0840000000001</v>
      </c>
      <c r="N27" s="30">
        <f>1/J27</f>
        <v>1.1111111111111112</v>
      </c>
      <c r="O27" s="30" t="e">
        <f>VLOOKUP($C27,$R$3:$T$6,MATCH($L$24,$C$4:$E$4,0),0)*$D$12*N27/(1+M27/$D$15)*VLOOKUP($D27,$F$11:$G$15,2,0)</f>
        <v>#N/A</v>
      </c>
      <c r="R27" s="1">
        <v>1000</v>
      </c>
      <c r="S27" s="3">
        <f t="shared" ref="S27:U28" si="21">R$5*$R27</f>
        <v>50000000000</v>
      </c>
      <c r="T27" s="3">
        <f t="shared" si="21"/>
        <v>5000</v>
      </c>
      <c r="U27" s="3">
        <f t="shared" si="21"/>
        <v>199.60079840319361</v>
      </c>
      <c r="V27" s="3">
        <f t="shared" ref="V27" si="22">U27/(T27/(1+S27/$R$3))</f>
        <v>19960.119760479043</v>
      </c>
      <c r="W27" s="1">
        <f>S27/$R$3</f>
        <v>500000</v>
      </c>
    </row>
    <row r="28" spans="2:23" ht="14.25" customHeight="1" x14ac:dyDescent="0.2">
      <c r="E28" s="1">
        <v>2</v>
      </c>
      <c r="R28" s="8">
        <v>500</v>
      </c>
      <c r="S28" s="32">
        <f t="shared" si="21"/>
        <v>25000000000</v>
      </c>
      <c r="T28" s="32">
        <f t="shared" si="21"/>
        <v>2500</v>
      </c>
      <c r="U28" s="32">
        <f t="shared" si="21"/>
        <v>99.800399201596804</v>
      </c>
      <c r="V28" s="32">
        <f t="shared" ref="V28:V29" si="23">U28/(T28/(1+S28/$R$3))</f>
        <v>9980.0798403193603</v>
      </c>
      <c r="W28" s="1">
        <f t="shared" ref="W28:W43" si="24">S28/$R$3</f>
        <v>250000</v>
      </c>
    </row>
    <row r="29" spans="2:23" ht="14.25" customHeight="1" x14ac:dyDescent="0.2">
      <c r="D29" s="7"/>
      <c r="E29" s="7">
        <v>3</v>
      </c>
      <c r="R29" s="1">
        <v>50</v>
      </c>
      <c r="S29" s="3">
        <f t="shared" ref="S29:U29" si="25">R$5*$R29</f>
        <v>2500000000</v>
      </c>
      <c r="T29" s="3">
        <f t="shared" si="25"/>
        <v>250</v>
      </c>
      <c r="U29" s="3">
        <f t="shared" si="25"/>
        <v>9.9800399201596814</v>
      </c>
      <c r="V29" s="3">
        <f t="shared" si="23"/>
        <v>998.04391217564876</v>
      </c>
      <c r="W29" s="1">
        <f t="shared" si="24"/>
        <v>25000</v>
      </c>
    </row>
    <row r="30" spans="2:23" ht="14.25" customHeight="1" x14ac:dyDescent="0.2">
      <c r="E30" s="1">
        <v>4</v>
      </c>
      <c r="R30" s="1">
        <v>20</v>
      </c>
      <c r="S30" s="3">
        <f t="shared" ref="S30:U30" si="26">R$5*$R30</f>
        <v>1000000000</v>
      </c>
      <c r="T30" s="3">
        <f t="shared" si="26"/>
        <v>100</v>
      </c>
      <c r="U30" s="3">
        <f t="shared" si="26"/>
        <v>3.992015968063872</v>
      </c>
      <c r="V30" s="3">
        <f t="shared" ref="V29:V32" si="27">U30/(T30/(1+S30/$R$3))</f>
        <v>399.24151696606782</v>
      </c>
      <c r="W30" s="1">
        <f t="shared" si="24"/>
        <v>10000</v>
      </c>
    </row>
    <row r="31" spans="2:23" ht="14.25" customHeight="1" x14ac:dyDescent="0.2">
      <c r="D31" s="7"/>
      <c r="E31" s="7">
        <v>5</v>
      </c>
      <c r="R31" s="1">
        <v>10</v>
      </c>
      <c r="S31" s="3">
        <f t="shared" ref="S31:U31" si="28">R$5*$R31</f>
        <v>500000000</v>
      </c>
      <c r="T31" s="3">
        <f t="shared" si="28"/>
        <v>50</v>
      </c>
      <c r="U31" s="3">
        <f t="shared" si="28"/>
        <v>1.996007984031936</v>
      </c>
      <c r="V31" s="3">
        <f t="shared" si="27"/>
        <v>199.64071856287424</v>
      </c>
      <c r="W31" s="1">
        <f t="shared" si="24"/>
        <v>5000</v>
      </c>
    </row>
    <row r="32" spans="2:23" ht="14.25" customHeight="1" x14ac:dyDescent="0.2">
      <c r="E32" s="1">
        <v>6</v>
      </c>
      <c r="R32" s="1">
        <v>5</v>
      </c>
      <c r="S32" s="3">
        <f>R$5*$R32</f>
        <v>250000000</v>
      </c>
      <c r="T32" s="3">
        <f>S$5*$R32</f>
        <v>25</v>
      </c>
      <c r="U32" s="3">
        <f>T$5*$R32</f>
        <v>0.99800399201596801</v>
      </c>
      <c r="V32" s="3">
        <f>U32/(T32/(1+S32/$R$3))</f>
        <v>99.840319361277437</v>
      </c>
      <c r="W32" s="1">
        <f t="shared" si="24"/>
        <v>2500</v>
      </c>
    </row>
    <row r="33" spans="4:23" ht="14.25" customHeight="1" x14ac:dyDescent="0.2">
      <c r="D33" s="7"/>
      <c r="E33" s="7">
        <v>7</v>
      </c>
      <c r="R33" s="1">
        <v>1</v>
      </c>
      <c r="S33" s="3">
        <f>R$5*$R33</f>
        <v>50000000</v>
      </c>
      <c r="T33" s="3">
        <f>S$5*$R33</f>
        <v>5</v>
      </c>
      <c r="U33" s="3">
        <f>T$5*$R33</f>
        <v>0.19960079840319361</v>
      </c>
      <c r="V33" s="3">
        <f t="shared" ref="V33" si="29">U33/(T33/(1+S33/$R$3))</f>
        <v>20</v>
      </c>
      <c r="W33" s="1">
        <f t="shared" si="24"/>
        <v>500</v>
      </c>
    </row>
    <row r="34" spans="4:23" ht="14.25" customHeight="1" x14ac:dyDescent="0.2">
      <c r="E34" s="1">
        <v>8</v>
      </c>
      <c r="Q34" s="1">
        <v>44</v>
      </c>
      <c r="R34" s="1">
        <f>1/Q34</f>
        <v>2.2727272727272728E-2</v>
      </c>
      <c r="S34" s="33">
        <f>R$5*$R34</f>
        <v>1136363.6363636365</v>
      </c>
      <c r="T34" s="3">
        <f>S$5*$R34</f>
        <v>0.11363636363636365</v>
      </c>
      <c r="U34" s="3">
        <f>T$5*$R34</f>
        <v>4.5363817818907639E-3</v>
      </c>
      <c r="V34" s="3">
        <f t="shared" ref="V34" si="30">U34/(T34/(1+S34/$R$3))</f>
        <v>0.49355833786971509</v>
      </c>
      <c r="W34" s="1">
        <f t="shared" si="24"/>
        <v>11.363636363636365</v>
      </c>
    </row>
    <row r="35" spans="4:23" ht="14.25" customHeight="1" x14ac:dyDescent="0.2">
      <c r="D35" s="7"/>
      <c r="E35" s="7">
        <v>9</v>
      </c>
      <c r="Q35" s="1">
        <v>354</v>
      </c>
      <c r="R35" s="1">
        <f t="shared" ref="R35:R44" si="31">1/Q35</f>
        <v>2.8248587570621469E-3</v>
      </c>
      <c r="S35" s="33">
        <f>R$5*$R35</f>
        <v>141242.93785310735</v>
      </c>
      <c r="T35" s="3">
        <f>S$5*$R35</f>
        <v>1.4124293785310734E-2</v>
      </c>
      <c r="U35" s="3">
        <f>T$5*$R35</f>
        <v>5.6384406328585765E-4</v>
      </c>
      <c r="V35" s="3">
        <f t="shared" ref="V35:V39" si="32">U35/(T35/(1+S35/$R$3))</f>
        <v>9.630456600922449E-2</v>
      </c>
      <c r="W35" s="1">
        <f t="shared" si="24"/>
        <v>1.4124293785310735</v>
      </c>
    </row>
    <row r="36" spans="4:23" ht="14.25" customHeight="1" x14ac:dyDescent="0.2">
      <c r="E36" s="1">
        <v>10</v>
      </c>
      <c r="Q36" s="1">
        <v>300</v>
      </c>
      <c r="R36" s="1">
        <f t="shared" si="31"/>
        <v>3.3333333333333335E-3</v>
      </c>
      <c r="S36" s="3">
        <f>R$5*$R36</f>
        <v>166666.66666666669</v>
      </c>
      <c r="T36" s="3">
        <f>S$5*$R36</f>
        <v>1.6666666666666666E-2</v>
      </c>
      <c r="U36" s="3">
        <f>T$5*$R36</f>
        <v>6.6533599467731206E-4</v>
      </c>
      <c r="V36" s="3">
        <f t="shared" si="32"/>
        <v>0.10645375914836994</v>
      </c>
      <c r="W36" s="1">
        <f t="shared" si="24"/>
        <v>1.666666666666667</v>
      </c>
    </row>
    <row r="37" spans="4:23" ht="14.25" customHeight="1" x14ac:dyDescent="0.2">
      <c r="D37" s="7"/>
      <c r="E37" s="7">
        <v>11</v>
      </c>
      <c r="Q37" s="1">
        <v>400</v>
      </c>
      <c r="R37" s="1">
        <f t="shared" si="31"/>
        <v>2.5000000000000001E-3</v>
      </c>
      <c r="S37" s="3">
        <f>R$5*$R37</f>
        <v>125000</v>
      </c>
      <c r="T37" s="3">
        <f>S$5*$R37</f>
        <v>1.2500000000000001E-2</v>
      </c>
      <c r="U37" s="3">
        <f>T$5*$R37</f>
        <v>4.9900199600798399E-4</v>
      </c>
      <c r="V37" s="3">
        <f t="shared" si="32"/>
        <v>8.9820359281437112E-2</v>
      </c>
      <c r="W37" s="1">
        <f t="shared" si="24"/>
        <v>1.25</v>
      </c>
    </row>
    <row r="38" spans="4:23" ht="14.25" customHeight="1" x14ac:dyDescent="0.2">
      <c r="E38" s="1">
        <v>12</v>
      </c>
      <c r="Q38" s="1">
        <v>500</v>
      </c>
      <c r="R38" s="1">
        <f t="shared" si="31"/>
        <v>2E-3</v>
      </c>
      <c r="S38" s="3">
        <f>R$5*$R38</f>
        <v>100000</v>
      </c>
      <c r="T38" s="3">
        <f>S$5*$R38</f>
        <v>0.01</v>
      </c>
      <c r="U38" s="3">
        <f>T$5*$R38</f>
        <v>3.9920159680638726E-4</v>
      </c>
      <c r="V38" s="3">
        <f t="shared" si="32"/>
        <v>7.9840319361277445E-2</v>
      </c>
      <c r="W38" s="1">
        <f t="shared" si="24"/>
        <v>1</v>
      </c>
    </row>
    <row r="39" spans="4:23" ht="14.25" customHeight="1" x14ac:dyDescent="0.2">
      <c r="Q39" s="1">
        <v>600</v>
      </c>
      <c r="R39" s="1">
        <f>1/Q39</f>
        <v>1.6666666666666668E-3</v>
      </c>
      <c r="S39" s="3">
        <f>R$5*$R39</f>
        <v>83333.333333333343</v>
      </c>
      <c r="T39" s="3">
        <f>S$5*$R39</f>
        <v>8.3333333333333332E-3</v>
      </c>
      <c r="U39" s="3">
        <f>T$5*$R39</f>
        <v>3.3266799733865603E-4</v>
      </c>
      <c r="V39" s="3">
        <f t="shared" si="32"/>
        <v>7.318695941450433E-2</v>
      </c>
      <c r="W39" s="1">
        <f t="shared" si="24"/>
        <v>0.83333333333333348</v>
      </c>
    </row>
    <row r="40" spans="4:23" ht="14.25" customHeight="1" x14ac:dyDescent="0.2">
      <c r="Q40" s="1">
        <v>700</v>
      </c>
      <c r="R40" s="1">
        <f t="shared" si="31"/>
        <v>1.4285714285714286E-3</v>
      </c>
      <c r="S40" s="3">
        <f>R$5*$R40</f>
        <v>71428.571428571435</v>
      </c>
      <c r="T40" s="3">
        <f>S$5*$R40</f>
        <v>7.1428571428571426E-3</v>
      </c>
      <c r="U40" s="3">
        <f>T$5*$R40</f>
        <v>2.8514399771884804E-4</v>
      </c>
      <c r="V40" s="3">
        <f t="shared" ref="V40:V43" si="33">U40/(T40/(1+S40/$R$3))</f>
        <v>6.8434559452523525E-2</v>
      </c>
      <c r="W40" s="1">
        <f t="shared" si="24"/>
        <v>0.7142857142857143</v>
      </c>
    </row>
    <row r="41" spans="4:23" ht="14.25" customHeight="1" x14ac:dyDescent="0.2">
      <c r="Q41" s="1">
        <v>800</v>
      </c>
      <c r="R41" s="1">
        <f t="shared" si="31"/>
        <v>1.25E-3</v>
      </c>
      <c r="S41" s="3">
        <f>R$5*$R41</f>
        <v>62500</v>
      </c>
      <c r="T41" s="3">
        <f>S$5*$R41</f>
        <v>6.2500000000000003E-3</v>
      </c>
      <c r="U41" s="3">
        <f>T$5*$R41</f>
        <v>2.4950099800399199E-4</v>
      </c>
      <c r="V41" s="3">
        <f t="shared" si="33"/>
        <v>6.4870259481037917E-2</v>
      </c>
      <c r="W41" s="1">
        <f t="shared" si="24"/>
        <v>0.625</v>
      </c>
    </row>
    <row r="42" spans="4:23" ht="14.25" customHeight="1" x14ac:dyDescent="0.2">
      <c r="Q42" s="1">
        <v>900</v>
      </c>
      <c r="R42" s="1">
        <f t="shared" si="31"/>
        <v>1.1111111111111111E-3</v>
      </c>
      <c r="S42" s="3">
        <f>R$5*$R42</f>
        <v>55555.555555555555</v>
      </c>
      <c r="T42" s="3">
        <f>S$5*$R42</f>
        <v>5.5555555555555558E-3</v>
      </c>
      <c r="U42" s="3">
        <f>T$5*$R42</f>
        <v>2.2177866489243733E-4</v>
      </c>
      <c r="V42" s="3">
        <f t="shared" si="33"/>
        <v>6.2098026169882456E-2</v>
      </c>
      <c r="W42" s="1">
        <f t="shared" si="24"/>
        <v>0.55555555555555558</v>
      </c>
    </row>
    <row r="43" spans="4:23" ht="14.25" customHeight="1" x14ac:dyDescent="0.2">
      <c r="Q43" s="1">
        <v>1000</v>
      </c>
      <c r="R43" s="1">
        <f t="shared" si="31"/>
        <v>1E-3</v>
      </c>
      <c r="S43" s="3">
        <f>R$5*$R43</f>
        <v>50000</v>
      </c>
      <c r="T43" s="3">
        <f>S$5*$R43</f>
        <v>5.0000000000000001E-3</v>
      </c>
      <c r="U43" s="3">
        <f>T$5*$R43</f>
        <v>1.9960079840319363E-4</v>
      </c>
      <c r="V43" s="3">
        <f>U43/(T43/(1+S43/$R$3))</f>
        <v>5.9880239520958084E-2</v>
      </c>
      <c r="W43" s="1">
        <f t="shared" si="24"/>
        <v>0.5</v>
      </c>
    </row>
    <row r="44" spans="4:23" ht="14.25" customHeight="1" x14ac:dyDescent="0.2">
      <c r="S44" s="3"/>
      <c r="T44" s="3"/>
      <c r="U44" s="3"/>
      <c r="V44" s="3"/>
    </row>
    <row r="46" spans="4:23" ht="14.25" customHeight="1" x14ac:dyDescent="0.2">
      <c r="Q46" s="1">
        <v>103322</v>
      </c>
      <c r="R46" s="1">
        <f>1+Q46/100000</f>
        <v>2.03322</v>
      </c>
      <c r="S46" s="1">
        <v>29353</v>
      </c>
      <c r="T46" s="3">
        <v>513303</v>
      </c>
      <c r="U46" s="1">
        <f>T46/(S46/R46)</f>
        <v>35.555409179981602</v>
      </c>
    </row>
    <row r="47" spans="4:23" ht="14.25" customHeight="1" x14ac:dyDescent="0.2">
      <c r="Q47" s="1">
        <v>247</v>
      </c>
      <c r="R47" s="1">
        <f>1+Q47/100000</f>
        <v>1.00247</v>
      </c>
      <c r="S47" s="1">
        <v>70</v>
      </c>
      <c r="T47" s="3">
        <v>2479</v>
      </c>
      <c r="U47" s="1">
        <f>T47/(S47/R47)</f>
        <v>35.501759</v>
      </c>
    </row>
    <row r="48" spans="4:23" ht="14.25" customHeight="1" x14ac:dyDescent="0.2">
      <c r="O48" s="1">
        <v>77406</v>
      </c>
    </row>
    <row r="49" spans="14:15" ht="14.25" customHeight="1" x14ac:dyDescent="0.2">
      <c r="N49" s="1">
        <f>O49-O48</f>
        <v>5930</v>
      </c>
      <c r="O49" s="1">
        <v>83336</v>
      </c>
    </row>
    <row r="50" spans="14:15" ht="14.25" customHeight="1" x14ac:dyDescent="0.2">
      <c r="N50" s="1">
        <f>N49*5</f>
        <v>29650</v>
      </c>
      <c r="O50" s="1">
        <f>O48+N50</f>
        <v>107056</v>
      </c>
    </row>
  </sheetData>
  <mergeCells count="2">
    <mergeCell ref="F24:K24"/>
    <mergeCell ref="L24:O24"/>
  </mergeCells>
  <phoneticPr fontId="1" type="noConversion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C2CD-DD55-4E47-A7AC-8429E77EF58A}">
  <dimension ref="A1"/>
  <sheetViews>
    <sheetView workbookViewId="0"/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0BE62-1FCC-4F0D-93A7-ECE30191F3A1}">
  <dimension ref="A1"/>
  <sheetViews>
    <sheetView workbookViewId="0"/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5BA36-C31A-4B8A-9799-C5C36284C0CB}">
  <dimension ref="A1"/>
  <sheetViews>
    <sheetView workbookViewId="0">
      <selection activeCell="E9" sqref="E9"/>
    </sheetView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角色基础</vt:lpstr>
      <vt:lpstr>怪物基础</vt:lpstr>
      <vt:lpstr>角色技能</vt:lpstr>
      <vt:lpstr>怪物技能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2023-01-05T03:16:21Z</dcterms:created>
  <dcterms:modified xsi:type="dcterms:W3CDTF">2023-01-06T10:15:55Z</dcterms:modified>
</cp:coreProperties>
</file>
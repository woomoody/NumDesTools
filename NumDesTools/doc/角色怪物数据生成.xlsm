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updateLinks="always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A97F859E-FBD4-4188-B2AB-D5178216028E}" xr6:coauthVersionLast="47" xr6:coauthVersionMax="47" xr10:uidLastSave="{00000000-0000-0000-0000-000000000000}"/>
  <bookViews>
    <workbookView xWindow="28680" yWindow="-75" windowWidth="29040" windowHeight="15720" xr2:uid="{1A43F594-E40F-48AA-93E3-9F5F3F4EE1B9}"/>
  </bookViews>
  <sheets>
    <sheet name="角色基础" sheetId="1" r:id="rId1"/>
    <sheet name="怪物基础" sheetId="2" r:id="rId2"/>
    <sheet name="角色技能" sheetId="3" r:id="rId3"/>
    <sheet name="怪物技能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7" i="1" l="1"/>
  <c r="P18" i="1"/>
  <c r="P19" i="1"/>
  <c r="P20" i="1"/>
  <c r="P21" i="1"/>
  <c r="P22" i="1"/>
  <c r="P23" i="1"/>
  <c r="P24" i="1"/>
  <c r="P25" i="1"/>
  <c r="P26" i="1"/>
  <c r="P27" i="1"/>
  <c r="Q17" i="1"/>
  <c r="Q18" i="1"/>
  <c r="Q19" i="1"/>
  <c r="Q20" i="1"/>
  <c r="Q21" i="1"/>
  <c r="Q22" i="1"/>
  <c r="Q23" i="1"/>
  <c r="Q24" i="1"/>
  <c r="Q25" i="1"/>
  <c r="Q26" i="1"/>
  <c r="Q27" i="1"/>
  <c r="AA9" i="1" l="1"/>
  <c r="AB9" i="1"/>
  <c r="AC9" i="1"/>
  <c r="AA10" i="1"/>
  <c r="AB10" i="1"/>
  <c r="AC10" i="1"/>
  <c r="AA11" i="1"/>
  <c r="AB11" i="1"/>
  <c r="AC11" i="1"/>
  <c r="AA12" i="1"/>
  <c r="AB12" i="1"/>
  <c r="AC12" i="1"/>
  <c r="AA13" i="1"/>
  <c r="AB13" i="1"/>
  <c r="AC13" i="1"/>
  <c r="AA14" i="1"/>
  <c r="AB14" i="1"/>
  <c r="AC14" i="1"/>
  <c r="AA15" i="1"/>
  <c r="AB15" i="1"/>
  <c r="AC15" i="1"/>
  <c r="AA16" i="1"/>
  <c r="AB16" i="1"/>
  <c r="AC16" i="1"/>
  <c r="AA17" i="1"/>
  <c r="AB17" i="1"/>
  <c r="AC17" i="1"/>
  <c r="AA18" i="1"/>
  <c r="AB18" i="1"/>
  <c r="AC18" i="1"/>
  <c r="AA19" i="1"/>
  <c r="AB19" i="1"/>
  <c r="AC19" i="1"/>
  <c r="AA20" i="1"/>
  <c r="AB20" i="1"/>
  <c r="AC20" i="1"/>
  <c r="AA21" i="1"/>
  <c r="AB21" i="1"/>
  <c r="AC21" i="1"/>
  <c r="AA22" i="1"/>
  <c r="AB22" i="1"/>
  <c r="AC22" i="1"/>
  <c r="AA23" i="1"/>
  <c r="AB23" i="1"/>
  <c r="AC23" i="1"/>
  <c r="AA24" i="1"/>
  <c r="AB24" i="1"/>
  <c r="AC24" i="1"/>
  <c r="AA25" i="1"/>
  <c r="AB25" i="1"/>
  <c r="AC25" i="1"/>
  <c r="AA26" i="1"/>
  <c r="AB26" i="1"/>
  <c r="AC26" i="1"/>
  <c r="AA27" i="1"/>
  <c r="AB27" i="1"/>
  <c r="AC27" i="1"/>
  <c r="AA28" i="1"/>
  <c r="AB28" i="1"/>
  <c r="AC28" i="1"/>
  <c r="AA29" i="1"/>
  <c r="AB29" i="1"/>
  <c r="AC29" i="1"/>
  <c r="AA30" i="1"/>
  <c r="AB30" i="1"/>
  <c r="AC30" i="1"/>
  <c r="AA31" i="1"/>
  <c r="AB31" i="1"/>
  <c r="AC31" i="1"/>
  <c r="AA32" i="1"/>
  <c r="AB32" i="1"/>
  <c r="AC32" i="1"/>
  <c r="AA33" i="1"/>
  <c r="AB33" i="1"/>
  <c r="AC33" i="1"/>
  <c r="AA34" i="1"/>
  <c r="AB34" i="1"/>
  <c r="AC34" i="1"/>
  <c r="AA35" i="1"/>
  <c r="AB35" i="1"/>
  <c r="AC35" i="1"/>
  <c r="AA36" i="1"/>
  <c r="AB36" i="1"/>
  <c r="AC36" i="1"/>
  <c r="AA37" i="1"/>
  <c r="AB37" i="1"/>
  <c r="AC37" i="1"/>
  <c r="AA38" i="1"/>
  <c r="AB38" i="1"/>
  <c r="AC38" i="1"/>
  <c r="AA39" i="1"/>
  <c r="AB39" i="1"/>
  <c r="AC39" i="1"/>
  <c r="AA40" i="1"/>
  <c r="AB40" i="1"/>
  <c r="AC40" i="1"/>
  <c r="AA41" i="1"/>
  <c r="AB41" i="1"/>
  <c r="AC41" i="1"/>
  <c r="AA42" i="1"/>
  <c r="AB42" i="1"/>
  <c r="AC42" i="1"/>
  <c r="AA43" i="1"/>
  <c r="AB43" i="1"/>
  <c r="AC43" i="1"/>
  <c r="AA44" i="1"/>
  <c r="AB44" i="1"/>
  <c r="AC44" i="1"/>
  <c r="AA45" i="1"/>
  <c r="AB45" i="1"/>
  <c r="AC45" i="1"/>
  <c r="AA46" i="1"/>
  <c r="AB46" i="1"/>
  <c r="AC46" i="1"/>
  <c r="AA47" i="1"/>
  <c r="AB47" i="1"/>
  <c r="AC47" i="1"/>
  <c r="AA48" i="1"/>
  <c r="AB48" i="1"/>
  <c r="AC48" i="1"/>
  <c r="AA49" i="1"/>
  <c r="AB49" i="1"/>
  <c r="AC49" i="1"/>
  <c r="AA50" i="1"/>
  <c r="AB50" i="1"/>
  <c r="AC50" i="1"/>
  <c r="AA51" i="1"/>
  <c r="AB51" i="1"/>
  <c r="AC51" i="1"/>
  <c r="AA52" i="1"/>
  <c r="AB52" i="1"/>
  <c r="AC52" i="1"/>
  <c r="AA53" i="1"/>
  <c r="AB53" i="1"/>
  <c r="AC53" i="1"/>
  <c r="AA54" i="1"/>
  <c r="AB54" i="1"/>
  <c r="AC54" i="1"/>
  <c r="AA55" i="1"/>
  <c r="AB55" i="1"/>
  <c r="AC55" i="1"/>
  <c r="AA56" i="1"/>
  <c r="AB56" i="1"/>
  <c r="AC56" i="1"/>
  <c r="AA57" i="1"/>
  <c r="AB57" i="1"/>
  <c r="AC57" i="1"/>
  <c r="AA58" i="1"/>
  <c r="AB58" i="1"/>
  <c r="AC58" i="1"/>
  <c r="AA59" i="1"/>
  <c r="AB59" i="1"/>
  <c r="AC59" i="1"/>
  <c r="AA60" i="1"/>
  <c r="AB60" i="1"/>
  <c r="AC60" i="1"/>
  <c r="AA61" i="1"/>
  <c r="AB61" i="1"/>
  <c r="AC61" i="1"/>
  <c r="AA62" i="1"/>
  <c r="AB62" i="1"/>
  <c r="AC62" i="1"/>
  <c r="AA63" i="1"/>
  <c r="AB63" i="1"/>
  <c r="AC63" i="1"/>
  <c r="AA64" i="1"/>
  <c r="AB64" i="1"/>
  <c r="AC64" i="1"/>
  <c r="AA65" i="1"/>
  <c r="AB65" i="1"/>
  <c r="AC65" i="1"/>
  <c r="AA66" i="1"/>
  <c r="AB66" i="1"/>
  <c r="AC66" i="1"/>
  <c r="AA67" i="1"/>
  <c r="AB67" i="1"/>
  <c r="AC67" i="1"/>
  <c r="AA68" i="1"/>
  <c r="AB68" i="1"/>
  <c r="AC68" i="1"/>
  <c r="AA69" i="1"/>
  <c r="AB69" i="1"/>
  <c r="AC69" i="1"/>
  <c r="AA70" i="1"/>
  <c r="AB70" i="1"/>
  <c r="AC70" i="1"/>
  <c r="AA71" i="1"/>
  <c r="AB71" i="1"/>
  <c r="AC71" i="1"/>
  <c r="AA72" i="1"/>
  <c r="AB72" i="1"/>
  <c r="AC72" i="1"/>
  <c r="AA73" i="1"/>
  <c r="AB73" i="1"/>
  <c r="AC73" i="1"/>
  <c r="AA74" i="1"/>
  <c r="AB74" i="1"/>
  <c r="AC74" i="1"/>
  <c r="AA75" i="1"/>
  <c r="AB75" i="1"/>
  <c r="AC75" i="1"/>
  <c r="AA76" i="1"/>
  <c r="AB76" i="1"/>
  <c r="AC76" i="1"/>
  <c r="AA77" i="1"/>
  <c r="AB77" i="1"/>
  <c r="AC77" i="1"/>
  <c r="AA78" i="1"/>
  <c r="AB78" i="1"/>
  <c r="AC78" i="1"/>
  <c r="AA79" i="1"/>
  <c r="AB79" i="1"/>
  <c r="AC79" i="1"/>
  <c r="AA80" i="1"/>
  <c r="AB80" i="1"/>
  <c r="AC80" i="1"/>
  <c r="AA81" i="1"/>
  <c r="AB81" i="1"/>
  <c r="AC81" i="1"/>
  <c r="AA82" i="1"/>
  <c r="AB82" i="1"/>
  <c r="AC82" i="1"/>
  <c r="AA83" i="1"/>
  <c r="AB83" i="1"/>
  <c r="AC83" i="1"/>
  <c r="AA84" i="1"/>
  <c r="AB84" i="1"/>
  <c r="AC84" i="1"/>
  <c r="AA85" i="1"/>
  <c r="AB85" i="1"/>
  <c r="AC85" i="1"/>
  <c r="AA86" i="1"/>
  <c r="AB86" i="1"/>
  <c r="AC86" i="1"/>
  <c r="AA87" i="1"/>
  <c r="AB87" i="1"/>
  <c r="AC87" i="1"/>
  <c r="AA88" i="1"/>
  <c r="AB88" i="1"/>
  <c r="AC88" i="1"/>
  <c r="AA89" i="1"/>
  <c r="AB89" i="1"/>
  <c r="AC89" i="1"/>
  <c r="AA90" i="1"/>
  <c r="AB90" i="1"/>
  <c r="AC90" i="1"/>
  <c r="AA91" i="1"/>
  <c r="AB91" i="1"/>
  <c r="AC91" i="1"/>
  <c r="AA92" i="1"/>
  <c r="AB92" i="1"/>
  <c r="AC92" i="1"/>
  <c r="AA93" i="1"/>
  <c r="AB93" i="1"/>
  <c r="AC93" i="1"/>
  <c r="AA94" i="1"/>
  <c r="AB94" i="1"/>
  <c r="AC94" i="1"/>
  <c r="AA95" i="1"/>
  <c r="AB95" i="1"/>
  <c r="AC95" i="1"/>
  <c r="AA96" i="1"/>
  <c r="AB96" i="1"/>
  <c r="AC96" i="1"/>
  <c r="AA97" i="1"/>
  <c r="AB97" i="1"/>
  <c r="AC97" i="1"/>
  <c r="AA98" i="1"/>
  <c r="AB98" i="1"/>
  <c r="AC98" i="1"/>
  <c r="AA99" i="1"/>
  <c r="AB99" i="1"/>
  <c r="AC99" i="1"/>
  <c r="AA100" i="1"/>
  <c r="AB100" i="1"/>
  <c r="AC100" i="1"/>
  <c r="AA101" i="1"/>
  <c r="AB101" i="1"/>
  <c r="AC101" i="1"/>
  <c r="AA102" i="1"/>
  <c r="AB102" i="1"/>
  <c r="AC102" i="1"/>
  <c r="AB4" i="1"/>
  <c r="AB5" i="1"/>
  <c r="AB6" i="1"/>
  <c r="AB7" i="1"/>
  <c r="AB8" i="1"/>
  <c r="AB3" i="1"/>
  <c r="AA4" i="1"/>
  <c r="AC4" i="1"/>
  <c r="AA5" i="1"/>
  <c r="AC5" i="1"/>
  <c r="AA6" i="1"/>
  <c r="AC6" i="1"/>
  <c r="AA7" i="1"/>
  <c r="AC7" i="1"/>
  <c r="AA8" i="1"/>
  <c r="AC8" i="1"/>
  <c r="AC3" i="1"/>
  <c r="AA3" i="1"/>
  <c r="Z1" i="1"/>
  <c r="Y1" i="1"/>
  <c r="P16" i="1"/>
  <c r="Q16" i="1"/>
  <c r="F6" i="1"/>
  <c r="G6" i="1"/>
  <c r="F7" i="1"/>
  <c r="G7" i="1"/>
  <c r="G5" i="1"/>
  <c r="F5" i="1"/>
  <c r="R19" i="1" l="1"/>
  <c r="T18" i="1"/>
  <c r="T17" i="1"/>
  <c r="T19" i="1"/>
  <c r="T16" i="1"/>
  <c r="R27" i="1"/>
  <c r="T26" i="1"/>
  <c r="T27" i="1"/>
  <c r="R24" i="1"/>
  <c r="T25" i="1"/>
  <c r="T20" i="1"/>
  <c r="T24" i="1"/>
  <c r="T21" i="1"/>
  <c r="T23" i="1"/>
  <c r="T22" i="1"/>
  <c r="S18" i="1"/>
  <c r="S16" i="1"/>
  <c r="AC1" i="1" s="1"/>
  <c r="S17" i="1"/>
  <c r="S19" i="1"/>
  <c r="S27" i="1"/>
  <c r="S26" i="1"/>
  <c r="S20" i="1"/>
  <c r="S21" i="1"/>
  <c r="S24" i="1"/>
  <c r="S22" i="1"/>
  <c r="S23" i="1"/>
  <c r="S25" i="1"/>
  <c r="R17" i="1"/>
  <c r="R21" i="1"/>
  <c r="R23" i="1"/>
  <c r="R25" i="1"/>
  <c r="N22" i="1"/>
  <c r="N23" i="1"/>
  <c r="N24" i="1"/>
  <c r="N21" i="1"/>
  <c r="N25" i="1"/>
  <c r="N20" i="1"/>
  <c r="R22" i="1"/>
  <c r="R18" i="1"/>
  <c r="R20" i="1"/>
  <c r="N26" i="1"/>
  <c r="N27" i="1"/>
  <c r="R26" i="1"/>
  <c r="N16" i="1"/>
  <c r="X37" i="1" s="1"/>
  <c r="N18" i="1"/>
  <c r="N17" i="1"/>
  <c r="N19" i="1"/>
  <c r="Z10" i="1"/>
  <c r="Z92" i="1"/>
  <c r="Z69" i="1"/>
  <c r="Z6" i="1"/>
  <c r="Y10" i="1"/>
  <c r="Z100" i="1"/>
  <c r="Z60" i="1"/>
  <c r="Z5" i="1"/>
  <c r="Z52" i="1"/>
  <c r="Z4" i="1"/>
  <c r="Z77" i="1"/>
  <c r="Y69" i="1"/>
  <c r="Y48" i="1"/>
  <c r="Z29" i="1"/>
  <c r="Z12" i="1"/>
  <c r="Z17" i="1"/>
  <c r="Z96" i="1"/>
  <c r="Z73" i="1"/>
  <c r="Z56" i="1"/>
  <c r="Z33" i="1"/>
  <c r="Z16" i="1"/>
  <c r="Z97" i="1"/>
  <c r="Z80" i="1"/>
  <c r="Z101" i="1"/>
  <c r="Z61" i="1"/>
  <c r="Z44" i="1"/>
  <c r="Z21" i="1"/>
  <c r="Z85" i="1"/>
  <c r="Z68" i="1"/>
  <c r="Z45" i="1"/>
  <c r="Z84" i="1"/>
  <c r="Z9" i="1"/>
  <c r="Z57" i="1"/>
  <c r="Z40" i="1"/>
  <c r="Z28" i="1"/>
  <c r="Z89" i="1"/>
  <c r="Z72" i="1"/>
  <c r="Z49" i="1"/>
  <c r="Z32" i="1"/>
  <c r="Y101" i="1"/>
  <c r="Y89" i="1"/>
  <c r="Z37" i="1"/>
  <c r="Z20" i="1"/>
  <c r="Y88" i="1"/>
  <c r="Z88" i="1"/>
  <c r="Z65" i="1"/>
  <c r="Z48" i="1"/>
  <c r="Z25" i="1"/>
  <c r="Y68" i="1"/>
  <c r="Y49" i="1"/>
  <c r="Z93" i="1"/>
  <c r="Z76" i="1"/>
  <c r="Z53" i="1"/>
  <c r="Z36" i="1"/>
  <c r="Z13" i="1"/>
  <c r="Z3" i="1"/>
  <c r="Y29" i="1"/>
  <c r="Z7" i="1"/>
  <c r="Z81" i="1"/>
  <c r="Z64" i="1"/>
  <c r="Z41" i="1"/>
  <c r="Z24" i="1"/>
  <c r="Y28" i="1"/>
  <c r="Y9" i="1"/>
  <c r="Y102" i="1"/>
  <c r="Y26" i="1"/>
  <c r="Y65" i="1"/>
  <c r="Y44" i="1"/>
  <c r="Y63" i="1"/>
  <c r="Y22" i="1"/>
  <c r="Y41" i="1"/>
  <c r="Y60" i="1"/>
  <c r="Y39" i="1"/>
  <c r="Y78" i="1"/>
  <c r="Y3" i="1"/>
  <c r="Y57" i="1"/>
  <c r="Y17" i="1"/>
  <c r="Y47" i="1"/>
  <c r="Y42" i="1"/>
  <c r="Y38" i="1"/>
  <c r="Y37" i="1"/>
  <c r="Y8" i="1"/>
  <c r="Y96" i="1"/>
  <c r="Y76" i="1"/>
  <c r="Y56" i="1"/>
  <c r="Y36" i="1"/>
  <c r="Y16" i="1"/>
  <c r="Y67" i="1"/>
  <c r="Y66" i="1"/>
  <c r="Y82" i="1"/>
  <c r="Y61" i="1"/>
  <c r="Y58" i="1"/>
  <c r="Y97" i="1"/>
  <c r="Z99" i="1"/>
  <c r="Z95" i="1"/>
  <c r="Z91" i="1"/>
  <c r="Z87" i="1"/>
  <c r="Z83" i="1"/>
  <c r="Z79" i="1"/>
  <c r="Z75" i="1"/>
  <c r="Z71" i="1"/>
  <c r="Z67" i="1"/>
  <c r="Z63" i="1"/>
  <c r="Z59" i="1"/>
  <c r="Z55" i="1"/>
  <c r="Z51" i="1"/>
  <c r="Z47" i="1"/>
  <c r="Z43" i="1"/>
  <c r="Z39" i="1"/>
  <c r="Z35" i="1"/>
  <c r="Z31" i="1"/>
  <c r="Z27" i="1"/>
  <c r="Z23" i="1"/>
  <c r="Z19" i="1"/>
  <c r="Z15" i="1"/>
  <c r="Z11" i="1"/>
  <c r="Y95" i="1"/>
  <c r="Y75" i="1"/>
  <c r="Y55" i="1"/>
  <c r="Y35" i="1"/>
  <c r="Y15" i="1"/>
  <c r="Y46" i="1"/>
  <c r="Y20" i="1"/>
  <c r="Y79" i="1"/>
  <c r="Y98" i="1"/>
  <c r="Y18" i="1"/>
  <c r="Y77" i="1"/>
  <c r="Y7" i="1"/>
  <c r="Y6" i="1"/>
  <c r="Y94" i="1"/>
  <c r="Y74" i="1"/>
  <c r="Y54" i="1"/>
  <c r="Y34" i="1"/>
  <c r="Y14" i="1"/>
  <c r="Y87" i="1"/>
  <c r="Y25" i="1"/>
  <c r="Y84" i="1"/>
  <c r="Y83" i="1"/>
  <c r="Y62" i="1"/>
  <c r="Y21" i="1"/>
  <c r="Y80" i="1"/>
  <c r="Y59" i="1"/>
  <c r="Y93" i="1"/>
  <c r="Y73" i="1"/>
  <c r="Y53" i="1"/>
  <c r="Y33" i="1"/>
  <c r="Y13" i="1"/>
  <c r="Y27" i="1"/>
  <c r="Y86" i="1"/>
  <c r="Y45" i="1"/>
  <c r="Y64" i="1"/>
  <c r="Y23" i="1"/>
  <c r="Y81" i="1"/>
  <c r="Y40" i="1"/>
  <c r="Y99" i="1"/>
  <c r="R16" i="1"/>
  <c r="Y4" i="1"/>
  <c r="Y92" i="1"/>
  <c r="Y72" i="1"/>
  <c r="Y52" i="1"/>
  <c r="Y32" i="1"/>
  <c r="Y12" i="1"/>
  <c r="Y85" i="1"/>
  <c r="Y24" i="1"/>
  <c r="Y43" i="1"/>
  <c r="Y100" i="1"/>
  <c r="Y19" i="1"/>
  <c r="Y5" i="1"/>
  <c r="Y91" i="1"/>
  <c r="Y71" i="1"/>
  <c r="Y51" i="1"/>
  <c r="Y31" i="1"/>
  <c r="Y11" i="1"/>
  <c r="Z8" i="1"/>
  <c r="Z102" i="1"/>
  <c r="Z98" i="1"/>
  <c r="Z94" i="1"/>
  <c r="Z90" i="1"/>
  <c r="Z86" i="1"/>
  <c r="Z82" i="1"/>
  <c r="Z78" i="1"/>
  <c r="Z74" i="1"/>
  <c r="Z70" i="1"/>
  <c r="Z66" i="1"/>
  <c r="Z62" i="1"/>
  <c r="Z58" i="1"/>
  <c r="Z54" i="1"/>
  <c r="Z50" i="1"/>
  <c r="Z46" i="1"/>
  <c r="Z42" i="1"/>
  <c r="Z38" i="1"/>
  <c r="Z34" i="1"/>
  <c r="Z30" i="1"/>
  <c r="Z26" i="1"/>
  <c r="Z22" i="1"/>
  <c r="Z18" i="1"/>
  <c r="Z14" i="1"/>
  <c r="Y90" i="1"/>
  <c r="Y70" i="1"/>
  <c r="Y50" i="1"/>
  <c r="Y30" i="1"/>
  <c r="X91" i="1" l="1"/>
  <c r="X87" i="1"/>
  <c r="X83" i="1"/>
  <c r="X17" i="1"/>
  <c r="X38" i="1"/>
  <c r="X81" i="1"/>
  <c r="X7" i="1"/>
  <c r="X86" i="1"/>
  <c r="X58" i="1"/>
  <c r="X85" i="1"/>
  <c r="X11" i="1"/>
  <c r="X22" i="1"/>
  <c r="X79" i="1"/>
  <c r="X23" i="1"/>
  <c r="X26" i="1"/>
  <c r="X90" i="1"/>
  <c r="X25" i="1"/>
  <c r="X54" i="1"/>
  <c r="X72" i="1"/>
  <c r="X48" i="1"/>
  <c r="X35" i="1"/>
  <c r="X16" i="1"/>
  <c r="X57" i="1"/>
  <c r="X46" i="1"/>
  <c r="X50" i="1"/>
  <c r="X95" i="1"/>
  <c r="X21" i="1"/>
  <c r="X9" i="1"/>
  <c r="X82" i="1"/>
  <c r="X31" i="1"/>
  <c r="X4" i="1"/>
  <c r="X62" i="1"/>
  <c r="X84" i="1"/>
  <c r="X39" i="1"/>
  <c r="X60" i="1"/>
  <c r="X94" i="1"/>
  <c r="X42" i="1"/>
  <c r="X30" i="1"/>
  <c r="X64" i="1"/>
  <c r="X10" i="1"/>
  <c r="X32" i="1"/>
  <c r="X47" i="1"/>
  <c r="X28" i="1"/>
  <c r="X93" i="1"/>
  <c r="X6" i="1"/>
  <c r="X97" i="1"/>
  <c r="X15" i="1"/>
  <c r="X61" i="1"/>
  <c r="X70" i="1"/>
  <c r="X43" i="1"/>
  <c r="X51" i="1"/>
  <c r="X40" i="1"/>
  <c r="X36" i="1"/>
  <c r="X69" i="1"/>
  <c r="X101" i="1"/>
  <c r="X73" i="1"/>
  <c r="X27" i="1"/>
  <c r="X66" i="1"/>
  <c r="X55" i="1"/>
  <c r="X56" i="1"/>
  <c r="X76" i="1"/>
  <c r="X45" i="1"/>
  <c r="X13" i="1"/>
  <c r="X49" i="1"/>
  <c r="X20" i="1"/>
  <c r="X92" i="1"/>
  <c r="X59" i="1"/>
  <c r="X80" i="1"/>
  <c r="X29" i="1"/>
  <c r="X78" i="1"/>
  <c r="X33" i="1"/>
  <c r="X74" i="1"/>
  <c r="X100" i="1"/>
  <c r="X68" i="1"/>
  <c r="X63" i="1"/>
  <c r="X96" i="1"/>
  <c r="X98" i="1"/>
  <c r="X89" i="1"/>
  <c r="X3" i="1"/>
  <c r="X19" i="1"/>
  <c r="X8" i="1"/>
  <c r="X44" i="1"/>
  <c r="X24" i="1"/>
  <c r="X67" i="1"/>
  <c r="X34" i="1"/>
  <c r="X65" i="1"/>
  <c r="X99" i="1"/>
  <c r="X41" i="1"/>
  <c r="X5" i="1"/>
  <c r="X52" i="1"/>
  <c r="X71" i="1"/>
  <c r="X18" i="1"/>
  <c r="X53" i="1"/>
  <c r="X102" i="1"/>
  <c r="X12" i="1"/>
  <c r="X14" i="1"/>
  <c r="X88" i="1"/>
  <c r="X75" i="1"/>
  <c r="X7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5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sharedStrings.xml><?xml version="1.0" encoding="utf-8"?>
<sst xmlns="http://schemas.openxmlformats.org/spreadsheetml/2006/main" count="130" uniqueCount="94">
  <si>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</si>
  <si>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</si>
  <si>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</si>
  <si>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</si>
  <si>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</si>
  <si>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</si>
  <si>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防御力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</si>
  <si>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</si>
  <si>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</si>
  <si>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</si>
  <si>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</si>
  <si>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</si>
  <si>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</si>
  <si>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</si>
  <si>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</si>
  <si>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</si>
  <si>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分类</t>
    <phoneticPr fontId="1" type="noConversion"/>
  </si>
  <si>
    <t>参数名</t>
    <phoneticPr fontId="1" type="noConversion"/>
  </si>
  <si>
    <t>攻击偏向</t>
    <phoneticPr fontId="1" type="noConversion"/>
  </si>
  <si>
    <t>防御偏向</t>
    <phoneticPr fontId="1" type="noConversion"/>
  </si>
  <si>
    <t>基准防御力</t>
    <phoneticPr fontId="1" type="noConversion"/>
  </si>
  <si>
    <t>生命偏向</t>
    <phoneticPr fontId="1" type="noConversion"/>
  </si>
  <si>
    <t>品质</t>
    <phoneticPr fontId="1" type="noConversion"/>
  </si>
  <si>
    <t>防御力换算</t>
    <phoneticPr fontId="1" type="noConversion"/>
  </si>
  <si>
    <t>R</t>
  </si>
  <si>
    <t>SR</t>
  </si>
  <si>
    <t>SSR</t>
  </si>
  <si>
    <t>UR</t>
  </si>
  <si>
    <t>SSR</t>
    <phoneticPr fontId="1" type="noConversion"/>
  </si>
  <si>
    <t>防御见长，输出较低</t>
  </si>
  <si>
    <t>防御</t>
  </si>
  <si>
    <t>有一定输出和防御能力</t>
  </si>
  <si>
    <t>突击</t>
  </si>
  <si>
    <t>群体输出能力强</t>
  </si>
  <si>
    <t>魔法</t>
  </si>
  <si>
    <t>单体输出能力强</t>
  </si>
  <si>
    <t>射击</t>
  </si>
  <si>
    <t>对后排输出能力强</t>
  </si>
  <si>
    <t>刺杀</t>
  </si>
  <si>
    <t>更侧重单体治疗能力</t>
  </si>
  <si>
    <t>恢复</t>
  </si>
  <si>
    <t>输出</t>
  </si>
  <si>
    <t>输出</t>
    <phoneticPr fontId="1" type="noConversion"/>
  </si>
  <si>
    <t>治疗</t>
  </si>
  <si>
    <t>治疗</t>
    <phoneticPr fontId="1" type="noConversion"/>
  </si>
  <si>
    <t>坦克</t>
  </si>
  <si>
    <t>坦克</t>
    <phoneticPr fontId="1" type="noConversion"/>
  </si>
  <si>
    <t>包装类型</t>
    <phoneticPr fontId="1" type="noConversion"/>
  </si>
  <si>
    <t>手调参数</t>
    <phoneticPr fontId="1" type="noConversion"/>
  </si>
  <si>
    <t>计算参数</t>
    <phoneticPr fontId="1" type="noConversion"/>
  </si>
  <si>
    <t>输出参数</t>
    <phoneticPr fontId="1" type="noConversion"/>
  </si>
  <si>
    <t>升级占比</t>
    <phoneticPr fontId="1" type="noConversion"/>
  </si>
  <si>
    <t>角色数据</t>
    <phoneticPr fontId="1" type="noConversion"/>
  </si>
  <si>
    <t>升星占比</t>
    <phoneticPr fontId="1" type="noConversion"/>
  </si>
  <si>
    <t>公共占比</t>
    <phoneticPr fontId="1" type="noConversion"/>
  </si>
  <si>
    <t>装备占比</t>
    <phoneticPr fontId="1" type="noConversion"/>
  </si>
  <si>
    <t>攻击力</t>
  </si>
  <si>
    <t>生命上限</t>
  </si>
  <si>
    <t>防御力</t>
  </si>
  <si>
    <t>暴击率</t>
  </si>
  <si>
    <t>暴击倍率</t>
  </si>
  <si>
    <t>攻速</t>
  </si>
  <si>
    <t>等级</t>
    <phoneticPr fontId="1" type="noConversion"/>
  </si>
  <si>
    <t>升级数据</t>
    <phoneticPr fontId="1" type="noConversion"/>
  </si>
  <si>
    <t>饼干1</t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</si>
  <si>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</si>
  <si>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</si>
  <si>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</si>
  <si>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</si>
  <si>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</si>
  <si>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</si>
  <si>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</si>
  <si>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</si>
  <si>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</si>
  <si>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</si>
  <si>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</si>
  <si>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参数Max</t>
    <phoneticPr fontId="1" type="noConversion"/>
  </si>
  <si>
    <t>参数Min</t>
    <phoneticPr fontId="1" type="noConversion"/>
  </si>
  <si>
    <t>↓</t>
    <phoneticPr fontId="1" type="noConversion"/>
  </si>
  <si>
    <t>复制上一行数据填新卡数据</t>
    <phoneticPr fontId="1" type="noConversion"/>
  </si>
  <si>
    <t>Role1</t>
    <phoneticPr fontId="1" type="noConversion"/>
  </si>
  <si>
    <t>DataTable</t>
    <phoneticPr fontId="1" type="noConversion"/>
  </si>
  <si>
    <t>Role2</t>
  </si>
  <si>
    <t>Role3</t>
  </si>
  <si>
    <t>Role4</t>
  </si>
  <si>
    <t>Role5</t>
  </si>
  <si>
    <t>Role6</t>
  </si>
  <si>
    <t>Role7</t>
  </si>
  <si>
    <t>Role8</t>
  </si>
  <si>
    <t>Role9</t>
  </si>
  <si>
    <t>Role10</t>
  </si>
  <si>
    <t>Role11</t>
  </si>
  <si>
    <t>Role12</t>
  </si>
  <si>
    <t>饼干1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</si>
</sst>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0.000"/>
    <numFmt numFmtId="178" formatCode="_ * #,##0_ ;_ * \-#,##0_ ;_ * &quot;-&quot;??_ ;_ @_ 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sz val="11"/>
      <color theme="1"/>
      <name val="等线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43" fontId="8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0" fontId="2" fillId="4" borderId="1" xfId="0" applyFont="1" applyFill="1" applyBorder="1" applyAlignment="1">
      <alignment horizontal="center" vertical="center" shrinkToFit="1"/>
    </xf>
    <xf numFmtId="2" fontId="2" fillId="0" borderId="3" xfId="0" applyNumberFormat="1" applyFont="1" applyBorder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 shrinkToFit="1"/>
    </xf>
    <xf numFmtId="1" fontId="6" fillId="0" borderId="4" xfId="0" applyNumberFormat="1" applyFont="1" applyBorder="1" applyAlignment="1">
      <alignment horizontal="center" vertical="center" shrinkToFit="1"/>
    </xf>
    <xf numFmtId="0" fontId="6" fillId="3" borderId="4" xfId="0" applyFont="1" applyFill="1" applyBorder="1" applyAlignment="1">
      <alignment horizontal="center" vertical="center" shrinkToFit="1"/>
    </xf>
    <xf numFmtId="0" fontId="6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6" fillId="2" borderId="1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4" borderId="13" xfId="0" applyFont="1" applyFill="1" applyBorder="1" applyAlignment="1">
      <alignment horizontal="center" vertical="center" shrinkToFit="1"/>
    </xf>
    <xf numFmtId="0" fontId="6" fillId="4" borderId="4" xfId="0" applyFont="1" applyFill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right" vertical="center"/>
    </xf>
    <xf numFmtId="0" fontId="6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178" fontId="2" fillId="0" borderId="1" xfId="1" applyNumberFormat="1" applyFont="1" applyBorder="1" applyAlignment="1">
      <alignment horizontal="center" vertical="center" shrinkToFit="1"/>
    </xf>
  </cellXfs>
  <cellStyles count="2">
    <cellStyle name="常规" xfId="0" builtinId="0"/>
    <cellStyle name="千位分隔" xfId="1" builtinId="3"/>
  </cellStyles>
  <dxfs count="4"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模型(废）"/>
      <sheetName val="基础模型"/>
      <sheetName val="战斗公式"/>
      <sheetName val="角色设定"/>
      <sheetName val="角色成长"/>
      <sheetName val="角色品星"/>
      <sheetName val="角色升级"/>
      <sheetName val="技能模板"/>
      <sheetName val="角色技能"/>
      <sheetName val="怪物设定"/>
      <sheetName val="战斗模拟"/>
    </sheetNames>
    <sheetDataSet>
      <sheetData sheetId="0"/>
      <sheetData sheetId="1"/>
      <sheetData sheetId="2"/>
      <sheetData sheetId="3">
        <row r="5">
          <cell r="E5">
            <v>5</v>
          </cell>
          <cell r="F5">
            <v>100</v>
          </cell>
        </row>
        <row r="6">
          <cell r="E6">
            <v>10</v>
          </cell>
          <cell r="F6">
            <v>40</v>
          </cell>
        </row>
        <row r="7">
          <cell r="E7">
            <v>4</v>
          </cell>
          <cell r="F7">
            <v>50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sheetPr codeName="Sheet1"/>
  <dimension ref="A1:AC102"/>
  <sheetViews>
    <sheetView tabSelected="1" zoomScaleNormal="100" workbookViewId="0">
      <pane xSplit="8" ySplit="15" topLeftCell="I16" activePane="bottomRight" state="frozen"/>
      <selection pane="topRight" activeCell="I1" sqref="I1"/>
      <selection pane="bottomLeft" activeCell="A16" sqref="A16"/>
      <selection pane="bottomRight" activeCell="B32" sqref="B32"/>
    </sheetView>
  </sheetViews>
  <sheetFormatPr defaultRowHeight="14.25" customHeight="1" x14ac:dyDescent="0.2"/>
  <cols>
    <col min="1" max="16384" width="9" style="1"/>
  </cols>
  <sheetData>
    <row r="1" spans="2:29" ht="14.25" customHeight="1" x14ac:dyDescent="0.2">
      <c r="B1" s="5"/>
      <c r="C1" s="2" t="s">
        <v>48</v>
      </c>
      <c r="D1" s="6"/>
      <c r="E1" s="2" t="s">
        <v>49</v>
      </c>
      <c r="F1" s="8"/>
      <c r="G1" s="2" t="s">
        <v>50</v>
      </c>
      <c r="V1" s="2" t="s">
        <v>63</v>
      </c>
      <c r="X1" s="1" t="s">
        <v>93</v>
      </c>
      <c r="Y1" s="1" t="str">
        <f>VLOOKUP($X1,$E:$G,3,0)</f>
        <v>SSR</v>
      </c>
      <c r="Z1" s="1" t="str">
        <f>VLOOKUP($X1,$E:$G,2,0)</f>
        <v>防御</v>
      </c>
      <c r="AA1" s="1">
        <v>0.05</v>
      </c>
      <c r="AB1" s="1">
        <v>1.5</v>
      </c>
      <c r="AC1" s="1">
        <f>VLOOKUP(X1,$E:$U,15,0)</f>
        <v>5</v>
      </c>
    </row>
    <row r="2" spans="2:29" ht="14.25" customHeight="1" x14ac:dyDescent="0.2">
      <c r="W2" s="1" t="s">
        <v>62</v>
      </c>
      <c r="X2" s="1" t="s">
        <v>56</v>
      </c>
      <c r="Y2" s="1" t="s">
        <v>57</v>
      </c>
      <c r="Z2" s="1" t="s">
        <v>58</v>
      </c>
      <c r="AA2" s="1" t="s">
        <v>59</v>
      </c>
      <c r="AB2" s="1" t="s">
        <v>60</v>
      </c>
      <c r="AC2" s="1" t="s">
        <v>61</v>
      </c>
    </row>
    <row r="3" spans="2:29" ht="14.25" customHeight="1" x14ac:dyDescent="0.2">
      <c r="E3" s="2" t="s">
        <v>0</v>
      </c>
      <c r="K3" s="2" t="s">
        <v>47</v>
      </c>
      <c r="W3" s="1">
        <v>1</v>
      </c>
      <c r="X3" s="1">
        <f t="shared" ref="X3:X34" si="0">ROUND(VLOOKUP($X$1,$E:$R,MATCH(X$2,$E$15:$R$15,0),0)*$C$6^($W3-1)*$C$13*VLOOKUP($Y$1,$B:$C,2,0),0)</f>
        <v>70</v>
      </c>
      <c r="Y3" s="1">
        <f t="shared" ref="Y3:Y34" si="1">ROUND(VLOOKUP(VLOOKUP($Z$1,$K$4:$L$10,2,0),$E$4:$G$7,3,0)*$C$5*VLOOKUP($X$1,$E:$R,MATCH("生命偏向",$E$15:$R$15,0),0)/(1+VLOOKUP($X$1,$E:$R,MATCH($Z$2,$E$15:$R$15,0),0)*$C$6^($W3-1)/$C$8)*$C$6^($W3-1)*$C$13*VLOOKUP($Y$1,$B:$C,2,0),0)</f>
        <v>2480</v>
      </c>
      <c r="Z3" s="1">
        <f t="shared" ref="Z3:Z34" si="2">ROUND(VLOOKUP($X$1,$E:$R,MATCH(Z$2,$E$15:$R$15,0),0)*$C$6^($W3-1)*$C$13*VLOOKUP($Y$1,$B:$C,2,0),0)</f>
        <v>248</v>
      </c>
      <c r="AA3" s="1">
        <f>$AA$1</f>
        <v>0.05</v>
      </c>
      <c r="AB3" s="1">
        <f>$AB$1</f>
        <v>1.5</v>
      </c>
      <c r="AC3" s="1">
        <f t="shared" ref="AC3:AC34" si="3">VLOOKUP($X$1,$E:$R,MATCH(AC$2,$E$15:$R$15,0),0)</f>
        <v>0.9</v>
      </c>
    </row>
    <row r="4" spans="2:29" ht="14.25" customHeight="1" thickBot="1" x14ac:dyDescent="0.25">
      <c r="B4" s="14" t="s">
        <v>9</v>
      </c>
      <c r="C4" s="21" t="s">
        <v>10</v>
      </c>
      <c r="E4" s="14" t="s">
        <v>5</v>
      </c>
      <c r="F4" s="14" t="s">
        <v>1</v>
      </c>
      <c r="G4" s="14" t="s">
        <v>2</v>
      </c>
      <c r="J4" s="11"/>
      <c r="K4" s="14" t="s">
        <v>47</v>
      </c>
      <c r="L4" s="15" t="s">
        <v>5</v>
      </c>
      <c r="W4" s="1">
        <v>2</v>
      </c>
      <c r="X4" s="1">
        <f t="shared" si="0"/>
        <v>74</v>
      </c>
      <c r="Y4" s="1">
        <f t="shared" si="1"/>
        <v>2602</v>
      </c>
      <c r="Z4" s="1">
        <f t="shared" si="2"/>
        <v>260</v>
      </c>
      <c r="AA4" s="1">
        <f t="shared" ref="AA4:AA67" si="4">$AA$1</f>
        <v>0.05</v>
      </c>
      <c r="AB4" s="1">
        <f t="shared" ref="AB4:AB67" si="5">$AB$1</f>
        <v>1.5</v>
      </c>
      <c r="AC4" s="1">
        <f t="shared" si="3"/>
        <v>0.9</v>
      </c>
    </row>
    <row r="5" spans="2:29" ht="14.25" customHeight="1" x14ac:dyDescent="0.2">
      <c r="B5" s="3" t="s">
        <v>12</v>
      </c>
      <c r="C5" s="3">
        <v>75</v>
      </c>
      <c r="D5" s="3"/>
      <c r="E5" s="3" t="s">
        <v>46</v>
      </c>
      <c r="F5" s="13">
        <f>[1]角色设定!E5</f>
        <v>5</v>
      </c>
      <c r="G5" s="13">
        <f>[1]角色设定!F5</f>
        <v>100</v>
      </c>
      <c r="J5" s="11" t="s">
        <v>29</v>
      </c>
      <c r="K5" s="3" t="s">
        <v>30</v>
      </c>
      <c r="L5" s="13" t="s">
        <v>45</v>
      </c>
      <c r="W5" s="1">
        <v>3</v>
      </c>
      <c r="X5" s="1">
        <f t="shared" si="0"/>
        <v>78</v>
      </c>
      <c r="Y5" s="1">
        <f t="shared" si="1"/>
        <v>2731</v>
      </c>
      <c r="Z5" s="1">
        <f t="shared" si="2"/>
        <v>273</v>
      </c>
      <c r="AA5" s="1">
        <f t="shared" si="4"/>
        <v>0.05</v>
      </c>
      <c r="AB5" s="1">
        <f t="shared" si="5"/>
        <v>1.5</v>
      </c>
      <c r="AC5" s="1">
        <f t="shared" si="3"/>
        <v>0.9</v>
      </c>
    </row>
    <row r="6" spans="2:29" ht="14.25" customHeight="1" x14ac:dyDescent="0.2">
      <c r="B6" s="1" t="s">
        <v>13</v>
      </c>
      <c r="C6" s="1">
        <v>1.05</v>
      </c>
      <c r="E6" s="1" t="s">
        <v>42</v>
      </c>
      <c r="F6" s="12">
        <f>[1]角色设定!E6</f>
        <v>10</v>
      </c>
      <c r="G6" s="12">
        <f>[1]角色设定!F6</f>
        <v>40</v>
      </c>
      <c r="J6" s="11" t="s">
        <v>31</v>
      </c>
      <c r="K6" s="1" t="s">
        <v>32</v>
      </c>
      <c r="L6" s="12" t="s">
        <v>45</v>
      </c>
      <c r="W6" s="1">
        <v>4</v>
      </c>
      <c r="X6" s="1">
        <f t="shared" si="0"/>
        <v>81</v>
      </c>
      <c r="Y6" s="1">
        <f t="shared" si="1"/>
        <v>2867</v>
      </c>
      <c r="Z6" s="1">
        <f t="shared" si="2"/>
        <v>287</v>
      </c>
      <c r="AA6" s="1">
        <f t="shared" si="4"/>
        <v>0.05</v>
      </c>
      <c r="AB6" s="1">
        <f t="shared" si="5"/>
        <v>1.5</v>
      </c>
      <c r="AC6" s="1">
        <f t="shared" si="3"/>
        <v>0.9</v>
      </c>
    </row>
    <row r="7" spans="2:29" ht="14.25" customHeight="1" x14ac:dyDescent="0.2">
      <c r="B7" s="1" t="s">
        <v>20</v>
      </c>
      <c r="C7" s="1">
        <v>11</v>
      </c>
      <c r="E7" s="1" t="s">
        <v>44</v>
      </c>
      <c r="F7" s="12">
        <f>[1]角色设定!E7</f>
        <v>4</v>
      </c>
      <c r="G7" s="12">
        <f>[1]角色设定!F7</f>
        <v>50</v>
      </c>
      <c r="J7" s="11" t="s">
        <v>33</v>
      </c>
      <c r="K7" s="1" t="s">
        <v>34</v>
      </c>
      <c r="L7" s="12" t="s">
        <v>41</v>
      </c>
      <c r="W7" s="1">
        <v>5</v>
      </c>
      <c r="X7" s="1">
        <f t="shared" si="0"/>
        <v>85</v>
      </c>
      <c r="Y7" s="1">
        <f t="shared" si="1"/>
        <v>3009</v>
      </c>
      <c r="Z7" s="1">
        <f t="shared" si="2"/>
        <v>301</v>
      </c>
      <c r="AA7" s="1">
        <f t="shared" si="4"/>
        <v>0.05</v>
      </c>
      <c r="AB7" s="1">
        <f t="shared" si="5"/>
        <v>1.5</v>
      </c>
      <c r="AC7" s="1">
        <f t="shared" si="3"/>
        <v>0.9</v>
      </c>
    </row>
    <row r="8" spans="2:29" ht="14.25" customHeight="1" x14ac:dyDescent="0.2">
      <c r="B8" s="1" t="s">
        <v>23</v>
      </c>
      <c r="C8" s="1">
        <v>100000</v>
      </c>
      <c r="F8" s="12"/>
      <c r="G8" s="12"/>
      <c r="J8" s="11" t="s">
        <v>35</v>
      </c>
      <c r="K8" s="1" t="s">
        <v>36</v>
      </c>
      <c r="L8" s="12" t="s">
        <v>41</v>
      </c>
      <c r="W8" s="1">
        <v>6</v>
      </c>
      <c r="X8" s="1">
        <f t="shared" si="0"/>
        <v>90</v>
      </c>
      <c r="Y8" s="1">
        <f t="shared" si="1"/>
        <v>3157</v>
      </c>
      <c r="Z8" s="1">
        <f t="shared" si="2"/>
        <v>316</v>
      </c>
      <c r="AA8" s="1">
        <f t="shared" si="4"/>
        <v>0.05</v>
      </c>
      <c r="AB8" s="1">
        <f t="shared" si="5"/>
        <v>1.5</v>
      </c>
      <c r="AC8" s="1">
        <f t="shared" si="3"/>
        <v>0.9</v>
      </c>
    </row>
    <row r="9" spans="2:29" ht="14.25" customHeight="1" x14ac:dyDescent="0.2">
      <c r="B9" s="1" t="s">
        <v>24</v>
      </c>
      <c r="C9" s="1">
        <v>0.6</v>
      </c>
      <c r="J9" s="11" t="s">
        <v>37</v>
      </c>
      <c r="K9" s="1" t="s">
        <v>38</v>
      </c>
      <c r="L9" s="12" t="s">
        <v>41</v>
      </c>
      <c r="W9" s="1">
        <v>7</v>
      </c>
      <c r="X9" s="1">
        <f t="shared" si="0"/>
        <v>94</v>
      </c>
      <c r="Y9" s="1">
        <f t="shared" si="1"/>
        <v>3314</v>
      </c>
      <c r="Z9" s="1">
        <f t="shared" si="2"/>
        <v>332</v>
      </c>
      <c r="AA9" s="1">
        <f t="shared" si="4"/>
        <v>0.05</v>
      </c>
      <c r="AB9" s="1">
        <f t="shared" si="5"/>
        <v>1.5</v>
      </c>
      <c r="AC9" s="1">
        <f t="shared" si="3"/>
        <v>0.9</v>
      </c>
    </row>
    <row r="10" spans="2:29" ht="14.25" customHeight="1" x14ac:dyDescent="0.2">
      <c r="B10" s="1" t="s">
        <v>25</v>
      </c>
      <c r="C10" s="1">
        <v>0.8</v>
      </c>
      <c r="J10" s="11" t="s">
        <v>39</v>
      </c>
      <c r="K10" s="1" t="s">
        <v>40</v>
      </c>
      <c r="L10" s="12" t="s">
        <v>43</v>
      </c>
      <c r="W10" s="1">
        <v>8</v>
      </c>
      <c r="X10" s="1">
        <f t="shared" si="0"/>
        <v>99</v>
      </c>
      <c r="Y10" s="1">
        <f t="shared" si="1"/>
        <v>3477</v>
      </c>
      <c r="Z10" s="1">
        <f t="shared" si="2"/>
        <v>348</v>
      </c>
      <c r="AA10" s="1">
        <f t="shared" si="4"/>
        <v>0.05</v>
      </c>
      <c r="AB10" s="1">
        <f t="shared" si="5"/>
        <v>1.5</v>
      </c>
      <c r="AC10" s="1">
        <f t="shared" si="3"/>
        <v>0.9</v>
      </c>
    </row>
    <row r="11" spans="2:29" ht="14.25" customHeight="1" x14ac:dyDescent="0.2">
      <c r="B11" s="1" t="s">
        <v>26</v>
      </c>
      <c r="C11" s="1">
        <v>1</v>
      </c>
      <c r="H11" s="2" t="s">
        <v>52</v>
      </c>
      <c r="W11" s="1">
        <v>9</v>
      </c>
      <c r="X11" s="1">
        <f t="shared" si="0"/>
        <v>104</v>
      </c>
      <c r="Y11" s="1">
        <f t="shared" si="1"/>
        <v>3649</v>
      </c>
      <c r="Z11" s="1">
        <f t="shared" si="2"/>
        <v>366</v>
      </c>
      <c r="AA11" s="1">
        <f t="shared" si="4"/>
        <v>0.05</v>
      </c>
      <c r="AB11" s="1">
        <f t="shared" si="5"/>
        <v>1.5</v>
      </c>
      <c r="AC11" s="1">
        <f t="shared" si="3"/>
        <v>0.9</v>
      </c>
    </row>
    <row r="12" spans="2:29" ht="14.25" customHeight="1" x14ac:dyDescent="0.2">
      <c r="B12" s="1" t="s">
        <v>27</v>
      </c>
      <c r="C12" s="1">
        <v>1.2</v>
      </c>
      <c r="H12" s="7" t="s">
        <v>16</v>
      </c>
      <c r="I12" s="30" t="s">
        <v>1</v>
      </c>
      <c r="J12" s="31"/>
      <c r="K12" s="31"/>
      <c r="L12" s="31"/>
      <c r="M12" s="31"/>
      <c r="N12" s="32"/>
      <c r="O12" s="30" t="s">
        <v>2</v>
      </c>
      <c r="P12" s="31"/>
      <c r="Q12" s="31"/>
      <c r="R12" s="32"/>
      <c r="S12" s="27"/>
      <c r="T12" s="27"/>
      <c r="U12" s="27"/>
      <c r="V12" s="27"/>
      <c r="W12" s="1">
        <v>10</v>
      </c>
      <c r="X12" s="1">
        <f t="shared" si="0"/>
        <v>109</v>
      </c>
      <c r="Y12" s="1">
        <f t="shared" si="1"/>
        <v>3829</v>
      </c>
      <c r="Z12" s="1">
        <f t="shared" si="2"/>
        <v>384</v>
      </c>
      <c r="AA12" s="1">
        <f t="shared" si="4"/>
        <v>0.05</v>
      </c>
      <c r="AB12" s="1">
        <f t="shared" si="5"/>
        <v>1.5</v>
      </c>
      <c r="AC12" s="1">
        <f t="shared" si="3"/>
        <v>0.9</v>
      </c>
    </row>
    <row r="13" spans="2:29" ht="14.25" customHeight="1" x14ac:dyDescent="0.2">
      <c r="B13" s="1" t="s">
        <v>51</v>
      </c>
      <c r="C13" s="1">
        <v>0.3</v>
      </c>
      <c r="F13" s="7"/>
      <c r="G13" s="10"/>
      <c r="H13" s="7" t="s">
        <v>77</v>
      </c>
      <c r="I13" s="17">
        <v>0.7</v>
      </c>
      <c r="J13" s="4">
        <v>0.8</v>
      </c>
      <c r="K13" s="4">
        <v>0</v>
      </c>
      <c r="L13" s="4">
        <v>1.5</v>
      </c>
      <c r="M13" s="4">
        <v>0.8</v>
      </c>
      <c r="N13" s="18"/>
      <c r="O13" s="17">
        <v>0.25</v>
      </c>
      <c r="R13" s="28"/>
      <c r="S13" s="27"/>
      <c r="T13" s="27"/>
      <c r="U13" s="27"/>
      <c r="V13" s="27"/>
      <c r="W13" s="1">
        <v>11</v>
      </c>
      <c r="X13" s="1">
        <f t="shared" si="0"/>
        <v>115</v>
      </c>
      <c r="Y13" s="1">
        <f t="shared" si="1"/>
        <v>4018</v>
      </c>
      <c r="Z13" s="1">
        <f t="shared" si="2"/>
        <v>403</v>
      </c>
      <c r="AA13" s="1">
        <f t="shared" si="4"/>
        <v>0.05</v>
      </c>
      <c r="AB13" s="1">
        <f t="shared" si="5"/>
        <v>1.5</v>
      </c>
      <c r="AC13" s="1">
        <f t="shared" si="3"/>
        <v>0.9</v>
      </c>
    </row>
    <row r="14" spans="2:29" ht="14.25" customHeight="1" x14ac:dyDescent="0.2">
      <c r="B14" s="1" t="s">
        <v>53</v>
      </c>
      <c r="C14" s="1">
        <v>0.3</v>
      </c>
      <c r="F14" s="7"/>
      <c r="H14" s="7" t="s">
        <v>76</v>
      </c>
      <c r="I14" s="17">
        <v>0.9</v>
      </c>
      <c r="J14" s="4">
        <v>1.2</v>
      </c>
      <c r="K14" s="4">
        <v>1</v>
      </c>
      <c r="L14" s="4">
        <v>5</v>
      </c>
      <c r="M14" s="4">
        <v>1.2</v>
      </c>
      <c r="N14" s="18"/>
      <c r="O14" s="17">
        <v>1</v>
      </c>
      <c r="P14" s="4"/>
      <c r="Q14" s="4"/>
      <c r="R14" s="18"/>
      <c r="S14" s="27"/>
      <c r="T14" s="27"/>
      <c r="U14" s="27"/>
      <c r="V14" s="27"/>
      <c r="W14" s="1">
        <v>12</v>
      </c>
      <c r="X14" s="1">
        <f t="shared" si="0"/>
        <v>120</v>
      </c>
      <c r="Y14" s="1">
        <f t="shared" si="1"/>
        <v>4216</v>
      </c>
      <c r="Z14" s="1">
        <f t="shared" si="2"/>
        <v>423</v>
      </c>
      <c r="AA14" s="1">
        <f t="shared" si="4"/>
        <v>0.05</v>
      </c>
      <c r="AB14" s="1">
        <f t="shared" si="5"/>
        <v>1.5</v>
      </c>
      <c r="AC14" s="1">
        <f t="shared" si="3"/>
        <v>0.9</v>
      </c>
    </row>
    <row r="15" spans="2:29" ht="14.25" customHeight="1" thickBot="1" x14ac:dyDescent="0.25">
      <c r="B15" s="1" t="s">
        <v>54</v>
      </c>
      <c r="C15" s="1">
        <v>0.25</v>
      </c>
      <c r="E15" s="14" t="s">
        <v>4</v>
      </c>
      <c r="F15" s="19" t="s">
        <v>5</v>
      </c>
      <c r="G15" s="24" t="s">
        <v>22</v>
      </c>
      <c r="H15" s="19" t="s">
        <v>17</v>
      </c>
      <c r="I15" s="20" t="s">
        <v>3</v>
      </c>
      <c r="J15" s="21" t="s">
        <v>8</v>
      </c>
      <c r="K15" s="21" t="s">
        <v>14</v>
      </c>
      <c r="L15" s="21" t="s">
        <v>15</v>
      </c>
      <c r="M15" s="21" t="s">
        <v>18</v>
      </c>
      <c r="N15" s="22" t="s">
        <v>7</v>
      </c>
      <c r="O15" s="20" t="s">
        <v>19</v>
      </c>
      <c r="P15" s="23" t="s">
        <v>6</v>
      </c>
      <c r="Q15" s="16" t="s">
        <v>21</v>
      </c>
      <c r="R15" s="22" t="s">
        <v>11</v>
      </c>
      <c r="S15" s="27" t="s">
        <v>1</v>
      </c>
      <c r="T15" s="27" t="s">
        <v>2</v>
      </c>
      <c r="U15" s="27" t="s">
        <v>81</v>
      </c>
      <c r="V15" s="27"/>
      <c r="W15" s="1">
        <v>13</v>
      </c>
      <c r="X15" s="1">
        <f t="shared" si="0"/>
        <v>126</v>
      </c>
      <c r="Y15" s="1">
        <f t="shared" si="1"/>
        <v>4424</v>
      </c>
      <c r="Z15" s="1">
        <f t="shared" si="2"/>
        <v>444</v>
      </c>
      <c r="AA15" s="1">
        <f t="shared" si="4"/>
        <v>0.05</v>
      </c>
      <c r="AB15" s="1">
        <f t="shared" si="5"/>
        <v>1.5</v>
      </c>
      <c r="AC15" s="1">
        <f t="shared" si="3"/>
        <v>0.9</v>
      </c>
    </row>
    <row r="16" spans="2:29" ht="14.25" customHeight="1" x14ac:dyDescent="0.2">
      <c r="B16" s="1" t="s">
        <v>55</v>
      </c>
      <c r="C16" s="1">
        <v>0.15</v>
      </c>
      <c r="E16" s="3" t="s">
        <v>64</v>
      </c>
      <c r="F16" s="3" t="s">
        <v>30</v>
      </c>
      <c r="G16" s="3" t="s">
        <v>28</v>
      </c>
      <c r="H16" s="3">
        <v>1</v>
      </c>
      <c r="I16" s="26">
        <v>0.75</v>
      </c>
      <c r="J16" s="26">
        <v>0.9</v>
      </c>
      <c r="K16" s="26">
        <v>0.4</v>
      </c>
      <c r="L16" s="26">
        <v>1.5</v>
      </c>
      <c r="M16" s="26">
        <v>0.9</v>
      </c>
      <c r="N16" s="9">
        <f>I16/J16/(1+K16*(L16-1))*$C$5*M16*VLOOKUP(VLOOKUP($F16,$K$4:$L$10,2,0),$E$4:$G$7,2,0)</f>
        <v>234.375</v>
      </c>
      <c r="O16" s="26">
        <v>1</v>
      </c>
      <c r="P16" s="9">
        <f>$C$7*O16*$C$5</f>
        <v>825</v>
      </c>
      <c r="Q16" s="26">
        <f>1/M16</f>
        <v>1.1111111111111112</v>
      </c>
      <c r="R16" s="9">
        <f>VLOOKUP(VLOOKUP($F16,$K$4:$L$10,2,0),$E$4:$G$7,3,0)*$C$5*Q16/(1+P16/$C$8)</f>
        <v>8265.1458798247786</v>
      </c>
      <c r="S16" s="1">
        <f>VLOOKUP(VLOOKUP($F16,$K$4:$L$10,2,0),$E$4:$G$7,2,0)</f>
        <v>5</v>
      </c>
      <c r="T16" s="1">
        <f>VLOOKUP(VLOOKUP($F16,$K$4:$L$10,2,0),$E$4:$G$7,3,0)</f>
        <v>100</v>
      </c>
      <c r="U16" s="1" t="s">
        <v>80</v>
      </c>
      <c r="W16" s="1">
        <v>14</v>
      </c>
      <c r="X16" s="1">
        <f t="shared" si="0"/>
        <v>133</v>
      </c>
      <c r="Y16" s="1">
        <f t="shared" si="1"/>
        <v>4642</v>
      </c>
      <c r="Z16" s="1">
        <f t="shared" si="2"/>
        <v>467</v>
      </c>
      <c r="AA16" s="1">
        <f t="shared" si="4"/>
        <v>0.05</v>
      </c>
      <c r="AB16" s="1">
        <f t="shared" si="5"/>
        <v>1.5</v>
      </c>
      <c r="AC16" s="1">
        <f t="shared" si="3"/>
        <v>0.9</v>
      </c>
    </row>
    <row r="17" spans="1:29" ht="14.25" customHeight="1" x14ac:dyDescent="0.2">
      <c r="A17" s="33"/>
      <c r="B17" s="33"/>
      <c r="C17" s="33"/>
      <c r="D17" s="33"/>
      <c r="E17" s="1" t="s">
        <v>65</v>
      </c>
      <c r="F17" s="1" t="s">
        <v>30</v>
      </c>
      <c r="G17" s="3" t="s">
        <v>28</v>
      </c>
      <c r="H17" s="1">
        <v>2</v>
      </c>
      <c r="I17" s="26">
        <v>0.75</v>
      </c>
      <c r="J17" s="26">
        <v>0.9</v>
      </c>
      <c r="K17" s="26">
        <v>0.4</v>
      </c>
      <c r="L17" s="26">
        <v>1.5</v>
      </c>
      <c r="M17" s="26">
        <v>1</v>
      </c>
      <c r="N17" s="9">
        <f t="shared" ref="N17:N27" si="6">I17/J17/(1+K17*(L17-1))*$C$5*M17*VLOOKUP(VLOOKUP($F17,$K$4:$L$10,2,0),$E$4:$G$7,2,0)</f>
        <v>260.41666666666663</v>
      </c>
      <c r="O17" s="26">
        <v>1</v>
      </c>
      <c r="P17" s="9">
        <f t="shared" ref="P17:P27" si="7">$C$7*O17*$C$5</f>
        <v>825</v>
      </c>
      <c r="Q17" s="26">
        <f t="shared" ref="Q17:Q27" si="8">1/M17</f>
        <v>1</v>
      </c>
      <c r="R17" s="9">
        <f t="shared" ref="R17:R27" si="9">VLOOKUP(VLOOKUP($F17,$K$4:$L$10,2,0),$E$4:$G$7,3,0)*$C$5*Q17/(1+P17/$C$8)</f>
        <v>7438.6312918423</v>
      </c>
      <c r="S17" s="1">
        <f t="shared" ref="S17:S27" si="10">VLOOKUP(VLOOKUP($F17,$K$4:$L$10,2,0),$E$4:$G$7,2,0)</f>
        <v>5</v>
      </c>
      <c r="T17" s="1">
        <f t="shared" ref="T17:T27" si="11">VLOOKUP(VLOOKUP($F17,$K$4:$L$10,2,0),$E$4:$G$7,3,0)</f>
        <v>100</v>
      </c>
      <c r="U17" s="1" t="s">
        <v>82</v>
      </c>
      <c r="W17" s="1">
        <v>15</v>
      </c>
      <c r="X17" s="1">
        <f t="shared" si="0"/>
        <v>139</v>
      </c>
      <c r="Y17" s="1">
        <f t="shared" si="1"/>
        <v>4870</v>
      </c>
      <c r="Z17" s="1">
        <f t="shared" si="2"/>
        <v>490</v>
      </c>
      <c r="AA17" s="1">
        <f t="shared" si="4"/>
        <v>0.05</v>
      </c>
      <c r="AB17" s="1">
        <f t="shared" si="5"/>
        <v>1.5</v>
      </c>
      <c r="AC17" s="1">
        <f t="shared" si="3"/>
        <v>0.9</v>
      </c>
    </row>
    <row r="18" spans="1:29" ht="14.25" customHeight="1" x14ac:dyDescent="0.2">
      <c r="A18" s="33"/>
      <c r="B18" s="33"/>
      <c r="C18" s="33"/>
      <c r="D18" s="33"/>
      <c r="E18" s="1" t="s">
        <v>66</v>
      </c>
      <c r="F18" s="1" t="s">
        <v>32</v>
      </c>
      <c r="G18" s="3" t="s">
        <v>28</v>
      </c>
      <c r="H18" s="3">
        <v>3</v>
      </c>
      <c r="I18" s="26">
        <v>0.751</v>
      </c>
      <c r="J18" s="26">
        <v>0.95</v>
      </c>
      <c r="K18" s="26">
        <v>0.4</v>
      </c>
      <c r="L18" s="26">
        <v>1.5</v>
      </c>
      <c r="M18" s="26">
        <v>1.1000000000000001</v>
      </c>
      <c r="N18" s="9">
        <f t="shared" si="6"/>
        <v>271.74342105263162</v>
      </c>
      <c r="O18" s="26">
        <v>0.82</v>
      </c>
      <c r="P18" s="9">
        <f t="shared" si="7"/>
        <v>676.5</v>
      </c>
      <c r="Q18" s="26">
        <f t="shared" si="8"/>
        <v>0.90909090909090906</v>
      </c>
      <c r="R18" s="9">
        <f t="shared" si="9"/>
        <v>6772.3667570702382</v>
      </c>
      <c r="S18" s="1">
        <f t="shared" si="10"/>
        <v>5</v>
      </c>
      <c r="T18" s="1">
        <f t="shared" si="11"/>
        <v>100</v>
      </c>
      <c r="U18" s="1" t="s">
        <v>83</v>
      </c>
      <c r="W18" s="1">
        <v>16</v>
      </c>
      <c r="X18" s="1">
        <f t="shared" si="0"/>
        <v>146</v>
      </c>
      <c r="Y18" s="1">
        <f t="shared" si="1"/>
        <v>5110</v>
      </c>
      <c r="Z18" s="1">
        <f t="shared" si="2"/>
        <v>515</v>
      </c>
      <c r="AA18" s="1">
        <f t="shared" si="4"/>
        <v>0.05</v>
      </c>
      <c r="AB18" s="1">
        <f t="shared" si="5"/>
        <v>1.5</v>
      </c>
      <c r="AC18" s="1">
        <f t="shared" si="3"/>
        <v>0.9</v>
      </c>
    </row>
    <row r="19" spans="1:29" ht="14.25" customHeight="1" x14ac:dyDescent="0.2">
      <c r="A19" s="33"/>
      <c r="B19" s="33"/>
      <c r="C19" s="33"/>
      <c r="D19" s="33"/>
      <c r="E19" s="1" t="s">
        <v>67</v>
      </c>
      <c r="F19" s="1" t="s">
        <v>32</v>
      </c>
      <c r="G19" s="3" t="s">
        <v>28</v>
      </c>
      <c r="H19" s="1">
        <v>4</v>
      </c>
      <c r="I19" s="26">
        <v>0.751</v>
      </c>
      <c r="J19" s="26">
        <v>0.95</v>
      </c>
      <c r="K19" s="26">
        <v>0.4</v>
      </c>
      <c r="L19" s="26">
        <v>1.5</v>
      </c>
      <c r="M19" s="26">
        <v>1.2</v>
      </c>
      <c r="N19" s="9">
        <f t="shared" si="6"/>
        <v>296.44736842105266</v>
      </c>
      <c r="O19" s="26">
        <v>0.82</v>
      </c>
      <c r="P19" s="9">
        <f t="shared" si="7"/>
        <v>676.5</v>
      </c>
      <c r="Q19" s="26">
        <f t="shared" si="8"/>
        <v>0.83333333333333337</v>
      </c>
      <c r="R19" s="9">
        <f t="shared" si="9"/>
        <v>6208.002860647719</v>
      </c>
      <c r="S19" s="1">
        <f t="shared" si="10"/>
        <v>5</v>
      </c>
      <c r="T19" s="1">
        <f t="shared" si="11"/>
        <v>100</v>
      </c>
      <c r="U19" s="1" t="s">
        <v>84</v>
      </c>
      <c r="W19" s="1">
        <v>17</v>
      </c>
      <c r="X19" s="1">
        <f t="shared" si="0"/>
        <v>153</v>
      </c>
      <c r="Y19" s="1">
        <f t="shared" si="1"/>
        <v>5361</v>
      </c>
      <c r="Z19" s="1">
        <f t="shared" si="2"/>
        <v>540</v>
      </c>
      <c r="AA19" s="1">
        <f t="shared" si="4"/>
        <v>0.05</v>
      </c>
      <c r="AB19" s="1">
        <f t="shared" si="5"/>
        <v>1.5</v>
      </c>
      <c r="AC19" s="1">
        <f t="shared" si="3"/>
        <v>0.9</v>
      </c>
    </row>
    <row r="20" spans="1:29" ht="14.25" customHeight="1" x14ac:dyDescent="0.2">
      <c r="A20" s="33"/>
      <c r="B20" s="33"/>
      <c r="C20" s="33"/>
      <c r="D20" s="33"/>
      <c r="E20" s="1" t="s">
        <v>68</v>
      </c>
      <c r="F20" s="1" t="s">
        <v>34</v>
      </c>
      <c r="G20" s="3" t="s">
        <v>28</v>
      </c>
      <c r="H20" s="3">
        <v>5</v>
      </c>
      <c r="I20" s="26">
        <v>0.8</v>
      </c>
      <c r="J20" s="26">
        <v>1</v>
      </c>
      <c r="K20" s="26">
        <v>0.4</v>
      </c>
      <c r="L20" s="26">
        <v>1.5</v>
      </c>
      <c r="M20" s="26">
        <v>1.05</v>
      </c>
      <c r="N20" s="9">
        <f t="shared" si="6"/>
        <v>525.00000000000011</v>
      </c>
      <c r="O20" s="26">
        <v>0.45</v>
      </c>
      <c r="P20" s="9">
        <f t="shared" si="7"/>
        <v>371.25</v>
      </c>
      <c r="Q20" s="26">
        <f t="shared" si="8"/>
        <v>0.95238095238095233</v>
      </c>
      <c r="R20" s="9">
        <f t="shared" si="9"/>
        <v>2846.5749476497072</v>
      </c>
      <c r="S20" s="1">
        <f t="shared" si="10"/>
        <v>10</v>
      </c>
      <c r="T20" s="1">
        <f t="shared" si="11"/>
        <v>40</v>
      </c>
      <c r="U20" s="1" t="s">
        <v>85</v>
      </c>
      <c r="W20" s="1">
        <v>18</v>
      </c>
      <c r="X20" s="1">
        <f t="shared" si="0"/>
        <v>161</v>
      </c>
      <c r="Y20" s="1">
        <f t="shared" si="1"/>
        <v>5624</v>
      </c>
      <c r="Z20" s="1">
        <f t="shared" si="2"/>
        <v>567</v>
      </c>
      <c r="AA20" s="1">
        <f t="shared" si="4"/>
        <v>0.05</v>
      </c>
      <c r="AB20" s="1">
        <f t="shared" si="5"/>
        <v>1.5</v>
      </c>
      <c r="AC20" s="1">
        <f t="shared" si="3"/>
        <v>0.9</v>
      </c>
    </row>
    <row r="21" spans="1:29" ht="14.25" customHeight="1" x14ac:dyDescent="0.2">
      <c r="E21" s="1" t="s">
        <v>69</v>
      </c>
      <c r="F21" s="1" t="s">
        <v>34</v>
      </c>
      <c r="G21" s="3" t="s">
        <v>28</v>
      </c>
      <c r="H21" s="1">
        <v>6</v>
      </c>
      <c r="I21" s="26">
        <v>0.8</v>
      </c>
      <c r="J21" s="26">
        <v>1</v>
      </c>
      <c r="K21" s="26">
        <v>0.4</v>
      </c>
      <c r="L21" s="26">
        <v>1.5</v>
      </c>
      <c r="M21" s="26">
        <v>1</v>
      </c>
      <c r="N21" s="9">
        <f t="shared" si="6"/>
        <v>500.00000000000006</v>
      </c>
      <c r="O21" s="26">
        <v>0.45</v>
      </c>
      <c r="P21" s="9">
        <f t="shared" si="7"/>
        <v>371.25</v>
      </c>
      <c r="Q21" s="26">
        <f t="shared" si="8"/>
        <v>1</v>
      </c>
      <c r="R21" s="9">
        <f t="shared" si="9"/>
        <v>2988.9036950321929</v>
      </c>
      <c r="S21" s="1">
        <f t="shared" si="10"/>
        <v>10</v>
      </c>
      <c r="T21" s="1">
        <f t="shared" si="11"/>
        <v>40</v>
      </c>
      <c r="U21" s="1" t="s">
        <v>86</v>
      </c>
      <c r="W21" s="1">
        <v>19</v>
      </c>
      <c r="X21" s="1">
        <f t="shared" si="0"/>
        <v>169</v>
      </c>
      <c r="Y21" s="1">
        <f t="shared" si="1"/>
        <v>5899</v>
      </c>
      <c r="Z21" s="1">
        <f t="shared" si="2"/>
        <v>596</v>
      </c>
      <c r="AA21" s="1">
        <f t="shared" si="4"/>
        <v>0.05</v>
      </c>
      <c r="AB21" s="1">
        <f t="shared" si="5"/>
        <v>1.5</v>
      </c>
      <c r="AC21" s="1">
        <f t="shared" si="3"/>
        <v>0.9</v>
      </c>
    </row>
    <row r="22" spans="1:29" ht="14.25" customHeight="1" x14ac:dyDescent="0.2">
      <c r="E22" s="1" t="s">
        <v>70</v>
      </c>
      <c r="F22" s="1" t="s">
        <v>36</v>
      </c>
      <c r="G22" s="3" t="s">
        <v>28</v>
      </c>
      <c r="H22" s="3">
        <v>7</v>
      </c>
      <c r="I22" s="26">
        <v>0.80500000000000005</v>
      </c>
      <c r="J22" s="26">
        <v>1.1000000000000001</v>
      </c>
      <c r="K22" s="26">
        <v>0.4</v>
      </c>
      <c r="L22" s="26">
        <v>1.5</v>
      </c>
      <c r="M22" s="26">
        <v>0.96</v>
      </c>
      <c r="N22" s="9">
        <f t="shared" si="6"/>
        <v>439.09090909090912</v>
      </c>
      <c r="O22" s="26">
        <v>0.41</v>
      </c>
      <c r="P22" s="9">
        <f t="shared" si="7"/>
        <v>338.25</v>
      </c>
      <c r="Q22" s="26">
        <f t="shared" si="8"/>
        <v>1.0416666666666667</v>
      </c>
      <c r="R22" s="9">
        <f t="shared" si="9"/>
        <v>3114.465321051543</v>
      </c>
      <c r="S22" s="1">
        <f t="shared" si="10"/>
        <v>10</v>
      </c>
      <c r="T22" s="1">
        <f t="shared" si="11"/>
        <v>40</v>
      </c>
      <c r="U22" s="1" t="s">
        <v>87</v>
      </c>
      <c r="W22" s="1">
        <v>20</v>
      </c>
      <c r="X22" s="1">
        <f t="shared" si="0"/>
        <v>178</v>
      </c>
      <c r="Y22" s="1">
        <f t="shared" si="1"/>
        <v>6188</v>
      </c>
      <c r="Z22" s="1">
        <f t="shared" si="2"/>
        <v>625</v>
      </c>
      <c r="AA22" s="1">
        <f t="shared" si="4"/>
        <v>0.05</v>
      </c>
      <c r="AB22" s="1">
        <f t="shared" si="5"/>
        <v>1.5</v>
      </c>
      <c r="AC22" s="1">
        <f t="shared" si="3"/>
        <v>0.9</v>
      </c>
    </row>
    <row r="23" spans="1:29" ht="14.25" customHeight="1" x14ac:dyDescent="0.2">
      <c r="E23" s="1" t="s">
        <v>71</v>
      </c>
      <c r="F23" s="1" t="s">
        <v>36</v>
      </c>
      <c r="G23" s="3" t="s">
        <v>28</v>
      </c>
      <c r="H23" s="1">
        <v>8</v>
      </c>
      <c r="I23" s="26">
        <v>0.80500000000000005</v>
      </c>
      <c r="J23" s="26">
        <v>1.1000000000000001</v>
      </c>
      <c r="K23" s="26">
        <v>0.4</v>
      </c>
      <c r="L23" s="26">
        <v>1.5</v>
      </c>
      <c r="M23" s="26">
        <v>0.98</v>
      </c>
      <c r="N23" s="9">
        <f t="shared" si="6"/>
        <v>448.23863636363637</v>
      </c>
      <c r="O23" s="26">
        <v>0.41</v>
      </c>
      <c r="P23" s="9">
        <f t="shared" si="7"/>
        <v>338.25</v>
      </c>
      <c r="Q23" s="26">
        <f t="shared" si="8"/>
        <v>1.0204081632653061</v>
      </c>
      <c r="R23" s="9">
        <f t="shared" si="9"/>
        <v>3050.9048042953891</v>
      </c>
      <c r="S23" s="1">
        <f t="shared" si="10"/>
        <v>10</v>
      </c>
      <c r="T23" s="1">
        <f t="shared" si="11"/>
        <v>40</v>
      </c>
      <c r="U23" s="1" t="s">
        <v>88</v>
      </c>
      <c r="W23" s="1">
        <v>21</v>
      </c>
      <c r="X23" s="1">
        <f t="shared" si="0"/>
        <v>187</v>
      </c>
      <c r="Y23" s="1">
        <f t="shared" si="1"/>
        <v>6491</v>
      </c>
      <c r="Z23" s="1">
        <f t="shared" si="2"/>
        <v>657</v>
      </c>
      <c r="AA23" s="1">
        <f t="shared" si="4"/>
        <v>0.05</v>
      </c>
      <c r="AB23" s="1">
        <f t="shared" si="5"/>
        <v>1.5</v>
      </c>
      <c r="AC23" s="1">
        <f t="shared" si="3"/>
        <v>0.9</v>
      </c>
    </row>
    <row r="24" spans="1:29" ht="14.25" customHeight="1" x14ac:dyDescent="0.2">
      <c r="E24" s="1" t="s">
        <v>72</v>
      </c>
      <c r="F24" s="1" t="s">
        <v>38</v>
      </c>
      <c r="G24" s="3" t="s">
        <v>28</v>
      </c>
      <c r="H24" s="3">
        <v>9</v>
      </c>
      <c r="I24" s="26">
        <v>0.77400000000000002</v>
      </c>
      <c r="J24" s="26">
        <v>1.2</v>
      </c>
      <c r="K24" s="26">
        <v>0.4</v>
      </c>
      <c r="L24" s="26">
        <v>1.5</v>
      </c>
      <c r="M24" s="26">
        <v>0.94</v>
      </c>
      <c r="N24" s="9">
        <f t="shared" si="6"/>
        <v>378.93750000000006</v>
      </c>
      <c r="O24" s="26">
        <v>0.64</v>
      </c>
      <c r="P24" s="9">
        <f t="shared" si="7"/>
        <v>528</v>
      </c>
      <c r="Q24" s="26">
        <f t="shared" si="8"/>
        <v>1.0638297872340425</v>
      </c>
      <c r="R24" s="9">
        <f t="shared" si="9"/>
        <v>3174.7268041760781</v>
      </c>
      <c r="S24" s="1">
        <f t="shared" si="10"/>
        <v>10</v>
      </c>
      <c r="T24" s="1">
        <f t="shared" si="11"/>
        <v>40</v>
      </c>
      <c r="U24" s="1" t="s">
        <v>89</v>
      </c>
      <c r="W24" s="1">
        <v>22</v>
      </c>
      <c r="X24" s="1">
        <f t="shared" si="0"/>
        <v>196</v>
      </c>
      <c r="Y24" s="1">
        <f t="shared" si="1"/>
        <v>6808</v>
      </c>
      <c r="Z24" s="1">
        <f t="shared" si="2"/>
        <v>690</v>
      </c>
      <c r="AA24" s="1">
        <f t="shared" si="4"/>
        <v>0.05</v>
      </c>
      <c r="AB24" s="1">
        <f t="shared" si="5"/>
        <v>1.5</v>
      </c>
      <c r="AC24" s="1">
        <f t="shared" si="3"/>
        <v>0.9</v>
      </c>
    </row>
    <row r="25" spans="1:29" ht="14.25" customHeight="1" x14ac:dyDescent="0.2">
      <c r="E25" s="1" t="s">
        <v>73</v>
      </c>
      <c r="F25" s="1" t="s">
        <v>38</v>
      </c>
      <c r="G25" s="3" t="s">
        <v>28</v>
      </c>
      <c r="H25" s="1">
        <v>10</v>
      </c>
      <c r="I25" s="26">
        <v>0.77400000000000002</v>
      </c>
      <c r="J25" s="26">
        <v>1.2</v>
      </c>
      <c r="K25" s="26">
        <v>0.4</v>
      </c>
      <c r="L25" s="26">
        <v>1.5</v>
      </c>
      <c r="M25" s="26">
        <v>0.9</v>
      </c>
      <c r="N25" s="9">
        <f t="shared" si="6"/>
        <v>362.81250000000006</v>
      </c>
      <c r="O25" s="26">
        <v>0.64</v>
      </c>
      <c r="P25" s="9">
        <f t="shared" si="7"/>
        <v>528</v>
      </c>
      <c r="Q25" s="26">
        <f t="shared" si="8"/>
        <v>1.1111111111111112</v>
      </c>
      <c r="R25" s="9">
        <f t="shared" si="9"/>
        <v>3315.8257732505708</v>
      </c>
      <c r="S25" s="1">
        <f t="shared" si="10"/>
        <v>10</v>
      </c>
      <c r="T25" s="1">
        <f t="shared" si="11"/>
        <v>40</v>
      </c>
      <c r="U25" s="1" t="s">
        <v>90</v>
      </c>
      <c r="W25" s="1">
        <v>23</v>
      </c>
      <c r="X25" s="1">
        <f t="shared" si="0"/>
        <v>206</v>
      </c>
      <c r="Y25" s="1">
        <f t="shared" si="1"/>
        <v>7141</v>
      </c>
      <c r="Z25" s="1">
        <f t="shared" si="2"/>
        <v>724</v>
      </c>
      <c r="AA25" s="1">
        <f t="shared" si="4"/>
        <v>0.05</v>
      </c>
      <c r="AB25" s="1">
        <f t="shared" si="5"/>
        <v>1.5</v>
      </c>
      <c r="AC25" s="1">
        <f t="shared" si="3"/>
        <v>0.9</v>
      </c>
    </row>
    <row r="26" spans="1:29" ht="14.25" customHeight="1" x14ac:dyDescent="0.2">
      <c r="E26" s="1" t="s">
        <v>74</v>
      </c>
      <c r="F26" s="1" t="s">
        <v>40</v>
      </c>
      <c r="G26" s="3" t="s">
        <v>28</v>
      </c>
      <c r="H26" s="3">
        <v>11</v>
      </c>
      <c r="I26" s="26">
        <v>0.79800000000000004</v>
      </c>
      <c r="J26" s="26">
        <v>0.9</v>
      </c>
      <c r="K26" s="26">
        <v>0.4</v>
      </c>
      <c r="L26" s="26">
        <v>1.5</v>
      </c>
      <c r="M26" s="26">
        <v>0.9</v>
      </c>
      <c r="N26" s="9">
        <f t="shared" si="6"/>
        <v>199.50000000000003</v>
      </c>
      <c r="O26" s="26">
        <v>0.25</v>
      </c>
      <c r="P26" s="9">
        <f t="shared" si="7"/>
        <v>206.25</v>
      </c>
      <c r="Q26" s="26">
        <f t="shared" si="8"/>
        <v>1.1111111111111112</v>
      </c>
      <c r="R26" s="9">
        <f t="shared" si="9"/>
        <v>4158.0906047942781</v>
      </c>
      <c r="S26" s="1">
        <f t="shared" si="10"/>
        <v>4</v>
      </c>
      <c r="T26" s="1">
        <f t="shared" si="11"/>
        <v>50</v>
      </c>
      <c r="U26" s="1" t="s">
        <v>91</v>
      </c>
      <c r="W26" s="1">
        <v>24</v>
      </c>
      <c r="X26" s="1">
        <f t="shared" si="0"/>
        <v>216</v>
      </c>
      <c r="Y26" s="1">
        <f t="shared" si="1"/>
        <v>7489</v>
      </c>
      <c r="Z26" s="1">
        <f t="shared" si="2"/>
        <v>760</v>
      </c>
      <c r="AA26" s="1">
        <f t="shared" si="4"/>
        <v>0.05</v>
      </c>
      <c r="AB26" s="1">
        <f t="shared" si="5"/>
        <v>1.5</v>
      </c>
      <c r="AC26" s="1">
        <f t="shared" si="3"/>
        <v>0.9</v>
      </c>
    </row>
    <row r="27" spans="1:29" ht="14.25" customHeight="1" x14ac:dyDescent="0.2">
      <c r="D27" s="1" t="s">
        <v>78</v>
      </c>
      <c r="E27" s="1" t="s">
        <v>75</v>
      </c>
      <c r="F27" s="1" t="s">
        <v>40</v>
      </c>
      <c r="G27" s="3" t="s">
        <v>28</v>
      </c>
      <c r="H27" s="1">
        <v>12</v>
      </c>
      <c r="I27" s="26">
        <v>0.79800000000000004</v>
      </c>
      <c r="J27" s="26">
        <v>0.9</v>
      </c>
      <c r="K27" s="26">
        <v>0.4</v>
      </c>
      <c r="L27" s="26">
        <v>1.5</v>
      </c>
      <c r="M27" s="26">
        <v>1</v>
      </c>
      <c r="N27" s="9">
        <f t="shared" si="6"/>
        <v>221.66666666666669</v>
      </c>
      <c r="O27" s="26">
        <v>0.25</v>
      </c>
      <c r="P27" s="9">
        <f t="shared" si="7"/>
        <v>206.25</v>
      </c>
      <c r="Q27" s="26">
        <f t="shared" si="8"/>
        <v>1</v>
      </c>
      <c r="R27" s="9">
        <f t="shared" si="9"/>
        <v>3742.2815443148502</v>
      </c>
      <c r="S27" s="1">
        <f t="shared" si="10"/>
        <v>4</v>
      </c>
      <c r="T27" s="1">
        <f t="shared" si="11"/>
        <v>50</v>
      </c>
      <c r="U27" s="1" t="s">
        <v>92</v>
      </c>
      <c r="W27" s="1">
        <v>25</v>
      </c>
      <c r="X27" s="1">
        <f t="shared" si="0"/>
        <v>227</v>
      </c>
      <c r="Y27" s="1">
        <f t="shared" si="1"/>
        <v>7854</v>
      </c>
      <c r="Z27" s="1">
        <f t="shared" si="2"/>
        <v>798</v>
      </c>
      <c r="AA27" s="1">
        <f t="shared" si="4"/>
        <v>0.05</v>
      </c>
      <c r="AB27" s="1">
        <f t="shared" si="5"/>
        <v>1.5</v>
      </c>
      <c r="AC27" s="1">
        <f t="shared" si="3"/>
        <v>0.9</v>
      </c>
    </row>
    <row r="28" spans="1:29" ht="14.25" customHeight="1" x14ac:dyDescent="0.2">
      <c r="D28" s="29" t="s">
        <v>79</v>
      </c>
      <c r="W28" s="1">
        <v>26</v>
      </c>
      <c r="X28" s="1">
        <f t="shared" si="0"/>
        <v>238</v>
      </c>
      <c r="Y28" s="1">
        <f t="shared" si="1"/>
        <v>8236</v>
      </c>
      <c r="Z28" s="1">
        <f t="shared" si="2"/>
        <v>838</v>
      </c>
      <c r="AA28" s="1">
        <f t="shared" si="4"/>
        <v>0.05</v>
      </c>
      <c r="AB28" s="1">
        <f t="shared" si="5"/>
        <v>1.5</v>
      </c>
      <c r="AC28" s="1">
        <f t="shared" si="3"/>
        <v>0.9</v>
      </c>
    </row>
    <row r="29" spans="1:29" ht="14.25" customHeight="1" x14ac:dyDescent="0.2">
      <c r="W29" s="1">
        <v>27</v>
      </c>
      <c r="X29" s="1">
        <f t="shared" si="0"/>
        <v>250</v>
      </c>
      <c r="Y29" s="1">
        <f t="shared" si="1"/>
        <v>8636</v>
      </c>
      <c r="Z29" s="1">
        <f t="shared" si="2"/>
        <v>880</v>
      </c>
      <c r="AA29" s="1">
        <f t="shared" si="4"/>
        <v>0.05</v>
      </c>
      <c r="AB29" s="1">
        <f t="shared" si="5"/>
        <v>1.5</v>
      </c>
      <c r="AC29" s="1">
        <f t="shared" si="3"/>
        <v>0.9</v>
      </c>
    </row>
    <row r="30" spans="1:29" ht="14.25" customHeight="1" x14ac:dyDescent="0.2">
      <c r="O30" s="25"/>
      <c r="W30" s="1">
        <v>28</v>
      </c>
      <c r="X30" s="1">
        <f t="shared" si="0"/>
        <v>263</v>
      </c>
      <c r="Y30" s="1">
        <f t="shared" si="1"/>
        <v>9055</v>
      </c>
      <c r="Z30" s="1">
        <f t="shared" si="2"/>
        <v>924</v>
      </c>
      <c r="AA30" s="1">
        <f t="shared" si="4"/>
        <v>0.05</v>
      </c>
      <c r="AB30" s="1">
        <f t="shared" si="5"/>
        <v>1.5</v>
      </c>
      <c r="AC30" s="1">
        <f t="shared" si="3"/>
        <v>0.9</v>
      </c>
    </row>
    <row r="31" spans="1:29" ht="14.25" customHeight="1" x14ac:dyDescent="0.2">
      <c r="O31" s="25"/>
      <c r="W31" s="1">
        <v>29</v>
      </c>
      <c r="X31" s="1">
        <f t="shared" si="0"/>
        <v>276</v>
      </c>
      <c r="Y31" s="1">
        <f t="shared" si="1"/>
        <v>9493</v>
      </c>
      <c r="Z31" s="1">
        <f t="shared" si="2"/>
        <v>970</v>
      </c>
      <c r="AA31" s="1">
        <f t="shared" si="4"/>
        <v>0.05</v>
      </c>
      <c r="AB31" s="1">
        <f t="shared" si="5"/>
        <v>1.5</v>
      </c>
      <c r="AC31" s="1">
        <f t="shared" si="3"/>
        <v>0.9</v>
      </c>
    </row>
    <row r="32" spans="1:29" ht="14.25" customHeight="1" x14ac:dyDescent="0.2">
      <c r="O32" s="25"/>
      <c r="W32" s="1">
        <v>30</v>
      </c>
      <c r="X32" s="1">
        <f t="shared" si="0"/>
        <v>289</v>
      </c>
      <c r="Y32" s="1">
        <f t="shared" si="1"/>
        <v>9952</v>
      </c>
      <c r="Z32" s="1">
        <f t="shared" si="2"/>
        <v>1019</v>
      </c>
      <c r="AA32" s="1">
        <f t="shared" si="4"/>
        <v>0.05</v>
      </c>
      <c r="AB32" s="1">
        <f t="shared" si="5"/>
        <v>1.5</v>
      </c>
      <c r="AC32" s="1">
        <f t="shared" si="3"/>
        <v>0.9</v>
      </c>
    </row>
    <row r="33" spans="2:29" ht="14.25" customHeight="1" x14ac:dyDescent="0.2">
      <c r="B33" s="33"/>
      <c r="O33" s="25"/>
      <c r="W33" s="1">
        <v>31</v>
      </c>
      <c r="X33" s="1">
        <f t="shared" si="0"/>
        <v>304</v>
      </c>
      <c r="Y33" s="1">
        <f t="shared" si="1"/>
        <v>10433</v>
      </c>
      <c r="Z33" s="1">
        <f t="shared" si="2"/>
        <v>1070</v>
      </c>
      <c r="AA33" s="1">
        <f t="shared" si="4"/>
        <v>0.05</v>
      </c>
      <c r="AB33" s="1">
        <f t="shared" si="5"/>
        <v>1.5</v>
      </c>
      <c r="AC33" s="1">
        <f t="shared" si="3"/>
        <v>0.9</v>
      </c>
    </row>
    <row r="34" spans="2:29" ht="14.25" customHeight="1" x14ac:dyDescent="0.2">
      <c r="O34" s="25"/>
      <c r="W34" s="1">
        <v>32</v>
      </c>
      <c r="X34" s="1">
        <f t="shared" si="0"/>
        <v>319</v>
      </c>
      <c r="Y34" s="1">
        <f t="shared" si="1"/>
        <v>10936</v>
      </c>
      <c r="Z34" s="1">
        <f t="shared" si="2"/>
        <v>1123</v>
      </c>
      <c r="AA34" s="1">
        <f t="shared" si="4"/>
        <v>0.05</v>
      </c>
      <c r="AB34" s="1">
        <f t="shared" si="5"/>
        <v>1.5</v>
      </c>
      <c r="AC34" s="1">
        <f t="shared" si="3"/>
        <v>0.9</v>
      </c>
    </row>
    <row r="35" spans="2:29" ht="14.25" customHeight="1" x14ac:dyDescent="0.2">
      <c r="O35" s="25"/>
      <c r="W35" s="1">
        <v>33</v>
      </c>
      <c r="X35" s="1">
        <f t="shared" ref="X35:X66" si="12">ROUND(VLOOKUP($X$1,$E:$R,MATCH(X$2,$E$15:$R$15,0),0)*$C$6^($W35-1)*$C$13*VLOOKUP($Y$1,$B:$C,2,0),0)</f>
        <v>335</v>
      </c>
      <c r="Y35" s="1">
        <f t="shared" ref="Y35:Y66" si="13">ROUND(VLOOKUP(VLOOKUP($Z$1,$K$4:$L$10,2,0),$E$4:$G$7,3,0)*$C$5*VLOOKUP($X$1,$E:$R,MATCH("生命偏向",$E$15:$R$15,0),0)/(1+VLOOKUP($X$1,$E:$R,MATCH($Z$2,$E$15:$R$15,0),0)*$C$6^($W35-1)/$C$8)*$C$6^($W35-1)*$C$13*VLOOKUP($Y$1,$B:$C,2,0),0)</f>
        <v>11462</v>
      </c>
      <c r="Z35" s="1">
        <f t="shared" ref="Z35:Z66" si="14">ROUND(VLOOKUP($X$1,$E:$R,MATCH(Z$2,$E$15:$R$15,0),0)*$C$6^($W35-1)*$C$13*VLOOKUP($Y$1,$B:$C,2,0),0)</f>
        <v>1179</v>
      </c>
      <c r="AA35" s="1">
        <f t="shared" si="4"/>
        <v>0.05</v>
      </c>
      <c r="AB35" s="1">
        <f t="shared" si="5"/>
        <v>1.5</v>
      </c>
      <c r="AC35" s="1">
        <f t="shared" ref="AC35:AC66" si="15">VLOOKUP($X$1,$E:$R,MATCH(AC$2,$E$15:$R$15,0),0)</f>
        <v>0.9</v>
      </c>
    </row>
    <row r="36" spans="2:29" ht="14.25" customHeight="1" x14ac:dyDescent="0.2">
      <c r="O36" s="25"/>
      <c r="W36" s="1">
        <v>34</v>
      </c>
      <c r="X36" s="1">
        <f t="shared" si="12"/>
        <v>352</v>
      </c>
      <c r="Y36" s="1">
        <f t="shared" si="13"/>
        <v>12012</v>
      </c>
      <c r="Z36" s="1">
        <f t="shared" si="14"/>
        <v>1238</v>
      </c>
      <c r="AA36" s="1">
        <f t="shared" si="4"/>
        <v>0.05</v>
      </c>
      <c r="AB36" s="1">
        <f t="shared" si="5"/>
        <v>1.5</v>
      </c>
      <c r="AC36" s="1">
        <f t="shared" si="15"/>
        <v>0.9</v>
      </c>
    </row>
    <row r="37" spans="2:29" ht="14.25" customHeight="1" x14ac:dyDescent="0.2">
      <c r="O37" s="25"/>
      <c r="W37" s="1">
        <v>35</v>
      </c>
      <c r="X37" s="1">
        <f t="shared" si="12"/>
        <v>369</v>
      </c>
      <c r="Y37" s="1">
        <f t="shared" si="13"/>
        <v>12588</v>
      </c>
      <c r="Z37" s="1">
        <f t="shared" si="14"/>
        <v>1300</v>
      </c>
      <c r="AA37" s="1">
        <f t="shared" si="4"/>
        <v>0.05</v>
      </c>
      <c r="AB37" s="1">
        <f t="shared" si="5"/>
        <v>1.5</v>
      </c>
      <c r="AC37" s="1">
        <f t="shared" si="15"/>
        <v>0.9</v>
      </c>
    </row>
    <row r="38" spans="2:29" ht="14.25" customHeight="1" x14ac:dyDescent="0.2">
      <c r="O38" s="25"/>
      <c r="W38" s="1">
        <v>36</v>
      </c>
      <c r="X38" s="1">
        <f t="shared" si="12"/>
        <v>388</v>
      </c>
      <c r="Y38" s="1">
        <f t="shared" si="13"/>
        <v>13190</v>
      </c>
      <c r="Z38" s="1">
        <f t="shared" si="14"/>
        <v>1365</v>
      </c>
      <c r="AA38" s="1">
        <f t="shared" si="4"/>
        <v>0.05</v>
      </c>
      <c r="AB38" s="1">
        <f t="shared" si="5"/>
        <v>1.5</v>
      </c>
      <c r="AC38" s="1">
        <f t="shared" si="15"/>
        <v>0.9</v>
      </c>
    </row>
    <row r="39" spans="2:29" ht="14.25" customHeight="1" x14ac:dyDescent="0.2">
      <c r="O39" s="25"/>
      <c r="W39" s="1">
        <v>37</v>
      </c>
      <c r="X39" s="1">
        <f t="shared" si="12"/>
        <v>407</v>
      </c>
      <c r="Y39" s="1">
        <f t="shared" si="13"/>
        <v>13819</v>
      </c>
      <c r="Z39" s="1">
        <f t="shared" si="14"/>
        <v>1433</v>
      </c>
      <c r="AA39" s="1">
        <f t="shared" si="4"/>
        <v>0.05</v>
      </c>
      <c r="AB39" s="1">
        <f t="shared" si="5"/>
        <v>1.5</v>
      </c>
      <c r="AC39" s="1">
        <f t="shared" si="15"/>
        <v>0.9</v>
      </c>
    </row>
    <row r="40" spans="2:29" ht="14.25" customHeight="1" x14ac:dyDescent="0.2">
      <c r="O40" s="25"/>
      <c r="W40" s="1">
        <v>38</v>
      </c>
      <c r="X40" s="1">
        <f t="shared" si="12"/>
        <v>428</v>
      </c>
      <c r="Y40" s="1">
        <f t="shared" si="13"/>
        <v>14477</v>
      </c>
      <c r="Z40" s="1">
        <f t="shared" si="14"/>
        <v>1505</v>
      </c>
      <c r="AA40" s="1">
        <f t="shared" si="4"/>
        <v>0.05</v>
      </c>
      <c r="AB40" s="1">
        <f t="shared" si="5"/>
        <v>1.5</v>
      </c>
      <c r="AC40" s="1">
        <f t="shared" si="15"/>
        <v>0.9</v>
      </c>
    </row>
    <row r="41" spans="2:29" ht="14.25" customHeight="1" x14ac:dyDescent="0.2">
      <c r="O41" s="25"/>
      <c r="W41" s="1">
        <v>39</v>
      </c>
      <c r="X41" s="1">
        <f t="shared" si="12"/>
        <v>449</v>
      </c>
      <c r="Y41" s="1">
        <f t="shared" si="13"/>
        <v>15165</v>
      </c>
      <c r="Z41" s="1">
        <f t="shared" si="14"/>
        <v>1580</v>
      </c>
      <c r="AA41" s="1">
        <f t="shared" si="4"/>
        <v>0.05</v>
      </c>
      <c r="AB41" s="1">
        <f t="shared" si="5"/>
        <v>1.5</v>
      </c>
      <c r="AC41" s="1">
        <f t="shared" si="15"/>
        <v>0.9</v>
      </c>
    </row>
    <row r="42" spans="2:29" ht="14.25" customHeight="1" x14ac:dyDescent="0.2">
      <c r="W42" s="1">
        <v>40</v>
      </c>
      <c r="X42" s="1">
        <f t="shared" si="12"/>
        <v>471</v>
      </c>
      <c r="Y42" s="1">
        <f t="shared" si="13"/>
        <v>15883</v>
      </c>
      <c r="Z42" s="1">
        <f t="shared" si="14"/>
        <v>1659</v>
      </c>
      <c r="AA42" s="1">
        <f t="shared" si="4"/>
        <v>0.05</v>
      </c>
      <c r="AB42" s="1">
        <f t="shared" si="5"/>
        <v>1.5</v>
      </c>
      <c r="AC42" s="1">
        <f t="shared" si="15"/>
        <v>0.9</v>
      </c>
    </row>
    <row r="43" spans="2:29" ht="14.25" customHeight="1" x14ac:dyDescent="0.2">
      <c r="W43" s="1">
        <v>41</v>
      </c>
      <c r="X43" s="1">
        <f t="shared" si="12"/>
        <v>495</v>
      </c>
      <c r="Y43" s="1">
        <f t="shared" si="13"/>
        <v>16634</v>
      </c>
      <c r="Z43" s="1">
        <f t="shared" si="14"/>
        <v>1742</v>
      </c>
      <c r="AA43" s="1">
        <f t="shared" si="4"/>
        <v>0.05</v>
      </c>
      <c r="AB43" s="1">
        <f t="shared" si="5"/>
        <v>1.5</v>
      </c>
      <c r="AC43" s="1">
        <f t="shared" si="15"/>
        <v>0.9</v>
      </c>
    </row>
    <row r="44" spans="2:29" ht="14.25" customHeight="1" x14ac:dyDescent="0.2">
      <c r="W44" s="1">
        <v>42</v>
      </c>
      <c r="X44" s="1">
        <f t="shared" si="12"/>
        <v>520</v>
      </c>
      <c r="Y44" s="1">
        <f t="shared" si="13"/>
        <v>17418</v>
      </c>
      <c r="Z44" s="1">
        <f t="shared" si="14"/>
        <v>1830</v>
      </c>
      <c r="AA44" s="1">
        <f t="shared" si="4"/>
        <v>0.05</v>
      </c>
      <c r="AB44" s="1">
        <f t="shared" si="5"/>
        <v>1.5</v>
      </c>
      <c r="AC44" s="1">
        <f t="shared" si="15"/>
        <v>0.9</v>
      </c>
    </row>
    <row r="45" spans="2:29" ht="14.25" customHeight="1" x14ac:dyDescent="0.2">
      <c r="W45" s="1">
        <v>43</v>
      </c>
      <c r="X45" s="1">
        <f t="shared" si="12"/>
        <v>546</v>
      </c>
      <c r="Y45" s="1">
        <f t="shared" si="13"/>
        <v>18236</v>
      </c>
      <c r="Z45" s="1">
        <f t="shared" si="14"/>
        <v>1921</v>
      </c>
      <c r="AA45" s="1">
        <f t="shared" si="4"/>
        <v>0.05</v>
      </c>
      <c r="AB45" s="1">
        <f t="shared" si="5"/>
        <v>1.5</v>
      </c>
      <c r="AC45" s="1">
        <f t="shared" si="15"/>
        <v>0.9</v>
      </c>
    </row>
    <row r="46" spans="2:29" ht="14.25" customHeight="1" x14ac:dyDescent="0.2">
      <c r="W46" s="1">
        <v>44</v>
      </c>
      <c r="X46" s="1">
        <f t="shared" si="12"/>
        <v>573</v>
      </c>
      <c r="Y46" s="1">
        <f t="shared" si="13"/>
        <v>19091</v>
      </c>
      <c r="Z46" s="1">
        <f t="shared" si="14"/>
        <v>2017</v>
      </c>
      <c r="AA46" s="1">
        <f t="shared" si="4"/>
        <v>0.05</v>
      </c>
      <c r="AB46" s="1">
        <f t="shared" si="5"/>
        <v>1.5</v>
      </c>
      <c r="AC46" s="1">
        <f t="shared" si="15"/>
        <v>0.9</v>
      </c>
    </row>
    <row r="47" spans="2:29" ht="14.25" customHeight="1" x14ac:dyDescent="0.2">
      <c r="W47" s="1">
        <v>45</v>
      </c>
      <c r="X47" s="1">
        <f t="shared" si="12"/>
        <v>602</v>
      </c>
      <c r="Y47" s="1">
        <f t="shared" si="13"/>
        <v>19982</v>
      </c>
      <c r="Z47" s="1">
        <f t="shared" si="14"/>
        <v>2118</v>
      </c>
      <c r="AA47" s="1">
        <f t="shared" si="4"/>
        <v>0.05</v>
      </c>
      <c r="AB47" s="1">
        <f t="shared" si="5"/>
        <v>1.5</v>
      </c>
      <c r="AC47" s="1">
        <f t="shared" si="15"/>
        <v>0.9</v>
      </c>
    </row>
    <row r="48" spans="2:29" ht="14.25" customHeight="1" x14ac:dyDescent="0.2">
      <c r="W48" s="1">
        <v>46</v>
      </c>
      <c r="X48" s="1">
        <f t="shared" si="12"/>
        <v>632</v>
      </c>
      <c r="Y48" s="1">
        <f t="shared" si="13"/>
        <v>20912</v>
      </c>
      <c r="Z48" s="1">
        <f t="shared" si="14"/>
        <v>2224</v>
      </c>
      <c r="AA48" s="1">
        <f t="shared" si="4"/>
        <v>0.05</v>
      </c>
      <c r="AB48" s="1">
        <f t="shared" si="5"/>
        <v>1.5</v>
      </c>
      <c r="AC48" s="1">
        <f t="shared" si="15"/>
        <v>0.9</v>
      </c>
    </row>
    <row r="49" spans="23:29" ht="14.25" customHeight="1" x14ac:dyDescent="0.2">
      <c r="W49" s="1">
        <v>47</v>
      </c>
      <c r="X49" s="1">
        <f t="shared" si="12"/>
        <v>663</v>
      </c>
      <c r="Y49" s="1">
        <f t="shared" si="13"/>
        <v>21882</v>
      </c>
      <c r="Z49" s="1">
        <f t="shared" si="14"/>
        <v>2335</v>
      </c>
      <c r="AA49" s="1">
        <f t="shared" si="4"/>
        <v>0.05</v>
      </c>
      <c r="AB49" s="1">
        <f t="shared" si="5"/>
        <v>1.5</v>
      </c>
      <c r="AC49" s="1">
        <f t="shared" si="15"/>
        <v>0.9</v>
      </c>
    </row>
    <row r="50" spans="23:29" ht="14.25" customHeight="1" x14ac:dyDescent="0.2">
      <c r="W50" s="1">
        <v>48</v>
      </c>
      <c r="X50" s="1">
        <f t="shared" si="12"/>
        <v>697</v>
      </c>
      <c r="Y50" s="1">
        <f t="shared" si="13"/>
        <v>22894</v>
      </c>
      <c r="Z50" s="1">
        <f t="shared" si="14"/>
        <v>2452</v>
      </c>
      <c r="AA50" s="1">
        <f t="shared" si="4"/>
        <v>0.05</v>
      </c>
      <c r="AB50" s="1">
        <f t="shared" si="5"/>
        <v>1.5</v>
      </c>
      <c r="AC50" s="1">
        <f t="shared" si="15"/>
        <v>0.9</v>
      </c>
    </row>
    <row r="51" spans="23:29" ht="14.25" customHeight="1" x14ac:dyDescent="0.2">
      <c r="W51" s="1">
        <v>49</v>
      </c>
      <c r="X51" s="1">
        <f t="shared" si="12"/>
        <v>731</v>
      </c>
      <c r="Y51" s="1">
        <f t="shared" si="13"/>
        <v>23948</v>
      </c>
      <c r="Z51" s="1">
        <f t="shared" si="14"/>
        <v>2574</v>
      </c>
      <c r="AA51" s="1">
        <f t="shared" si="4"/>
        <v>0.05</v>
      </c>
      <c r="AB51" s="1">
        <f t="shared" si="5"/>
        <v>1.5</v>
      </c>
      <c r="AC51" s="1">
        <f t="shared" si="15"/>
        <v>0.9</v>
      </c>
    </row>
    <row r="52" spans="23:29" ht="14.25" customHeight="1" x14ac:dyDescent="0.2">
      <c r="W52" s="1">
        <v>50</v>
      </c>
      <c r="X52" s="1">
        <f t="shared" si="12"/>
        <v>768</v>
      </c>
      <c r="Y52" s="1">
        <f t="shared" si="13"/>
        <v>25047</v>
      </c>
      <c r="Z52" s="1">
        <f t="shared" si="14"/>
        <v>2703</v>
      </c>
      <c r="AA52" s="1">
        <f t="shared" si="4"/>
        <v>0.05</v>
      </c>
      <c r="AB52" s="1">
        <f t="shared" si="5"/>
        <v>1.5</v>
      </c>
      <c r="AC52" s="1">
        <f t="shared" si="15"/>
        <v>0.9</v>
      </c>
    </row>
    <row r="53" spans="23:29" ht="14.25" customHeight="1" x14ac:dyDescent="0.2">
      <c r="W53" s="1">
        <v>51</v>
      </c>
      <c r="X53" s="1">
        <f t="shared" si="12"/>
        <v>806</v>
      </c>
      <c r="Y53" s="1">
        <f t="shared" si="13"/>
        <v>26191</v>
      </c>
      <c r="Z53" s="1">
        <f t="shared" si="14"/>
        <v>2838</v>
      </c>
      <c r="AA53" s="1">
        <f t="shared" si="4"/>
        <v>0.05</v>
      </c>
      <c r="AB53" s="1">
        <f t="shared" si="5"/>
        <v>1.5</v>
      </c>
      <c r="AC53" s="1">
        <f t="shared" si="15"/>
        <v>0.9</v>
      </c>
    </row>
    <row r="54" spans="23:29" ht="14.25" customHeight="1" x14ac:dyDescent="0.2">
      <c r="W54" s="1">
        <v>52</v>
      </c>
      <c r="X54" s="1">
        <f t="shared" si="12"/>
        <v>847</v>
      </c>
      <c r="Y54" s="1">
        <f t="shared" si="13"/>
        <v>27382</v>
      </c>
      <c r="Z54" s="1">
        <f t="shared" si="14"/>
        <v>2980</v>
      </c>
      <c r="AA54" s="1">
        <f t="shared" si="4"/>
        <v>0.05</v>
      </c>
      <c r="AB54" s="1">
        <f t="shared" si="5"/>
        <v>1.5</v>
      </c>
      <c r="AC54" s="1">
        <f t="shared" si="15"/>
        <v>0.9</v>
      </c>
    </row>
    <row r="55" spans="23:29" ht="14.25" customHeight="1" x14ac:dyDescent="0.2">
      <c r="W55" s="1">
        <v>53</v>
      </c>
      <c r="X55" s="1">
        <f t="shared" si="12"/>
        <v>889</v>
      </c>
      <c r="Y55" s="1">
        <f t="shared" si="13"/>
        <v>28622</v>
      </c>
      <c r="Z55" s="1">
        <f t="shared" si="14"/>
        <v>3129</v>
      </c>
      <c r="AA55" s="1">
        <f t="shared" si="4"/>
        <v>0.05</v>
      </c>
      <c r="AB55" s="1">
        <f t="shared" si="5"/>
        <v>1.5</v>
      </c>
      <c r="AC55" s="1">
        <f t="shared" si="15"/>
        <v>0.9</v>
      </c>
    </row>
    <row r="56" spans="23:29" ht="14.25" customHeight="1" x14ac:dyDescent="0.2">
      <c r="W56" s="1">
        <v>54</v>
      </c>
      <c r="X56" s="1">
        <f t="shared" si="12"/>
        <v>933</v>
      </c>
      <c r="Y56" s="1">
        <f t="shared" si="13"/>
        <v>29912</v>
      </c>
      <c r="Z56" s="1">
        <f t="shared" si="14"/>
        <v>3286</v>
      </c>
      <c r="AA56" s="1">
        <f t="shared" si="4"/>
        <v>0.05</v>
      </c>
      <c r="AB56" s="1">
        <f t="shared" si="5"/>
        <v>1.5</v>
      </c>
      <c r="AC56" s="1">
        <f t="shared" si="15"/>
        <v>0.9</v>
      </c>
    </row>
    <row r="57" spans="23:29" ht="14.25" customHeight="1" x14ac:dyDescent="0.2">
      <c r="W57" s="1">
        <v>55</v>
      </c>
      <c r="X57" s="1">
        <f t="shared" si="12"/>
        <v>980</v>
      </c>
      <c r="Y57" s="1">
        <f t="shared" si="13"/>
        <v>31253</v>
      </c>
      <c r="Z57" s="1">
        <f t="shared" si="14"/>
        <v>3450</v>
      </c>
      <c r="AA57" s="1">
        <f t="shared" si="4"/>
        <v>0.05</v>
      </c>
      <c r="AB57" s="1">
        <f t="shared" si="5"/>
        <v>1.5</v>
      </c>
      <c r="AC57" s="1">
        <f t="shared" si="15"/>
        <v>0.9</v>
      </c>
    </row>
    <row r="58" spans="23:29" ht="14.25" customHeight="1" x14ac:dyDescent="0.2">
      <c r="W58" s="1">
        <v>56</v>
      </c>
      <c r="X58" s="1">
        <f t="shared" si="12"/>
        <v>1029</v>
      </c>
      <c r="Y58" s="1">
        <f t="shared" si="13"/>
        <v>32647</v>
      </c>
      <c r="Z58" s="1">
        <f t="shared" si="14"/>
        <v>3622</v>
      </c>
      <c r="AA58" s="1">
        <f t="shared" si="4"/>
        <v>0.05</v>
      </c>
      <c r="AB58" s="1">
        <f t="shared" si="5"/>
        <v>1.5</v>
      </c>
      <c r="AC58" s="1">
        <f t="shared" si="15"/>
        <v>0.9</v>
      </c>
    </row>
    <row r="59" spans="23:29" ht="14.25" customHeight="1" x14ac:dyDescent="0.2">
      <c r="W59" s="1">
        <v>57</v>
      </c>
      <c r="X59" s="1">
        <f t="shared" si="12"/>
        <v>1081</v>
      </c>
      <c r="Y59" s="1">
        <f t="shared" si="13"/>
        <v>34096</v>
      </c>
      <c r="Z59" s="1">
        <f t="shared" si="14"/>
        <v>3803</v>
      </c>
      <c r="AA59" s="1">
        <f t="shared" si="4"/>
        <v>0.05</v>
      </c>
      <c r="AB59" s="1">
        <f t="shared" si="5"/>
        <v>1.5</v>
      </c>
      <c r="AC59" s="1">
        <f t="shared" si="15"/>
        <v>0.9</v>
      </c>
    </row>
    <row r="60" spans="23:29" ht="14.25" customHeight="1" x14ac:dyDescent="0.2">
      <c r="W60" s="1">
        <v>58</v>
      </c>
      <c r="X60" s="1">
        <f t="shared" si="12"/>
        <v>1135</v>
      </c>
      <c r="Y60" s="1">
        <f t="shared" si="13"/>
        <v>35600</v>
      </c>
      <c r="Z60" s="1">
        <f t="shared" si="14"/>
        <v>3994</v>
      </c>
      <c r="AA60" s="1">
        <f t="shared" si="4"/>
        <v>0.05</v>
      </c>
      <c r="AB60" s="1">
        <f t="shared" si="5"/>
        <v>1.5</v>
      </c>
      <c r="AC60" s="1">
        <f t="shared" si="15"/>
        <v>0.9</v>
      </c>
    </row>
    <row r="61" spans="23:29" ht="14.25" customHeight="1" x14ac:dyDescent="0.2">
      <c r="W61" s="1">
        <v>59</v>
      </c>
      <c r="X61" s="1">
        <f t="shared" si="12"/>
        <v>1191</v>
      </c>
      <c r="Y61" s="1">
        <f t="shared" si="13"/>
        <v>37162</v>
      </c>
      <c r="Z61" s="1">
        <f t="shared" si="14"/>
        <v>4193</v>
      </c>
      <c r="AA61" s="1">
        <f t="shared" si="4"/>
        <v>0.05</v>
      </c>
      <c r="AB61" s="1">
        <f t="shared" si="5"/>
        <v>1.5</v>
      </c>
      <c r="AC61" s="1">
        <f t="shared" si="15"/>
        <v>0.9</v>
      </c>
    </row>
    <row r="62" spans="23:29" ht="14.25" customHeight="1" x14ac:dyDescent="0.2">
      <c r="W62" s="1">
        <v>60</v>
      </c>
      <c r="X62" s="1">
        <f t="shared" si="12"/>
        <v>1251</v>
      </c>
      <c r="Y62" s="1">
        <f t="shared" si="13"/>
        <v>38782</v>
      </c>
      <c r="Z62" s="1">
        <f t="shared" si="14"/>
        <v>4403</v>
      </c>
      <c r="AA62" s="1">
        <f t="shared" si="4"/>
        <v>0.05</v>
      </c>
      <c r="AB62" s="1">
        <f t="shared" si="5"/>
        <v>1.5</v>
      </c>
      <c r="AC62" s="1">
        <f t="shared" si="15"/>
        <v>0.9</v>
      </c>
    </row>
    <row r="63" spans="23:29" ht="14.25" customHeight="1" x14ac:dyDescent="0.2">
      <c r="W63" s="1">
        <v>61</v>
      </c>
      <c r="X63" s="1">
        <f t="shared" si="12"/>
        <v>1313</v>
      </c>
      <c r="Y63" s="1">
        <f t="shared" si="13"/>
        <v>40463</v>
      </c>
      <c r="Z63" s="1">
        <f t="shared" si="14"/>
        <v>4623</v>
      </c>
      <c r="AA63" s="1">
        <f t="shared" si="4"/>
        <v>0.05</v>
      </c>
      <c r="AB63" s="1">
        <f t="shared" si="5"/>
        <v>1.5</v>
      </c>
      <c r="AC63" s="1">
        <f t="shared" si="15"/>
        <v>0.9</v>
      </c>
    </row>
    <row r="64" spans="23:29" ht="14.25" customHeight="1" x14ac:dyDescent="0.2">
      <c r="W64" s="1">
        <v>62</v>
      </c>
      <c r="X64" s="1">
        <f t="shared" si="12"/>
        <v>1379</v>
      </c>
      <c r="Y64" s="1">
        <f t="shared" si="13"/>
        <v>42204</v>
      </c>
      <c r="Z64" s="1">
        <f t="shared" si="14"/>
        <v>4854</v>
      </c>
      <c r="AA64" s="1">
        <f t="shared" si="4"/>
        <v>0.05</v>
      </c>
      <c r="AB64" s="1">
        <f t="shared" si="5"/>
        <v>1.5</v>
      </c>
      <c r="AC64" s="1">
        <f t="shared" si="15"/>
        <v>0.9</v>
      </c>
    </row>
    <row r="65" spans="23:29" ht="14.25" customHeight="1" x14ac:dyDescent="0.2">
      <c r="W65" s="1">
        <v>63</v>
      </c>
      <c r="X65" s="1">
        <f t="shared" si="12"/>
        <v>1448</v>
      </c>
      <c r="Y65" s="1">
        <f t="shared" si="13"/>
        <v>44008</v>
      </c>
      <c r="Z65" s="1">
        <f t="shared" si="14"/>
        <v>5097</v>
      </c>
      <c r="AA65" s="1">
        <f t="shared" si="4"/>
        <v>0.05</v>
      </c>
      <c r="AB65" s="1">
        <f t="shared" si="5"/>
        <v>1.5</v>
      </c>
      <c r="AC65" s="1">
        <f t="shared" si="15"/>
        <v>0.9</v>
      </c>
    </row>
    <row r="66" spans="23:29" ht="14.25" customHeight="1" x14ac:dyDescent="0.2">
      <c r="W66" s="1">
        <v>64</v>
      </c>
      <c r="X66" s="1">
        <f t="shared" si="12"/>
        <v>1520</v>
      </c>
      <c r="Y66" s="1">
        <f t="shared" si="13"/>
        <v>45875</v>
      </c>
      <c r="Z66" s="1">
        <f t="shared" si="14"/>
        <v>5352</v>
      </c>
      <c r="AA66" s="1">
        <f t="shared" si="4"/>
        <v>0.05</v>
      </c>
      <c r="AB66" s="1">
        <f t="shared" si="5"/>
        <v>1.5</v>
      </c>
      <c r="AC66" s="1">
        <f t="shared" si="15"/>
        <v>0.9</v>
      </c>
    </row>
    <row r="67" spans="23:29" ht="14.25" customHeight="1" x14ac:dyDescent="0.2">
      <c r="W67" s="1">
        <v>65</v>
      </c>
      <c r="X67" s="1">
        <f t="shared" ref="X67:X102" si="16">ROUND(VLOOKUP($X$1,$E:$R,MATCH(X$2,$E$15:$R$15,0),0)*$C$6^($W67-1)*$C$13*VLOOKUP($Y$1,$B:$C,2,0),0)</f>
        <v>1596</v>
      </c>
      <c r="Y67" s="1">
        <f t="shared" ref="Y67:Y102" si="17">ROUND(VLOOKUP(VLOOKUP($Z$1,$K$4:$L$10,2,0),$E$4:$G$7,3,0)*$C$5*VLOOKUP($X$1,$E:$R,MATCH("生命偏向",$E$15:$R$15,0),0)/(1+VLOOKUP($X$1,$E:$R,MATCH($Z$2,$E$15:$R$15,0),0)*$C$6^($W67-1)/$C$8)*$C$6^($W67-1)*$C$13*VLOOKUP($Y$1,$B:$C,2,0),0)</f>
        <v>47807</v>
      </c>
      <c r="Z67" s="1">
        <f t="shared" ref="Z67:Z102" si="18">ROUND(VLOOKUP($X$1,$E:$R,MATCH(Z$2,$E$15:$R$15,0),0)*$C$6^($W67-1)*$C$13*VLOOKUP($Y$1,$B:$C,2,0),0)</f>
        <v>5619</v>
      </c>
      <c r="AA67" s="1">
        <f t="shared" si="4"/>
        <v>0.05</v>
      </c>
      <c r="AB67" s="1">
        <f t="shared" si="5"/>
        <v>1.5</v>
      </c>
      <c r="AC67" s="1">
        <f t="shared" ref="AC67:AC102" si="19">VLOOKUP($X$1,$E:$R,MATCH(AC$2,$E$15:$R$15,0),0)</f>
        <v>0.9</v>
      </c>
    </row>
    <row r="68" spans="23:29" ht="14.25" customHeight="1" x14ac:dyDescent="0.2">
      <c r="W68" s="1">
        <v>66</v>
      </c>
      <c r="X68" s="1">
        <f t="shared" si="16"/>
        <v>1676</v>
      </c>
      <c r="Y68" s="1">
        <f t="shared" si="17"/>
        <v>49804</v>
      </c>
      <c r="Z68" s="1">
        <f t="shared" si="18"/>
        <v>5900</v>
      </c>
      <c r="AA68" s="1">
        <f t="shared" ref="AA68:AA102" si="20">$AA$1</f>
        <v>0.05</v>
      </c>
      <c r="AB68" s="1">
        <f t="shared" ref="AB68:AB102" si="21">$AB$1</f>
        <v>1.5</v>
      </c>
      <c r="AC68" s="1">
        <f t="shared" si="19"/>
        <v>0.9</v>
      </c>
    </row>
    <row r="69" spans="23:29" ht="14.25" customHeight="1" x14ac:dyDescent="0.2">
      <c r="W69" s="1">
        <v>67</v>
      </c>
      <c r="X69" s="1">
        <f t="shared" si="16"/>
        <v>1760</v>
      </c>
      <c r="Y69" s="1">
        <f t="shared" si="17"/>
        <v>51868</v>
      </c>
      <c r="Z69" s="1">
        <f t="shared" si="18"/>
        <v>6195</v>
      </c>
      <c r="AA69" s="1">
        <f t="shared" si="20"/>
        <v>0.05</v>
      </c>
      <c r="AB69" s="1">
        <f t="shared" si="21"/>
        <v>1.5</v>
      </c>
      <c r="AC69" s="1">
        <f t="shared" si="19"/>
        <v>0.9</v>
      </c>
    </row>
    <row r="70" spans="23:29" ht="14.25" customHeight="1" x14ac:dyDescent="0.2">
      <c r="W70" s="1">
        <v>68</v>
      </c>
      <c r="X70" s="1">
        <f t="shared" si="16"/>
        <v>1848</v>
      </c>
      <c r="Y70" s="1">
        <f t="shared" si="17"/>
        <v>54000</v>
      </c>
      <c r="Z70" s="1">
        <f t="shared" si="18"/>
        <v>6505</v>
      </c>
      <c r="AA70" s="1">
        <f t="shared" si="20"/>
        <v>0.05</v>
      </c>
      <c r="AB70" s="1">
        <f t="shared" si="21"/>
        <v>1.5</v>
      </c>
      <c r="AC70" s="1">
        <f t="shared" si="19"/>
        <v>0.9</v>
      </c>
    </row>
    <row r="71" spans="23:29" ht="14.25" customHeight="1" x14ac:dyDescent="0.2">
      <c r="W71" s="1">
        <v>69</v>
      </c>
      <c r="X71" s="1">
        <f t="shared" si="16"/>
        <v>1940</v>
      </c>
      <c r="Y71" s="1">
        <f t="shared" si="17"/>
        <v>56199</v>
      </c>
      <c r="Z71" s="1">
        <f t="shared" si="18"/>
        <v>6830</v>
      </c>
      <c r="AA71" s="1">
        <f t="shared" si="20"/>
        <v>0.05</v>
      </c>
      <c r="AB71" s="1">
        <f t="shared" si="21"/>
        <v>1.5</v>
      </c>
      <c r="AC71" s="1">
        <f t="shared" si="19"/>
        <v>0.9</v>
      </c>
    </row>
    <row r="72" spans="23:29" ht="14.25" customHeight="1" x14ac:dyDescent="0.2">
      <c r="W72" s="1">
        <v>70</v>
      </c>
      <c r="X72" s="1">
        <f t="shared" si="16"/>
        <v>2037</v>
      </c>
      <c r="Y72" s="1">
        <f t="shared" si="17"/>
        <v>58467</v>
      </c>
      <c r="Z72" s="1">
        <f t="shared" si="18"/>
        <v>7172</v>
      </c>
      <c r="AA72" s="1">
        <f t="shared" si="20"/>
        <v>0.05</v>
      </c>
      <c r="AB72" s="1">
        <f t="shared" si="21"/>
        <v>1.5</v>
      </c>
      <c r="AC72" s="1">
        <f t="shared" si="19"/>
        <v>0.9</v>
      </c>
    </row>
    <row r="73" spans="23:29" ht="14.25" customHeight="1" x14ac:dyDescent="0.2">
      <c r="W73" s="1">
        <v>71</v>
      </c>
      <c r="X73" s="1">
        <f t="shared" si="16"/>
        <v>2139</v>
      </c>
      <c r="Y73" s="1">
        <f t="shared" si="17"/>
        <v>60803</v>
      </c>
      <c r="Z73" s="1">
        <f t="shared" si="18"/>
        <v>7531</v>
      </c>
      <c r="AA73" s="1">
        <f t="shared" si="20"/>
        <v>0.05</v>
      </c>
      <c r="AB73" s="1">
        <f t="shared" si="21"/>
        <v>1.5</v>
      </c>
      <c r="AC73" s="1">
        <f t="shared" si="19"/>
        <v>0.9</v>
      </c>
    </row>
    <row r="74" spans="23:29" ht="14.25" customHeight="1" x14ac:dyDescent="0.2">
      <c r="W74" s="1">
        <v>72</v>
      </c>
      <c r="X74" s="1">
        <f t="shared" si="16"/>
        <v>2246</v>
      </c>
      <c r="Y74" s="1">
        <f t="shared" si="17"/>
        <v>63209</v>
      </c>
      <c r="Z74" s="1">
        <f t="shared" si="18"/>
        <v>7907</v>
      </c>
      <c r="AA74" s="1">
        <f t="shared" si="20"/>
        <v>0.05</v>
      </c>
      <c r="AB74" s="1">
        <f t="shared" si="21"/>
        <v>1.5</v>
      </c>
      <c r="AC74" s="1">
        <f t="shared" si="19"/>
        <v>0.9</v>
      </c>
    </row>
    <row r="75" spans="23:29" ht="14.25" customHeight="1" x14ac:dyDescent="0.2">
      <c r="W75" s="1">
        <v>73</v>
      </c>
      <c r="X75" s="1">
        <f t="shared" si="16"/>
        <v>2359</v>
      </c>
      <c r="Y75" s="1">
        <f t="shared" si="17"/>
        <v>65685</v>
      </c>
      <c r="Z75" s="1">
        <f t="shared" si="18"/>
        <v>8302</v>
      </c>
      <c r="AA75" s="1">
        <f t="shared" si="20"/>
        <v>0.05</v>
      </c>
      <c r="AB75" s="1">
        <f t="shared" si="21"/>
        <v>1.5</v>
      </c>
      <c r="AC75" s="1">
        <f t="shared" si="19"/>
        <v>0.9</v>
      </c>
    </row>
    <row r="76" spans="23:29" ht="14.25" customHeight="1" x14ac:dyDescent="0.2">
      <c r="W76" s="1">
        <v>74</v>
      </c>
      <c r="X76" s="1">
        <f t="shared" si="16"/>
        <v>2477</v>
      </c>
      <c r="Y76" s="1">
        <f t="shared" si="17"/>
        <v>68230</v>
      </c>
      <c r="Z76" s="1">
        <f t="shared" si="18"/>
        <v>8718</v>
      </c>
      <c r="AA76" s="1">
        <f t="shared" si="20"/>
        <v>0.05</v>
      </c>
      <c r="AB76" s="1">
        <f t="shared" si="21"/>
        <v>1.5</v>
      </c>
      <c r="AC76" s="1">
        <f t="shared" si="19"/>
        <v>0.9</v>
      </c>
    </row>
    <row r="77" spans="23:29" ht="14.25" customHeight="1" x14ac:dyDescent="0.2">
      <c r="W77" s="1">
        <v>75</v>
      </c>
      <c r="X77" s="1">
        <f t="shared" si="16"/>
        <v>2600</v>
      </c>
      <c r="Y77" s="1">
        <f t="shared" si="17"/>
        <v>70843</v>
      </c>
      <c r="Z77" s="1">
        <f t="shared" si="18"/>
        <v>9153</v>
      </c>
      <c r="AA77" s="1">
        <f t="shared" si="20"/>
        <v>0.05</v>
      </c>
      <c r="AB77" s="1">
        <f t="shared" si="21"/>
        <v>1.5</v>
      </c>
      <c r="AC77" s="1">
        <f t="shared" si="19"/>
        <v>0.9</v>
      </c>
    </row>
    <row r="78" spans="23:29" ht="14.25" customHeight="1" x14ac:dyDescent="0.2">
      <c r="W78" s="1">
        <v>76</v>
      </c>
      <c r="X78" s="1">
        <f t="shared" si="16"/>
        <v>2730</v>
      </c>
      <c r="Y78" s="1">
        <f t="shared" si="17"/>
        <v>73526</v>
      </c>
      <c r="Z78" s="1">
        <f t="shared" si="18"/>
        <v>9611</v>
      </c>
      <c r="AA78" s="1">
        <f t="shared" si="20"/>
        <v>0.05</v>
      </c>
      <c r="AB78" s="1">
        <f t="shared" si="21"/>
        <v>1.5</v>
      </c>
      <c r="AC78" s="1">
        <f t="shared" si="19"/>
        <v>0.9</v>
      </c>
    </row>
    <row r="79" spans="23:29" ht="14.25" customHeight="1" x14ac:dyDescent="0.2">
      <c r="W79" s="1">
        <v>77</v>
      </c>
      <c r="X79" s="1">
        <f t="shared" si="16"/>
        <v>2867</v>
      </c>
      <c r="Y79" s="1">
        <f t="shared" si="17"/>
        <v>76277</v>
      </c>
      <c r="Z79" s="1">
        <f t="shared" si="18"/>
        <v>10092</v>
      </c>
      <c r="AA79" s="1">
        <f t="shared" si="20"/>
        <v>0.05</v>
      </c>
      <c r="AB79" s="1">
        <f t="shared" si="21"/>
        <v>1.5</v>
      </c>
      <c r="AC79" s="1">
        <f t="shared" si="19"/>
        <v>0.9</v>
      </c>
    </row>
    <row r="80" spans="23:29" ht="14.25" customHeight="1" x14ac:dyDescent="0.2">
      <c r="W80" s="1">
        <v>78</v>
      </c>
      <c r="X80" s="1">
        <f t="shared" si="16"/>
        <v>3010</v>
      </c>
      <c r="Y80" s="1">
        <f t="shared" si="17"/>
        <v>79095</v>
      </c>
      <c r="Z80" s="1">
        <f t="shared" si="18"/>
        <v>10596</v>
      </c>
      <c r="AA80" s="1">
        <f t="shared" si="20"/>
        <v>0.05</v>
      </c>
      <c r="AB80" s="1">
        <f t="shared" si="21"/>
        <v>1.5</v>
      </c>
      <c r="AC80" s="1">
        <f t="shared" si="19"/>
        <v>0.9</v>
      </c>
    </row>
    <row r="81" spans="23:29" ht="14.25" customHeight="1" x14ac:dyDescent="0.2">
      <c r="W81" s="1">
        <v>79</v>
      </c>
      <c r="X81" s="1">
        <f t="shared" si="16"/>
        <v>3161</v>
      </c>
      <c r="Y81" s="1">
        <f t="shared" si="17"/>
        <v>81980</v>
      </c>
      <c r="Z81" s="1">
        <f t="shared" si="18"/>
        <v>11126</v>
      </c>
      <c r="AA81" s="1">
        <f t="shared" si="20"/>
        <v>0.05</v>
      </c>
      <c r="AB81" s="1">
        <f t="shared" si="21"/>
        <v>1.5</v>
      </c>
      <c r="AC81" s="1">
        <f t="shared" si="19"/>
        <v>0.9</v>
      </c>
    </row>
    <row r="82" spans="23:29" ht="14.25" customHeight="1" x14ac:dyDescent="0.2">
      <c r="W82" s="1">
        <v>80</v>
      </c>
      <c r="X82" s="1">
        <f t="shared" si="16"/>
        <v>3319</v>
      </c>
      <c r="Y82" s="1">
        <f t="shared" si="17"/>
        <v>84931</v>
      </c>
      <c r="Z82" s="1">
        <f t="shared" si="18"/>
        <v>11682</v>
      </c>
      <c r="AA82" s="1">
        <f t="shared" si="20"/>
        <v>0.05</v>
      </c>
      <c r="AB82" s="1">
        <f t="shared" si="21"/>
        <v>1.5</v>
      </c>
      <c r="AC82" s="1">
        <f t="shared" si="19"/>
        <v>0.9</v>
      </c>
    </row>
    <row r="83" spans="23:29" ht="14.25" customHeight="1" x14ac:dyDescent="0.2">
      <c r="W83" s="1">
        <v>81</v>
      </c>
      <c r="X83" s="1">
        <f t="shared" si="16"/>
        <v>3485</v>
      </c>
      <c r="Y83" s="1">
        <f t="shared" si="17"/>
        <v>87945</v>
      </c>
      <c r="Z83" s="1">
        <f t="shared" si="18"/>
        <v>12266</v>
      </c>
      <c r="AA83" s="1">
        <f t="shared" si="20"/>
        <v>0.05</v>
      </c>
      <c r="AB83" s="1">
        <f t="shared" si="21"/>
        <v>1.5</v>
      </c>
      <c r="AC83" s="1">
        <f t="shared" si="19"/>
        <v>0.9</v>
      </c>
    </row>
    <row r="84" spans="23:29" ht="14.25" customHeight="1" x14ac:dyDescent="0.2">
      <c r="W84" s="1">
        <v>82</v>
      </c>
      <c r="X84" s="1">
        <f t="shared" si="16"/>
        <v>3659</v>
      </c>
      <c r="Y84" s="1">
        <f t="shared" si="17"/>
        <v>91021</v>
      </c>
      <c r="Z84" s="1">
        <f t="shared" si="18"/>
        <v>12880</v>
      </c>
      <c r="AA84" s="1">
        <f t="shared" si="20"/>
        <v>0.05</v>
      </c>
      <c r="AB84" s="1">
        <f t="shared" si="21"/>
        <v>1.5</v>
      </c>
      <c r="AC84" s="1">
        <f t="shared" si="19"/>
        <v>0.9</v>
      </c>
    </row>
    <row r="85" spans="23:29" ht="14.25" customHeight="1" x14ac:dyDescent="0.2">
      <c r="W85" s="1">
        <v>83</v>
      </c>
      <c r="X85" s="1">
        <f t="shared" si="16"/>
        <v>3842</v>
      </c>
      <c r="Y85" s="1">
        <f t="shared" si="17"/>
        <v>94158</v>
      </c>
      <c r="Z85" s="1">
        <f t="shared" si="18"/>
        <v>13524</v>
      </c>
      <c r="AA85" s="1">
        <f t="shared" si="20"/>
        <v>0.05</v>
      </c>
      <c r="AB85" s="1">
        <f t="shared" si="21"/>
        <v>1.5</v>
      </c>
      <c r="AC85" s="1">
        <f t="shared" si="19"/>
        <v>0.9</v>
      </c>
    </row>
    <row r="86" spans="23:29" ht="14.25" customHeight="1" x14ac:dyDescent="0.2">
      <c r="W86" s="1">
        <v>84</v>
      </c>
      <c r="X86" s="1">
        <f t="shared" si="16"/>
        <v>4034</v>
      </c>
      <c r="Y86" s="1">
        <f t="shared" si="17"/>
        <v>97353</v>
      </c>
      <c r="Z86" s="1">
        <f t="shared" si="18"/>
        <v>14200</v>
      </c>
      <c r="AA86" s="1">
        <f t="shared" si="20"/>
        <v>0.05</v>
      </c>
      <c r="AB86" s="1">
        <f t="shared" si="21"/>
        <v>1.5</v>
      </c>
      <c r="AC86" s="1">
        <f t="shared" si="19"/>
        <v>0.9</v>
      </c>
    </row>
    <row r="87" spans="23:29" ht="14.25" customHeight="1" x14ac:dyDescent="0.2">
      <c r="W87" s="1">
        <v>85</v>
      </c>
      <c r="X87" s="1">
        <f t="shared" si="16"/>
        <v>4236</v>
      </c>
      <c r="Y87" s="1">
        <f t="shared" si="17"/>
        <v>100605</v>
      </c>
      <c r="Z87" s="1">
        <f t="shared" si="18"/>
        <v>14910</v>
      </c>
      <c r="AA87" s="1">
        <f t="shared" si="20"/>
        <v>0.05</v>
      </c>
      <c r="AB87" s="1">
        <f t="shared" si="21"/>
        <v>1.5</v>
      </c>
      <c r="AC87" s="1">
        <f t="shared" si="19"/>
        <v>0.9</v>
      </c>
    </row>
    <row r="88" spans="23:29" ht="14.25" customHeight="1" x14ac:dyDescent="0.2">
      <c r="W88" s="1">
        <v>86</v>
      </c>
      <c r="X88" s="1">
        <f t="shared" si="16"/>
        <v>4448</v>
      </c>
      <c r="Y88" s="1">
        <f t="shared" si="17"/>
        <v>103910</v>
      </c>
      <c r="Z88" s="1">
        <f t="shared" si="18"/>
        <v>15655</v>
      </c>
      <c r="AA88" s="1">
        <f t="shared" si="20"/>
        <v>0.05</v>
      </c>
      <c r="AB88" s="1">
        <f t="shared" si="21"/>
        <v>1.5</v>
      </c>
      <c r="AC88" s="1">
        <f t="shared" si="19"/>
        <v>0.9</v>
      </c>
    </row>
    <row r="89" spans="23:29" ht="14.25" customHeight="1" x14ac:dyDescent="0.2">
      <c r="W89" s="1">
        <v>87</v>
      </c>
      <c r="X89" s="1">
        <f t="shared" si="16"/>
        <v>4670</v>
      </c>
      <c r="Y89" s="1">
        <f t="shared" si="17"/>
        <v>107267</v>
      </c>
      <c r="Z89" s="1">
        <f t="shared" si="18"/>
        <v>16438</v>
      </c>
      <c r="AA89" s="1">
        <f t="shared" si="20"/>
        <v>0.05</v>
      </c>
      <c r="AB89" s="1">
        <f t="shared" si="21"/>
        <v>1.5</v>
      </c>
      <c r="AC89" s="1">
        <f t="shared" si="19"/>
        <v>0.9</v>
      </c>
    </row>
    <row r="90" spans="23:29" ht="14.25" customHeight="1" x14ac:dyDescent="0.2">
      <c r="W90" s="1">
        <v>88</v>
      </c>
      <c r="X90" s="1">
        <f t="shared" si="16"/>
        <v>4903</v>
      </c>
      <c r="Y90" s="1">
        <f t="shared" si="17"/>
        <v>110671</v>
      </c>
      <c r="Z90" s="1">
        <f t="shared" si="18"/>
        <v>17260</v>
      </c>
      <c r="AA90" s="1">
        <f t="shared" si="20"/>
        <v>0.05</v>
      </c>
      <c r="AB90" s="1">
        <f t="shared" si="21"/>
        <v>1.5</v>
      </c>
      <c r="AC90" s="1">
        <f t="shared" si="19"/>
        <v>0.9</v>
      </c>
    </row>
    <row r="91" spans="23:29" ht="14.25" customHeight="1" x14ac:dyDescent="0.2">
      <c r="W91" s="1">
        <v>89</v>
      </c>
      <c r="X91" s="1">
        <f t="shared" si="16"/>
        <v>5149</v>
      </c>
      <c r="Y91" s="1">
        <f t="shared" si="17"/>
        <v>114121</v>
      </c>
      <c r="Z91" s="1">
        <f t="shared" si="18"/>
        <v>18123</v>
      </c>
      <c r="AA91" s="1">
        <f t="shared" si="20"/>
        <v>0.05</v>
      </c>
      <c r="AB91" s="1">
        <f t="shared" si="21"/>
        <v>1.5</v>
      </c>
      <c r="AC91" s="1">
        <f t="shared" si="19"/>
        <v>0.9</v>
      </c>
    </row>
    <row r="92" spans="23:29" ht="14.25" customHeight="1" x14ac:dyDescent="0.2">
      <c r="W92" s="1">
        <v>90</v>
      </c>
      <c r="X92" s="1">
        <f t="shared" si="16"/>
        <v>5406</v>
      </c>
      <c r="Y92" s="1">
        <f t="shared" si="17"/>
        <v>117612</v>
      </c>
      <c r="Z92" s="1">
        <f t="shared" si="18"/>
        <v>19029</v>
      </c>
      <c r="AA92" s="1">
        <f t="shared" si="20"/>
        <v>0.05</v>
      </c>
      <c r="AB92" s="1">
        <f t="shared" si="21"/>
        <v>1.5</v>
      </c>
      <c r="AC92" s="1">
        <f t="shared" si="19"/>
        <v>0.9</v>
      </c>
    </row>
    <row r="93" spans="23:29" ht="14.25" customHeight="1" x14ac:dyDescent="0.2">
      <c r="W93" s="1">
        <v>91</v>
      </c>
      <c r="X93" s="1">
        <f t="shared" si="16"/>
        <v>5676</v>
      </c>
      <c r="Y93" s="1">
        <f t="shared" si="17"/>
        <v>121142</v>
      </c>
      <c r="Z93" s="1">
        <f t="shared" si="18"/>
        <v>19981</v>
      </c>
      <c r="AA93" s="1">
        <f t="shared" si="20"/>
        <v>0.05</v>
      </c>
      <c r="AB93" s="1">
        <f t="shared" si="21"/>
        <v>1.5</v>
      </c>
      <c r="AC93" s="1">
        <f t="shared" si="19"/>
        <v>0.9</v>
      </c>
    </row>
    <row r="94" spans="23:29" ht="14.25" customHeight="1" x14ac:dyDescent="0.2">
      <c r="W94" s="1">
        <v>92</v>
      </c>
      <c r="X94" s="1">
        <f t="shared" si="16"/>
        <v>5960</v>
      </c>
      <c r="Y94" s="1">
        <f t="shared" si="17"/>
        <v>124707</v>
      </c>
      <c r="Z94" s="1">
        <f t="shared" si="18"/>
        <v>20980</v>
      </c>
      <c r="AA94" s="1">
        <f t="shared" si="20"/>
        <v>0.05</v>
      </c>
      <c r="AB94" s="1">
        <f t="shared" si="21"/>
        <v>1.5</v>
      </c>
      <c r="AC94" s="1">
        <f t="shared" si="19"/>
        <v>0.9</v>
      </c>
    </row>
    <row r="95" spans="23:29" ht="14.25" customHeight="1" x14ac:dyDescent="0.2">
      <c r="W95" s="1">
        <v>93</v>
      </c>
      <c r="X95" s="1">
        <f t="shared" si="16"/>
        <v>6258</v>
      </c>
      <c r="Y95" s="1">
        <f t="shared" si="17"/>
        <v>128302</v>
      </c>
      <c r="Z95" s="1">
        <f t="shared" si="18"/>
        <v>22029</v>
      </c>
      <c r="AA95" s="1">
        <f t="shared" si="20"/>
        <v>0.05</v>
      </c>
      <c r="AB95" s="1">
        <f t="shared" si="21"/>
        <v>1.5</v>
      </c>
      <c r="AC95" s="1">
        <f t="shared" si="19"/>
        <v>0.9</v>
      </c>
    </row>
    <row r="96" spans="23:29" ht="14.25" customHeight="1" x14ac:dyDescent="0.2">
      <c r="W96" s="1">
        <v>94</v>
      </c>
      <c r="X96" s="1">
        <f t="shared" si="16"/>
        <v>6571</v>
      </c>
      <c r="Y96" s="1">
        <f t="shared" si="17"/>
        <v>131924</v>
      </c>
      <c r="Z96" s="1">
        <f t="shared" si="18"/>
        <v>23130</v>
      </c>
      <c r="AA96" s="1">
        <f t="shared" si="20"/>
        <v>0.05</v>
      </c>
      <c r="AB96" s="1">
        <f t="shared" si="21"/>
        <v>1.5</v>
      </c>
      <c r="AC96" s="1">
        <f t="shared" si="19"/>
        <v>0.9</v>
      </c>
    </row>
    <row r="97" spans="23:29" ht="14.25" customHeight="1" x14ac:dyDescent="0.2">
      <c r="W97" s="1">
        <v>95</v>
      </c>
      <c r="X97" s="1">
        <f t="shared" si="16"/>
        <v>6900</v>
      </c>
      <c r="Y97" s="1">
        <f t="shared" si="17"/>
        <v>135569</v>
      </c>
      <c r="Z97" s="1">
        <f t="shared" si="18"/>
        <v>24287</v>
      </c>
      <c r="AA97" s="1">
        <f t="shared" si="20"/>
        <v>0.05</v>
      </c>
      <c r="AB97" s="1">
        <f t="shared" si="21"/>
        <v>1.5</v>
      </c>
      <c r="AC97" s="1">
        <f t="shared" si="19"/>
        <v>0.9</v>
      </c>
    </row>
    <row r="98" spans="23:29" ht="14.25" customHeight="1" x14ac:dyDescent="0.2">
      <c r="W98" s="1">
        <v>96</v>
      </c>
      <c r="X98" s="1">
        <f t="shared" si="16"/>
        <v>7245</v>
      </c>
      <c r="Y98" s="1">
        <f t="shared" si="17"/>
        <v>139233</v>
      </c>
      <c r="Z98" s="1">
        <f t="shared" si="18"/>
        <v>25501</v>
      </c>
      <c r="AA98" s="1">
        <f t="shared" si="20"/>
        <v>0.05</v>
      </c>
      <c r="AB98" s="1">
        <f t="shared" si="21"/>
        <v>1.5</v>
      </c>
      <c r="AC98" s="1">
        <f t="shared" si="19"/>
        <v>0.9</v>
      </c>
    </row>
    <row r="99" spans="23:29" ht="14.25" customHeight="1" x14ac:dyDescent="0.2">
      <c r="W99" s="1">
        <v>97</v>
      </c>
      <c r="X99" s="1">
        <f t="shared" si="16"/>
        <v>7607</v>
      </c>
      <c r="Y99" s="1">
        <f t="shared" si="17"/>
        <v>142912</v>
      </c>
      <c r="Z99" s="1">
        <f t="shared" si="18"/>
        <v>26776</v>
      </c>
      <c r="AA99" s="1">
        <f t="shared" si="20"/>
        <v>0.05</v>
      </c>
      <c r="AB99" s="1">
        <f t="shared" si="21"/>
        <v>1.5</v>
      </c>
      <c r="AC99" s="1">
        <f t="shared" si="19"/>
        <v>0.9</v>
      </c>
    </row>
    <row r="100" spans="23:29" ht="14.25" customHeight="1" x14ac:dyDescent="0.2">
      <c r="W100" s="1">
        <v>98</v>
      </c>
      <c r="X100" s="1">
        <f t="shared" si="16"/>
        <v>7987</v>
      </c>
      <c r="Y100" s="1">
        <f t="shared" si="17"/>
        <v>146601</v>
      </c>
      <c r="Z100" s="1">
        <f t="shared" si="18"/>
        <v>28115</v>
      </c>
      <c r="AA100" s="1">
        <f t="shared" si="20"/>
        <v>0.05</v>
      </c>
      <c r="AB100" s="1">
        <f t="shared" si="21"/>
        <v>1.5</v>
      </c>
      <c r="AC100" s="1">
        <f t="shared" si="19"/>
        <v>0.9</v>
      </c>
    </row>
    <row r="101" spans="23:29" ht="14.25" customHeight="1" x14ac:dyDescent="0.2">
      <c r="W101" s="1">
        <v>99</v>
      </c>
      <c r="X101" s="1">
        <f t="shared" si="16"/>
        <v>8387</v>
      </c>
      <c r="Y101" s="1">
        <f t="shared" si="17"/>
        <v>150295</v>
      </c>
      <c r="Z101" s="1">
        <f t="shared" si="18"/>
        <v>29521</v>
      </c>
      <c r="AA101" s="1">
        <f t="shared" si="20"/>
        <v>0.05</v>
      </c>
      <c r="AB101" s="1">
        <f t="shared" si="21"/>
        <v>1.5</v>
      </c>
      <c r="AC101" s="1">
        <f t="shared" si="19"/>
        <v>0.9</v>
      </c>
    </row>
    <row r="102" spans="23:29" ht="14.25" customHeight="1" x14ac:dyDescent="0.2">
      <c r="W102" s="1">
        <v>100</v>
      </c>
      <c r="X102" s="1">
        <f t="shared" si="16"/>
        <v>8806</v>
      </c>
      <c r="Y102" s="1">
        <f t="shared" si="17"/>
        <v>153991</v>
      </c>
      <c r="Z102" s="1">
        <f t="shared" si="18"/>
        <v>30997</v>
      </c>
      <c r="AA102" s="1">
        <f t="shared" si="20"/>
        <v>0.05</v>
      </c>
      <c r="AB102" s="1">
        <f t="shared" si="21"/>
        <v>1.5</v>
      </c>
      <c r="AC102" s="1">
        <f t="shared" si="19"/>
        <v>0.9</v>
      </c>
    </row>
  </sheetData>
  <mergeCells count="2">
    <mergeCell ref="I12:N12"/>
    <mergeCell ref="O12:R12"/>
  </mergeCells>
  <phoneticPr fontId="1" type="noConversion"/>
  <conditionalFormatting sqref="I16:M27">
    <cfRule type="cellIs" dxfId="3" priority="4" operator="greaterThan">
      <formula>I$14</formula>
    </cfRule>
  </conditionalFormatting>
  <conditionalFormatting sqref="I16:M27">
    <cfRule type="cellIs" dxfId="2" priority="3" operator="lessThan">
      <formula>I$13</formula>
    </cfRule>
  </conditionalFormatting>
  <conditionalFormatting sqref="O16:O27">
    <cfRule type="cellIs" dxfId="1" priority="2" operator="greaterThan">
      <formula>O$14</formula>
    </cfRule>
  </conditionalFormatting>
  <conditionalFormatting sqref="O16:O27">
    <cfRule type="cellIs" dxfId="0" priority="1" operator="lessThan">
      <formula>O$13</formula>
    </cfRule>
  </conditionalFormatting>
  <pageMargins left="0.7" right="0.7" top="0.75" bottom="0.75" header="0.3" footer="0.3"/>
  <pageSetup paperSize="9" orientation="portrait" r:id="rId1"/>
  <ignoredErrors>
    <ignoredError sqref="Y3:Y9 Y10:Y102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"/>
  <sheetViews>
    <sheetView workbookViewId="0">
      <selection activeCell="H19" sqref="H19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workbookViewId="0">
      <selection activeCell="D8" sqref="D8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角色基础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2023-01-29T08:55:48Z</dcterms:modified>
</cp:coreProperties>
</file>
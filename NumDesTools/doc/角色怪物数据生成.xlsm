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D1F956A0-01B7-4F9E-B540-529E15F30CC8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1" l="1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9" i="1" l="1"/>
  <c r="Z9" i="1"/>
  <c r="AA9" i="1"/>
  <c r="Y10" i="1"/>
  <c r="Z10" i="1"/>
  <c r="AA10" i="1"/>
  <c r="Y11" i="1"/>
  <c r="Z11" i="1"/>
  <c r="AA11" i="1"/>
  <c r="Y12" i="1"/>
  <c r="Z12" i="1"/>
  <c r="AA12" i="1"/>
  <c r="Y13" i="1"/>
  <c r="Z13" i="1"/>
  <c r="AA13" i="1"/>
  <c r="Y14" i="1"/>
  <c r="Z14" i="1"/>
  <c r="AA14" i="1"/>
  <c r="Y15" i="1"/>
  <c r="Z15" i="1"/>
  <c r="AA15" i="1"/>
  <c r="Y16" i="1"/>
  <c r="Z16" i="1"/>
  <c r="AA16" i="1"/>
  <c r="Y17" i="1"/>
  <c r="Z17" i="1"/>
  <c r="AA17" i="1"/>
  <c r="Y18" i="1"/>
  <c r="Z18" i="1"/>
  <c r="AA18" i="1"/>
  <c r="Y19" i="1"/>
  <c r="Z19" i="1"/>
  <c r="AA19" i="1"/>
  <c r="Y20" i="1"/>
  <c r="Z20" i="1"/>
  <c r="AA20" i="1"/>
  <c r="Y21" i="1"/>
  <c r="Z21" i="1"/>
  <c r="AA21" i="1"/>
  <c r="Y22" i="1"/>
  <c r="Z22" i="1"/>
  <c r="AA22" i="1"/>
  <c r="Y23" i="1"/>
  <c r="Z23" i="1"/>
  <c r="AA23" i="1"/>
  <c r="Y24" i="1"/>
  <c r="Z24" i="1"/>
  <c r="AA24" i="1"/>
  <c r="Y25" i="1"/>
  <c r="Z25" i="1"/>
  <c r="AA25" i="1"/>
  <c r="Y26" i="1"/>
  <c r="Z26" i="1"/>
  <c r="AA26" i="1"/>
  <c r="Y27" i="1"/>
  <c r="Z27" i="1"/>
  <c r="AA27" i="1"/>
  <c r="Y28" i="1"/>
  <c r="Z28" i="1"/>
  <c r="AA28" i="1"/>
  <c r="Y29" i="1"/>
  <c r="Z29" i="1"/>
  <c r="AA29" i="1"/>
  <c r="Y30" i="1"/>
  <c r="Z30" i="1"/>
  <c r="AA30" i="1"/>
  <c r="Y31" i="1"/>
  <c r="Z31" i="1"/>
  <c r="AA31" i="1"/>
  <c r="Y32" i="1"/>
  <c r="Z32" i="1"/>
  <c r="AA32" i="1"/>
  <c r="Y33" i="1"/>
  <c r="Z33" i="1"/>
  <c r="AA33" i="1"/>
  <c r="Y34" i="1"/>
  <c r="Z34" i="1"/>
  <c r="AA34" i="1"/>
  <c r="Y35" i="1"/>
  <c r="Z35" i="1"/>
  <c r="AA35" i="1"/>
  <c r="Y36" i="1"/>
  <c r="Z36" i="1"/>
  <c r="AA36" i="1"/>
  <c r="Y37" i="1"/>
  <c r="Z37" i="1"/>
  <c r="AA37" i="1"/>
  <c r="Y38" i="1"/>
  <c r="Z38" i="1"/>
  <c r="AA38" i="1"/>
  <c r="Y39" i="1"/>
  <c r="Z39" i="1"/>
  <c r="AA39" i="1"/>
  <c r="Y40" i="1"/>
  <c r="Z40" i="1"/>
  <c r="AA40" i="1"/>
  <c r="Y41" i="1"/>
  <c r="Z41" i="1"/>
  <c r="AA41" i="1"/>
  <c r="Y42" i="1"/>
  <c r="Z42" i="1"/>
  <c r="AA42" i="1"/>
  <c r="Y43" i="1"/>
  <c r="Z43" i="1"/>
  <c r="AA43" i="1"/>
  <c r="Y44" i="1"/>
  <c r="Z44" i="1"/>
  <c r="AA44" i="1"/>
  <c r="Y45" i="1"/>
  <c r="Z45" i="1"/>
  <c r="AA45" i="1"/>
  <c r="Y46" i="1"/>
  <c r="Z46" i="1"/>
  <c r="AA46" i="1"/>
  <c r="Y47" i="1"/>
  <c r="Z47" i="1"/>
  <c r="AA47" i="1"/>
  <c r="Y48" i="1"/>
  <c r="Z48" i="1"/>
  <c r="AA48" i="1"/>
  <c r="Y49" i="1"/>
  <c r="Z49" i="1"/>
  <c r="AA49" i="1"/>
  <c r="Y50" i="1"/>
  <c r="Z50" i="1"/>
  <c r="AA50" i="1"/>
  <c r="Y51" i="1"/>
  <c r="Z51" i="1"/>
  <c r="AA51" i="1"/>
  <c r="Y52" i="1"/>
  <c r="Z52" i="1"/>
  <c r="AA52" i="1"/>
  <c r="Y53" i="1"/>
  <c r="Z53" i="1"/>
  <c r="AA53" i="1"/>
  <c r="Y54" i="1"/>
  <c r="Z54" i="1"/>
  <c r="AA54" i="1"/>
  <c r="Y55" i="1"/>
  <c r="Z55" i="1"/>
  <c r="AA55" i="1"/>
  <c r="Y56" i="1"/>
  <c r="Z56" i="1"/>
  <c r="AA56" i="1"/>
  <c r="Y57" i="1"/>
  <c r="Z57" i="1"/>
  <c r="AA57" i="1"/>
  <c r="Y58" i="1"/>
  <c r="Z58" i="1"/>
  <c r="AA58" i="1"/>
  <c r="Y59" i="1"/>
  <c r="Z59" i="1"/>
  <c r="AA59" i="1"/>
  <c r="Y60" i="1"/>
  <c r="Z60" i="1"/>
  <c r="AA60" i="1"/>
  <c r="Y61" i="1"/>
  <c r="Z61" i="1"/>
  <c r="AA61" i="1"/>
  <c r="Y62" i="1"/>
  <c r="Z62" i="1"/>
  <c r="AA62" i="1"/>
  <c r="Y63" i="1"/>
  <c r="Z63" i="1"/>
  <c r="AA63" i="1"/>
  <c r="Y64" i="1"/>
  <c r="Z64" i="1"/>
  <c r="AA64" i="1"/>
  <c r="Y65" i="1"/>
  <c r="Z65" i="1"/>
  <c r="AA65" i="1"/>
  <c r="Y66" i="1"/>
  <c r="Z66" i="1"/>
  <c r="AA66" i="1"/>
  <c r="Y67" i="1"/>
  <c r="Z67" i="1"/>
  <c r="AA67" i="1"/>
  <c r="Y68" i="1"/>
  <c r="Z68" i="1"/>
  <c r="AA68" i="1"/>
  <c r="Y69" i="1"/>
  <c r="Z69" i="1"/>
  <c r="AA69" i="1"/>
  <c r="Y70" i="1"/>
  <c r="Z70" i="1"/>
  <c r="AA70" i="1"/>
  <c r="Y71" i="1"/>
  <c r="Z71" i="1"/>
  <c r="AA71" i="1"/>
  <c r="Y72" i="1"/>
  <c r="Z72" i="1"/>
  <c r="AA72" i="1"/>
  <c r="Y73" i="1"/>
  <c r="Z73" i="1"/>
  <c r="AA73" i="1"/>
  <c r="Y74" i="1"/>
  <c r="Z74" i="1"/>
  <c r="AA74" i="1"/>
  <c r="Y75" i="1"/>
  <c r="Z75" i="1"/>
  <c r="AA75" i="1"/>
  <c r="Y76" i="1"/>
  <c r="Z76" i="1"/>
  <c r="AA76" i="1"/>
  <c r="Y77" i="1"/>
  <c r="Z77" i="1"/>
  <c r="AA77" i="1"/>
  <c r="Y78" i="1"/>
  <c r="Z78" i="1"/>
  <c r="AA78" i="1"/>
  <c r="Y79" i="1"/>
  <c r="Z79" i="1"/>
  <c r="AA79" i="1"/>
  <c r="Y80" i="1"/>
  <c r="Z80" i="1"/>
  <c r="AA80" i="1"/>
  <c r="Y81" i="1"/>
  <c r="Z81" i="1"/>
  <c r="AA81" i="1"/>
  <c r="Y82" i="1"/>
  <c r="Z82" i="1"/>
  <c r="AA82" i="1"/>
  <c r="Y83" i="1"/>
  <c r="Z83" i="1"/>
  <c r="AA83" i="1"/>
  <c r="Y84" i="1"/>
  <c r="Z84" i="1"/>
  <c r="AA84" i="1"/>
  <c r="Y85" i="1"/>
  <c r="Z85" i="1"/>
  <c r="AA85" i="1"/>
  <c r="Y86" i="1"/>
  <c r="Z86" i="1"/>
  <c r="AA86" i="1"/>
  <c r="Y87" i="1"/>
  <c r="Z87" i="1"/>
  <c r="AA87" i="1"/>
  <c r="Y88" i="1"/>
  <c r="Z88" i="1"/>
  <c r="AA88" i="1"/>
  <c r="Y89" i="1"/>
  <c r="Z89" i="1"/>
  <c r="AA89" i="1"/>
  <c r="Y90" i="1"/>
  <c r="Z90" i="1"/>
  <c r="AA90" i="1"/>
  <c r="Y91" i="1"/>
  <c r="Z91" i="1"/>
  <c r="AA91" i="1"/>
  <c r="Y92" i="1"/>
  <c r="Z92" i="1"/>
  <c r="AA92" i="1"/>
  <c r="Y93" i="1"/>
  <c r="Z93" i="1"/>
  <c r="AA93" i="1"/>
  <c r="Y94" i="1"/>
  <c r="Z94" i="1"/>
  <c r="AA94" i="1"/>
  <c r="Y95" i="1"/>
  <c r="Z95" i="1"/>
  <c r="AA95" i="1"/>
  <c r="Y96" i="1"/>
  <c r="Z96" i="1"/>
  <c r="AA96" i="1"/>
  <c r="Y97" i="1"/>
  <c r="Z97" i="1"/>
  <c r="AA97" i="1"/>
  <c r="Y98" i="1"/>
  <c r="Z98" i="1"/>
  <c r="AA98" i="1"/>
  <c r="Y99" i="1"/>
  <c r="Z99" i="1"/>
  <c r="AA99" i="1"/>
  <c r="Y100" i="1"/>
  <c r="Z100" i="1"/>
  <c r="AA100" i="1"/>
  <c r="Y101" i="1"/>
  <c r="Z101" i="1"/>
  <c r="AA101" i="1"/>
  <c r="Y102" i="1"/>
  <c r="Z102" i="1"/>
  <c r="AA102" i="1"/>
  <c r="Z4" i="1"/>
  <c r="Z5" i="1"/>
  <c r="Z6" i="1"/>
  <c r="Z7" i="1"/>
  <c r="Z8" i="1"/>
  <c r="Z3" i="1"/>
  <c r="Y4" i="1"/>
  <c r="AA4" i="1"/>
  <c r="Y5" i="1"/>
  <c r="AA5" i="1"/>
  <c r="Y6" i="1"/>
  <c r="AA6" i="1"/>
  <c r="Y7" i="1"/>
  <c r="AA7" i="1"/>
  <c r="Y8" i="1"/>
  <c r="AA8" i="1"/>
  <c r="AA3" i="1"/>
  <c r="Y3" i="1"/>
  <c r="X1" i="1"/>
  <c r="W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V37" i="1" s="1"/>
  <c r="N18" i="1"/>
  <c r="N17" i="1"/>
  <c r="N19" i="1"/>
  <c r="X10" i="1"/>
  <c r="X92" i="1"/>
  <c r="X69" i="1"/>
  <c r="X6" i="1"/>
  <c r="W10" i="1"/>
  <c r="X100" i="1"/>
  <c r="X60" i="1"/>
  <c r="X5" i="1"/>
  <c r="X52" i="1"/>
  <c r="X4" i="1"/>
  <c r="X77" i="1"/>
  <c r="W69" i="1"/>
  <c r="W48" i="1"/>
  <c r="X29" i="1"/>
  <c r="X12" i="1"/>
  <c r="X17" i="1"/>
  <c r="X96" i="1"/>
  <c r="X73" i="1"/>
  <c r="X56" i="1"/>
  <c r="X33" i="1"/>
  <c r="X16" i="1"/>
  <c r="X97" i="1"/>
  <c r="X80" i="1"/>
  <c r="X101" i="1"/>
  <c r="X61" i="1"/>
  <c r="X44" i="1"/>
  <c r="X21" i="1"/>
  <c r="X85" i="1"/>
  <c r="X68" i="1"/>
  <c r="X45" i="1"/>
  <c r="X84" i="1"/>
  <c r="X9" i="1"/>
  <c r="X57" i="1"/>
  <c r="X40" i="1"/>
  <c r="X28" i="1"/>
  <c r="X89" i="1"/>
  <c r="X72" i="1"/>
  <c r="X49" i="1"/>
  <c r="X32" i="1"/>
  <c r="W101" i="1"/>
  <c r="W89" i="1"/>
  <c r="X37" i="1"/>
  <c r="X20" i="1"/>
  <c r="W88" i="1"/>
  <c r="X88" i="1"/>
  <c r="X65" i="1"/>
  <c r="X48" i="1"/>
  <c r="X25" i="1"/>
  <c r="W68" i="1"/>
  <c r="W49" i="1"/>
  <c r="X93" i="1"/>
  <c r="X76" i="1"/>
  <c r="X53" i="1"/>
  <c r="X36" i="1"/>
  <c r="X13" i="1"/>
  <c r="X3" i="1"/>
  <c r="W29" i="1"/>
  <c r="X7" i="1"/>
  <c r="X81" i="1"/>
  <c r="X64" i="1"/>
  <c r="X41" i="1"/>
  <c r="X24" i="1"/>
  <c r="W28" i="1"/>
  <c r="W9" i="1"/>
  <c r="W102" i="1"/>
  <c r="W26" i="1"/>
  <c r="W65" i="1"/>
  <c r="W44" i="1"/>
  <c r="W63" i="1"/>
  <c r="W22" i="1"/>
  <c r="W41" i="1"/>
  <c r="W60" i="1"/>
  <c r="W39" i="1"/>
  <c r="W78" i="1"/>
  <c r="W3" i="1"/>
  <c r="W57" i="1"/>
  <c r="W17" i="1"/>
  <c r="W47" i="1"/>
  <c r="W42" i="1"/>
  <c r="W38" i="1"/>
  <c r="W37" i="1"/>
  <c r="W8" i="1"/>
  <c r="W96" i="1"/>
  <c r="W76" i="1"/>
  <c r="W56" i="1"/>
  <c r="W36" i="1"/>
  <c r="W16" i="1"/>
  <c r="W67" i="1"/>
  <c r="W66" i="1"/>
  <c r="W82" i="1"/>
  <c r="W61" i="1"/>
  <c r="W58" i="1"/>
  <c r="W97" i="1"/>
  <c r="X99" i="1"/>
  <c r="X95" i="1"/>
  <c r="X91" i="1"/>
  <c r="X87" i="1"/>
  <c r="X83" i="1"/>
  <c r="X79" i="1"/>
  <c r="X75" i="1"/>
  <c r="X71" i="1"/>
  <c r="X67" i="1"/>
  <c r="X63" i="1"/>
  <c r="X59" i="1"/>
  <c r="X55" i="1"/>
  <c r="X51" i="1"/>
  <c r="X47" i="1"/>
  <c r="X43" i="1"/>
  <c r="X39" i="1"/>
  <c r="X35" i="1"/>
  <c r="X31" i="1"/>
  <c r="X27" i="1"/>
  <c r="X23" i="1"/>
  <c r="X19" i="1"/>
  <c r="X15" i="1"/>
  <c r="X11" i="1"/>
  <c r="W95" i="1"/>
  <c r="W75" i="1"/>
  <c r="W55" i="1"/>
  <c r="W35" i="1"/>
  <c r="W15" i="1"/>
  <c r="W46" i="1"/>
  <c r="W20" i="1"/>
  <c r="W79" i="1"/>
  <c r="W98" i="1"/>
  <c r="W18" i="1"/>
  <c r="W77" i="1"/>
  <c r="W7" i="1"/>
  <c r="W6" i="1"/>
  <c r="V91" i="1"/>
  <c r="V87" i="1"/>
  <c r="V83" i="1"/>
  <c r="W94" i="1"/>
  <c r="W74" i="1"/>
  <c r="W54" i="1"/>
  <c r="W34" i="1"/>
  <c r="W14" i="1"/>
  <c r="W87" i="1"/>
  <c r="W25" i="1"/>
  <c r="W84" i="1"/>
  <c r="W83" i="1"/>
  <c r="W62" i="1"/>
  <c r="W21" i="1"/>
  <c r="W80" i="1"/>
  <c r="W59" i="1"/>
  <c r="W93" i="1"/>
  <c r="W73" i="1"/>
  <c r="W53" i="1"/>
  <c r="W33" i="1"/>
  <c r="W13" i="1"/>
  <c r="W27" i="1"/>
  <c r="W86" i="1"/>
  <c r="W45" i="1"/>
  <c r="W64" i="1"/>
  <c r="W23" i="1"/>
  <c r="W81" i="1"/>
  <c r="W40" i="1"/>
  <c r="W99" i="1"/>
  <c r="R16" i="1"/>
  <c r="W4" i="1"/>
  <c r="W92" i="1"/>
  <c r="W72" i="1"/>
  <c r="W52" i="1"/>
  <c r="W32" i="1"/>
  <c r="W12" i="1"/>
  <c r="W85" i="1"/>
  <c r="W24" i="1"/>
  <c r="W43" i="1"/>
  <c r="W100" i="1"/>
  <c r="W19" i="1"/>
  <c r="W5" i="1"/>
  <c r="W91" i="1"/>
  <c r="W71" i="1"/>
  <c r="W51" i="1"/>
  <c r="W31" i="1"/>
  <c r="W11" i="1"/>
  <c r="X8" i="1"/>
  <c r="X102" i="1"/>
  <c r="X98" i="1"/>
  <c r="X94" i="1"/>
  <c r="X90" i="1"/>
  <c r="X86" i="1"/>
  <c r="X82" i="1"/>
  <c r="X78" i="1"/>
  <c r="X74" i="1"/>
  <c r="X70" i="1"/>
  <c r="X66" i="1"/>
  <c r="X62" i="1"/>
  <c r="X58" i="1"/>
  <c r="X54" i="1"/>
  <c r="X50" i="1"/>
  <c r="X46" i="1"/>
  <c r="X42" i="1"/>
  <c r="X38" i="1"/>
  <c r="X34" i="1"/>
  <c r="X30" i="1"/>
  <c r="X26" i="1"/>
  <c r="X22" i="1"/>
  <c r="X18" i="1"/>
  <c r="X14" i="1"/>
  <c r="W90" i="1"/>
  <c r="W70" i="1"/>
  <c r="W50" i="1"/>
  <c r="W30" i="1"/>
  <c r="V17" i="1" l="1"/>
  <c r="V38" i="1"/>
  <c r="V81" i="1"/>
  <c r="V7" i="1"/>
  <c r="V86" i="1"/>
  <c r="V58" i="1"/>
  <c r="V85" i="1"/>
  <c r="V11" i="1"/>
  <c r="V22" i="1"/>
  <c r="V79" i="1"/>
  <c r="V23" i="1"/>
  <c r="V26" i="1"/>
  <c r="V90" i="1"/>
  <c r="V25" i="1"/>
  <c r="V54" i="1"/>
  <c r="V72" i="1"/>
  <c r="V48" i="1"/>
  <c r="V35" i="1"/>
  <c r="V16" i="1"/>
  <c r="V57" i="1"/>
  <c r="V46" i="1"/>
  <c r="V50" i="1"/>
  <c r="V95" i="1"/>
  <c r="V21" i="1"/>
  <c r="V9" i="1"/>
  <c r="V82" i="1"/>
  <c r="V31" i="1"/>
  <c r="V4" i="1"/>
  <c r="V62" i="1"/>
  <c r="V84" i="1"/>
  <c r="V39" i="1"/>
  <c r="V60" i="1"/>
  <c r="V94" i="1"/>
  <c r="V42" i="1"/>
  <c r="V30" i="1"/>
  <c r="V64" i="1"/>
  <c r="V10" i="1"/>
  <c r="V32" i="1"/>
  <c r="V47" i="1"/>
  <c r="V28" i="1"/>
  <c r="V93" i="1"/>
  <c r="V6" i="1"/>
  <c r="V97" i="1"/>
  <c r="V15" i="1"/>
  <c r="V61" i="1"/>
  <c r="V70" i="1"/>
  <c r="V43" i="1"/>
  <c r="V51" i="1"/>
  <c r="V40" i="1"/>
  <c r="V36" i="1"/>
  <c r="V69" i="1"/>
  <c r="V101" i="1"/>
  <c r="V73" i="1"/>
  <c r="V27" i="1"/>
  <c r="V66" i="1"/>
  <c r="V55" i="1"/>
  <c r="V56" i="1"/>
  <c r="V76" i="1"/>
  <c r="V45" i="1"/>
  <c r="V13" i="1"/>
  <c r="V49" i="1"/>
  <c r="V20" i="1"/>
  <c r="V92" i="1"/>
  <c r="V59" i="1"/>
  <c r="V80" i="1"/>
  <c r="V29" i="1"/>
  <c r="V78" i="1"/>
  <c r="V33" i="1"/>
  <c r="V74" i="1"/>
  <c r="V100" i="1"/>
  <c r="V68" i="1"/>
  <c r="V63" i="1"/>
  <c r="V96" i="1"/>
  <c r="V98" i="1"/>
  <c r="V89" i="1"/>
  <c r="V3" i="1"/>
  <c r="V19" i="1"/>
  <c r="V8" i="1"/>
  <c r="V44" i="1"/>
  <c r="V24" i="1"/>
  <c r="V67" i="1"/>
  <c r="V34" i="1"/>
  <c r="V65" i="1"/>
  <c r="V99" i="1"/>
  <c r="V41" i="1"/>
  <c r="V5" i="1"/>
  <c r="V52" i="1"/>
  <c r="V71" i="1"/>
  <c r="V18" i="1"/>
  <c r="V53" i="1"/>
  <c r="V102" i="1"/>
  <c r="V12" i="1"/>
  <c r="V14" i="1"/>
  <c r="V88" i="1"/>
  <c r="V75" i="1"/>
  <c r="V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<sst xmlns="http://schemas.openxmlformats.org/spreadsheetml/2006/main" count="128" uniqueCount="94">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</sst>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AA102"/>
  <sheetViews>
    <sheetView tabSelected="1" zoomScaleNormal="100" workbookViewId="0">
      <pane xSplit="8" ySplit="15" topLeftCell="K16" activePane="bottomRight" state="frozen"/>
      <selection pane="topRight" activeCell="I1" sqref="I1"/>
      <selection pane="bottomLeft" activeCell="A16" sqref="A16"/>
      <selection pane="bottomRight" activeCell="F21" sqref="F21"/>
    </sheetView>
  </sheetViews>
  <sheetFormatPr defaultRowHeight="14.25" customHeight="1" x14ac:dyDescent="0.2"/>
  <cols>
    <col min="1" max="16384" width="9" style="1"/>
  </cols>
  <sheetData>
    <row r="1" spans="2:27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T1" s="2" t="s">
        <v>63</v>
      </c>
      <c r="V1" s="1" t="s">
        <v>93</v>
      </c>
      <c r="W1" s="1" t="str">
        <f>VLOOKUP($V1,$E:$G,3,0)</f>
        <v>SSR</v>
      </c>
      <c r="X1" s="1" t="str">
        <f>VLOOKUP($V1,$E:$G,2,0)</f>
        <v>魔法</v>
      </c>
      <c r="Y1" s="1">
        <v>0.05</v>
      </c>
      <c r="Z1" s="1">
        <v>1.5</v>
      </c>
      <c r="AA1" s="1" t="str">
        <f>VLOOKUP(V1,$E:$S,15,0)</f>
        <v>Role6</v>
      </c>
    </row>
    <row r="2" spans="2:27" ht="14.25" customHeight="1" x14ac:dyDescent="0.2">
      <c r="U2" s="1" t="s">
        <v>62</v>
      </c>
      <c r="V2" s="1" t="s">
        <v>56</v>
      </c>
      <c r="W2" s="1" t="s">
        <v>57</v>
      </c>
      <c r="X2" s="1" t="s">
        <v>58</v>
      </c>
      <c r="Y2" s="1" t="s">
        <v>59</v>
      </c>
      <c r="Z2" s="1" t="s">
        <v>60</v>
      </c>
      <c r="AA2" s="1" t="s">
        <v>61</v>
      </c>
    </row>
    <row r="3" spans="2:27" ht="14.25" customHeight="1" x14ac:dyDescent="0.2">
      <c r="E3" s="2" t="s">
        <v>0</v>
      </c>
      <c r="K3" s="2" t="s">
        <v>47</v>
      </c>
      <c r="U3" s="1">
        <v>1</v>
      </c>
      <c r="V3" s="1">
        <f t="shared" ref="V3:V34" si="0">ROUND(VLOOKUP($V$1,$E:$R,MATCH(V$2,$E$15:$R$15,0),0)*$C$6^($U3-1)*$C$13*VLOOKUP($W$1,$B:$C,2,0),0)</f>
        <v>150</v>
      </c>
      <c r="W3" s="1">
        <f t="shared" ref="W3:W34" si="1">ROUND(VLOOKUP(VLOOKUP($X$1,$K$4:$L$10,2,0),$E$4:$G$7,3,0)*$C$5*VLOOKUP($V$1,$E:$R,MATCH("生命偏向",$E$15:$R$15,0),0)/(1+VLOOKUP($V$1,$E:$R,MATCH($X$2,$E$15:$R$15,0),0)*$C$6^($U3-1)/$C$8)*$C$6^($U3-1)*$C$13*VLOOKUP($W$1,$B:$C,2,0),0)</f>
        <v>897</v>
      </c>
      <c r="X3" s="1">
        <f t="shared" ref="X3:X34" si="2">ROUND(VLOOKUP($V$1,$E:$R,MATCH(X$2,$E$15:$R$15,0),0)*$C$6^($U3-1)*$C$13*VLOOKUP($W$1,$B:$C,2,0),0)</f>
        <v>111</v>
      </c>
      <c r="Y3" s="1">
        <f>$Y$1</f>
        <v>0.05</v>
      </c>
      <c r="Z3" s="1">
        <f>$Z$1</f>
        <v>1.5</v>
      </c>
      <c r="AA3" s="1">
        <f t="shared" ref="AA3:AA34" si="3">VLOOKUP($V$1,$E:$R,MATCH(AA$2,$E$15:$R$15,0),0)</f>
        <v>1</v>
      </c>
    </row>
    <row r="4" spans="2:27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U4" s="1">
        <v>2</v>
      </c>
      <c r="V4" s="1">
        <f t="shared" si="0"/>
        <v>158</v>
      </c>
      <c r="W4" s="1">
        <f t="shared" si="1"/>
        <v>941</v>
      </c>
      <c r="X4" s="1">
        <f t="shared" si="2"/>
        <v>117</v>
      </c>
      <c r="Y4" s="1">
        <f t="shared" ref="Y4:Y67" si="4">$Y$1</f>
        <v>0.05</v>
      </c>
      <c r="Z4" s="1">
        <f t="shared" ref="Z4:Z67" si="5">$Z$1</f>
        <v>1.5</v>
      </c>
      <c r="AA4" s="1">
        <f t="shared" si="3"/>
        <v>1</v>
      </c>
    </row>
    <row r="5" spans="2:27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U5" s="1">
        <v>3</v>
      </c>
      <c r="V5" s="1">
        <f t="shared" si="0"/>
        <v>165</v>
      </c>
      <c r="W5" s="1">
        <f t="shared" si="1"/>
        <v>988</v>
      </c>
      <c r="X5" s="1">
        <f t="shared" si="2"/>
        <v>123</v>
      </c>
      <c r="Y5" s="1">
        <f t="shared" si="4"/>
        <v>0.05</v>
      </c>
      <c r="Z5" s="1">
        <f t="shared" si="5"/>
        <v>1.5</v>
      </c>
      <c r="AA5" s="1">
        <f t="shared" si="3"/>
        <v>1</v>
      </c>
    </row>
    <row r="6" spans="2:27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U6" s="1">
        <v>4</v>
      </c>
      <c r="V6" s="1">
        <f t="shared" si="0"/>
        <v>174</v>
      </c>
      <c r="W6" s="1">
        <f t="shared" si="1"/>
        <v>1037</v>
      </c>
      <c r="X6" s="1">
        <f t="shared" si="2"/>
        <v>129</v>
      </c>
      <c r="Y6" s="1">
        <f t="shared" si="4"/>
        <v>0.05</v>
      </c>
      <c r="Z6" s="1">
        <f t="shared" si="5"/>
        <v>1.5</v>
      </c>
      <c r="AA6" s="1">
        <f t="shared" si="3"/>
        <v>1</v>
      </c>
    </row>
    <row r="7" spans="2:27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U7" s="1">
        <v>5</v>
      </c>
      <c r="V7" s="1">
        <f t="shared" si="0"/>
        <v>182</v>
      </c>
      <c r="W7" s="1">
        <f t="shared" si="1"/>
        <v>1089</v>
      </c>
      <c r="X7" s="1">
        <f t="shared" si="2"/>
        <v>135</v>
      </c>
      <c r="Y7" s="1">
        <f t="shared" si="4"/>
        <v>0.05</v>
      </c>
      <c r="Z7" s="1">
        <f t="shared" si="5"/>
        <v>1.5</v>
      </c>
      <c r="AA7" s="1">
        <f t="shared" si="3"/>
        <v>1</v>
      </c>
    </row>
    <row r="8" spans="2:27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U8" s="1">
        <v>6</v>
      </c>
      <c r="V8" s="1">
        <f t="shared" si="0"/>
        <v>191</v>
      </c>
      <c r="W8" s="1">
        <f t="shared" si="1"/>
        <v>1143</v>
      </c>
      <c r="X8" s="1">
        <f t="shared" si="2"/>
        <v>142</v>
      </c>
      <c r="Y8" s="1">
        <f t="shared" si="4"/>
        <v>0.05</v>
      </c>
      <c r="Z8" s="1">
        <f t="shared" si="5"/>
        <v>1.5</v>
      </c>
      <c r="AA8" s="1">
        <f t="shared" si="3"/>
        <v>1</v>
      </c>
    </row>
    <row r="9" spans="2:27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U9" s="1">
        <v>7</v>
      </c>
      <c r="V9" s="1">
        <f t="shared" si="0"/>
        <v>201</v>
      </c>
      <c r="W9" s="1">
        <f t="shared" si="1"/>
        <v>1200</v>
      </c>
      <c r="X9" s="1">
        <f t="shared" si="2"/>
        <v>149</v>
      </c>
      <c r="Y9" s="1">
        <f t="shared" si="4"/>
        <v>0.05</v>
      </c>
      <c r="Z9" s="1">
        <f t="shared" si="5"/>
        <v>1.5</v>
      </c>
      <c r="AA9" s="1">
        <f t="shared" si="3"/>
        <v>1</v>
      </c>
    </row>
    <row r="10" spans="2:27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U10" s="1">
        <v>8</v>
      </c>
      <c r="V10" s="1">
        <f t="shared" si="0"/>
        <v>211</v>
      </c>
      <c r="W10" s="1">
        <f t="shared" si="1"/>
        <v>1260</v>
      </c>
      <c r="X10" s="1">
        <f t="shared" si="2"/>
        <v>157</v>
      </c>
      <c r="Y10" s="1">
        <f t="shared" si="4"/>
        <v>0.05</v>
      </c>
      <c r="Z10" s="1">
        <f t="shared" si="5"/>
        <v>1.5</v>
      </c>
      <c r="AA10" s="1">
        <f t="shared" si="3"/>
        <v>1</v>
      </c>
    </row>
    <row r="11" spans="2:27" ht="14.25" customHeight="1" x14ac:dyDescent="0.2">
      <c r="B11" s="1" t="s">
        <v>26</v>
      </c>
      <c r="C11" s="1">
        <v>1</v>
      </c>
      <c r="H11" s="2" t="s">
        <v>52</v>
      </c>
      <c r="U11" s="1">
        <v>9</v>
      </c>
      <c r="V11" s="1">
        <f t="shared" si="0"/>
        <v>222</v>
      </c>
      <c r="W11" s="1">
        <f t="shared" si="1"/>
        <v>1322</v>
      </c>
      <c r="X11" s="1">
        <f t="shared" si="2"/>
        <v>165</v>
      </c>
      <c r="Y11" s="1">
        <f t="shared" si="4"/>
        <v>0.05</v>
      </c>
      <c r="Z11" s="1">
        <f t="shared" si="5"/>
        <v>1.5</v>
      </c>
      <c r="AA11" s="1">
        <f t="shared" si="3"/>
        <v>1</v>
      </c>
    </row>
    <row r="12" spans="2:27" ht="14.25" customHeight="1" x14ac:dyDescent="0.2">
      <c r="B12" s="1" t="s">
        <v>27</v>
      </c>
      <c r="C12" s="1">
        <v>1.2</v>
      </c>
      <c r="H12" s="7" t="s">
        <v>16</v>
      </c>
      <c r="I12" s="31" t="s">
        <v>1</v>
      </c>
      <c r="J12" s="32"/>
      <c r="K12" s="32"/>
      <c r="L12" s="32"/>
      <c r="M12" s="32"/>
      <c r="N12" s="33"/>
      <c r="O12" s="31" t="s">
        <v>2</v>
      </c>
      <c r="P12" s="32"/>
      <c r="Q12" s="32"/>
      <c r="R12" s="33"/>
      <c r="S12" s="28"/>
      <c r="T12" s="28"/>
      <c r="U12" s="1">
        <v>10</v>
      </c>
      <c r="V12" s="1">
        <f t="shared" si="0"/>
        <v>233</v>
      </c>
      <c r="W12" s="1">
        <f t="shared" si="1"/>
        <v>1388</v>
      </c>
      <c r="X12" s="1">
        <f t="shared" si="2"/>
        <v>173</v>
      </c>
      <c r="Y12" s="1">
        <f t="shared" si="4"/>
        <v>0.05</v>
      </c>
      <c r="Z12" s="1">
        <f t="shared" si="5"/>
        <v>1.5</v>
      </c>
      <c r="AA12" s="1">
        <f t="shared" si="3"/>
        <v>1</v>
      </c>
    </row>
    <row r="13" spans="2:27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29"/>
      <c r="S13" s="28"/>
      <c r="T13" s="28"/>
      <c r="U13" s="1">
        <v>11</v>
      </c>
      <c r="V13" s="1">
        <f t="shared" si="0"/>
        <v>244</v>
      </c>
      <c r="W13" s="1">
        <f t="shared" si="1"/>
        <v>1457</v>
      </c>
      <c r="X13" s="1">
        <f t="shared" si="2"/>
        <v>181</v>
      </c>
      <c r="Y13" s="1">
        <f t="shared" si="4"/>
        <v>0.05</v>
      </c>
      <c r="Z13" s="1">
        <f t="shared" si="5"/>
        <v>1.5</v>
      </c>
      <c r="AA13" s="1">
        <f t="shared" si="3"/>
        <v>1</v>
      </c>
    </row>
    <row r="14" spans="2:27" ht="14.25" customHeight="1" x14ac:dyDescent="0.2">
      <c r="B14" s="1" t="s">
        <v>53</v>
      </c>
      <c r="C14" s="1">
        <v>0.3</v>
      </c>
      <c r="F14" s="7"/>
      <c r="H14" s="7" t="s">
        <v>76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28"/>
      <c r="T14" s="28"/>
      <c r="U14" s="1">
        <v>12</v>
      </c>
      <c r="V14" s="1">
        <f t="shared" si="0"/>
        <v>257</v>
      </c>
      <c r="W14" s="1">
        <f t="shared" si="1"/>
        <v>1530</v>
      </c>
      <c r="X14" s="1">
        <f t="shared" si="2"/>
        <v>190</v>
      </c>
      <c r="Y14" s="1">
        <f t="shared" si="4"/>
        <v>0.05</v>
      </c>
      <c r="Z14" s="1">
        <f t="shared" si="5"/>
        <v>1.5</v>
      </c>
      <c r="AA14" s="1">
        <f t="shared" si="3"/>
        <v>1</v>
      </c>
    </row>
    <row r="15" spans="2:27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28" t="s">
        <v>81</v>
      </c>
      <c r="T15" s="28"/>
      <c r="U15" s="1">
        <v>13</v>
      </c>
      <c r="V15" s="1">
        <f t="shared" si="0"/>
        <v>269</v>
      </c>
      <c r="W15" s="1">
        <f t="shared" si="1"/>
        <v>1606</v>
      </c>
      <c r="X15" s="1">
        <f t="shared" si="2"/>
        <v>200</v>
      </c>
      <c r="Y15" s="1">
        <f t="shared" si="4"/>
        <v>0.05</v>
      </c>
      <c r="Z15" s="1">
        <f t="shared" si="5"/>
        <v>1.5</v>
      </c>
      <c r="AA15" s="1">
        <f t="shared" si="3"/>
        <v>1</v>
      </c>
    </row>
    <row r="16" spans="2:27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7">
        <v>0.75</v>
      </c>
      <c r="J16" s="27">
        <v>0.9</v>
      </c>
      <c r="K16" s="27">
        <v>0.4</v>
      </c>
      <c r="L16" s="27">
        <v>1.5</v>
      </c>
      <c r="M16" s="27">
        <v>0.9</v>
      </c>
      <c r="N16" s="9">
        <f>I16/J16/(1+K16*(L16-1))*$C$5*M16*VLOOKUP(VLOOKUP($F16,$K$4:$L$10,2,0),$E$4:$G$7,2,0)</f>
        <v>234.375</v>
      </c>
      <c r="O16" s="27">
        <v>1</v>
      </c>
      <c r="P16" s="9">
        <f>$C$7*O16*$C$5</f>
        <v>825</v>
      </c>
      <c r="Q16" s="27">
        <f>1/M16</f>
        <v>1.1111111111111112</v>
      </c>
      <c r="R16" s="9">
        <f>VLOOKUP(VLOOKUP($F16,$K$4:$L$10,2,0),$E$4:$G$7,3,0)*$C$5*Q16/(1+P16/$C$8)</f>
        <v>8265.1458798247786</v>
      </c>
      <c r="S16" s="1" t="s">
        <v>80</v>
      </c>
      <c r="U16" s="1">
        <v>14</v>
      </c>
      <c r="V16" s="1">
        <f t="shared" si="0"/>
        <v>283</v>
      </c>
      <c r="W16" s="1">
        <f t="shared" si="1"/>
        <v>1685</v>
      </c>
      <c r="X16" s="1">
        <f t="shared" si="2"/>
        <v>210</v>
      </c>
      <c r="Y16" s="1">
        <f t="shared" si="4"/>
        <v>0.05</v>
      </c>
      <c r="Z16" s="1">
        <f t="shared" si="5"/>
        <v>1.5</v>
      </c>
      <c r="AA16" s="1">
        <f t="shared" si="3"/>
        <v>1</v>
      </c>
    </row>
    <row r="17" spans="2:27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27">
        <v>0.75</v>
      </c>
      <c r="J17" s="27">
        <v>0.9</v>
      </c>
      <c r="K17" s="27">
        <v>0.4</v>
      </c>
      <c r="L17" s="27">
        <v>1.5</v>
      </c>
      <c r="M17" s="27">
        <v>1</v>
      </c>
      <c r="N17" s="9">
        <f t="shared" ref="N17:N27" si="6">I17/J17/(1+K17*(L17-1))*$C$5*M17*VLOOKUP(VLOOKUP($F17,$K$4:$L$10,2,0),$E$4:$G$7,2,0)</f>
        <v>260.41666666666663</v>
      </c>
      <c r="O17" s="27">
        <v>1</v>
      </c>
      <c r="P17" s="9">
        <f t="shared" ref="P17:P27" si="7">$C$7*O17*$C$5</f>
        <v>825</v>
      </c>
      <c r="Q17" s="27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S17" s="1" t="s">
        <v>82</v>
      </c>
      <c r="U17" s="1">
        <v>15</v>
      </c>
      <c r="V17" s="1">
        <f t="shared" si="0"/>
        <v>297</v>
      </c>
      <c r="W17" s="1">
        <f t="shared" si="1"/>
        <v>1769</v>
      </c>
      <c r="X17" s="1">
        <f t="shared" si="2"/>
        <v>221</v>
      </c>
      <c r="Y17" s="1">
        <f t="shared" si="4"/>
        <v>0.05</v>
      </c>
      <c r="Z17" s="1">
        <f t="shared" si="5"/>
        <v>1.5</v>
      </c>
      <c r="AA17" s="1">
        <f t="shared" si="3"/>
        <v>1</v>
      </c>
    </row>
    <row r="18" spans="2:27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27">
        <v>0.751</v>
      </c>
      <c r="J18" s="27">
        <v>0.95</v>
      </c>
      <c r="K18" s="27">
        <v>0.4</v>
      </c>
      <c r="L18" s="27">
        <v>1.5</v>
      </c>
      <c r="M18" s="27">
        <v>1.1000000000000001</v>
      </c>
      <c r="N18" s="9">
        <f t="shared" si="6"/>
        <v>271.74342105263162</v>
      </c>
      <c r="O18" s="27">
        <v>0.82</v>
      </c>
      <c r="P18" s="9">
        <f t="shared" si="7"/>
        <v>676.5</v>
      </c>
      <c r="Q18" s="27">
        <f t="shared" si="8"/>
        <v>0.90909090909090906</v>
      </c>
      <c r="R18" s="9">
        <f t="shared" si="9"/>
        <v>6772.3667570702382</v>
      </c>
      <c r="S18" s="1" t="s">
        <v>83</v>
      </c>
      <c r="U18" s="1">
        <v>16</v>
      </c>
      <c r="V18" s="1">
        <f t="shared" si="0"/>
        <v>312</v>
      </c>
      <c r="W18" s="1">
        <f t="shared" si="1"/>
        <v>1857</v>
      </c>
      <c r="X18" s="1">
        <f t="shared" si="2"/>
        <v>232</v>
      </c>
      <c r="Y18" s="1">
        <f t="shared" si="4"/>
        <v>0.05</v>
      </c>
      <c r="Z18" s="1">
        <f t="shared" si="5"/>
        <v>1.5</v>
      </c>
      <c r="AA18" s="1">
        <f t="shared" si="3"/>
        <v>1</v>
      </c>
    </row>
    <row r="19" spans="2:27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27">
        <v>0.751</v>
      </c>
      <c r="J19" s="27">
        <v>0.95</v>
      </c>
      <c r="K19" s="27">
        <v>0.4</v>
      </c>
      <c r="L19" s="27">
        <v>1.5</v>
      </c>
      <c r="M19" s="27">
        <v>1.2</v>
      </c>
      <c r="N19" s="9">
        <f t="shared" si="6"/>
        <v>296.44736842105266</v>
      </c>
      <c r="O19" s="27">
        <v>0.82</v>
      </c>
      <c r="P19" s="9">
        <f t="shared" si="7"/>
        <v>676.5</v>
      </c>
      <c r="Q19" s="27">
        <f t="shared" si="8"/>
        <v>0.83333333333333337</v>
      </c>
      <c r="R19" s="9">
        <f t="shared" si="9"/>
        <v>6208.002860647719</v>
      </c>
      <c r="S19" s="1" t="s">
        <v>84</v>
      </c>
      <c r="U19" s="1">
        <v>17</v>
      </c>
      <c r="V19" s="1">
        <f t="shared" si="0"/>
        <v>327</v>
      </c>
      <c r="W19" s="1">
        <f t="shared" si="1"/>
        <v>1949</v>
      </c>
      <c r="X19" s="1">
        <f t="shared" si="2"/>
        <v>243</v>
      </c>
      <c r="Y19" s="1">
        <f t="shared" si="4"/>
        <v>0.05</v>
      </c>
      <c r="Z19" s="1">
        <f t="shared" si="5"/>
        <v>1.5</v>
      </c>
      <c r="AA19" s="1">
        <f t="shared" si="3"/>
        <v>1</v>
      </c>
    </row>
    <row r="20" spans="2:27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27">
        <v>0.8</v>
      </c>
      <c r="J20" s="27">
        <v>1</v>
      </c>
      <c r="K20" s="27">
        <v>0.4</v>
      </c>
      <c r="L20" s="27">
        <v>1.5</v>
      </c>
      <c r="M20" s="27">
        <v>1.05</v>
      </c>
      <c r="N20" s="9">
        <f t="shared" si="6"/>
        <v>525.00000000000011</v>
      </c>
      <c r="O20" s="27">
        <v>0.45</v>
      </c>
      <c r="P20" s="9">
        <f t="shared" si="7"/>
        <v>371.25</v>
      </c>
      <c r="Q20" s="27">
        <f t="shared" si="8"/>
        <v>0.95238095238095233</v>
      </c>
      <c r="R20" s="9">
        <f t="shared" si="9"/>
        <v>2846.5749476497072</v>
      </c>
      <c r="S20" s="1" t="s">
        <v>85</v>
      </c>
      <c r="U20" s="1">
        <v>18</v>
      </c>
      <c r="V20" s="1">
        <f t="shared" si="0"/>
        <v>344</v>
      </c>
      <c r="W20" s="1">
        <f t="shared" si="1"/>
        <v>2045</v>
      </c>
      <c r="X20" s="1">
        <f t="shared" si="2"/>
        <v>255</v>
      </c>
      <c r="Y20" s="1">
        <f t="shared" si="4"/>
        <v>0.05</v>
      </c>
      <c r="Z20" s="1">
        <f t="shared" si="5"/>
        <v>1.5</v>
      </c>
      <c r="AA20" s="1">
        <f t="shared" si="3"/>
        <v>1</v>
      </c>
    </row>
    <row r="21" spans="2:27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7">
        <v>0.8</v>
      </c>
      <c r="J21" s="27">
        <v>1</v>
      </c>
      <c r="K21" s="27">
        <v>0.4</v>
      </c>
      <c r="L21" s="27">
        <v>1.5</v>
      </c>
      <c r="M21" s="27">
        <v>1</v>
      </c>
      <c r="N21" s="9">
        <f t="shared" si="6"/>
        <v>500.00000000000006</v>
      </c>
      <c r="O21" s="27">
        <v>0.45</v>
      </c>
      <c r="P21" s="9">
        <f t="shared" si="7"/>
        <v>371.25</v>
      </c>
      <c r="Q21" s="27">
        <f t="shared" si="8"/>
        <v>1</v>
      </c>
      <c r="R21" s="9">
        <f t="shared" si="9"/>
        <v>2988.9036950321929</v>
      </c>
      <c r="S21" s="1" t="s">
        <v>86</v>
      </c>
      <c r="U21" s="1">
        <v>19</v>
      </c>
      <c r="V21" s="1">
        <f t="shared" si="0"/>
        <v>361</v>
      </c>
      <c r="W21" s="1">
        <f t="shared" si="1"/>
        <v>2147</v>
      </c>
      <c r="X21" s="1">
        <f t="shared" si="2"/>
        <v>268</v>
      </c>
      <c r="Y21" s="1">
        <f t="shared" si="4"/>
        <v>0.05</v>
      </c>
      <c r="Z21" s="1">
        <f t="shared" si="5"/>
        <v>1.5</v>
      </c>
      <c r="AA21" s="1">
        <f t="shared" si="3"/>
        <v>1</v>
      </c>
    </row>
    <row r="22" spans="2:27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7">
        <v>0.80500000000000005</v>
      </c>
      <c r="J22" s="27">
        <v>1.1000000000000001</v>
      </c>
      <c r="K22" s="27">
        <v>0.4</v>
      </c>
      <c r="L22" s="27">
        <v>1.5</v>
      </c>
      <c r="M22" s="27">
        <v>0.96</v>
      </c>
      <c r="N22" s="9">
        <f t="shared" si="6"/>
        <v>439.09090909090912</v>
      </c>
      <c r="O22" s="27">
        <v>0.41</v>
      </c>
      <c r="P22" s="9">
        <f t="shared" si="7"/>
        <v>338.25</v>
      </c>
      <c r="Q22" s="27">
        <f t="shared" si="8"/>
        <v>1.0416666666666667</v>
      </c>
      <c r="R22" s="9">
        <f t="shared" si="9"/>
        <v>3114.465321051543</v>
      </c>
      <c r="S22" s="1" t="s">
        <v>87</v>
      </c>
      <c r="U22" s="1">
        <v>20</v>
      </c>
      <c r="V22" s="1">
        <f t="shared" si="0"/>
        <v>379</v>
      </c>
      <c r="W22" s="1">
        <f t="shared" si="1"/>
        <v>2253</v>
      </c>
      <c r="X22" s="1">
        <f t="shared" si="2"/>
        <v>281</v>
      </c>
      <c r="Y22" s="1">
        <f t="shared" si="4"/>
        <v>0.05</v>
      </c>
      <c r="Z22" s="1">
        <f t="shared" si="5"/>
        <v>1.5</v>
      </c>
      <c r="AA22" s="1">
        <f t="shared" si="3"/>
        <v>1</v>
      </c>
    </row>
    <row r="23" spans="2:27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7">
        <v>0.80500000000000005</v>
      </c>
      <c r="J23" s="27">
        <v>1.1000000000000001</v>
      </c>
      <c r="K23" s="27">
        <v>0.4</v>
      </c>
      <c r="L23" s="27">
        <v>1.5</v>
      </c>
      <c r="M23" s="27">
        <v>0.98</v>
      </c>
      <c r="N23" s="9">
        <f t="shared" si="6"/>
        <v>448.23863636363637</v>
      </c>
      <c r="O23" s="27">
        <v>0.41</v>
      </c>
      <c r="P23" s="9">
        <f t="shared" si="7"/>
        <v>338.25</v>
      </c>
      <c r="Q23" s="27">
        <f t="shared" si="8"/>
        <v>1.0204081632653061</v>
      </c>
      <c r="R23" s="9">
        <f t="shared" si="9"/>
        <v>3050.9048042953891</v>
      </c>
      <c r="S23" s="1" t="s">
        <v>88</v>
      </c>
      <c r="U23" s="1">
        <v>21</v>
      </c>
      <c r="V23" s="1">
        <f t="shared" si="0"/>
        <v>398</v>
      </c>
      <c r="W23" s="1">
        <f t="shared" si="1"/>
        <v>2365</v>
      </c>
      <c r="X23" s="1">
        <f t="shared" si="2"/>
        <v>296</v>
      </c>
      <c r="Y23" s="1">
        <f t="shared" si="4"/>
        <v>0.05</v>
      </c>
      <c r="Z23" s="1">
        <f t="shared" si="5"/>
        <v>1.5</v>
      </c>
      <c r="AA23" s="1">
        <f t="shared" si="3"/>
        <v>1</v>
      </c>
    </row>
    <row r="24" spans="2:27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7">
        <v>0.77400000000000002</v>
      </c>
      <c r="J24" s="27">
        <v>1.2</v>
      </c>
      <c r="K24" s="27">
        <v>0.4</v>
      </c>
      <c r="L24" s="27">
        <v>1.5</v>
      </c>
      <c r="M24" s="27">
        <v>0.94</v>
      </c>
      <c r="N24" s="9">
        <f t="shared" si="6"/>
        <v>378.93750000000006</v>
      </c>
      <c r="O24" s="27">
        <v>0.64</v>
      </c>
      <c r="P24" s="9">
        <f t="shared" si="7"/>
        <v>528</v>
      </c>
      <c r="Q24" s="27">
        <f t="shared" si="8"/>
        <v>1.0638297872340425</v>
      </c>
      <c r="R24" s="9">
        <f t="shared" si="9"/>
        <v>3174.7268041760781</v>
      </c>
      <c r="S24" s="1" t="s">
        <v>89</v>
      </c>
      <c r="U24" s="1">
        <v>22</v>
      </c>
      <c r="V24" s="1">
        <f t="shared" si="0"/>
        <v>418</v>
      </c>
      <c r="W24" s="1">
        <f t="shared" si="1"/>
        <v>2482</v>
      </c>
      <c r="X24" s="1">
        <f t="shared" si="2"/>
        <v>310</v>
      </c>
      <c r="Y24" s="1">
        <f t="shared" si="4"/>
        <v>0.05</v>
      </c>
      <c r="Z24" s="1">
        <f t="shared" si="5"/>
        <v>1.5</v>
      </c>
      <c r="AA24" s="1">
        <f t="shared" si="3"/>
        <v>1</v>
      </c>
    </row>
    <row r="25" spans="2:27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7">
        <v>0.77400000000000002</v>
      </c>
      <c r="J25" s="27">
        <v>1.2</v>
      </c>
      <c r="K25" s="27">
        <v>0.4</v>
      </c>
      <c r="L25" s="27">
        <v>1.5</v>
      </c>
      <c r="M25" s="27">
        <v>0.9</v>
      </c>
      <c r="N25" s="9">
        <f t="shared" si="6"/>
        <v>362.81250000000006</v>
      </c>
      <c r="O25" s="27">
        <v>0.64</v>
      </c>
      <c r="P25" s="9">
        <f t="shared" si="7"/>
        <v>528</v>
      </c>
      <c r="Q25" s="27">
        <f t="shared" si="8"/>
        <v>1.1111111111111112</v>
      </c>
      <c r="R25" s="9">
        <f t="shared" si="9"/>
        <v>3315.8257732505708</v>
      </c>
      <c r="S25" s="1" t="s">
        <v>90</v>
      </c>
      <c r="U25" s="1">
        <v>23</v>
      </c>
      <c r="V25" s="1">
        <f t="shared" si="0"/>
        <v>439</v>
      </c>
      <c r="W25" s="1">
        <f t="shared" si="1"/>
        <v>2604</v>
      </c>
      <c r="X25" s="1">
        <f t="shared" si="2"/>
        <v>326</v>
      </c>
      <c r="Y25" s="1">
        <f t="shared" si="4"/>
        <v>0.05</v>
      </c>
      <c r="Z25" s="1">
        <f t="shared" si="5"/>
        <v>1.5</v>
      </c>
      <c r="AA25" s="1">
        <f t="shared" si="3"/>
        <v>1</v>
      </c>
    </row>
    <row r="26" spans="2:27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7">
        <v>0.79800000000000004</v>
      </c>
      <c r="J26" s="27">
        <v>0.9</v>
      </c>
      <c r="K26" s="27">
        <v>0.4</v>
      </c>
      <c r="L26" s="27">
        <v>1.5</v>
      </c>
      <c r="M26" s="27">
        <v>0.9</v>
      </c>
      <c r="N26" s="9">
        <f t="shared" si="6"/>
        <v>199.50000000000003</v>
      </c>
      <c r="O26" s="27">
        <v>0.25</v>
      </c>
      <c r="P26" s="9">
        <f t="shared" si="7"/>
        <v>206.25</v>
      </c>
      <c r="Q26" s="27">
        <f t="shared" si="8"/>
        <v>1.1111111111111112</v>
      </c>
      <c r="R26" s="9">
        <f t="shared" si="9"/>
        <v>4158.0906047942781</v>
      </c>
      <c r="S26" s="1" t="s">
        <v>91</v>
      </c>
      <c r="U26" s="1">
        <v>24</v>
      </c>
      <c r="V26" s="1">
        <f t="shared" si="0"/>
        <v>461</v>
      </c>
      <c r="W26" s="1">
        <f t="shared" si="1"/>
        <v>2733</v>
      </c>
      <c r="X26" s="1">
        <f t="shared" si="2"/>
        <v>342</v>
      </c>
      <c r="Y26" s="1">
        <f t="shared" si="4"/>
        <v>0.05</v>
      </c>
      <c r="Z26" s="1">
        <f t="shared" si="5"/>
        <v>1.5</v>
      </c>
      <c r="AA26" s="1">
        <f t="shared" si="3"/>
        <v>1</v>
      </c>
    </row>
    <row r="27" spans="2:27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7">
        <v>0.79800000000000004</v>
      </c>
      <c r="J27" s="27">
        <v>0.9</v>
      </c>
      <c r="K27" s="27">
        <v>0.4</v>
      </c>
      <c r="L27" s="27">
        <v>1.5</v>
      </c>
      <c r="M27" s="27">
        <v>1</v>
      </c>
      <c r="N27" s="9">
        <f t="shared" si="6"/>
        <v>221.66666666666669</v>
      </c>
      <c r="O27" s="27">
        <v>0.25</v>
      </c>
      <c r="P27" s="9">
        <f t="shared" si="7"/>
        <v>206.25</v>
      </c>
      <c r="Q27" s="27">
        <f t="shared" si="8"/>
        <v>1</v>
      </c>
      <c r="R27" s="9">
        <f t="shared" si="9"/>
        <v>3742.2815443148502</v>
      </c>
      <c r="S27" s="1" t="s">
        <v>92</v>
      </c>
      <c r="U27" s="1">
        <v>25</v>
      </c>
      <c r="V27" s="1">
        <f t="shared" si="0"/>
        <v>484</v>
      </c>
      <c r="W27" s="1">
        <f t="shared" si="1"/>
        <v>2868</v>
      </c>
      <c r="X27" s="1">
        <f t="shared" si="2"/>
        <v>359</v>
      </c>
      <c r="Y27" s="1">
        <f t="shared" si="4"/>
        <v>0.05</v>
      </c>
      <c r="Z27" s="1">
        <f t="shared" si="5"/>
        <v>1.5</v>
      </c>
      <c r="AA27" s="1">
        <f t="shared" si="3"/>
        <v>1</v>
      </c>
    </row>
    <row r="28" spans="2:27" ht="14.25" customHeight="1" x14ac:dyDescent="0.2">
      <c r="D28" s="30" t="s">
        <v>79</v>
      </c>
      <c r="U28" s="1">
        <v>26</v>
      </c>
      <c r="V28" s="1">
        <f t="shared" si="0"/>
        <v>508</v>
      </c>
      <c r="W28" s="1">
        <f t="shared" si="1"/>
        <v>3010</v>
      </c>
      <c r="X28" s="1">
        <f t="shared" si="2"/>
        <v>377</v>
      </c>
      <c r="Y28" s="1">
        <f t="shared" si="4"/>
        <v>0.05</v>
      </c>
      <c r="Z28" s="1">
        <f t="shared" si="5"/>
        <v>1.5</v>
      </c>
      <c r="AA28" s="1">
        <f t="shared" si="3"/>
        <v>1</v>
      </c>
    </row>
    <row r="29" spans="2:27" ht="14.25" customHeight="1" x14ac:dyDescent="0.2">
      <c r="U29" s="1">
        <v>27</v>
      </c>
      <c r="V29" s="1">
        <f t="shared" si="0"/>
        <v>533</v>
      </c>
      <c r="W29" s="1">
        <f t="shared" si="1"/>
        <v>3158</v>
      </c>
      <c r="X29" s="1">
        <f t="shared" si="2"/>
        <v>396</v>
      </c>
      <c r="Y29" s="1">
        <f t="shared" si="4"/>
        <v>0.05</v>
      </c>
      <c r="Z29" s="1">
        <f t="shared" si="5"/>
        <v>1.5</v>
      </c>
      <c r="AA29" s="1">
        <f t="shared" si="3"/>
        <v>1</v>
      </c>
    </row>
    <row r="30" spans="2:27" ht="14.25" customHeight="1" x14ac:dyDescent="0.2">
      <c r="O30" s="26"/>
      <c r="U30" s="1">
        <v>28</v>
      </c>
      <c r="V30" s="1">
        <f t="shared" si="0"/>
        <v>560</v>
      </c>
      <c r="W30" s="1">
        <f t="shared" si="1"/>
        <v>3314</v>
      </c>
      <c r="X30" s="1">
        <f t="shared" si="2"/>
        <v>416</v>
      </c>
      <c r="Y30" s="1">
        <f t="shared" si="4"/>
        <v>0.05</v>
      </c>
      <c r="Z30" s="1">
        <f t="shared" si="5"/>
        <v>1.5</v>
      </c>
      <c r="AA30" s="1">
        <f t="shared" si="3"/>
        <v>1</v>
      </c>
    </row>
    <row r="31" spans="2:27" ht="14.25" customHeight="1" x14ac:dyDescent="0.2">
      <c r="O31" s="26"/>
      <c r="U31" s="1">
        <v>29</v>
      </c>
      <c r="V31" s="1">
        <f t="shared" si="0"/>
        <v>588</v>
      </c>
      <c r="W31" s="1">
        <f t="shared" si="1"/>
        <v>3478</v>
      </c>
      <c r="X31" s="1">
        <f t="shared" si="2"/>
        <v>437</v>
      </c>
      <c r="Y31" s="1">
        <f t="shared" si="4"/>
        <v>0.05</v>
      </c>
      <c r="Z31" s="1">
        <f t="shared" si="5"/>
        <v>1.5</v>
      </c>
      <c r="AA31" s="1">
        <f t="shared" si="3"/>
        <v>1</v>
      </c>
    </row>
    <row r="32" spans="2:27" ht="14.25" customHeight="1" x14ac:dyDescent="0.2">
      <c r="O32" s="26"/>
      <c r="U32" s="1">
        <v>30</v>
      </c>
      <c r="V32" s="1">
        <f t="shared" si="0"/>
        <v>617</v>
      </c>
      <c r="W32" s="1">
        <f t="shared" si="1"/>
        <v>3649</v>
      </c>
      <c r="X32" s="1">
        <f t="shared" si="2"/>
        <v>458</v>
      </c>
      <c r="Y32" s="1">
        <f t="shared" si="4"/>
        <v>0.05</v>
      </c>
      <c r="Z32" s="1">
        <f t="shared" si="5"/>
        <v>1.5</v>
      </c>
      <c r="AA32" s="1">
        <f t="shared" si="3"/>
        <v>1</v>
      </c>
    </row>
    <row r="33" spans="15:27" ht="14.25" customHeight="1" x14ac:dyDescent="0.2">
      <c r="O33" s="26"/>
      <c r="U33" s="1">
        <v>31</v>
      </c>
      <c r="V33" s="1">
        <f t="shared" si="0"/>
        <v>648</v>
      </c>
      <c r="W33" s="1">
        <f t="shared" si="1"/>
        <v>3828</v>
      </c>
      <c r="X33" s="1">
        <f t="shared" si="2"/>
        <v>481</v>
      </c>
      <c r="Y33" s="1">
        <f t="shared" si="4"/>
        <v>0.05</v>
      </c>
      <c r="Z33" s="1">
        <f t="shared" si="5"/>
        <v>1.5</v>
      </c>
      <c r="AA33" s="1">
        <f t="shared" si="3"/>
        <v>1</v>
      </c>
    </row>
    <row r="34" spans="15:27" ht="14.25" customHeight="1" x14ac:dyDescent="0.2">
      <c r="O34" s="26"/>
      <c r="U34" s="1">
        <v>32</v>
      </c>
      <c r="V34" s="1">
        <f t="shared" si="0"/>
        <v>681</v>
      </c>
      <c r="W34" s="1">
        <f t="shared" si="1"/>
        <v>4017</v>
      </c>
      <c r="X34" s="1">
        <f t="shared" si="2"/>
        <v>505</v>
      </c>
      <c r="Y34" s="1">
        <f t="shared" si="4"/>
        <v>0.05</v>
      </c>
      <c r="Z34" s="1">
        <f t="shared" si="5"/>
        <v>1.5</v>
      </c>
      <c r="AA34" s="1">
        <f t="shared" si="3"/>
        <v>1</v>
      </c>
    </row>
    <row r="35" spans="15:27" ht="14.25" customHeight="1" x14ac:dyDescent="0.2">
      <c r="O35" s="26"/>
      <c r="U35" s="1">
        <v>33</v>
      </c>
      <c r="V35" s="1">
        <f t="shared" ref="V35:V66" si="10">ROUND(VLOOKUP($V$1,$E:$R,MATCH(V$2,$E$15:$R$15,0),0)*$C$6^($U35-1)*$C$13*VLOOKUP($W$1,$B:$C,2,0),0)</f>
        <v>715</v>
      </c>
      <c r="W35" s="1">
        <f t="shared" ref="W35:W66" si="11">ROUND(VLOOKUP(VLOOKUP($X$1,$K$4:$L$10,2,0),$E$4:$G$7,3,0)*$C$5*VLOOKUP($V$1,$E:$R,MATCH("生命偏向",$E$15:$R$15,0),0)/(1+VLOOKUP($V$1,$E:$R,MATCH($X$2,$E$15:$R$15,0),0)*$C$6^($U35-1)/$C$8)*$C$6^($U35-1)*$C$13*VLOOKUP($W$1,$B:$C,2,0),0)</f>
        <v>4214</v>
      </c>
      <c r="X35" s="1">
        <f t="shared" ref="X35:X66" si="12">ROUND(VLOOKUP($V$1,$E:$R,MATCH(X$2,$E$15:$R$15,0),0)*$C$6^($U35-1)*$C$13*VLOOKUP($W$1,$B:$C,2,0),0)</f>
        <v>531</v>
      </c>
      <c r="Y35" s="1">
        <f t="shared" si="4"/>
        <v>0.05</v>
      </c>
      <c r="Z35" s="1">
        <f t="shared" si="5"/>
        <v>1.5</v>
      </c>
      <c r="AA35" s="1">
        <f t="shared" ref="AA35:AA66" si="13">VLOOKUP($V$1,$E:$R,MATCH(AA$2,$E$15:$R$15,0),0)</f>
        <v>1</v>
      </c>
    </row>
    <row r="36" spans="15:27" ht="14.25" customHeight="1" x14ac:dyDescent="0.2">
      <c r="O36" s="26"/>
      <c r="U36" s="1">
        <v>34</v>
      </c>
      <c r="V36" s="1">
        <f t="shared" si="10"/>
        <v>750</v>
      </c>
      <c r="W36" s="1">
        <f t="shared" si="11"/>
        <v>4421</v>
      </c>
      <c r="X36" s="1">
        <f t="shared" si="12"/>
        <v>557</v>
      </c>
      <c r="Y36" s="1">
        <f t="shared" si="4"/>
        <v>0.05</v>
      </c>
      <c r="Z36" s="1">
        <f t="shared" si="5"/>
        <v>1.5</v>
      </c>
      <c r="AA36" s="1">
        <f t="shared" si="13"/>
        <v>1</v>
      </c>
    </row>
    <row r="37" spans="15:27" ht="14.25" customHeight="1" x14ac:dyDescent="0.2">
      <c r="O37" s="26"/>
      <c r="U37" s="1">
        <v>35</v>
      </c>
      <c r="V37" s="1">
        <f t="shared" si="10"/>
        <v>788</v>
      </c>
      <c r="W37" s="1">
        <f t="shared" si="11"/>
        <v>4638</v>
      </c>
      <c r="X37" s="1">
        <f t="shared" si="12"/>
        <v>585</v>
      </c>
      <c r="Y37" s="1">
        <f t="shared" si="4"/>
        <v>0.05</v>
      </c>
      <c r="Z37" s="1">
        <f t="shared" si="5"/>
        <v>1.5</v>
      </c>
      <c r="AA37" s="1">
        <f t="shared" si="13"/>
        <v>1</v>
      </c>
    </row>
    <row r="38" spans="15:27" ht="14.25" customHeight="1" x14ac:dyDescent="0.2">
      <c r="O38" s="26"/>
      <c r="U38" s="1">
        <v>36</v>
      </c>
      <c r="V38" s="1">
        <f t="shared" si="10"/>
        <v>827</v>
      </c>
      <c r="W38" s="1">
        <f t="shared" si="11"/>
        <v>4865</v>
      </c>
      <c r="X38" s="1">
        <f t="shared" si="12"/>
        <v>614</v>
      </c>
      <c r="Y38" s="1">
        <f t="shared" si="4"/>
        <v>0.05</v>
      </c>
      <c r="Z38" s="1">
        <f t="shared" si="5"/>
        <v>1.5</v>
      </c>
      <c r="AA38" s="1">
        <f t="shared" si="13"/>
        <v>1</v>
      </c>
    </row>
    <row r="39" spans="15:27" ht="14.25" customHeight="1" x14ac:dyDescent="0.2">
      <c r="O39" s="26"/>
      <c r="U39" s="1">
        <v>37</v>
      </c>
      <c r="V39" s="1">
        <f t="shared" si="10"/>
        <v>869</v>
      </c>
      <c r="W39" s="1">
        <f t="shared" si="11"/>
        <v>5103</v>
      </c>
      <c r="X39" s="1">
        <f t="shared" si="12"/>
        <v>645</v>
      </c>
      <c r="Y39" s="1">
        <f t="shared" si="4"/>
        <v>0.05</v>
      </c>
      <c r="Z39" s="1">
        <f t="shared" si="5"/>
        <v>1.5</v>
      </c>
      <c r="AA39" s="1">
        <f t="shared" si="13"/>
        <v>1</v>
      </c>
    </row>
    <row r="40" spans="15:27" ht="14.25" customHeight="1" x14ac:dyDescent="0.2">
      <c r="O40" s="26"/>
      <c r="U40" s="1">
        <v>38</v>
      </c>
      <c r="V40" s="1">
        <f t="shared" si="10"/>
        <v>912</v>
      </c>
      <c r="W40" s="1">
        <f t="shared" si="11"/>
        <v>5352</v>
      </c>
      <c r="X40" s="1">
        <f t="shared" si="12"/>
        <v>677</v>
      </c>
      <c r="Y40" s="1">
        <f t="shared" si="4"/>
        <v>0.05</v>
      </c>
      <c r="Z40" s="1">
        <f t="shared" si="5"/>
        <v>1.5</v>
      </c>
      <c r="AA40" s="1">
        <f t="shared" si="13"/>
        <v>1</v>
      </c>
    </row>
    <row r="41" spans="15:27" ht="14.25" customHeight="1" x14ac:dyDescent="0.2">
      <c r="O41" s="26"/>
      <c r="U41" s="1">
        <v>39</v>
      </c>
      <c r="V41" s="1">
        <f t="shared" si="10"/>
        <v>958</v>
      </c>
      <c r="W41" s="1">
        <f t="shared" si="11"/>
        <v>5614</v>
      </c>
      <c r="X41" s="1">
        <f t="shared" si="12"/>
        <v>711</v>
      </c>
      <c r="Y41" s="1">
        <f t="shared" si="4"/>
        <v>0.05</v>
      </c>
      <c r="Z41" s="1">
        <f t="shared" si="5"/>
        <v>1.5</v>
      </c>
      <c r="AA41" s="1">
        <f t="shared" si="13"/>
        <v>1</v>
      </c>
    </row>
    <row r="42" spans="15:27" ht="14.25" customHeight="1" x14ac:dyDescent="0.2">
      <c r="U42" s="1">
        <v>40</v>
      </c>
      <c r="V42" s="1">
        <f t="shared" si="10"/>
        <v>1006</v>
      </c>
      <c r="W42" s="1">
        <f t="shared" si="11"/>
        <v>5888</v>
      </c>
      <c r="X42" s="1">
        <f t="shared" si="12"/>
        <v>747</v>
      </c>
      <c r="Y42" s="1">
        <f t="shared" si="4"/>
        <v>0.05</v>
      </c>
      <c r="Z42" s="1">
        <f t="shared" si="5"/>
        <v>1.5</v>
      </c>
      <c r="AA42" s="1">
        <f t="shared" si="13"/>
        <v>1</v>
      </c>
    </row>
    <row r="43" spans="15:27" ht="14.25" customHeight="1" x14ac:dyDescent="0.2">
      <c r="U43" s="1">
        <v>41</v>
      </c>
      <c r="V43" s="1">
        <f t="shared" si="10"/>
        <v>1056</v>
      </c>
      <c r="W43" s="1">
        <f t="shared" si="11"/>
        <v>6175</v>
      </c>
      <c r="X43" s="1">
        <f t="shared" si="12"/>
        <v>784</v>
      </c>
      <c r="Y43" s="1">
        <f t="shared" si="4"/>
        <v>0.05</v>
      </c>
      <c r="Z43" s="1">
        <f t="shared" si="5"/>
        <v>1.5</v>
      </c>
      <c r="AA43" s="1">
        <f t="shared" si="13"/>
        <v>1</v>
      </c>
    </row>
    <row r="44" spans="15:27" ht="14.25" customHeight="1" x14ac:dyDescent="0.2">
      <c r="U44" s="1">
        <v>42</v>
      </c>
      <c r="V44" s="1">
        <f t="shared" si="10"/>
        <v>1109</v>
      </c>
      <c r="W44" s="1">
        <f t="shared" si="11"/>
        <v>6475</v>
      </c>
      <c r="X44" s="1">
        <f t="shared" si="12"/>
        <v>823</v>
      </c>
      <c r="Y44" s="1">
        <f t="shared" si="4"/>
        <v>0.05</v>
      </c>
      <c r="Z44" s="1">
        <f t="shared" si="5"/>
        <v>1.5</v>
      </c>
      <c r="AA44" s="1">
        <f t="shared" si="13"/>
        <v>1</v>
      </c>
    </row>
    <row r="45" spans="15:27" ht="14.25" customHeight="1" x14ac:dyDescent="0.2">
      <c r="U45" s="1">
        <v>43</v>
      </c>
      <c r="V45" s="1">
        <f t="shared" si="10"/>
        <v>1164</v>
      </c>
      <c r="W45" s="1">
        <f t="shared" si="11"/>
        <v>6790</v>
      </c>
      <c r="X45" s="1">
        <f t="shared" si="12"/>
        <v>864</v>
      </c>
      <c r="Y45" s="1">
        <f t="shared" si="4"/>
        <v>0.05</v>
      </c>
      <c r="Z45" s="1">
        <f t="shared" si="5"/>
        <v>1.5</v>
      </c>
      <c r="AA45" s="1">
        <f t="shared" si="13"/>
        <v>1</v>
      </c>
    </row>
    <row r="46" spans="15:27" ht="14.25" customHeight="1" x14ac:dyDescent="0.2">
      <c r="U46" s="1">
        <v>44</v>
      </c>
      <c r="V46" s="1">
        <f t="shared" si="10"/>
        <v>1222</v>
      </c>
      <c r="W46" s="1">
        <f t="shared" si="11"/>
        <v>7119</v>
      </c>
      <c r="X46" s="1">
        <f t="shared" si="12"/>
        <v>908</v>
      </c>
      <c r="Y46" s="1">
        <f t="shared" si="4"/>
        <v>0.05</v>
      </c>
      <c r="Z46" s="1">
        <f t="shared" si="5"/>
        <v>1.5</v>
      </c>
      <c r="AA46" s="1">
        <f t="shared" si="13"/>
        <v>1</v>
      </c>
    </row>
    <row r="47" spans="15:27" ht="14.25" customHeight="1" x14ac:dyDescent="0.2">
      <c r="U47" s="1">
        <v>45</v>
      </c>
      <c r="V47" s="1">
        <f t="shared" si="10"/>
        <v>1284</v>
      </c>
      <c r="W47" s="1">
        <f t="shared" si="11"/>
        <v>7464</v>
      </c>
      <c r="X47" s="1">
        <f t="shared" si="12"/>
        <v>953</v>
      </c>
      <c r="Y47" s="1">
        <f t="shared" si="4"/>
        <v>0.05</v>
      </c>
      <c r="Z47" s="1">
        <f t="shared" si="5"/>
        <v>1.5</v>
      </c>
      <c r="AA47" s="1">
        <f t="shared" si="13"/>
        <v>1</v>
      </c>
    </row>
    <row r="48" spans="15:27" ht="14.25" customHeight="1" x14ac:dyDescent="0.2">
      <c r="U48" s="1">
        <v>46</v>
      </c>
      <c r="V48" s="1">
        <f t="shared" si="10"/>
        <v>1348</v>
      </c>
      <c r="W48" s="1">
        <f t="shared" si="11"/>
        <v>7825</v>
      </c>
      <c r="X48" s="1">
        <f t="shared" si="12"/>
        <v>1001</v>
      </c>
      <c r="Y48" s="1">
        <f t="shared" si="4"/>
        <v>0.05</v>
      </c>
      <c r="Z48" s="1">
        <f t="shared" si="5"/>
        <v>1.5</v>
      </c>
      <c r="AA48" s="1">
        <f t="shared" si="13"/>
        <v>1</v>
      </c>
    </row>
    <row r="49" spans="21:27" ht="14.25" customHeight="1" x14ac:dyDescent="0.2">
      <c r="U49" s="1">
        <v>47</v>
      </c>
      <c r="V49" s="1">
        <f t="shared" si="10"/>
        <v>1415</v>
      </c>
      <c r="W49" s="1">
        <f t="shared" si="11"/>
        <v>8204</v>
      </c>
      <c r="X49" s="1">
        <f t="shared" si="12"/>
        <v>1051</v>
      </c>
      <c r="Y49" s="1">
        <f t="shared" si="4"/>
        <v>0.05</v>
      </c>
      <c r="Z49" s="1">
        <f t="shared" si="5"/>
        <v>1.5</v>
      </c>
      <c r="AA49" s="1">
        <f t="shared" si="13"/>
        <v>1</v>
      </c>
    </row>
    <row r="50" spans="21:27" ht="14.25" customHeight="1" x14ac:dyDescent="0.2">
      <c r="U50" s="1">
        <v>48</v>
      </c>
      <c r="V50" s="1">
        <f t="shared" si="10"/>
        <v>1486</v>
      </c>
      <c r="W50" s="1">
        <f t="shared" si="11"/>
        <v>8599</v>
      </c>
      <c r="X50" s="1">
        <f t="shared" si="12"/>
        <v>1103</v>
      </c>
      <c r="Y50" s="1">
        <f t="shared" si="4"/>
        <v>0.05</v>
      </c>
      <c r="Z50" s="1">
        <f t="shared" si="5"/>
        <v>1.5</v>
      </c>
      <c r="AA50" s="1">
        <f t="shared" si="13"/>
        <v>1</v>
      </c>
    </row>
    <row r="51" spans="21:27" ht="14.25" customHeight="1" x14ac:dyDescent="0.2">
      <c r="U51" s="1">
        <v>49</v>
      </c>
      <c r="V51" s="1">
        <f t="shared" si="10"/>
        <v>1560</v>
      </c>
      <c r="W51" s="1">
        <f t="shared" si="11"/>
        <v>9013</v>
      </c>
      <c r="X51" s="1">
        <f t="shared" si="12"/>
        <v>1158</v>
      </c>
      <c r="Y51" s="1">
        <f t="shared" si="4"/>
        <v>0.05</v>
      </c>
      <c r="Z51" s="1">
        <f t="shared" si="5"/>
        <v>1.5</v>
      </c>
      <c r="AA51" s="1">
        <f t="shared" si="13"/>
        <v>1</v>
      </c>
    </row>
    <row r="52" spans="21:27" ht="14.25" customHeight="1" x14ac:dyDescent="0.2">
      <c r="U52" s="1">
        <v>50</v>
      </c>
      <c r="V52" s="1">
        <f t="shared" si="10"/>
        <v>1638</v>
      </c>
      <c r="W52" s="1">
        <f t="shared" si="11"/>
        <v>9446</v>
      </c>
      <c r="X52" s="1">
        <f t="shared" si="12"/>
        <v>1216</v>
      </c>
      <c r="Y52" s="1">
        <f t="shared" si="4"/>
        <v>0.05</v>
      </c>
      <c r="Z52" s="1">
        <f t="shared" si="5"/>
        <v>1.5</v>
      </c>
      <c r="AA52" s="1">
        <f t="shared" si="13"/>
        <v>1</v>
      </c>
    </row>
    <row r="53" spans="21:27" ht="14.25" customHeight="1" x14ac:dyDescent="0.2">
      <c r="U53" s="1">
        <v>51</v>
      </c>
      <c r="V53" s="1">
        <f t="shared" si="10"/>
        <v>1720</v>
      </c>
      <c r="W53" s="1">
        <f t="shared" si="11"/>
        <v>9899</v>
      </c>
      <c r="X53" s="1">
        <f t="shared" si="12"/>
        <v>1277</v>
      </c>
      <c r="Y53" s="1">
        <f t="shared" si="4"/>
        <v>0.05</v>
      </c>
      <c r="Z53" s="1">
        <f t="shared" si="5"/>
        <v>1.5</v>
      </c>
      <c r="AA53" s="1">
        <f t="shared" si="13"/>
        <v>1</v>
      </c>
    </row>
    <row r="54" spans="21:27" ht="14.25" customHeight="1" x14ac:dyDescent="0.2">
      <c r="U54" s="1">
        <v>52</v>
      </c>
      <c r="V54" s="1">
        <f t="shared" si="10"/>
        <v>1806</v>
      </c>
      <c r="W54" s="1">
        <f t="shared" si="11"/>
        <v>10373</v>
      </c>
      <c r="X54" s="1">
        <f t="shared" si="12"/>
        <v>1341</v>
      </c>
      <c r="Y54" s="1">
        <f t="shared" si="4"/>
        <v>0.05</v>
      </c>
      <c r="Z54" s="1">
        <f t="shared" si="5"/>
        <v>1.5</v>
      </c>
      <c r="AA54" s="1">
        <f t="shared" si="13"/>
        <v>1</v>
      </c>
    </row>
    <row r="55" spans="21:27" ht="14.25" customHeight="1" x14ac:dyDescent="0.2">
      <c r="U55" s="1">
        <v>53</v>
      </c>
      <c r="V55" s="1">
        <f t="shared" si="10"/>
        <v>1896</v>
      </c>
      <c r="W55" s="1">
        <f t="shared" si="11"/>
        <v>10868</v>
      </c>
      <c r="X55" s="1">
        <f t="shared" si="12"/>
        <v>1408</v>
      </c>
      <c r="Y55" s="1">
        <f t="shared" si="4"/>
        <v>0.05</v>
      </c>
      <c r="Z55" s="1">
        <f t="shared" si="5"/>
        <v>1.5</v>
      </c>
      <c r="AA55" s="1">
        <f t="shared" si="13"/>
        <v>1</v>
      </c>
    </row>
    <row r="56" spans="21:27" ht="14.25" customHeight="1" x14ac:dyDescent="0.2">
      <c r="U56" s="1">
        <v>54</v>
      </c>
      <c r="V56" s="1">
        <f t="shared" si="10"/>
        <v>1991</v>
      </c>
      <c r="W56" s="1">
        <f t="shared" si="11"/>
        <v>11386</v>
      </c>
      <c r="X56" s="1">
        <f t="shared" si="12"/>
        <v>1478</v>
      </c>
      <c r="Y56" s="1">
        <f t="shared" si="4"/>
        <v>0.05</v>
      </c>
      <c r="Z56" s="1">
        <f t="shared" si="5"/>
        <v>1.5</v>
      </c>
      <c r="AA56" s="1">
        <f t="shared" si="13"/>
        <v>1</v>
      </c>
    </row>
    <row r="57" spans="21:27" ht="14.25" customHeight="1" x14ac:dyDescent="0.2">
      <c r="U57" s="1">
        <v>55</v>
      </c>
      <c r="V57" s="1">
        <f t="shared" si="10"/>
        <v>2091</v>
      </c>
      <c r="W57" s="1">
        <f t="shared" si="11"/>
        <v>11928</v>
      </c>
      <c r="X57" s="1">
        <f t="shared" si="12"/>
        <v>1552</v>
      </c>
      <c r="Y57" s="1">
        <f t="shared" si="4"/>
        <v>0.05</v>
      </c>
      <c r="Z57" s="1">
        <f t="shared" si="5"/>
        <v>1.5</v>
      </c>
      <c r="AA57" s="1">
        <f t="shared" si="13"/>
        <v>1</v>
      </c>
    </row>
    <row r="58" spans="21:27" ht="14.25" customHeight="1" x14ac:dyDescent="0.2">
      <c r="U58" s="1">
        <v>56</v>
      </c>
      <c r="V58" s="1">
        <f t="shared" si="10"/>
        <v>2195</v>
      </c>
      <c r="W58" s="1">
        <f t="shared" si="11"/>
        <v>12493</v>
      </c>
      <c r="X58" s="1">
        <f t="shared" si="12"/>
        <v>1630</v>
      </c>
      <c r="Y58" s="1">
        <f t="shared" si="4"/>
        <v>0.05</v>
      </c>
      <c r="Z58" s="1">
        <f t="shared" si="5"/>
        <v>1.5</v>
      </c>
      <c r="AA58" s="1">
        <f t="shared" si="13"/>
        <v>1</v>
      </c>
    </row>
    <row r="59" spans="21:27" ht="14.25" customHeight="1" x14ac:dyDescent="0.2">
      <c r="U59" s="1">
        <v>57</v>
      </c>
      <c r="V59" s="1">
        <f t="shared" si="10"/>
        <v>2305</v>
      </c>
      <c r="W59" s="1">
        <f t="shared" si="11"/>
        <v>13084</v>
      </c>
      <c r="X59" s="1">
        <f t="shared" si="12"/>
        <v>1712</v>
      </c>
      <c r="Y59" s="1">
        <f t="shared" si="4"/>
        <v>0.05</v>
      </c>
      <c r="Z59" s="1">
        <f t="shared" si="5"/>
        <v>1.5</v>
      </c>
      <c r="AA59" s="1">
        <f t="shared" si="13"/>
        <v>1</v>
      </c>
    </row>
    <row r="60" spans="21:27" ht="14.25" customHeight="1" x14ac:dyDescent="0.2">
      <c r="U60" s="1">
        <v>58</v>
      </c>
      <c r="V60" s="1">
        <f t="shared" si="10"/>
        <v>2420</v>
      </c>
      <c r="W60" s="1">
        <f t="shared" si="11"/>
        <v>13701</v>
      </c>
      <c r="X60" s="1">
        <f t="shared" si="12"/>
        <v>1797</v>
      </c>
      <c r="Y60" s="1">
        <f t="shared" si="4"/>
        <v>0.05</v>
      </c>
      <c r="Z60" s="1">
        <f t="shared" si="5"/>
        <v>1.5</v>
      </c>
      <c r="AA60" s="1">
        <f t="shared" si="13"/>
        <v>1</v>
      </c>
    </row>
    <row r="61" spans="21:27" ht="14.25" customHeight="1" x14ac:dyDescent="0.2">
      <c r="U61" s="1">
        <v>59</v>
      </c>
      <c r="V61" s="1">
        <f t="shared" si="10"/>
        <v>2541</v>
      </c>
      <c r="W61" s="1">
        <f t="shared" si="11"/>
        <v>14346</v>
      </c>
      <c r="X61" s="1">
        <f t="shared" si="12"/>
        <v>1887</v>
      </c>
      <c r="Y61" s="1">
        <f t="shared" si="4"/>
        <v>0.05</v>
      </c>
      <c r="Z61" s="1">
        <f t="shared" si="5"/>
        <v>1.5</v>
      </c>
      <c r="AA61" s="1">
        <f t="shared" si="13"/>
        <v>1</v>
      </c>
    </row>
    <row r="62" spans="21:27" ht="14.25" customHeight="1" x14ac:dyDescent="0.2">
      <c r="U62" s="1">
        <v>60</v>
      </c>
      <c r="V62" s="1">
        <f t="shared" si="10"/>
        <v>2668</v>
      </c>
      <c r="W62" s="1">
        <f t="shared" si="11"/>
        <v>15019</v>
      </c>
      <c r="X62" s="1">
        <f t="shared" si="12"/>
        <v>1981</v>
      </c>
      <c r="Y62" s="1">
        <f t="shared" si="4"/>
        <v>0.05</v>
      </c>
      <c r="Z62" s="1">
        <f t="shared" si="5"/>
        <v>1.5</v>
      </c>
      <c r="AA62" s="1">
        <f t="shared" si="13"/>
        <v>1</v>
      </c>
    </row>
    <row r="63" spans="21:27" ht="14.25" customHeight="1" x14ac:dyDescent="0.2">
      <c r="U63" s="1">
        <v>61</v>
      </c>
      <c r="V63" s="1">
        <f t="shared" si="10"/>
        <v>2802</v>
      </c>
      <c r="W63" s="1">
        <f t="shared" si="11"/>
        <v>15721</v>
      </c>
      <c r="X63" s="1">
        <f t="shared" si="12"/>
        <v>2080</v>
      </c>
      <c r="Y63" s="1">
        <f t="shared" si="4"/>
        <v>0.05</v>
      </c>
      <c r="Z63" s="1">
        <f t="shared" si="5"/>
        <v>1.5</v>
      </c>
      <c r="AA63" s="1">
        <f t="shared" si="13"/>
        <v>1</v>
      </c>
    </row>
    <row r="64" spans="21:27" ht="14.25" customHeight="1" x14ac:dyDescent="0.2">
      <c r="U64" s="1">
        <v>62</v>
      </c>
      <c r="V64" s="1">
        <f t="shared" si="10"/>
        <v>2942</v>
      </c>
      <c r="W64" s="1">
        <f t="shared" si="11"/>
        <v>16454</v>
      </c>
      <c r="X64" s="1">
        <f t="shared" si="12"/>
        <v>2184</v>
      </c>
      <c r="Y64" s="1">
        <f t="shared" si="4"/>
        <v>0.05</v>
      </c>
      <c r="Z64" s="1">
        <f t="shared" si="5"/>
        <v>1.5</v>
      </c>
      <c r="AA64" s="1">
        <f t="shared" si="13"/>
        <v>1</v>
      </c>
    </row>
    <row r="65" spans="21:27" ht="14.25" customHeight="1" x14ac:dyDescent="0.2">
      <c r="U65" s="1">
        <v>63</v>
      </c>
      <c r="V65" s="1">
        <f t="shared" si="10"/>
        <v>3089</v>
      </c>
      <c r="W65" s="1">
        <f t="shared" si="11"/>
        <v>17218</v>
      </c>
      <c r="X65" s="1">
        <f t="shared" si="12"/>
        <v>2294</v>
      </c>
      <c r="Y65" s="1">
        <f t="shared" si="4"/>
        <v>0.05</v>
      </c>
      <c r="Z65" s="1">
        <f t="shared" si="5"/>
        <v>1.5</v>
      </c>
      <c r="AA65" s="1">
        <f t="shared" si="13"/>
        <v>1</v>
      </c>
    </row>
    <row r="66" spans="21:27" ht="14.25" customHeight="1" x14ac:dyDescent="0.2">
      <c r="U66" s="1">
        <v>64</v>
      </c>
      <c r="V66" s="1">
        <f t="shared" si="10"/>
        <v>3244</v>
      </c>
      <c r="W66" s="1">
        <f t="shared" si="11"/>
        <v>18015</v>
      </c>
      <c r="X66" s="1">
        <f t="shared" si="12"/>
        <v>2408</v>
      </c>
      <c r="Y66" s="1">
        <f t="shared" si="4"/>
        <v>0.05</v>
      </c>
      <c r="Z66" s="1">
        <f t="shared" si="5"/>
        <v>1.5</v>
      </c>
      <c r="AA66" s="1">
        <f t="shared" si="13"/>
        <v>1</v>
      </c>
    </row>
    <row r="67" spans="21:27" ht="14.25" customHeight="1" x14ac:dyDescent="0.2">
      <c r="U67" s="1">
        <v>65</v>
      </c>
      <c r="V67" s="1">
        <f t="shared" ref="V67:V102" si="14">ROUND(VLOOKUP($V$1,$E:$R,MATCH(V$2,$E$15:$R$15,0),0)*$C$6^($U67-1)*$C$13*VLOOKUP($W$1,$B:$C,2,0),0)</f>
        <v>3406</v>
      </c>
      <c r="W67" s="1">
        <f t="shared" ref="W67:W102" si="15">ROUND(VLOOKUP(VLOOKUP($X$1,$K$4:$L$10,2,0),$E$4:$G$7,3,0)*$C$5*VLOOKUP($V$1,$E:$R,MATCH("生命偏向",$E$15:$R$15,0),0)/(1+VLOOKUP($V$1,$E:$R,MATCH($X$2,$E$15:$R$15,0),0)*$C$6^($U67-1)/$C$8)*$C$6^($U67-1)*$C$13*VLOOKUP($W$1,$B:$C,2,0),0)</f>
        <v>18846</v>
      </c>
      <c r="X67" s="1">
        <f t="shared" ref="X67:X102" si="16">ROUND(VLOOKUP($V$1,$E:$R,MATCH(X$2,$E$15:$R$15,0),0)*$C$6^($U67-1)*$C$13*VLOOKUP($W$1,$B:$C,2,0),0)</f>
        <v>2529</v>
      </c>
      <c r="Y67" s="1">
        <f t="shared" si="4"/>
        <v>0.05</v>
      </c>
      <c r="Z67" s="1">
        <f t="shared" si="5"/>
        <v>1.5</v>
      </c>
      <c r="AA67" s="1">
        <f t="shared" ref="AA67:AA102" si="17">VLOOKUP($V$1,$E:$R,MATCH(AA$2,$E$15:$R$15,0),0)</f>
        <v>1</v>
      </c>
    </row>
    <row r="68" spans="21:27" ht="14.25" customHeight="1" x14ac:dyDescent="0.2">
      <c r="U68" s="1">
        <v>66</v>
      </c>
      <c r="V68" s="1">
        <f t="shared" si="14"/>
        <v>3576</v>
      </c>
      <c r="W68" s="1">
        <f t="shared" si="15"/>
        <v>19711</v>
      </c>
      <c r="X68" s="1">
        <f t="shared" si="16"/>
        <v>2655</v>
      </c>
      <c r="Y68" s="1">
        <f t="shared" ref="Y68:Y102" si="18">$Y$1</f>
        <v>0.05</v>
      </c>
      <c r="Z68" s="1">
        <f t="shared" ref="Z68:Z102" si="19">$Z$1</f>
        <v>1.5</v>
      </c>
      <c r="AA68" s="1">
        <f t="shared" si="17"/>
        <v>1</v>
      </c>
    </row>
    <row r="69" spans="21:27" ht="14.25" customHeight="1" x14ac:dyDescent="0.2">
      <c r="U69" s="1">
        <v>67</v>
      </c>
      <c r="V69" s="1">
        <f t="shared" si="14"/>
        <v>3755</v>
      </c>
      <c r="W69" s="1">
        <f t="shared" si="15"/>
        <v>20613</v>
      </c>
      <c r="X69" s="1">
        <f t="shared" si="16"/>
        <v>2788</v>
      </c>
      <c r="Y69" s="1">
        <f t="shared" si="18"/>
        <v>0.05</v>
      </c>
      <c r="Z69" s="1">
        <f t="shared" si="19"/>
        <v>1.5</v>
      </c>
      <c r="AA69" s="1">
        <f t="shared" si="17"/>
        <v>1</v>
      </c>
    </row>
    <row r="70" spans="21:27" ht="14.25" customHeight="1" x14ac:dyDescent="0.2">
      <c r="U70" s="1">
        <v>68</v>
      </c>
      <c r="V70" s="1">
        <f t="shared" si="14"/>
        <v>3943</v>
      </c>
      <c r="W70" s="1">
        <f t="shared" si="15"/>
        <v>21552</v>
      </c>
      <c r="X70" s="1">
        <f t="shared" si="16"/>
        <v>2927</v>
      </c>
      <c r="Y70" s="1">
        <f t="shared" si="18"/>
        <v>0.05</v>
      </c>
      <c r="Z70" s="1">
        <f t="shared" si="19"/>
        <v>1.5</v>
      </c>
      <c r="AA70" s="1">
        <f t="shared" si="17"/>
        <v>1</v>
      </c>
    </row>
    <row r="71" spans="21:27" ht="14.25" customHeight="1" x14ac:dyDescent="0.2">
      <c r="U71" s="1">
        <v>69</v>
      </c>
      <c r="V71" s="1">
        <f t="shared" si="14"/>
        <v>4140</v>
      </c>
      <c r="W71" s="1">
        <f t="shared" si="15"/>
        <v>22530</v>
      </c>
      <c r="X71" s="1">
        <f t="shared" si="16"/>
        <v>3074</v>
      </c>
      <c r="Y71" s="1">
        <f t="shared" si="18"/>
        <v>0.05</v>
      </c>
      <c r="Z71" s="1">
        <f t="shared" si="19"/>
        <v>1.5</v>
      </c>
      <c r="AA71" s="1">
        <f t="shared" si="17"/>
        <v>1</v>
      </c>
    </row>
    <row r="72" spans="21:27" ht="14.25" customHeight="1" x14ac:dyDescent="0.2">
      <c r="U72" s="1">
        <v>70</v>
      </c>
      <c r="V72" s="1">
        <f t="shared" si="14"/>
        <v>4347</v>
      </c>
      <c r="W72" s="1">
        <f t="shared" si="15"/>
        <v>23547</v>
      </c>
      <c r="X72" s="1">
        <f t="shared" si="16"/>
        <v>3227</v>
      </c>
      <c r="Y72" s="1">
        <f t="shared" si="18"/>
        <v>0.05</v>
      </c>
      <c r="Z72" s="1">
        <f t="shared" si="19"/>
        <v>1.5</v>
      </c>
      <c r="AA72" s="1">
        <f t="shared" si="17"/>
        <v>1</v>
      </c>
    </row>
    <row r="73" spans="21:27" ht="14.25" customHeight="1" x14ac:dyDescent="0.2">
      <c r="U73" s="1">
        <v>71</v>
      </c>
      <c r="V73" s="1">
        <f t="shared" si="14"/>
        <v>4564</v>
      </c>
      <c r="W73" s="1">
        <f t="shared" si="15"/>
        <v>24605</v>
      </c>
      <c r="X73" s="1">
        <f t="shared" si="16"/>
        <v>3389</v>
      </c>
      <c r="Y73" s="1">
        <f t="shared" si="18"/>
        <v>0.05</v>
      </c>
      <c r="Z73" s="1">
        <f t="shared" si="19"/>
        <v>1.5</v>
      </c>
      <c r="AA73" s="1">
        <f t="shared" si="17"/>
        <v>1</v>
      </c>
    </row>
    <row r="74" spans="21:27" ht="14.25" customHeight="1" x14ac:dyDescent="0.2">
      <c r="U74" s="1">
        <v>72</v>
      </c>
      <c r="V74" s="1">
        <f t="shared" si="14"/>
        <v>4792</v>
      </c>
      <c r="W74" s="1">
        <f t="shared" si="15"/>
        <v>25704</v>
      </c>
      <c r="X74" s="1">
        <f t="shared" si="16"/>
        <v>3558</v>
      </c>
      <c r="Y74" s="1">
        <f t="shared" si="18"/>
        <v>0.05</v>
      </c>
      <c r="Z74" s="1">
        <f t="shared" si="19"/>
        <v>1.5</v>
      </c>
      <c r="AA74" s="1">
        <f t="shared" si="17"/>
        <v>1</v>
      </c>
    </row>
    <row r="75" spans="21:27" ht="14.25" customHeight="1" x14ac:dyDescent="0.2">
      <c r="U75" s="1">
        <v>73</v>
      </c>
      <c r="V75" s="1">
        <f t="shared" si="14"/>
        <v>5032</v>
      </c>
      <c r="W75" s="1">
        <f t="shared" si="15"/>
        <v>26847</v>
      </c>
      <c r="X75" s="1">
        <f t="shared" si="16"/>
        <v>3736</v>
      </c>
      <c r="Y75" s="1">
        <f t="shared" si="18"/>
        <v>0.05</v>
      </c>
      <c r="Z75" s="1">
        <f t="shared" si="19"/>
        <v>1.5</v>
      </c>
      <c r="AA75" s="1">
        <f t="shared" si="17"/>
        <v>1</v>
      </c>
    </row>
    <row r="76" spans="21:27" ht="14.25" customHeight="1" x14ac:dyDescent="0.2">
      <c r="U76" s="1">
        <v>74</v>
      </c>
      <c r="V76" s="1">
        <f t="shared" si="14"/>
        <v>5283</v>
      </c>
      <c r="W76" s="1">
        <f t="shared" si="15"/>
        <v>28034</v>
      </c>
      <c r="X76" s="1">
        <f t="shared" si="16"/>
        <v>3923</v>
      </c>
      <c r="Y76" s="1">
        <f t="shared" si="18"/>
        <v>0.05</v>
      </c>
      <c r="Z76" s="1">
        <f t="shared" si="19"/>
        <v>1.5</v>
      </c>
      <c r="AA76" s="1">
        <f t="shared" si="17"/>
        <v>1</v>
      </c>
    </row>
    <row r="77" spans="21:27" ht="14.25" customHeight="1" x14ac:dyDescent="0.2">
      <c r="U77" s="1">
        <v>75</v>
      </c>
      <c r="V77" s="1">
        <f t="shared" si="14"/>
        <v>5548</v>
      </c>
      <c r="W77" s="1">
        <f t="shared" si="15"/>
        <v>29267</v>
      </c>
      <c r="X77" s="1">
        <f t="shared" si="16"/>
        <v>4119</v>
      </c>
      <c r="Y77" s="1">
        <f t="shared" si="18"/>
        <v>0.05</v>
      </c>
      <c r="Z77" s="1">
        <f t="shared" si="19"/>
        <v>1.5</v>
      </c>
      <c r="AA77" s="1">
        <f t="shared" si="17"/>
        <v>1</v>
      </c>
    </row>
    <row r="78" spans="21:27" ht="14.25" customHeight="1" x14ac:dyDescent="0.2">
      <c r="U78" s="1">
        <v>76</v>
      </c>
      <c r="V78" s="1">
        <f t="shared" si="14"/>
        <v>5825</v>
      </c>
      <c r="W78" s="1">
        <f t="shared" si="15"/>
        <v>30546</v>
      </c>
      <c r="X78" s="1">
        <f t="shared" si="16"/>
        <v>4325</v>
      </c>
      <c r="Y78" s="1">
        <f t="shared" si="18"/>
        <v>0.05</v>
      </c>
      <c r="Z78" s="1">
        <f t="shared" si="19"/>
        <v>1.5</v>
      </c>
      <c r="AA78" s="1">
        <f t="shared" si="17"/>
        <v>1</v>
      </c>
    </row>
    <row r="79" spans="21:27" ht="14.25" customHeight="1" x14ac:dyDescent="0.2">
      <c r="U79" s="1">
        <v>77</v>
      </c>
      <c r="V79" s="1">
        <f t="shared" si="14"/>
        <v>6116</v>
      </c>
      <c r="W79" s="1">
        <f t="shared" si="15"/>
        <v>31872</v>
      </c>
      <c r="X79" s="1">
        <f t="shared" si="16"/>
        <v>4541</v>
      </c>
      <c r="Y79" s="1">
        <f t="shared" si="18"/>
        <v>0.05</v>
      </c>
      <c r="Z79" s="1">
        <f t="shared" si="19"/>
        <v>1.5</v>
      </c>
      <c r="AA79" s="1">
        <f t="shared" si="17"/>
        <v>1</v>
      </c>
    </row>
    <row r="80" spans="21:27" ht="14.25" customHeight="1" x14ac:dyDescent="0.2">
      <c r="U80" s="1">
        <v>78</v>
      </c>
      <c r="V80" s="1">
        <f t="shared" si="14"/>
        <v>6422</v>
      </c>
      <c r="W80" s="1">
        <f t="shared" si="15"/>
        <v>33247</v>
      </c>
      <c r="X80" s="1">
        <f t="shared" si="16"/>
        <v>4768</v>
      </c>
      <c r="Y80" s="1">
        <f t="shared" si="18"/>
        <v>0.05</v>
      </c>
      <c r="Z80" s="1">
        <f t="shared" si="19"/>
        <v>1.5</v>
      </c>
      <c r="AA80" s="1">
        <f t="shared" si="17"/>
        <v>1</v>
      </c>
    </row>
    <row r="81" spans="21:27" ht="14.25" customHeight="1" x14ac:dyDescent="0.2">
      <c r="U81" s="1">
        <v>79</v>
      </c>
      <c r="V81" s="1">
        <f t="shared" si="14"/>
        <v>6743</v>
      </c>
      <c r="W81" s="1">
        <f t="shared" si="15"/>
        <v>34672</v>
      </c>
      <c r="X81" s="1">
        <f t="shared" si="16"/>
        <v>5007</v>
      </c>
      <c r="Y81" s="1">
        <f t="shared" si="18"/>
        <v>0.05</v>
      </c>
      <c r="Z81" s="1">
        <f t="shared" si="19"/>
        <v>1.5</v>
      </c>
      <c r="AA81" s="1">
        <f t="shared" si="17"/>
        <v>1</v>
      </c>
    </row>
    <row r="82" spans="21:27" ht="14.25" customHeight="1" x14ac:dyDescent="0.2">
      <c r="U82" s="1">
        <v>80</v>
      </c>
      <c r="V82" s="1">
        <f t="shared" si="14"/>
        <v>7080</v>
      </c>
      <c r="W82" s="1">
        <f t="shared" si="15"/>
        <v>36147</v>
      </c>
      <c r="X82" s="1">
        <f t="shared" si="16"/>
        <v>5257</v>
      </c>
      <c r="Y82" s="1">
        <f t="shared" si="18"/>
        <v>0.05</v>
      </c>
      <c r="Z82" s="1">
        <f t="shared" si="19"/>
        <v>1.5</v>
      </c>
      <c r="AA82" s="1">
        <f t="shared" si="17"/>
        <v>1</v>
      </c>
    </row>
    <row r="83" spans="21:27" ht="14.25" customHeight="1" x14ac:dyDescent="0.2">
      <c r="U83" s="1">
        <v>81</v>
      </c>
      <c r="V83" s="1">
        <f t="shared" si="14"/>
        <v>7434</v>
      </c>
      <c r="W83" s="1">
        <f t="shared" si="15"/>
        <v>37673</v>
      </c>
      <c r="X83" s="1">
        <f t="shared" si="16"/>
        <v>5520</v>
      </c>
      <c r="Y83" s="1">
        <f t="shared" si="18"/>
        <v>0.05</v>
      </c>
      <c r="Z83" s="1">
        <f t="shared" si="19"/>
        <v>1.5</v>
      </c>
      <c r="AA83" s="1">
        <f t="shared" si="17"/>
        <v>1</v>
      </c>
    </row>
    <row r="84" spans="21:27" ht="14.25" customHeight="1" x14ac:dyDescent="0.2">
      <c r="U84" s="1">
        <v>82</v>
      </c>
      <c r="V84" s="1">
        <f t="shared" si="14"/>
        <v>7806</v>
      </c>
      <c r="W84" s="1">
        <f t="shared" si="15"/>
        <v>39252</v>
      </c>
      <c r="X84" s="1">
        <f t="shared" si="16"/>
        <v>5796</v>
      </c>
      <c r="Y84" s="1">
        <f t="shared" si="18"/>
        <v>0.05</v>
      </c>
      <c r="Z84" s="1">
        <f t="shared" si="19"/>
        <v>1.5</v>
      </c>
      <c r="AA84" s="1">
        <f t="shared" si="17"/>
        <v>1</v>
      </c>
    </row>
    <row r="85" spans="21:27" ht="14.25" customHeight="1" x14ac:dyDescent="0.2">
      <c r="U85" s="1">
        <v>83</v>
      </c>
      <c r="V85" s="1">
        <f t="shared" si="14"/>
        <v>8196</v>
      </c>
      <c r="W85" s="1">
        <f t="shared" si="15"/>
        <v>40884</v>
      </c>
      <c r="X85" s="1">
        <f t="shared" si="16"/>
        <v>6086</v>
      </c>
      <c r="Y85" s="1">
        <f t="shared" si="18"/>
        <v>0.05</v>
      </c>
      <c r="Z85" s="1">
        <f t="shared" si="19"/>
        <v>1.5</v>
      </c>
      <c r="AA85" s="1">
        <f t="shared" si="17"/>
        <v>1</v>
      </c>
    </row>
    <row r="86" spans="21:27" ht="14.25" customHeight="1" x14ac:dyDescent="0.2">
      <c r="U86" s="1">
        <v>84</v>
      </c>
      <c r="V86" s="1">
        <f t="shared" si="14"/>
        <v>8606</v>
      </c>
      <c r="W86" s="1">
        <f t="shared" si="15"/>
        <v>42569</v>
      </c>
      <c r="X86" s="1">
        <f t="shared" si="16"/>
        <v>6390</v>
      </c>
      <c r="Y86" s="1">
        <f t="shared" si="18"/>
        <v>0.05</v>
      </c>
      <c r="Z86" s="1">
        <f t="shared" si="19"/>
        <v>1.5</v>
      </c>
      <c r="AA86" s="1">
        <f t="shared" si="17"/>
        <v>1</v>
      </c>
    </row>
    <row r="87" spans="21:27" ht="14.25" customHeight="1" x14ac:dyDescent="0.2">
      <c r="U87" s="1">
        <v>85</v>
      </c>
      <c r="V87" s="1">
        <f t="shared" si="14"/>
        <v>9036</v>
      </c>
      <c r="W87" s="1">
        <f t="shared" si="15"/>
        <v>44308</v>
      </c>
      <c r="X87" s="1">
        <f t="shared" si="16"/>
        <v>6709</v>
      </c>
      <c r="Y87" s="1">
        <f t="shared" si="18"/>
        <v>0.05</v>
      </c>
      <c r="Z87" s="1">
        <f t="shared" si="19"/>
        <v>1.5</v>
      </c>
      <c r="AA87" s="1">
        <f t="shared" si="17"/>
        <v>1</v>
      </c>
    </row>
    <row r="88" spans="21:27" ht="14.25" customHeight="1" x14ac:dyDescent="0.2">
      <c r="U88" s="1">
        <v>86</v>
      </c>
      <c r="V88" s="1">
        <f t="shared" si="14"/>
        <v>9488</v>
      </c>
      <c r="W88" s="1">
        <f t="shared" si="15"/>
        <v>46103</v>
      </c>
      <c r="X88" s="1">
        <f t="shared" si="16"/>
        <v>7045</v>
      </c>
      <c r="Y88" s="1">
        <f t="shared" si="18"/>
        <v>0.05</v>
      </c>
      <c r="Z88" s="1">
        <f t="shared" si="19"/>
        <v>1.5</v>
      </c>
      <c r="AA88" s="1">
        <f t="shared" si="17"/>
        <v>1</v>
      </c>
    </row>
    <row r="89" spans="21:27" ht="14.25" customHeight="1" x14ac:dyDescent="0.2">
      <c r="U89" s="1">
        <v>87</v>
      </c>
      <c r="V89" s="1">
        <f t="shared" si="14"/>
        <v>9963</v>
      </c>
      <c r="W89" s="1">
        <f t="shared" si="15"/>
        <v>47952</v>
      </c>
      <c r="X89" s="1">
        <f t="shared" si="16"/>
        <v>7397</v>
      </c>
      <c r="Y89" s="1">
        <f t="shared" si="18"/>
        <v>0.05</v>
      </c>
      <c r="Z89" s="1">
        <f t="shared" si="19"/>
        <v>1.5</v>
      </c>
      <c r="AA89" s="1">
        <f t="shared" si="17"/>
        <v>1</v>
      </c>
    </row>
    <row r="90" spans="21:27" ht="14.25" customHeight="1" x14ac:dyDescent="0.2">
      <c r="U90" s="1">
        <v>88</v>
      </c>
      <c r="V90" s="1">
        <f t="shared" si="14"/>
        <v>10461</v>
      </c>
      <c r="W90" s="1">
        <f t="shared" si="15"/>
        <v>49856</v>
      </c>
      <c r="X90" s="1">
        <f t="shared" si="16"/>
        <v>7767</v>
      </c>
      <c r="Y90" s="1">
        <f t="shared" si="18"/>
        <v>0.05</v>
      </c>
      <c r="Z90" s="1">
        <f t="shared" si="19"/>
        <v>1.5</v>
      </c>
      <c r="AA90" s="1">
        <f t="shared" si="17"/>
        <v>1</v>
      </c>
    </row>
    <row r="91" spans="21:27" ht="14.25" customHeight="1" x14ac:dyDescent="0.2">
      <c r="U91" s="1">
        <v>89</v>
      </c>
      <c r="V91" s="1">
        <f t="shared" si="14"/>
        <v>10984</v>
      </c>
      <c r="W91" s="1">
        <f t="shared" si="15"/>
        <v>51816</v>
      </c>
      <c r="X91" s="1">
        <f t="shared" si="16"/>
        <v>8155</v>
      </c>
      <c r="Y91" s="1">
        <f t="shared" si="18"/>
        <v>0.05</v>
      </c>
      <c r="Z91" s="1">
        <f t="shared" si="19"/>
        <v>1.5</v>
      </c>
      <c r="AA91" s="1">
        <f t="shared" si="17"/>
        <v>1</v>
      </c>
    </row>
    <row r="92" spans="21:27" ht="14.25" customHeight="1" x14ac:dyDescent="0.2">
      <c r="U92" s="1">
        <v>90</v>
      </c>
      <c r="V92" s="1">
        <f t="shared" si="14"/>
        <v>11533</v>
      </c>
      <c r="W92" s="1">
        <f t="shared" si="15"/>
        <v>53832</v>
      </c>
      <c r="X92" s="1">
        <f t="shared" si="16"/>
        <v>8563</v>
      </c>
      <c r="Y92" s="1">
        <f t="shared" si="18"/>
        <v>0.05</v>
      </c>
      <c r="Z92" s="1">
        <f t="shared" si="19"/>
        <v>1.5</v>
      </c>
      <c r="AA92" s="1">
        <f t="shared" si="17"/>
        <v>1</v>
      </c>
    </row>
    <row r="93" spans="21:27" ht="14.25" customHeight="1" x14ac:dyDescent="0.2">
      <c r="U93" s="1">
        <v>91</v>
      </c>
      <c r="V93" s="1">
        <f t="shared" si="14"/>
        <v>12110</v>
      </c>
      <c r="W93" s="1">
        <f t="shared" si="15"/>
        <v>55903</v>
      </c>
      <c r="X93" s="1">
        <f t="shared" si="16"/>
        <v>8991</v>
      </c>
      <c r="Y93" s="1">
        <f t="shared" si="18"/>
        <v>0.05</v>
      </c>
      <c r="Z93" s="1">
        <f t="shared" si="19"/>
        <v>1.5</v>
      </c>
      <c r="AA93" s="1">
        <f t="shared" si="17"/>
        <v>1</v>
      </c>
    </row>
    <row r="94" spans="21:27" ht="14.25" customHeight="1" x14ac:dyDescent="0.2">
      <c r="U94" s="1">
        <v>92</v>
      </c>
      <c r="V94" s="1">
        <f t="shared" si="14"/>
        <v>12715</v>
      </c>
      <c r="W94" s="1">
        <f t="shared" si="15"/>
        <v>58029</v>
      </c>
      <c r="X94" s="1">
        <f t="shared" si="16"/>
        <v>9441</v>
      </c>
      <c r="Y94" s="1">
        <f t="shared" si="18"/>
        <v>0.05</v>
      </c>
      <c r="Z94" s="1">
        <f t="shared" si="19"/>
        <v>1.5</v>
      </c>
      <c r="AA94" s="1">
        <f t="shared" si="17"/>
        <v>1</v>
      </c>
    </row>
    <row r="95" spans="21:27" ht="14.25" customHeight="1" x14ac:dyDescent="0.2">
      <c r="U95" s="1">
        <v>93</v>
      </c>
      <c r="V95" s="1">
        <f t="shared" si="14"/>
        <v>13351</v>
      </c>
      <c r="W95" s="1">
        <f t="shared" si="15"/>
        <v>60210</v>
      </c>
      <c r="X95" s="1">
        <f t="shared" si="16"/>
        <v>9913</v>
      </c>
      <c r="Y95" s="1">
        <f t="shared" si="18"/>
        <v>0.05</v>
      </c>
      <c r="Z95" s="1">
        <f t="shared" si="19"/>
        <v>1.5</v>
      </c>
      <c r="AA95" s="1">
        <f t="shared" si="17"/>
        <v>1</v>
      </c>
    </row>
    <row r="96" spans="21:27" ht="14.25" customHeight="1" x14ac:dyDescent="0.2">
      <c r="U96" s="1">
        <v>94</v>
      </c>
      <c r="V96" s="1">
        <f t="shared" si="14"/>
        <v>14018</v>
      </c>
      <c r="W96" s="1">
        <f t="shared" si="15"/>
        <v>62445</v>
      </c>
      <c r="X96" s="1">
        <f t="shared" si="16"/>
        <v>10409</v>
      </c>
      <c r="Y96" s="1">
        <f t="shared" si="18"/>
        <v>0.05</v>
      </c>
      <c r="Z96" s="1">
        <f t="shared" si="19"/>
        <v>1.5</v>
      </c>
      <c r="AA96" s="1">
        <f t="shared" si="17"/>
        <v>1</v>
      </c>
    </row>
    <row r="97" spans="21:27" ht="14.25" customHeight="1" x14ac:dyDescent="0.2">
      <c r="U97" s="1">
        <v>95</v>
      </c>
      <c r="V97" s="1">
        <f t="shared" si="14"/>
        <v>14719</v>
      </c>
      <c r="W97" s="1">
        <f t="shared" si="15"/>
        <v>64733</v>
      </c>
      <c r="X97" s="1">
        <f t="shared" si="16"/>
        <v>10929</v>
      </c>
      <c r="Y97" s="1">
        <f t="shared" si="18"/>
        <v>0.05</v>
      </c>
      <c r="Z97" s="1">
        <f t="shared" si="19"/>
        <v>1.5</v>
      </c>
      <c r="AA97" s="1">
        <f t="shared" si="17"/>
        <v>1</v>
      </c>
    </row>
    <row r="98" spans="21:27" ht="14.25" customHeight="1" x14ac:dyDescent="0.2">
      <c r="U98" s="1">
        <v>96</v>
      </c>
      <c r="V98" s="1">
        <f t="shared" si="14"/>
        <v>15455</v>
      </c>
      <c r="W98" s="1">
        <f t="shared" si="15"/>
        <v>67074</v>
      </c>
      <c r="X98" s="1">
        <f t="shared" si="16"/>
        <v>11475</v>
      </c>
      <c r="Y98" s="1">
        <f t="shared" si="18"/>
        <v>0.05</v>
      </c>
      <c r="Z98" s="1">
        <f t="shared" si="19"/>
        <v>1.5</v>
      </c>
      <c r="AA98" s="1">
        <f t="shared" si="17"/>
        <v>1</v>
      </c>
    </row>
    <row r="99" spans="21:27" ht="14.25" customHeight="1" x14ac:dyDescent="0.2">
      <c r="U99" s="1">
        <v>97</v>
      </c>
      <c r="V99" s="1">
        <f t="shared" si="14"/>
        <v>16228</v>
      </c>
      <c r="W99" s="1">
        <f t="shared" si="15"/>
        <v>69467</v>
      </c>
      <c r="X99" s="1">
        <f t="shared" si="16"/>
        <v>12049</v>
      </c>
      <c r="Y99" s="1">
        <f t="shared" si="18"/>
        <v>0.05</v>
      </c>
      <c r="Z99" s="1">
        <f t="shared" si="19"/>
        <v>1.5</v>
      </c>
      <c r="AA99" s="1">
        <f t="shared" si="17"/>
        <v>1</v>
      </c>
    </row>
    <row r="100" spans="21:27" ht="14.25" customHeight="1" x14ac:dyDescent="0.2">
      <c r="U100" s="1">
        <v>98</v>
      </c>
      <c r="V100" s="1">
        <f t="shared" si="14"/>
        <v>17039</v>
      </c>
      <c r="W100" s="1">
        <f t="shared" si="15"/>
        <v>71910</v>
      </c>
      <c r="X100" s="1">
        <f t="shared" si="16"/>
        <v>12652</v>
      </c>
      <c r="Y100" s="1">
        <f t="shared" si="18"/>
        <v>0.05</v>
      </c>
      <c r="Z100" s="1">
        <f t="shared" si="19"/>
        <v>1.5</v>
      </c>
      <c r="AA100" s="1">
        <f t="shared" si="17"/>
        <v>1</v>
      </c>
    </row>
    <row r="101" spans="21:27" ht="14.25" customHeight="1" x14ac:dyDescent="0.2">
      <c r="U101" s="1">
        <v>99</v>
      </c>
      <c r="V101" s="1">
        <f t="shared" si="14"/>
        <v>17891</v>
      </c>
      <c r="W101" s="1">
        <f t="shared" si="15"/>
        <v>74402</v>
      </c>
      <c r="X101" s="1">
        <f t="shared" si="16"/>
        <v>13284</v>
      </c>
      <c r="Y101" s="1">
        <f t="shared" si="18"/>
        <v>0.05</v>
      </c>
      <c r="Z101" s="1">
        <f t="shared" si="19"/>
        <v>1.5</v>
      </c>
      <c r="AA101" s="1">
        <f t="shared" si="17"/>
        <v>1</v>
      </c>
    </row>
    <row r="102" spans="21:27" ht="14.25" customHeight="1" x14ac:dyDescent="0.2">
      <c r="U102" s="1">
        <v>100</v>
      </c>
      <c r="V102" s="1">
        <f t="shared" si="14"/>
        <v>18786</v>
      </c>
      <c r="W102" s="1">
        <f t="shared" si="15"/>
        <v>76941</v>
      </c>
      <c r="X102" s="1">
        <f t="shared" si="16"/>
        <v>13949</v>
      </c>
      <c r="Y102" s="1">
        <f t="shared" si="18"/>
        <v>0.05</v>
      </c>
      <c r="Z102" s="1">
        <f t="shared" si="19"/>
        <v>1.5</v>
      </c>
      <c r="AA102" s="1">
        <f t="shared" si="17"/>
        <v>1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W3:W9 W10:W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2023-01-16T08:32:52Z</dcterms:modified>
</cp:coreProperties>
</file>
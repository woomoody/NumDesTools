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updateLinks="always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0604269C-EECE-4138-BE41-190F9ACFE81E}" xr6:coauthVersionLast="47" xr6:coauthVersionMax="47" xr10:uidLastSave="{00000000-0000-0000-0000-000000000000}"/>
  <bookViews>
    <workbookView xWindow="-120" yWindow="-120" windowWidth="29040" windowHeight="15720" activeTab="1" xr2:uid="{1A43F594-E40F-48AA-93E3-9F5F3F4EE1B9}"/>
  </bookViews>
  <sheets>
    <sheet name="角色基础" sheetId="1" r:id="rId1"/>
    <sheet name="怪物基础" sheetId="2" r:id="rId2"/>
    <sheet name="角色技能" sheetId="3" r:id="rId3"/>
    <sheet name="怪物技能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9" i="2" l="1"/>
  <c r="Z2" i="2"/>
  <c r="Z4" i="2"/>
  <c r="Z1" i="2"/>
  <c r="W2" i="2"/>
  <c r="W1" i="2"/>
  <c r="X17" i="2"/>
  <c r="X18" i="2"/>
  <c r="X16" i="2"/>
  <c r="X14" i="2"/>
  <c r="X2" i="2"/>
  <c r="U3" i="2"/>
  <c r="U4" i="2" s="1"/>
  <c r="W4" i="2" s="1"/>
  <c r="U2" i="2"/>
  <c r="Z13" i="2"/>
  <c r="W16" i="2"/>
  <c r="Z18" i="2"/>
  <c r="Z14" i="2"/>
  <c r="Z15" i="2"/>
  <c r="Z16" i="2"/>
  <c r="Z17" i="2"/>
  <c r="P13" i="2"/>
  <c r="O12" i="2"/>
  <c r="P12" i="2"/>
  <c r="W15" i="2"/>
  <c r="S18" i="2"/>
  <c r="S16" i="2"/>
  <c r="W14" i="2"/>
  <c r="W17" i="2"/>
  <c r="W18" i="2"/>
  <c r="W13" i="2"/>
  <c r="X5" i="2"/>
  <c r="X6" i="2" s="1"/>
  <c r="Z6" i="2" s="1"/>
  <c r="X3" i="2"/>
  <c r="Z3" i="2" s="1"/>
  <c r="Q15" i="2"/>
  <c r="P15" i="2"/>
  <c r="P18" i="2"/>
  <c r="Q18" i="2"/>
  <c r="Q19" i="2"/>
  <c r="P19" i="2"/>
  <c r="T24" i="2"/>
  <c r="S24" i="2"/>
  <c r="J18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R24" i="2"/>
  <c r="N24" i="2"/>
  <c r="S31" i="2"/>
  <c r="T31" i="2"/>
  <c r="U31" i="2"/>
  <c r="S32" i="2"/>
  <c r="T32" i="2"/>
  <c r="U32" i="2"/>
  <c r="S33" i="2"/>
  <c r="T33" i="2"/>
  <c r="U33" i="2"/>
  <c r="S34" i="2"/>
  <c r="T34" i="2"/>
  <c r="U34" i="2"/>
  <c r="S35" i="2"/>
  <c r="T35" i="2"/>
  <c r="U35" i="2"/>
  <c r="S36" i="2"/>
  <c r="T36" i="2"/>
  <c r="U36" i="2"/>
  <c r="S37" i="2"/>
  <c r="T37" i="2"/>
  <c r="U37" i="2"/>
  <c r="S38" i="2"/>
  <c r="T38" i="2"/>
  <c r="U38" i="2"/>
  <c r="S39" i="2"/>
  <c r="T39" i="2"/>
  <c r="U39" i="2"/>
  <c r="S40" i="2"/>
  <c r="T40" i="2"/>
  <c r="U40" i="2"/>
  <c r="S41" i="2"/>
  <c r="T41" i="2"/>
  <c r="U41" i="2"/>
  <c r="S42" i="2"/>
  <c r="T42" i="2"/>
  <c r="U42" i="2"/>
  <c r="S43" i="2"/>
  <c r="T43" i="2"/>
  <c r="U43" i="2"/>
  <c r="S44" i="2"/>
  <c r="T44" i="2"/>
  <c r="U44" i="2"/>
  <c r="S45" i="2"/>
  <c r="T45" i="2"/>
  <c r="U45" i="2"/>
  <c r="S46" i="2"/>
  <c r="T46" i="2"/>
  <c r="U46" i="2"/>
  <c r="S47" i="2"/>
  <c r="T47" i="2"/>
  <c r="U47" i="2"/>
  <c r="S48" i="2"/>
  <c r="T48" i="2"/>
  <c r="U48" i="2"/>
  <c r="S49" i="2"/>
  <c r="T49" i="2"/>
  <c r="U49" i="2"/>
  <c r="S50" i="2"/>
  <c r="T50" i="2"/>
  <c r="U50" i="2"/>
  <c r="S51" i="2"/>
  <c r="T51" i="2"/>
  <c r="U51" i="2"/>
  <c r="S52" i="2"/>
  <c r="T52" i="2"/>
  <c r="U52" i="2"/>
  <c r="S53" i="2"/>
  <c r="T53" i="2"/>
  <c r="U53" i="2"/>
  <c r="S54" i="2"/>
  <c r="T54" i="2"/>
  <c r="U54" i="2"/>
  <c r="S55" i="2"/>
  <c r="T55" i="2"/>
  <c r="U55" i="2"/>
  <c r="S56" i="2"/>
  <c r="T56" i="2"/>
  <c r="U56" i="2"/>
  <c r="S57" i="2"/>
  <c r="T57" i="2"/>
  <c r="U57" i="2"/>
  <c r="S58" i="2"/>
  <c r="T58" i="2"/>
  <c r="U58" i="2"/>
  <c r="S59" i="2"/>
  <c r="T59" i="2"/>
  <c r="U59" i="2"/>
  <c r="S60" i="2"/>
  <c r="T60" i="2"/>
  <c r="U60" i="2"/>
  <c r="S61" i="2"/>
  <c r="T61" i="2"/>
  <c r="U61" i="2"/>
  <c r="S62" i="2"/>
  <c r="T62" i="2"/>
  <c r="U62" i="2"/>
  <c r="S63" i="2"/>
  <c r="T63" i="2"/>
  <c r="U63" i="2"/>
  <c r="S64" i="2"/>
  <c r="T64" i="2"/>
  <c r="U64" i="2"/>
  <c r="S65" i="2"/>
  <c r="T65" i="2"/>
  <c r="U65" i="2"/>
  <c r="S66" i="2"/>
  <c r="T66" i="2"/>
  <c r="U66" i="2"/>
  <c r="S67" i="2"/>
  <c r="T67" i="2"/>
  <c r="U67" i="2"/>
  <c r="S68" i="2"/>
  <c r="T68" i="2"/>
  <c r="U68" i="2"/>
  <c r="S69" i="2"/>
  <c r="T69" i="2"/>
  <c r="U69" i="2"/>
  <c r="S70" i="2"/>
  <c r="T70" i="2"/>
  <c r="U70" i="2"/>
  <c r="S71" i="2"/>
  <c r="T71" i="2"/>
  <c r="U71" i="2"/>
  <c r="S72" i="2"/>
  <c r="T72" i="2"/>
  <c r="U72" i="2"/>
  <c r="S73" i="2"/>
  <c r="T73" i="2"/>
  <c r="U73" i="2"/>
  <c r="S74" i="2"/>
  <c r="T74" i="2"/>
  <c r="U74" i="2"/>
  <c r="S75" i="2"/>
  <c r="T75" i="2"/>
  <c r="U75" i="2"/>
  <c r="S76" i="2"/>
  <c r="T76" i="2"/>
  <c r="U76" i="2"/>
  <c r="S77" i="2"/>
  <c r="T77" i="2"/>
  <c r="U77" i="2"/>
  <c r="S78" i="2"/>
  <c r="T78" i="2"/>
  <c r="U78" i="2"/>
  <c r="S79" i="2"/>
  <c r="T79" i="2"/>
  <c r="U79" i="2"/>
  <c r="S80" i="2"/>
  <c r="T80" i="2"/>
  <c r="U80" i="2"/>
  <c r="S81" i="2"/>
  <c r="T81" i="2"/>
  <c r="U81" i="2"/>
  <c r="S82" i="2"/>
  <c r="T82" i="2"/>
  <c r="U82" i="2"/>
  <c r="S83" i="2"/>
  <c r="T83" i="2"/>
  <c r="U83" i="2"/>
  <c r="S84" i="2"/>
  <c r="T84" i="2"/>
  <c r="U84" i="2"/>
  <c r="S85" i="2"/>
  <c r="T85" i="2"/>
  <c r="U85" i="2"/>
  <c r="S86" i="2"/>
  <c r="T86" i="2"/>
  <c r="U86" i="2"/>
  <c r="S87" i="2"/>
  <c r="T87" i="2"/>
  <c r="U87" i="2"/>
  <c r="S88" i="2"/>
  <c r="T88" i="2"/>
  <c r="U88" i="2"/>
  <c r="S89" i="2"/>
  <c r="T89" i="2"/>
  <c r="U89" i="2"/>
  <c r="S90" i="2"/>
  <c r="T90" i="2"/>
  <c r="U90" i="2"/>
  <c r="S91" i="2"/>
  <c r="T91" i="2"/>
  <c r="U91" i="2"/>
  <c r="S92" i="2"/>
  <c r="T92" i="2"/>
  <c r="U92" i="2"/>
  <c r="S93" i="2"/>
  <c r="T93" i="2"/>
  <c r="U93" i="2"/>
  <c r="S94" i="2"/>
  <c r="T94" i="2"/>
  <c r="U94" i="2"/>
  <c r="S95" i="2"/>
  <c r="T95" i="2"/>
  <c r="U95" i="2"/>
  <c r="S96" i="2"/>
  <c r="T96" i="2"/>
  <c r="U96" i="2"/>
  <c r="S97" i="2"/>
  <c r="T97" i="2"/>
  <c r="U97" i="2"/>
  <c r="S98" i="2"/>
  <c r="T98" i="2"/>
  <c r="U98" i="2"/>
  <c r="S99" i="2"/>
  <c r="T99" i="2"/>
  <c r="U99" i="2"/>
  <c r="S100" i="2"/>
  <c r="T100" i="2"/>
  <c r="U100" i="2"/>
  <c r="S101" i="2"/>
  <c r="T101" i="2"/>
  <c r="U101" i="2"/>
  <c r="S102" i="2"/>
  <c r="T102" i="2"/>
  <c r="U102" i="2"/>
  <c r="S103" i="2"/>
  <c r="T103" i="2"/>
  <c r="U103" i="2"/>
  <c r="S104" i="2"/>
  <c r="T104" i="2"/>
  <c r="U104" i="2"/>
  <c r="S105" i="2"/>
  <c r="T105" i="2"/>
  <c r="U105" i="2"/>
  <c r="S106" i="2"/>
  <c r="T106" i="2"/>
  <c r="U106" i="2"/>
  <c r="S107" i="2"/>
  <c r="T107" i="2"/>
  <c r="U107" i="2"/>
  <c r="S108" i="2"/>
  <c r="T108" i="2"/>
  <c r="U108" i="2"/>
  <c r="S109" i="2"/>
  <c r="T109" i="2"/>
  <c r="U109" i="2"/>
  <c r="S110" i="2"/>
  <c r="T110" i="2"/>
  <c r="U110" i="2"/>
  <c r="S111" i="2"/>
  <c r="T111" i="2"/>
  <c r="U111" i="2"/>
  <c r="S112" i="2"/>
  <c r="T112" i="2"/>
  <c r="U112" i="2"/>
  <c r="S113" i="2"/>
  <c r="T113" i="2"/>
  <c r="U113" i="2"/>
  <c r="S114" i="2"/>
  <c r="T114" i="2"/>
  <c r="U114" i="2"/>
  <c r="S115" i="2"/>
  <c r="T115" i="2"/>
  <c r="U115" i="2"/>
  <c r="S116" i="2"/>
  <c r="T116" i="2"/>
  <c r="U116" i="2"/>
  <c r="S117" i="2"/>
  <c r="T117" i="2"/>
  <c r="U117" i="2"/>
  <c r="S118" i="2"/>
  <c r="T118" i="2"/>
  <c r="U118" i="2"/>
  <c r="S119" i="2"/>
  <c r="T119" i="2"/>
  <c r="U119" i="2"/>
  <c r="S120" i="2"/>
  <c r="T120" i="2"/>
  <c r="U120" i="2"/>
  <c r="S121" i="2"/>
  <c r="T121" i="2"/>
  <c r="U121" i="2"/>
  <c r="S122" i="2"/>
  <c r="T122" i="2"/>
  <c r="U122" i="2"/>
  <c r="S123" i="2"/>
  <c r="T123" i="2"/>
  <c r="U123" i="2"/>
  <c r="S25" i="2"/>
  <c r="T25" i="2"/>
  <c r="U25" i="2"/>
  <c r="S26" i="2"/>
  <c r="T26" i="2"/>
  <c r="U26" i="2"/>
  <c r="S27" i="2"/>
  <c r="T27" i="2"/>
  <c r="U27" i="2"/>
  <c r="S28" i="2"/>
  <c r="T28" i="2"/>
  <c r="U28" i="2"/>
  <c r="S29" i="2"/>
  <c r="T29" i="2"/>
  <c r="U29" i="2"/>
  <c r="S30" i="2"/>
  <c r="T30" i="2"/>
  <c r="U30" i="2"/>
  <c r="U24" i="2"/>
  <c r="Q52" i="2"/>
  <c r="Q57" i="2"/>
  <c r="Q58" i="2"/>
  <c r="Q59" i="2"/>
  <c r="Q68" i="2"/>
  <c r="Q69" i="2"/>
  <c r="Q71" i="2"/>
  <c r="Q76" i="2"/>
  <c r="Q77" i="2"/>
  <c r="Q116" i="2"/>
  <c r="Q117" i="2"/>
  <c r="Q118" i="2"/>
  <c r="Q121" i="2"/>
  <c r="Q123" i="2"/>
  <c r="L56" i="2"/>
  <c r="L68" i="2"/>
  <c r="L74" i="2"/>
  <c r="L75" i="2"/>
  <c r="L76" i="2"/>
  <c r="L101" i="2"/>
  <c r="L107" i="2"/>
  <c r="L108" i="2"/>
  <c r="L113" i="2"/>
  <c r="L114" i="2"/>
  <c r="C29" i="2"/>
  <c r="C30" i="2"/>
  <c r="D30" i="2"/>
  <c r="D32" i="2"/>
  <c r="C34" i="2"/>
  <c r="D34" i="2"/>
  <c r="C35" i="2"/>
  <c r="D35" i="2"/>
  <c r="E35" i="2"/>
  <c r="C36" i="2"/>
  <c r="C42" i="2"/>
  <c r="E42" i="2"/>
  <c r="C43" i="2"/>
  <c r="D43" i="2"/>
  <c r="E43" i="2"/>
  <c r="C44" i="2"/>
  <c r="C46" i="2"/>
  <c r="C47" i="2"/>
  <c r="D47" i="2"/>
  <c r="E47" i="2"/>
  <c r="C48" i="2"/>
  <c r="C54" i="2"/>
  <c r="C55" i="2"/>
  <c r="D55" i="2"/>
  <c r="E55" i="2"/>
  <c r="C56" i="2"/>
  <c r="D56" i="2"/>
  <c r="E56" i="2"/>
  <c r="C57" i="2"/>
  <c r="D57" i="2"/>
  <c r="D59" i="2"/>
  <c r="D60" i="2"/>
  <c r="C61" i="2"/>
  <c r="C67" i="2"/>
  <c r="E67" i="2"/>
  <c r="C68" i="2"/>
  <c r="D68" i="2"/>
  <c r="E68" i="2"/>
  <c r="C69" i="2"/>
  <c r="D69" i="2"/>
  <c r="C70" i="2"/>
  <c r="D70" i="2"/>
  <c r="D72" i="2"/>
  <c r="C74" i="2"/>
  <c r="C81" i="2"/>
  <c r="D81" i="2"/>
  <c r="C82" i="2"/>
  <c r="D82" i="2"/>
  <c r="C83" i="2"/>
  <c r="D83" i="2"/>
  <c r="C84" i="2"/>
  <c r="C86" i="2"/>
  <c r="C87" i="2"/>
  <c r="C94" i="2"/>
  <c r="D94" i="2"/>
  <c r="C95" i="2"/>
  <c r="D95" i="2"/>
  <c r="E95" i="2"/>
  <c r="C96" i="2"/>
  <c r="D96" i="2"/>
  <c r="E96" i="2"/>
  <c r="C97" i="2"/>
  <c r="D97" i="2"/>
  <c r="C104" i="2"/>
  <c r="C106" i="2"/>
  <c r="C107" i="2"/>
  <c r="D107" i="2"/>
  <c r="E107" i="2"/>
  <c r="C108" i="2"/>
  <c r="D108" i="2"/>
  <c r="E108" i="2"/>
  <c r="C109" i="2"/>
  <c r="D109" i="2"/>
  <c r="C110" i="2"/>
  <c r="D110" i="2"/>
  <c r="C117" i="2"/>
  <c r="D117" i="2"/>
  <c r="D119" i="2"/>
  <c r="D120" i="2"/>
  <c r="E120" i="2"/>
  <c r="C121" i="2"/>
  <c r="D121" i="2"/>
  <c r="C122" i="2"/>
  <c r="D122" i="2"/>
  <c r="C123" i="2"/>
  <c r="I122" i="2"/>
  <c r="L122" i="2" s="1"/>
  <c r="I123" i="2"/>
  <c r="L123" i="2" s="1"/>
  <c r="I104" i="2"/>
  <c r="I105" i="2"/>
  <c r="L105" i="2" s="1"/>
  <c r="I106" i="2"/>
  <c r="L106" i="2" s="1"/>
  <c r="I107" i="2"/>
  <c r="Q107" i="2" s="1"/>
  <c r="I108" i="2"/>
  <c r="Q108" i="2" s="1"/>
  <c r="I109" i="2"/>
  <c r="L109" i="2" s="1"/>
  <c r="I110" i="2"/>
  <c r="I111" i="2"/>
  <c r="I112" i="2"/>
  <c r="G113" i="2"/>
  <c r="I113" i="2"/>
  <c r="Q113" i="2" s="1"/>
  <c r="G114" i="2"/>
  <c r="I114" i="2"/>
  <c r="Q114" i="2" s="1"/>
  <c r="I115" i="2"/>
  <c r="L115" i="2" s="1"/>
  <c r="I116" i="2"/>
  <c r="L116" i="2" s="1"/>
  <c r="I117" i="2"/>
  <c r="L117" i="2" s="1"/>
  <c r="I118" i="2"/>
  <c r="L118" i="2" s="1"/>
  <c r="I119" i="2"/>
  <c r="I120" i="2"/>
  <c r="I121" i="2"/>
  <c r="L121" i="2" s="1"/>
  <c r="I88" i="2"/>
  <c r="L88" i="2" s="1"/>
  <c r="I89" i="2"/>
  <c r="L89" i="2" s="1"/>
  <c r="I90" i="2"/>
  <c r="L90" i="2" s="1"/>
  <c r="G91" i="2"/>
  <c r="I91" i="2"/>
  <c r="I92" i="2"/>
  <c r="I93" i="2"/>
  <c r="I94" i="2"/>
  <c r="Q94" i="2" s="1"/>
  <c r="I95" i="2"/>
  <c r="L95" i="2" s="1"/>
  <c r="I96" i="2"/>
  <c r="L96" i="2" s="1"/>
  <c r="I97" i="2"/>
  <c r="L97" i="2" s="1"/>
  <c r="I98" i="2"/>
  <c r="Q98" i="2" s="1"/>
  <c r="I99" i="2"/>
  <c r="Q99" i="2" s="1"/>
  <c r="I100" i="2"/>
  <c r="L100" i="2" s="1"/>
  <c r="I101" i="2"/>
  <c r="Q101" i="2" s="1"/>
  <c r="I102" i="2"/>
  <c r="L102" i="2" s="1"/>
  <c r="I103" i="2"/>
  <c r="I38" i="2"/>
  <c r="Q38" i="2" s="1"/>
  <c r="I39" i="2"/>
  <c r="L39" i="2" s="1"/>
  <c r="I40" i="2"/>
  <c r="L40" i="2" s="1"/>
  <c r="I41" i="2"/>
  <c r="L41" i="2" s="1"/>
  <c r="I42" i="2"/>
  <c r="L42" i="2" s="1"/>
  <c r="I43" i="2"/>
  <c r="L43" i="2" s="1"/>
  <c r="I44" i="2"/>
  <c r="I45" i="2"/>
  <c r="I46" i="2"/>
  <c r="I47" i="2"/>
  <c r="I48" i="2"/>
  <c r="L48" i="2" s="1"/>
  <c r="I49" i="2"/>
  <c r="L49" i="2" s="1"/>
  <c r="I50" i="2"/>
  <c r="L50" i="2" s="1"/>
  <c r="I51" i="2"/>
  <c r="L51" i="2" s="1"/>
  <c r="I52" i="2"/>
  <c r="L52" i="2" s="1"/>
  <c r="I53" i="2"/>
  <c r="I54" i="2"/>
  <c r="Q54" i="2" s="1"/>
  <c r="I55" i="2"/>
  <c r="Q55" i="2" s="1"/>
  <c r="I56" i="2"/>
  <c r="Q56" i="2" s="1"/>
  <c r="I57" i="2"/>
  <c r="L57" i="2" s="1"/>
  <c r="I58" i="2"/>
  <c r="L58" i="2" s="1"/>
  <c r="I59" i="2"/>
  <c r="L59" i="2" s="1"/>
  <c r="G60" i="2"/>
  <c r="I60" i="2"/>
  <c r="L60" i="2" s="1"/>
  <c r="I61" i="2"/>
  <c r="L61" i="2" s="1"/>
  <c r="I62" i="2"/>
  <c r="L62" i="2" s="1"/>
  <c r="I63" i="2"/>
  <c r="L63" i="2" s="1"/>
  <c r="I64" i="2"/>
  <c r="I65" i="2"/>
  <c r="I66" i="2"/>
  <c r="G67" i="2"/>
  <c r="I67" i="2"/>
  <c r="L67" i="2" s="1"/>
  <c r="I68" i="2"/>
  <c r="I69" i="2"/>
  <c r="L69" i="2" s="1"/>
  <c r="I70" i="2"/>
  <c r="L70" i="2" s="1"/>
  <c r="I71" i="2"/>
  <c r="L71" i="2" s="1"/>
  <c r="I72" i="2"/>
  <c r="I73" i="2"/>
  <c r="Q73" i="2" s="1"/>
  <c r="I74" i="2"/>
  <c r="Q74" i="2" s="1"/>
  <c r="I75" i="2"/>
  <c r="Q75" i="2" s="1"/>
  <c r="I76" i="2"/>
  <c r="I77" i="2"/>
  <c r="L77" i="2" s="1"/>
  <c r="G78" i="2"/>
  <c r="I78" i="2"/>
  <c r="L78" i="2" s="1"/>
  <c r="G79" i="2"/>
  <c r="I79" i="2"/>
  <c r="L79" i="2" s="1"/>
  <c r="I80" i="2"/>
  <c r="L80" i="2" s="1"/>
  <c r="I81" i="2"/>
  <c r="L81" i="2" s="1"/>
  <c r="I82" i="2"/>
  <c r="L82" i="2" s="1"/>
  <c r="I83" i="2"/>
  <c r="L83" i="2" s="1"/>
  <c r="I84" i="2"/>
  <c r="I85" i="2"/>
  <c r="I86" i="2"/>
  <c r="L86" i="2" s="1"/>
  <c r="I87" i="2"/>
  <c r="L87" i="2" s="1"/>
  <c r="I25" i="2"/>
  <c r="L25" i="2" s="1"/>
  <c r="I26" i="2"/>
  <c r="I27" i="2"/>
  <c r="I28" i="2"/>
  <c r="I29" i="2"/>
  <c r="L29" i="2" s="1"/>
  <c r="I30" i="2"/>
  <c r="L30" i="2" s="1"/>
  <c r="I31" i="2"/>
  <c r="Q31" i="2" s="1"/>
  <c r="I32" i="2"/>
  <c r="Q32" i="2" s="1"/>
  <c r="I33" i="2"/>
  <c r="Q33" i="2" s="1"/>
  <c r="I34" i="2"/>
  <c r="Q34" i="2" s="1"/>
  <c r="I35" i="2"/>
  <c r="I36" i="2"/>
  <c r="I37" i="2"/>
  <c r="Q37" i="2" s="1"/>
  <c r="I24" i="2"/>
  <c r="Q24" i="2" s="1"/>
  <c r="K18" i="2"/>
  <c r="G22" i="2" s="1"/>
  <c r="G106" i="2" s="1"/>
  <c r="H16" i="2"/>
  <c r="H14" i="2"/>
  <c r="D16" i="2"/>
  <c r="E73" i="2" s="1"/>
  <c r="D15" i="2"/>
  <c r="D44" i="2" s="1"/>
  <c r="D14" i="2"/>
  <c r="C31" i="2" s="1"/>
  <c r="E8" i="2"/>
  <c r="F8" i="2"/>
  <c r="G8" i="2"/>
  <c r="H8" i="2"/>
  <c r="I8" i="2"/>
  <c r="E9" i="2"/>
  <c r="F9" i="2"/>
  <c r="G9" i="2"/>
  <c r="G17" i="2" s="1"/>
  <c r="H9" i="2"/>
  <c r="H17" i="2" s="1"/>
  <c r="I9" i="2"/>
  <c r="I17" i="2" s="1"/>
  <c r="E6" i="2"/>
  <c r="F6" i="2"/>
  <c r="G6" i="2"/>
  <c r="H6" i="2"/>
  <c r="H15" i="2" s="1"/>
  <c r="I6" i="2"/>
  <c r="E7" i="2"/>
  <c r="F7" i="2"/>
  <c r="G7" i="2"/>
  <c r="H7" i="2"/>
  <c r="I7" i="2"/>
  <c r="F5" i="2"/>
  <c r="G5" i="2"/>
  <c r="H5" i="2"/>
  <c r="H13" i="2" s="1"/>
  <c r="I5" i="2"/>
  <c r="E5" i="2"/>
  <c r="W3" i="2" l="1"/>
  <c r="X7" i="2"/>
  <c r="Z5" i="2"/>
  <c r="U5" i="2"/>
  <c r="W5" i="2" s="1"/>
  <c r="W20" i="2"/>
  <c r="Z20" i="2"/>
  <c r="Q61" i="2"/>
  <c r="G90" i="2"/>
  <c r="E116" i="2"/>
  <c r="D92" i="2"/>
  <c r="D79" i="2"/>
  <c r="D67" i="2"/>
  <c r="D54" i="2"/>
  <c r="Q109" i="2"/>
  <c r="Q106" i="2"/>
  <c r="C116" i="2"/>
  <c r="D103" i="2"/>
  <c r="C90" i="2"/>
  <c r="C77" i="2"/>
  <c r="C66" i="2"/>
  <c r="D52" i="2"/>
  <c r="C41" i="2"/>
  <c r="D28" i="2"/>
  <c r="L54" i="2"/>
  <c r="Q102" i="2"/>
  <c r="Q48" i="2"/>
  <c r="D29" i="2"/>
  <c r="D90" i="2"/>
  <c r="I13" i="2"/>
  <c r="I14" i="2" s="1"/>
  <c r="I15" i="2" s="1"/>
  <c r="I16" i="2" s="1"/>
  <c r="J16" i="2" s="1"/>
  <c r="G105" i="2"/>
  <c r="E115" i="2"/>
  <c r="C103" i="2"/>
  <c r="D89" i="2"/>
  <c r="E76" i="2"/>
  <c r="C64" i="2"/>
  <c r="D50" i="2"/>
  <c r="D40" i="2"/>
  <c r="C28" i="2"/>
  <c r="L38" i="2"/>
  <c r="Q95" i="2"/>
  <c r="Q43" i="2"/>
  <c r="L94" i="2"/>
  <c r="D41" i="2"/>
  <c r="G87" i="2"/>
  <c r="J87" i="2" s="1"/>
  <c r="O87" i="2" s="1"/>
  <c r="AA87" i="2" s="1"/>
  <c r="G121" i="2"/>
  <c r="D115" i="2"/>
  <c r="D102" i="2"/>
  <c r="C89" i="2"/>
  <c r="D76" i="2"/>
  <c r="D63" i="2"/>
  <c r="C50" i="2"/>
  <c r="D39" i="2"/>
  <c r="E27" i="2"/>
  <c r="L37" i="2"/>
  <c r="Q42" i="2"/>
  <c r="G41" i="2"/>
  <c r="E28" i="2"/>
  <c r="G13" i="2"/>
  <c r="G71" i="2"/>
  <c r="G104" i="2"/>
  <c r="J104" i="2" s="1"/>
  <c r="O104" i="2" s="1"/>
  <c r="AA104" i="2" s="1"/>
  <c r="C115" i="2"/>
  <c r="C102" i="2"/>
  <c r="E88" i="2"/>
  <c r="C76" i="2"/>
  <c r="C63" i="2"/>
  <c r="D49" i="2"/>
  <c r="C39" i="2"/>
  <c r="D27" i="2"/>
  <c r="L34" i="2"/>
  <c r="Q89" i="2"/>
  <c r="Q41" i="2"/>
  <c r="G86" i="2"/>
  <c r="E114" i="2"/>
  <c r="D101" i="2"/>
  <c r="D88" i="2"/>
  <c r="E75" i="2"/>
  <c r="D62" i="2"/>
  <c r="C49" i="2"/>
  <c r="D37" i="2"/>
  <c r="C27" i="2"/>
  <c r="L33" i="2"/>
  <c r="Q88" i="2"/>
  <c r="J114" i="2"/>
  <c r="O114" i="2" s="1"/>
  <c r="AA114" i="2" s="1"/>
  <c r="Q62" i="2"/>
  <c r="Q115" i="2"/>
  <c r="D80" i="2"/>
  <c r="D42" i="2"/>
  <c r="G40" i="2"/>
  <c r="D116" i="2"/>
  <c r="D77" i="2"/>
  <c r="Q49" i="2"/>
  <c r="D114" i="2"/>
  <c r="C101" i="2"/>
  <c r="C88" i="2"/>
  <c r="D75" i="2"/>
  <c r="C62" i="2"/>
  <c r="E48" i="2"/>
  <c r="C37" i="2"/>
  <c r="C26" i="2"/>
  <c r="L32" i="2"/>
  <c r="Q87" i="2"/>
  <c r="E123" i="2"/>
  <c r="C114" i="2"/>
  <c r="D100" i="2"/>
  <c r="E87" i="2"/>
  <c r="C75" i="2"/>
  <c r="D61" i="2"/>
  <c r="D48" i="2"/>
  <c r="E36" i="2"/>
  <c r="L31" i="2"/>
  <c r="Q81" i="2"/>
  <c r="J14" i="2"/>
  <c r="G85" i="2"/>
  <c r="G51" i="2"/>
  <c r="G14" i="2"/>
  <c r="L14" i="2" s="1"/>
  <c r="G99" i="2"/>
  <c r="J99" i="2" s="1"/>
  <c r="D123" i="2"/>
  <c r="D112" i="2"/>
  <c r="D99" i="2"/>
  <c r="D87" i="2"/>
  <c r="D74" i="2"/>
  <c r="D36" i="2"/>
  <c r="Q78" i="2"/>
  <c r="J41" i="2"/>
  <c r="J17" i="2"/>
  <c r="L17" i="2" s="1"/>
  <c r="Q60" i="2"/>
  <c r="G52" i="2"/>
  <c r="Q40" i="2"/>
  <c r="G108" i="2"/>
  <c r="J108" i="2" s="1"/>
  <c r="G94" i="2"/>
  <c r="G48" i="2"/>
  <c r="J48" i="2" s="1"/>
  <c r="G68" i="2"/>
  <c r="J68" i="2" s="1"/>
  <c r="G25" i="2"/>
  <c r="G56" i="2"/>
  <c r="J56" i="2" s="1"/>
  <c r="O56" i="2" s="1"/>
  <c r="AA56" i="2" s="1"/>
  <c r="G123" i="2"/>
  <c r="G89" i="2"/>
  <c r="G43" i="2"/>
  <c r="J43" i="2" s="1"/>
  <c r="G115" i="2"/>
  <c r="J115" i="2" s="1"/>
  <c r="O115" i="2" s="1"/>
  <c r="AA115" i="2" s="1"/>
  <c r="G101" i="2"/>
  <c r="J101" i="2" s="1"/>
  <c r="G55" i="2"/>
  <c r="J55" i="2" s="1"/>
  <c r="O55" i="2" s="1"/>
  <c r="AA55" i="2" s="1"/>
  <c r="G75" i="2"/>
  <c r="G32" i="2"/>
  <c r="G24" i="2"/>
  <c r="G116" i="2"/>
  <c r="G102" i="2"/>
  <c r="G76" i="2"/>
  <c r="G33" i="2"/>
  <c r="G122" i="2"/>
  <c r="G88" i="2"/>
  <c r="G42" i="2"/>
  <c r="J42" i="2" s="1"/>
  <c r="G62" i="2"/>
  <c r="G82" i="2"/>
  <c r="G109" i="2"/>
  <c r="G95" i="2"/>
  <c r="J95" i="2" s="1"/>
  <c r="O95" i="2" s="1"/>
  <c r="AA95" i="2" s="1"/>
  <c r="G49" i="2"/>
  <c r="G69" i="2"/>
  <c r="G26" i="2"/>
  <c r="G63" i="2"/>
  <c r="J63" i="2" s="1"/>
  <c r="G110" i="2"/>
  <c r="J110" i="2" s="1"/>
  <c r="O110" i="2" s="1"/>
  <c r="AA110" i="2" s="1"/>
  <c r="G96" i="2"/>
  <c r="J96" i="2" s="1"/>
  <c r="O96" i="2" s="1"/>
  <c r="AA96" i="2" s="1"/>
  <c r="G50" i="2"/>
  <c r="G70" i="2"/>
  <c r="G27" i="2"/>
  <c r="G57" i="2"/>
  <c r="G77" i="2"/>
  <c r="G34" i="2"/>
  <c r="G117" i="2"/>
  <c r="G103" i="2"/>
  <c r="G31" i="2"/>
  <c r="G59" i="2"/>
  <c r="G98" i="2"/>
  <c r="L104" i="2"/>
  <c r="Q104" i="2"/>
  <c r="Q90" i="2"/>
  <c r="Q39" i="2"/>
  <c r="J67" i="2"/>
  <c r="L99" i="2"/>
  <c r="G58" i="2"/>
  <c r="L98" i="2"/>
  <c r="G112" i="2"/>
  <c r="E63" i="2"/>
  <c r="E54" i="2"/>
  <c r="E34" i="2"/>
  <c r="Q70" i="2"/>
  <c r="G16" i="2"/>
  <c r="G30" i="2"/>
  <c r="Q105" i="2"/>
  <c r="G84" i="2"/>
  <c r="G66" i="2"/>
  <c r="G39" i="2"/>
  <c r="L65" i="2"/>
  <c r="Q65" i="2"/>
  <c r="G47" i="2"/>
  <c r="J47" i="2" s="1"/>
  <c r="G120" i="2"/>
  <c r="L111" i="2"/>
  <c r="Q111" i="2"/>
  <c r="E24" i="2"/>
  <c r="E103" i="2"/>
  <c r="E94" i="2"/>
  <c r="E83" i="2"/>
  <c r="E74" i="2"/>
  <c r="Q51" i="2"/>
  <c r="L112" i="2"/>
  <c r="Q112" i="2"/>
  <c r="L47" i="2"/>
  <c r="Q47" i="2"/>
  <c r="G15" i="2"/>
  <c r="L93" i="2"/>
  <c r="Q93" i="2"/>
  <c r="L85" i="2"/>
  <c r="Q85" i="2"/>
  <c r="G37" i="2"/>
  <c r="G29" i="2"/>
  <c r="L46" i="2"/>
  <c r="Q46" i="2"/>
  <c r="G38" i="2"/>
  <c r="G111" i="2"/>
  <c r="E62" i="2"/>
  <c r="E53" i="2"/>
  <c r="E33" i="2"/>
  <c r="L64" i="2"/>
  <c r="Q64" i="2"/>
  <c r="G46" i="2"/>
  <c r="L103" i="2"/>
  <c r="Q103" i="2"/>
  <c r="G119" i="2"/>
  <c r="L110" i="2"/>
  <c r="Q110" i="2"/>
  <c r="E102" i="2"/>
  <c r="E93" i="2"/>
  <c r="E82" i="2"/>
  <c r="Q86" i="2"/>
  <c r="Q50" i="2"/>
  <c r="L120" i="2"/>
  <c r="Q120" i="2"/>
  <c r="G74" i="2"/>
  <c r="J74" i="2" s="1"/>
  <c r="E37" i="2"/>
  <c r="E57" i="2"/>
  <c r="E77" i="2"/>
  <c r="E97" i="2"/>
  <c r="E117" i="2"/>
  <c r="E32" i="2"/>
  <c r="E52" i="2"/>
  <c r="E72" i="2"/>
  <c r="E112" i="2"/>
  <c r="E44" i="2"/>
  <c r="E64" i="2"/>
  <c r="E84" i="2"/>
  <c r="E104" i="2"/>
  <c r="E25" i="2"/>
  <c r="E45" i="2"/>
  <c r="E65" i="2"/>
  <c r="E31" i="2"/>
  <c r="E51" i="2"/>
  <c r="J51" i="2" s="1"/>
  <c r="O51" i="2" s="1"/>
  <c r="AA51" i="2" s="1"/>
  <c r="E71" i="2"/>
  <c r="E91" i="2"/>
  <c r="E111" i="2"/>
  <c r="E105" i="2"/>
  <c r="E38" i="2"/>
  <c r="E58" i="2"/>
  <c r="E78" i="2"/>
  <c r="E98" i="2"/>
  <c r="E118" i="2"/>
  <c r="E85" i="2"/>
  <c r="E39" i="2"/>
  <c r="E59" i="2"/>
  <c r="E79" i="2"/>
  <c r="J79" i="2" s="1"/>
  <c r="E99" i="2"/>
  <c r="E119" i="2"/>
  <c r="E26" i="2"/>
  <c r="E46" i="2"/>
  <c r="E66" i="2"/>
  <c r="E86" i="2"/>
  <c r="E106" i="2"/>
  <c r="L45" i="2"/>
  <c r="Q45" i="2"/>
  <c r="L35" i="2"/>
  <c r="Q35" i="2"/>
  <c r="L27" i="2"/>
  <c r="Q27" i="2"/>
  <c r="L72" i="2"/>
  <c r="Q72" i="2"/>
  <c r="G64" i="2"/>
  <c r="G54" i="2"/>
  <c r="L92" i="2"/>
  <c r="Q92" i="2"/>
  <c r="E70" i="2"/>
  <c r="E61" i="2"/>
  <c r="L73" i="2"/>
  <c r="Q67" i="2"/>
  <c r="L119" i="2"/>
  <c r="Q119" i="2"/>
  <c r="G36" i="2"/>
  <c r="G81" i="2"/>
  <c r="J81" i="2" s="1"/>
  <c r="E122" i="2"/>
  <c r="E92" i="2"/>
  <c r="E30" i="2"/>
  <c r="L26" i="2"/>
  <c r="Q26" i="2"/>
  <c r="Q53" i="2"/>
  <c r="L53" i="2"/>
  <c r="G45" i="2"/>
  <c r="G118" i="2"/>
  <c r="E110" i="2"/>
  <c r="E101" i="2"/>
  <c r="E90" i="2"/>
  <c r="E81" i="2"/>
  <c r="Q80" i="2"/>
  <c r="G97" i="2"/>
  <c r="J97" i="2" s="1"/>
  <c r="O97" i="2" s="1"/>
  <c r="AA97" i="2" s="1"/>
  <c r="L28" i="2"/>
  <c r="Q28" i="2"/>
  <c r="G73" i="2"/>
  <c r="G93" i="2"/>
  <c r="E41" i="2"/>
  <c r="G35" i="2"/>
  <c r="J35" i="2" s="1"/>
  <c r="O35" i="2" s="1"/>
  <c r="AA35" i="2" s="1"/>
  <c r="G80" i="2"/>
  <c r="G72" i="2"/>
  <c r="L44" i="2"/>
  <c r="Q44" i="2"/>
  <c r="G92" i="2"/>
  <c r="E121" i="2"/>
  <c r="J121" i="2" s="1"/>
  <c r="E49" i="2"/>
  <c r="E40" i="2"/>
  <c r="E29" i="2"/>
  <c r="Q97" i="2"/>
  <c r="Q30" i="2"/>
  <c r="L66" i="2"/>
  <c r="Q66" i="2"/>
  <c r="E113" i="2"/>
  <c r="E50" i="2"/>
  <c r="G53" i="2"/>
  <c r="L91" i="2"/>
  <c r="Q91" i="2"/>
  <c r="G107" i="2"/>
  <c r="J107" i="2" s="1"/>
  <c r="E69" i="2"/>
  <c r="E60" i="2"/>
  <c r="Q79" i="2"/>
  <c r="L84" i="2"/>
  <c r="Q84" i="2"/>
  <c r="G83" i="2"/>
  <c r="L36" i="2"/>
  <c r="Q36" i="2"/>
  <c r="G65" i="2"/>
  <c r="G28" i="2"/>
  <c r="G61" i="2"/>
  <c r="G44" i="2"/>
  <c r="J44" i="2" s="1"/>
  <c r="O44" i="2" s="1"/>
  <c r="AA44" i="2" s="1"/>
  <c r="G100" i="2"/>
  <c r="E109" i="2"/>
  <c r="E100" i="2"/>
  <c r="E89" i="2"/>
  <c r="E80" i="2"/>
  <c r="Q96" i="2"/>
  <c r="Q29" i="2"/>
  <c r="C120" i="2"/>
  <c r="D113" i="2"/>
  <c r="C100" i="2"/>
  <c r="D93" i="2"/>
  <c r="C80" i="2"/>
  <c r="D73" i="2"/>
  <c r="C60" i="2"/>
  <c r="J60" i="2" s="1"/>
  <c r="D53" i="2"/>
  <c r="C40" i="2"/>
  <c r="D33" i="2"/>
  <c r="Q122" i="2"/>
  <c r="C113" i="2"/>
  <c r="D106" i="2"/>
  <c r="C93" i="2"/>
  <c r="D86" i="2"/>
  <c r="J86" i="2" s="1"/>
  <c r="C73" i="2"/>
  <c r="D66" i="2"/>
  <c r="C53" i="2"/>
  <c r="D46" i="2"/>
  <c r="C33" i="2"/>
  <c r="D26" i="2"/>
  <c r="L55" i="2"/>
  <c r="C112" i="2"/>
  <c r="D105" i="2"/>
  <c r="C92" i="2"/>
  <c r="D85" i="2"/>
  <c r="C72" i="2"/>
  <c r="D65" i="2"/>
  <c r="C52" i="2"/>
  <c r="D45" i="2"/>
  <c r="C32" i="2"/>
  <c r="D25" i="2"/>
  <c r="Q83" i="2"/>
  <c r="D118" i="2"/>
  <c r="C105" i="2"/>
  <c r="J105" i="2" s="1"/>
  <c r="D98" i="2"/>
  <c r="C85" i="2"/>
  <c r="J85" i="2" s="1"/>
  <c r="D78" i="2"/>
  <c r="J78" i="2" s="1"/>
  <c r="O78" i="2" s="1"/>
  <c r="AA78" i="2" s="1"/>
  <c r="C65" i="2"/>
  <c r="D58" i="2"/>
  <c r="C45" i="2"/>
  <c r="D38" i="2"/>
  <c r="C25" i="2"/>
  <c r="C119" i="2"/>
  <c r="C99" i="2"/>
  <c r="C79" i="2"/>
  <c r="C24" i="2"/>
  <c r="C118" i="2"/>
  <c r="D111" i="2"/>
  <c r="C98" i="2"/>
  <c r="D91" i="2"/>
  <c r="C78" i="2"/>
  <c r="D71" i="2"/>
  <c r="C58" i="2"/>
  <c r="D51" i="2"/>
  <c r="C38" i="2"/>
  <c r="D31" i="2"/>
  <c r="Q82" i="2"/>
  <c r="Q63" i="2"/>
  <c r="Q25" i="2"/>
  <c r="C59" i="2"/>
  <c r="D24" i="2"/>
  <c r="C111" i="2"/>
  <c r="D104" i="2"/>
  <c r="C91" i="2"/>
  <c r="D84" i="2"/>
  <c r="C71" i="2"/>
  <c r="D64" i="2"/>
  <c r="C51" i="2"/>
  <c r="Q100" i="2"/>
  <c r="L24" i="2"/>
  <c r="P17" i="1"/>
  <c r="P18" i="1"/>
  <c r="P19" i="1"/>
  <c r="P20" i="1"/>
  <c r="P21" i="1"/>
  <c r="P22" i="1"/>
  <c r="P23" i="1"/>
  <c r="P24" i="1"/>
  <c r="P25" i="1"/>
  <c r="P26" i="1"/>
  <c r="P27" i="1"/>
  <c r="Q17" i="1"/>
  <c r="Q18" i="1"/>
  <c r="Q19" i="1"/>
  <c r="Q20" i="1"/>
  <c r="Q21" i="1"/>
  <c r="Q22" i="1"/>
  <c r="Q23" i="1"/>
  <c r="Q24" i="1"/>
  <c r="Q25" i="1"/>
  <c r="Q26" i="1"/>
  <c r="Q27" i="1"/>
  <c r="Z7" i="2" l="1"/>
  <c r="X8" i="2"/>
  <c r="Z8" i="2" s="1"/>
  <c r="U6" i="2"/>
  <c r="J82" i="2"/>
  <c r="J89" i="2"/>
  <c r="O89" i="2" s="1"/>
  <c r="AA89" i="2" s="1"/>
  <c r="J84" i="2"/>
  <c r="O84" i="2" s="1"/>
  <c r="AA84" i="2" s="1"/>
  <c r="J36" i="2"/>
  <c r="O36" i="2" s="1"/>
  <c r="AA36" i="2" s="1"/>
  <c r="J66" i="2"/>
  <c r="O66" i="2" s="1"/>
  <c r="J76" i="2"/>
  <c r="O76" i="2" s="1"/>
  <c r="AA76" i="2" s="1"/>
  <c r="J118" i="2"/>
  <c r="O118" i="2" s="1"/>
  <c r="AA118" i="2" s="1"/>
  <c r="L16" i="2"/>
  <c r="J113" i="2"/>
  <c r="J91" i="2"/>
  <c r="O91" i="2" s="1"/>
  <c r="AA91" i="2" s="1"/>
  <c r="J88" i="2"/>
  <c r="O88" i="2" s="1"/>
  <c r="AA88" i="2" s="1"/>
  <c r="J83" i="2"/>
  <c r="J116" i="2"/>
  <c r="O116" i="2" s="1"/>
  <c r="AA116" i="2" s="1"/>
  <c r="J123" i="2"/>
  <c r="O123" i="2" s="1"/>
  <c r="J28" i="2"/>
  <c r="O28" i="2" s="1"/>
  <c r="J122" i="2"/>
  <c r="J71" i="2"/>
  <c r="O71" i="2" s="1"/>
  <c r="AA71" i="2" s="1"/>
  <c r="J30" i="2"/>
  <c r="O30" i="2" s="1"/>
  <c r="AA30" i="2" s="1"/>
  <c r="J27" i="2"/>
  <c r="O27" i="2" s="1"/>
  <c r="J69" i="2"/>
  <c r="O69" i="2" s="1"/>
  <c r="AA69" i="2" s="1"/>
  <c r="J72" i="2"/>
  <c r="J70" i="2"/>
  <c r="O70" i="2" s="1"/>
  <c r="AA70" i="2" s="1"/>
  <c r="J32" i="2"/>
  <c r="J13" i="2"/>
  <c r="L13" i="2" s="1"/>
  <c r="J106" i="2"/>
  <c r="J90" i="2"/>
  <c r="O90" i="2" s="1"/>
  <c r="AA90" i="2" s="1"/>
  <c r="J92" i="2"/>
  <c r="J50" i="2"/>
  <c r="O50" i="2" s="1"/>
  <c r="AA50" i="2" s="1"/>
  <c r="J75" i="2"/>
  <c r="O75" i="2" s="1"/>
  <c r="AA75" i="2" s="1"/>
  <c r="J15" i="2"/>
  <c r="L15" i="2" s="1"/>
  <c r="O106" i="2"/>
  <c r="AA106" i="2" s="1"/>
  <c r="O79" i="2"/>
  <c r="AA79" i="2" s="1"/>
  <c r="O113" i="2"/>
  <c r="AA113" i="2" s="1"/>
  <c r="O121" i="2"/>
  <c r="AA121" i="2"/>
  <c r="O83" i="2"/>
  <c r="AA83" i="2"/>
  <c r="O81" i="2"/>
  <c r="AA81" i="2" s="1"/>
  <c r="O32" i="2"/>
  <c r="AA32" i="2" s="1"/>
  <c r="O105" i="2"/>
  <c r="AA105" i="2" s="1"/>
  <c r="O101" i="2"/>
  <c r="AA101" i="2"/>
  <c r="J26" i="2"/>
  <c r="J49" i="2"/>
  <c r="O49" i="2" s="1"/>
  <c r="AA49" i="2" s="1"/>
  <c r="O92" i="2"/>
  <c r="AA92" i="2"/>
  <c r="O74" i="2"/>
  <c r="AA74" i="2"/>
  <c r="O43" i="2"/>
  <c r="AA43" i="2" s="1"/>
  <c r="J111" i="2"/>
  <c r="O111" i="2" s="1"/>
  <c r="AA111" i="2" s="1"/>
  <c r="O107" i="2"/>
  <c r="AA107" i="2" s="1"/>
  <c r="J38" i="2"/>
  <c r="O38" i="2" s="1"/>
  <c r="AA38" i="2" s="1"/>
  <c r="J109" i="2"/>
  <c r="O109" i="2" s="1"/>
  <c r="AA109" i="2" s="1"/>
  <c r="J25" i="2"/>
  <c r="O86" i="2"/>
  <c r="AA86" i="2" s="1"/>
  <c r="O99" i="2"/>
  <c r="AA99" i="2"/>
  <c r="O60" i="2"/>
  <c r="AA60" i="2" s="1"/>
  <c r="J98" i="2"/>
  <c r="O98" i="2" s="1"/>
  <c r="AA98" i="2" s="1"/>
  <c r="J112" i="2"/>
  <c r="J80" i="2"/>
  <c r="O42" i="2"/>
  <c r="AA42" i="2" s="1"/>
  <c r="O72" i="2"/>
  <c r="AA72" i="2" s="1"/>
  <c r="J62" i="2"/>
  <c r="J53" i="2"/>
  <c r="J31" i="2"/>
  <c r="O31" i="2" s="1"/>
  <c r="AA31" i="2" s="1"/>
  <c r="J93" i="2"/>
  <c r="J64" i="2"/>
  <c r="O64" i="2" s="1"/>
  <c r="AA64" i="2" s="1"/>
  <c r="J119" i="2"/>
  <c r="J120" i="2"/>
  <c r="J117" i="2"/>
  <c r="O117" i="2" s="1"/>
  <c r="AA117" i="2" s="1"/>
  <c r="J33" i="2"/>
  <c r="O82" i="2"/>
  <c r="AA82" i="2"/>
  <c r="J59" i="2"/>
  <c r="J29" i="2"/>
  <c r="O29" i="2" s="1"/>
  <c r="AA29" i="2" s="1"/>
  <c r="J37" i="2"/>
  <c r="O37" i="2" s="1"/>
  <c r="AA37" i="2" s="1"/>
  <c r="O47" i="2"/>
  <c r="AA47" i="2" s="1"/>
  <c r="J34" i="2"/>
  <c r="J52" i="2"/>
  <c r="O85" i="2"/>
  <c r="AA85" i="2" s="1"/>
  <c r="AA48" i="2"/>
  <c r="O48" i="2"/>
  <c r="J54" i="2"/>
  <c r="J73" i="2"/>
  <c r="J40" i="2"/>
  <c r="J58" i="2"/>
  <c r="O58" i="2" s="1"/>
  <c r="AA58" i="2" s="1"/>
  <c r="J77" i="2"/>
  <c r="O77" i="2" s="1"/>
  <c r="AA77" i="2" s="1"/>
  <c r="J102" i="2"/>
  <c r="O63" i="2"/>
  <c r="AA63" i="2" s="1"/>
  <c r="O68" i="2"/>
  <c r="AA68" i="2" s="1"/>
  <c r="J100" i="2"/>
  <c r="J94" i="2"/>
  <c r="J46" i="2"/>
  <c r="J57" i="2"/>
  <c r="O57" i="2" s="1"/>
  <c r="AA57" i="2" s="1"/>
  <c r="J45" i="2"/>
  <c r="O41" i="2"/>
  <c r="AA41" i="2" s="1"/>
  <c r="O108" i="2"/>
  <c r="AA108" i="2" s="1"/>
  <c r="J61" i="2"/>
  <c r="J103" i="2"/>
  <c r="J65" i="2"/>
  <c r="J39" i="2"/>
  <c r="O67" i="2"/>
  <c r="AA67" i="2"/>
  <c r="J24" i="2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C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C19" i="1"/>
  <c r="AA20" i="1"/>
  <c r="AB20" i="1"/>
  <c r="AC20" i="1"/>
  <c r="AA21" i="1"/>
  <c r="AB21" i="1"/>
  <c r="AC21" i="1"/>
  <c r="AA22" i="1"/>
  <c r="AB22" i="1"/>
  <c r="AC22" i="1"/>
  <c r="AA23" i="1"/>
  <c r="AB23" i="1"/>
  <c r="AC23" i="1"/>
  <c r="AA24" i="1"/>
  <c r="AB24" i="1"/>
  <c r="AC24" i="1"/>
  <c r="AA25" i="1"/>
  <c r="AB25" i="1"/>
  <c r="AC25" i="1"/>
  <c r="AA26" i="1"/>
  <c r="AB26" i="1"/>
  <c r="AC26" i="1"/>
  <c r="AA27" i="1"/>
  <c r="AB27" i="1"/>
  <c r="AC27" i="1"/>
  <c r="AA28" i="1"/>
  <c r="AB28" i="1"/>
  <c r="AC28" i="1"/>
  <c r="AA29" i="1"/>
  <c r="AB29" i="1"/>
  <c r="AC29" i="1"/>
  <c r="AA30" i="1"/>
  <c r="AB30" i="1"/>
  <c r="AC30" i="1"/>
  <c r="AA31" i="1"/>
  <c r="AB31" i="1"/>
  <c r="AC31" i="1"/>
  <c r="AA32" i="1"/>
  <c r="AB32" i="1"/>
  <c r="AC32" i="1"/>
  <c r="AA33" i="1"/>
  <c r="AB33" i="1"/>
  <c r="AC33" i="1"/>
  <c r="AA34" i="1"/>
  <c r="AB34" i="1"/>
  <c r="AC34" i="1"/>
  <c r="AA35" i="1"/>
  <c r="AB35" i="1"/>
  <c r="AC35" i="1"/>
  <c r="AA36" i="1"/>
  <c r="AB36" i="1"/>
  <c r="AC36" i="1"/>
  <c r="AA37" i="1"/>
  <c r="AB37" i="1"/>
  <c r="AC37" i="1"/>
  <c r="AA38" i="1"/>
  <c r="AB38" i="1"/>
  <c r="AC38" i="1"/>
  <c r="AA39" i="1"/>
  <c r="AB39" i="1"/>
  <c r="AC39" i="1"/>
  <c r="AA40" i="1"/>
  <c r="AB40" i="1"/>
  <c r="AC40" i="1"/>
  <c r="AA41" i="1"/>
  <c r="AB41" i="1"/>
  <c r="AC41" i="1"/>
  <c r="AA42" i="1"/>
  <c r="AB42" i="1"/>
  <c r="AC42" i="1"/>
  <c r="AA43" i="1"/>
  <c r="AB43" i="1"/>
  <c r="AC43" i="1"/>
  <c r="AA44" i="1"/>
  <c r="AB44" i="1"/>
  <c r="AC44" i="1"/>
  <c r="AA45" i="1"/>
  <c r="AB45" i="1"/>
  <c r="AC45" i="1"/>
  <c r="AA46" i="1"/>
  <c r="AB46" i="1"/>
  <c r="AC46" i="1"/>
  <c r="AA47" i="1"/>
  <c r="AB47" i="1"/>
  <c r="AC47" i="1"/>
  <c r="AA48" i="1"/>
  <c r="AB48" i="1"/>
  <c r="AC48" i="1"/>
  <c r="AA49" i="1"/>
  <c r="AB49" i="1"/>
  <c r="AC49" i="1"/>
  <c r="AA50" i="1"/>
  <c r="AB50" i="1"/>
  <c r="AC50" i="1"/>
  <c r="AA51" i="1"/>
  <c r="AB51" i="1"/>
  <c r="AC51" i="1"/>
  <c r="AA52" i="1"/>
  <c r="AB52" i="1"/>
  <c r="AC52" i="1"/>
  <c r="AA53" i="1"/>
  <c r="AB53" i="1"/>
  <c r="AC53" i="1"/>
  <c r="AA54" i="1"/>
  <c r="AB54" i="1"/>
  <c r="AC54" i="1"/>
  <c r="AA55" i="1"/>
  <c r="AB55" i="1"/>
  <c r="AC55" i="1"/>
  <c r="AA56" i="1"/>
  <c r="AB56" i="1"/>
  <c r="AC56" i="1"/>
  <c r="AA57" i="1"/>
  <c r="AB57" i="1"/>
  <c r="AC57" i="1"/>
  <c r="AA58" i="1"/>
  <c r="AB58" i="1"/>
  <c r="AC58" i="1"/>
  <c r="AA59" i="1"/>
  <c r="AB59" i="1"/>
  <c r="AC59" i="1"/>
  <c r="AA60" i="1"/>
  <c r="AB60" i="1"/>
  <c r="AC60" i="1"/>
  <c r="AA61" i="1"/>
  <c r="AB61" i="1"/>
  <c r="AC61" i="1"/>
  <c r="AA62" i="1"/>
  <c r="AB62" i="1"/>
  <c r="AC62" i="1"/>
  <c r="AA63" i="1"/>
  <c r="AB63" i="1"/>
  <c r="AC63" i="1"/>
  <c r="AA64" i="1"/>
  <c r="AB64" i="1"/>
  <c r="AC64" i="1"/>
  <c r="AA65" i="1"/>
  <c r="AB65" i="1"/>
  <c r="AC65" i="1"/>
  <c r="AA66" i="1"/>
  <c r="AB66" i="1"/>
  <c r="AC66" i="1"/>
  <c r="AA67" i="1"/>
  <c r="AB67" i="1"/>
  <c r="AC67" i="1"/>
  <c r="AA68" i="1"/>
  <c r="AB68" i="1"/>
  <c r="AC68" i="1"/>
  <c r="AA69" i="1"/>
  <c r="AB69" i="1"/>
  <c r="AC69" i="1"/>
  <c r="AA70" i="1"/>
  <c r="AB70" i="1"/>
  <c r="AC70" i="1"/>
  <c r="AA71" i="1"/>
  <c r="AB71" i="1"/>
  <c r="AC71" i="1"/>
  <c r="AA72" i="1"/>
  <c r="AB72" i="1"/>
  <c r="AC72" i="1"/>
  <c r="AA73" i="1"/>
  <c r="AB73" i="1"/>
  <c r="AC73" i="1"/>
  <c r="AA74" i="1"/>
  <c r="AB74" i="1"/>
  <c r="AC74" i="1"/>
  <c r="AA75" i="1"/>
  <c r="AB75" i="1"/>
  <c r="AC75" i="1"/>
  <c r="AA76" i="1"/>
  <c r="AB76" i="1"/>
  <c r="AC76" i="1"/>
  <c r="AA77" i="1"/>
  <c r="AB77" i="1"/>
  <c r="AC77" i="1"/>
  <c r="AA78" i="1"/>
  <c r="AB78" i="1"/>
  <c r="AC78" i="1"/>
  <c r="AA79" i="1"/>
  <c r="AB79" i="1"/>
  <c r="AC79" i="1"/>
  <c r="AA80" i="1"/>
  <c r="AB80" i="1"/>
  <c r="AC80" i="1"/>
  <c r="AA81" i="1"/>
  <c r="AB81" i="1"/>
  <c r="AC81" i="1"/>
  <c r="AA82" i="1"/>
  <c r="AB82" i="1"/>
  <c r="AC82" i="1"/>
  <c r="AA83" i="1"/>
  <c r="AB83" i="1"/>
  <c r="AC83" i="1"/>
  <c r="AA84" i="1"/>
  <c r="AB84" i="1"/>
  <c r="AC84" i="1"/>
  <c r="AA85" i="1"/>
  <c r="AB85" i="1"/>
  <c r="AC85" i="1"/>
  <c r="AA86" i="1"/>
  <c r="AB86" i="1"/>
  <c r="AC86" i="1"/>
  <c r="AA87" i="1"/>
  <c r="AB87" i="1"/>
  <c r="AC87" i="1"/>
  <c r="AA88" i="1"/>
  <c r="AB88" i="1"/>
  <c r="AC88" i="1"/>
  <c r="AA89" i="1"/>
  <c r="AB89" i="1"/>
  <c r="AC89" i="1"/>
  <c r="AA90" i="1"/>
  <c r="AB90" i="1"/>
  <c r="AC90" i="1"/>
  <c r="AA91" i="1"/>
  <c r="AB91" i="1"/>
  <c r="AC91" i="1"/>
  <c r="AA92" i="1"/>
  <c r="AB92" i="1"/>
  <c r="AC92" i="1"/>
  <c r="AA93" i="1"/>
  <c r="AB93" i="1"/>
  <c r="AC93" i="1"/>
  <c r="AA94" i="1"/>
  <c r="AB94" i="1"/>
  <c r="AC94" i="1"/>
  <c r="AA95" i="1"/>
  <c r="AB95" i="1"/>
  <c r="AC95" i="1"/>
  <c r="AA96" i="1"/>
  <c r="AB96" i="1"/>
  <c r="AC96" i="1"/>
  <c r="AA97" i="1"/>
  <c r="AB97" i="1"/>
  <c r="AC97" i="1"/>
  <c r="AA98" i="1"/>
  <c r="AB98" i="1"/>
  <c r="AC98" i="1"/>
  <c r="AA99" i="1"/>
  <c r="AB99" i="1"/>
  <c r="AC99" i="1"/>
  <c r="AA100" i="1"/>
  <c r="AB100" i="1"/>
  <c r="AC100" i="1"/>
  <c r="AA101" i="1"/>
  <c r="AB101" i="1"/>
  <c r="AC101" i="1"/>
  <c r="AA102" i="1"/>
  <c r="AB102" i="1"/>
  <c r="AC102" i="1"/>
  <c r="AB4" i="1"/>
  <c r="AB5" i="1"/>
  <c r="AB6" i="1"/>
  <c r="AB7" i="1"/>
  <c r="AB8" i="1"/>
  <c r="AB3" i="1"/>
  <c r="AA4" i="1"/>
  <c r="AC4" i="1"/>
  <c r="AA5" i="1"/>
  <c r="AC5" i="1"/>
  <c r="AA6" i="1"/>
  <c r="AC6" i="1"/>
  <c r="AA7" i="1"/>
  <c r="AC7" i="1"/>
  <c r="AA8" i="1"/>
  <c r="AC8" i="1"/>
  <c r="AC3" i="1"/>
  <c r="AA3" i="1"/>
  <c r="Z1" i="1"/>
  <c r="Y1" i="1"/>
  <c r="P16" i="1"/>
  <c r="Q16" i="1"/>
  <c r="F6" i="1"/>
  <c r="G6" i="1"/>
  <c r="F7" i="1"/>
  <c r="G7" i="1"/>
  <c r="G5" i="1"/>
  <c r="F5" i="1"/>
  <c r="U7" i="2" l="1"/>
  <c r="W6" i="2"/>
  <c r="AA28" i="2"/>
  <c r="O122" i="2"/>
  <c r="AA122" i="2" s="1"/>
  <c r="L18" i="2"/>
  <c r="H22" i="2" s="1"/>
  <c r="AA27" i="2"/>
  <c r="AA123" i="2"/>
  <c r="AA66" i="2"/>
  <c r="O103" i="2"/>
  <c r="AA103" i="2"/>
  <c r="O112" i="2"/>
  <c r="AA112" i="2" s="1"/>
  <c r="O61" i="2"/>
  <c r="AA61" i="2"/>
  <c r="O59" i="2"/>
  <c r="AA59" i="2" s="1"/>
  <c r="O62" i="2"/>
  <c r="AA62" i="2" s="1"/>
  <c r="O102" i="2"/>
  <c r="AA102" i="2"/>
  <c r="O25" i="2"/>
  <c r="AA25" i="2"/>
  <c r="O26" i="2"/>
  <c r="AA26" i="2"/>
  <c r="O45" i="2"/>
  <c r="AA45" i="2" s="1"/>
  <c r="O54" i="2"/>
  <c r="AA54" i="2"/>
  <c r="O120" i="2"/>
  <c r="AA120" i="2"/>
  <c r="O34" i="2"/>
  <c r="AA34" i="2"/>
  <c r="O53" i="2"/>
  <c r="AA53" i="2" s="1"/>
  <c r="O73" i="2"/>
  <c r="AA73" i="2"/>
  <c r="O119" i="2"/>
  <c r="AA119" i="2" s="1"/>
  <c r="O80" i="2"/>
  <c r="AA80" i="2" s="1"/>
  <c r="O24" i="2"/>
  <c r="AA24" i="2" s="1"/>
  <c r="O39" i="2"/>
  <c r="AA39" i="2" s="1"/>
  <c r="O94" i="2"/>
  <c r="AA94" i="2"/>
  <c r="O52" i="2"/>
  <c r="AA52" i="2" s="1"/>
  <c r="O46" i="2"/>
  <c r="AA46" i="2" s="1"/>
  <c r="O100" i="2"/>
  <c r="AA100" i="2"/>
  <c r="O40" i="2"/>
  <c r="AA40" i="2" s="1"/>
  <c r="O33" i="2"/>
  <c r="AA33" i="2"/>
  <c r="O65" i="2"/>
  <c r="AA65" i="2"/>
  <c r="O93" i="2"/>
  <c r="AA93" i="2"/>
  <c r="R19" i="1"/>
  <c r="T18" i="1"/>
  <c r="T17" i="1"/>
  <c r="T19" i="1"/>
  <c r="T16" i="1"/>
  <c r="R27" i="1"/>
  <c r="T26" i="1"/>
  <c r="T27" i="1"/>
  <c r="R24" i="1"/>
  <c r="T25" i="1"/>
  <c r="T20" i="1"/>
  <c r="T24" i="1"/>
  <c r="T21" i="1"/>
  <c r="T23" i="1"/>
  <c r="T22" i="1"/>
  <c r="S18" i="1"/>
  <c r="S16" i="1"/>
  <c r="AC1" i="1" s="1"/>
  <c r="S17" i="1"/>
  <c r="S19" i="1"/>
  <c r="S27" i="1"/>
  <c r="S26" i="1"/>
  <c r="S20" i="1"/>
  <c r="S21" i="1"/>
  <c r="S24" i="1"/>
  <c r="S22" i="1"/>
  <c r="S23" i="1"/>
  <c r="S25" i="1"/>
  <c r="R17" i="1"/>
  <c r="R21" i="1"/>
  <c r="R23" i="1"/>
  <c r="R25" i="1"/>
  <c r="N22" i="1"/>
  <c r="N23" i="1"/>
  <c r="N24" i="1"/>
  <c r="N21" i="1"/>
  <c r="N25" i="1"/>
  <c r="N20" i="1"/>
  <c r="R22" i="1"/>
  <c r="R18" i="1"/>
  <c r="R20" i="1"/>
  <c r="N26" i="1"/>
  <c r="N27" i="1"/>
  <c r="R26" i="1"/>
  <c r="N16" i="1"/>
  <c r="X37" i="1" s="1"/>
  <c r="N18" i="1"/>
  <c r="N17" i="1"/>
  <c r="N19" i="1"/>
  <c r="Z10" i="1"/>
  <c r="Z92" i="1"/>
  <c r="Z69" i="1"/>
  <c r="Z6" i="1"/>
  <c r="Y10" i="1"/>
  <c r="Z100" i="1"/>
  <c r="Z60" i="1"/>
  <c r="Z5" i="1"/>
  <c r="Z52" i="1"/>
  <c r="Z4" i="1"/>
  <c r="Z77" i="1"/>
  <c r="Y69" i="1"/>
  <c r="Y48" i="1"/>
  <c r="Z29" i="1"/>
  <c r="Z12" i="1"/>
  <c r="Z17" i="1"/>
  <c r="Z96" i="1"/>
  <c r="Z73" i="1"/>
  <c r="Z56" i="1"/>
  <c r="Z33" i="1"/>
  <c r="Z16" i="1"/>
  <c r="Z97" i="1"/>
  <c r="Z80" i="1"/>
  <c r="Z101" i="1"/>
  <c r="Z61" i="1"/>
  <c r="Z44" i="1"/>
  <c r="Z21" i="1"/>
  <c r="Z85" i="1"/>
  <c r="Z68" i="1"/>
  <c r="Z45" i="1"/>
  <c r="Z84" i="1"/>
  <c r="Z9" i="1"/>
  <c r="Z57" i="1"/>
  <c r="Z40" i="1"/>
  <c r="Z28" i="1"/>
  <c r="Z89" i="1"/>
  <c r="Z72" i="1"/>
  <c r="Z49" i="1"/>
  <c r="Z32" i="1"/>
  <c r="Y101" i="1"/>
  <c r="Y89" i="1"/>
  <c r="Z37" i="1"/>
  <c r="Z20" i="1"/>
  <c r="Y88" i="1"/>
  <c r="Z88" i="1"/>
  <c r="Z65" i="1"/>
  <c r="Z48" i="1"/>
  <c r="Z25" i="1"/>
  <c r="Y68" i="1"/>
  <c r="Y49" i="1"/>
  <c r="Z93" i="1"/>
  <c r="Z76" i="1"/>
  <c r="Z53" i="1"/>
  <c r="Z36" i="1"/>
  <c r="Z13" i="1"/>
  <c r="Z3" i="1"/>
  <c r="Y29" i="1"/>
  <c r="Z7" i="1"/>
  <c r="Z81" i="1"/>
  <c r="Z64" i="1"/>
  <c r="Z41" i="1"/>
  <c r="Z24" i="1"/>
  <c r="Y28" i="1"/>
  <c r="Y9" i="1"/>
  <c r="Y102" i="1"/>
  <c r="Y26" i="1"/>
  <c r="Y65" i="1"/>
  <c r="Y44" i="1"/>
  <c r="Y63" i="1"/>
  <c r="Y22" i="1"/>
  <c r="Y41" i="1"/>
  <c r="Y60" i="1"/>
  <c r="Y39" i="1"/>
  <c r="Y78" i="1"/>
  <c r="Y3" i="1"/>
  <c r="Y57" i="1"/>
  <c r="Y17" i="1"/>
  <c r="Y47" i="1"/>
  <c r="Y42" i="1"/>
  <c r="Y38" i="1"/>
  <c r="Y37" i="1"/>
  <c r="Y8" i="1"/>
  <c r="Y96" i="1"/>
  <c r="Y76" i="1"/>
  <c r="Y56" i="1"/>
  <c r="Y36" i="1"/>
  <c r="Y16" i="1"/>
  <c r="Y67" i="1"/>
  <c r="Y66" i="1"/>
  <c r="Y82" i="1"/>
  <c r="Y61" i="1"/>
  <c r="Y58" i="1"/>
  <c r="Y97" i="1"/>
  <c r="Z99" i="1"/>
  <c r="Z95" i="1"/>
  <c r="Z91" i="1"/>
  <c r="Z87" i="1"/>
  <c r="Z83" i="1"/>
  <c r="Z79" i="1"/>
  <c r="Z75" i="1"/>
  <c r="Z71" i="1"/>
  <c r="Z67" i="1"/>
  <c r="Z63" i="1"/>
  <c r="Z59" i="1"/>
  <c r="Z55" i="1"/>
  <c r="Z51" i="1"/>
  <c r="Z47" i="1"/>
  <c r="Z43" i="1"/>
  <c r="Z39" i="1"/>
  <c r="Z35" i="1"/>
  <c r="Z31" i="1"/>
  <c r="Z27" i="1"/>
  <c r="Z23" i="1"/>
  <c r="Z19" i="1"/>
  <c r="Z15" i="1"/>
  <c r="Z11" i="1"/>
  <c r="Y95" i="1"/>
  <c r="Y75" i="1"/>
  <c r="Y55" i="1"/>
  <c r="Y35" i="1"/>
  <c r="Y15" i="1"/>
  <c r="Y46" i="1"/>
  <c r="Y20" i="1"/>
  <c r="Y79" i="1"/>
  <c r="Y98" i="1"/>
  <c r="Y18" i="1"/>
  <c r="Y77" i="1"/>
  <c r="Y7" i="1"/>
  <c r="Y6" i="1"/>
  <c r="Y94" i="1"/>
  <c r="Y74" i="1"/>
  <c r="Y54" i="1"/>
  <c r="Y34" i="1"/>
  <c r="Y14" i="1"/>
  <c r="Y87" i="1"/>
  <c r="Y25" i="1"/>
  <c r="Y84" i="1"/>
  <c r="Y83" i="1"/>
  <c r="Y62" i="1"/>
  <c r="Y21" i="1"/>
  <c r="Y80" i="1"/>
  <c r="Y59" i="1"/>
  <c r="Y93" i="1"/>
  <c r="Y73" i="1"/>
  <c r="Y53" i="1"/>
  <c r="Y33" i="1"/>
  <c r="Y13" i="1"/>
  <c r="Y27" i="1"/>
  <c r="Y86" i="1"/>
  <c r="Y45" i="1"/>
  <c r="Y64" i="1"/>
  <c r="Y23" i="1"/>
  <c r="Y81" i="1"/>
  <c r="Y40" i="1"/>
  <c r="Y99" i="1"/>
  <c r="R16" i="1"/>
  <c r="Y4" i="1"/>
  <c r="Y92" i="1"/>
  <c r="Y72" i="1"/>
  <c r="Y52" i="1"/>
  <c r="Y32" i="1"/>
  <c r="Y12" i="1"/>
  <c r="Y85" i="1"/>
  <c r="Y24" i="1"/>
  <c r="Y43" i="1"/>
  <c r="Y100" i="1"/>
  <c r="Y19" i="1"/>
  <c r="Y5" i="1"/>
  <c r="Y91" i="1"/>
  <c r="Y71" i="1"/>
  <c r="Y51" i="1"/>
  <c r="Y31" i="1"/>
  <c r="Y11" i="1"/>
  <c r="Z8" i="1"/>
  <c r="Z102" i="1"/>
  <c r="Z98" i="1"/>
  <c r="Z94" i="1"/>
  <c r="Z90" i="1"/>
  <c r="Z86" i="1"/>
  <c r="Z82" i="1"/>
  <c r="Z78" i="1"/>
  <c r="Z74" i="1"/>
  <c r="Z70" i="1"/>
  <c r="Z66" i="1"/>
  <c r="Z62" i="1"/>
  <c r="Z58" i="1"/>
  <c r="Z54" i="1"/>
  <c r="Z50" i="1"/>
  <c r="Z46" i="1"/>
  <c r="Z42" i="1"/>
  <c r="Z38" i="1"/>
  <c r="Z34" i="1"/>
  <c r="Z30" i="1"/>
  <c r="Z26" i="1"/>
  <c r="Z22" i="1"/>
  <c r="Z18" i="1"/>
  <c r="Z14" i="1"/>
  <c r="Y90" i="1"/>
  <c r="Y70" i="1"/>
  <c r="Y50" i="1"/>
  <c r="Y30" i="1"/>
  <c r="W7" i="2" l="1"/>
  <c r="U8" i="2"/>
  <c r="Z11" i="2"/>
  <c r="AB9" i="2" s="1"/>
  <c r="H56" i="2"/>
  <c r="K56" i="2" s="1"/>
  <c r="P56" i="2" s="1"/>
  <c r="H95" i="2"/>
  <c r="K95" i="2" s="1"/>
  <c r="P95" i="2" s="1"/>
  <c r="H44" i="2"/>
  <c r="K44" i="2" s="1"/>
  <c r="P44" i="2" s="1"/>
  <c r="H76" i="2"/>
  <c r="K76" i="2" s="1"/>
  <c r="P76" i="2" s="1"/>
  <c r="H112" i="2"/>
  <c r="K112" i="2" s="1"/>
  <c r="P112" i="2" s="1"/>
  <c r="H63" i="2"/>
  <c r="K63" i="2" s="1"/>
  <c r="P63" i="2" s="1"/>
  <c r="H83" i="2"/>
  <c r="K83" i="2" s="1"/>
  <c r="P83" i="2" s="1"/>
  <c r="H65" i="2"/>
  <c r="K65" i="2" s="1"/>
  <c r="P65" i="2" s="1"/>
  <c r="H71" i="2"/>
  <c r="K71" i="2" s="1"/>
  <c r="P71" i="2" s="1"/>
  <c r="H86" i="2"/>
  <c r="K86" i="2" s="1"/>
  <c r="P86" i="2" s="1"/>
  <c r="H87" i="2"/>
  <c r="K87" i="2" s="1"/>
  <c r="P87" i="2" s="1"/>
  <c r="H108" i="2"/>
  <c r="K108" i="2" s="1"/>
  <c r="P108" i="2" s="1"/>
  <c r="H49" i="2"/>
  <c r="K49" i="2" s="1"/>
  <c r="P49" i="2" s="1"/>
  <c r="H64" i="2"/>
  <c r="K64" i="2" s="1"/>
  <c r="P64" i="2" s="1"/>
  <c r="H93" i="2"/>
  <c r="K93" i="2" s="1"/>
  <c r="P93" i="2" s="1"/>
  <c r="H97" i="2"/>
  <c r="K97" i="2" s="1"/>
  <c r="P97" i="2" s="1"/>
  <c r="H69" i="2"/>
  <c r="K69" i="2" s="1"/>
  <c r="P69" i="2" s="1"/>
  <c r="H46" i="2"/>
  <c r="K46" i="2" s="1"/>
  <c r="P46" i="2" s="1"/>
  <c r="H40" i="2"/>
  <c r="K40" i="2" s="1"/>
  <c r="P40" i="2" s="1"/>
  <c r="H101" i="2"/>
  <c r="K101" i="2" s="1"/>
  <c r="P101" i="2" s="1"/>
  <c r="H77" i="2"/>
  <c r="K77" i="2" s="1"/>
  <c r="P77" i="2" s="1"/>
  <c r="H96" i="2"/>
  <c r="K96" i="2" s="1"/>
  <c r="P96" i="2" s="1"/>
  <c r="H102" i="2"/>
  <c r="K102" i="2" s="1"/>
  <c r="P102" i="2" s="1"/>
  <c r="H84" i="2"/>
  <c r="K84" i="2" s="1"/>
  <c r="P84" i="2" s="1"/>
  <c r="H117" i="2"/>
  <c r="K117" i="2" s="1"/>
  <c r="P117" i="2" s="1"/>
  <c r="H94" i="2"/>
  <c r="K94" i="2" s="1"/>
  <c r="P94" i="2" s="1"/>
  <c r="H26" i="2"/>
  <c r="K26" i="2" s="1"/>
  <c r="P26" i="2" s="1"/>
  <c r="H39" i="2"/>
  <c r="K39" i="2" s="1"/>
  <c r="P39" i="2" s="1"/>
  <c r="H73" i="2"/>
  <c r="K73" i="2" s="1"/>
  <c r="P73" i="2" s="1"/>
  <c r="H30" i="2"/>
  <c r="K30" i="2" s="1"/>
  <c r="P30" i="2" s="1"/>
  <c r="H53" i="2"/>
  <c r="K53" i="2" s="1"/>
  <c r="P53" i="2" s="1"/>
  <c r="H115" i="2"/>
  <c r="K115" i="2" s="1"/>
  <c r="P115" i="2" s="1"/>
  <c r="H106" i="2"/>
  <c r="K106" i="2" s="1"/>
  <c r="P106" i="2" s="1"/>
  <c r="H118" i="2"/>
  <c r="K118" i="2" s="1"/>
  <c r="P118" i="2" s="1"/>
  <c r="H42" i="2"/>
  <c r="K42" i="2" s="1"/>
  <c r="P42" i="2" s="1"/>
  <c r="H61" i="2"/>
  <c r="K61" i="2" s="1"/>
  <c r="P61" i="2" s="1"/>
  <c r="H48" i="2"/>
  <c r="K48" i="2" s="1"/>
  <c r="P48" i="2" s="1"/>
  <c r="H123" i="2"/>
  <c r="K123" i="2" s="1"/>
  <c r="P123" i="2" s="1"/>
  <c r="H31" i="2"/>
  <c r="K31" i="2" s="1"/>
  <c r="P31" i="2" s="1"/>
  <c r="H28" i="2"/>
  <c r="K28" i="2" s="1"/>
  <c r="P28" i="2" s="1"/>
  <c r="H104" i="2"/>
  <c r="K104" i="2" s="1"/>
  <c r="P104" i="2" s="1"/>
  <c r="H68" i="2"/>
  <c r="K68" i="2" s="1"/>
  <c r="P68" i="2" s="1"/>
  <c r="H89" i="2"/>
  <c r="K89" i="2" s="1"/>
  <c r="P89" i="2" s="1"/>
  <c r="H107" i="2"/>
  <c r="K107" i="2" s="1"/>
  <c r="P107" i="2" s="1"/>
  <c r="H36" i="2"/>
  <c r="K36" i="2" s="1"/>
  <c r="P36" i="2" s="1"/>
  <c r="H78" i="2"/>
  <c r="K78" i="2" s="1"/>
  <c r="P78" i="2" s="1"/>
  <c r="H25" i="2"/>
  <c r="K25" i="2" s="1"/>
  <c r="P25" i="2" s="1"/>
  <c r="H43" i="2"/>
  <c r="K43" i="2" s="1"/>
  <c r="P43" i="2" s="1"/>
  <c r="H119" i="2"/>
  <c r="K119" i="2" s="1"/>
  <c r="P119" i="2" s="1"/>
  <c r="H113" i="2"/>
  <c r="K113" i="2" s="1"/>
  <c r="P113" i="2" s="1"/>
  <c r="H35" i="2"/>
  <c r="K35" i="2" s="1"/>
  <c r="P35" i="2" s="1"/>
  <c r="H38" i="2"/>
  <c r="K38" i="2" s="1"/>
  <c r="P38" i="2" s="1"/>
  <c r="H67" i="2"/>
  <c r="K67" i="2" s="1"/>
  <c r="P67" i="2" s="1"/>
  <c r="H24" i="2"/>
  <c r="K24" i="2" s="1"/>
  <c r="P24" i="2" s="1"/>
  <c r="H103" i="2"/>
  <c r="K103" i="2" s="1"/>
  <c r="P103" i="2" s="1"/>
  <c r="H91" i="2"/>
  <c r="K91" i="2" s="1"/>
  <c r="P91" i="2" s="1"/>
  <c r="H88" i="2"/>
  <c r="K88" i="2" s="1"/>
  <c r="P88" i="2" s="1"/>
  <c r="H62" i="2"/>
  <c r="K62" i="2" s="1"/>
  <c r="P62" i="2" s="1"/>
  <c r="H110" i="2"/>
  <c r="K110" i="2" s="1"/>
  <c r="P110" i="2" s="1"/>
  <c r="H81" i="2"/>
  <c r="K81" i="2" s="1"/>
  <c r="P81" i="2" s="1"/>
  <c r="H72" i="2"/>
  <c r="K72" i="2" s="1"/>
  <c r="P72" i="2" s="1"/>
  <c r="H74" i="2"/>
  <c r="K74" i="2" s="1"/>
  <c r="P74" i="2" s="1"/>
  <c r="H41" i="2"/>
  <c r="K41" i="2" s="1"/>
  <c r="P41" i="2" s="1"/>
  <c r="H58" i="2"/>
  <c r="K58" i="2" s="1"/>
  <c r="P58" i="2" s="1"/>
  <c r="H100" i="2"/>
  <c r="K100" i="2" s="1"/>
  <c r="P100" i="2" s="1"/>
  <c r="H55" i="2"/>
  <c r="K55" i="2" s="1"/>
  <c r="P55" i="2" s="1"/>
  <c r="H50" i="2"/>
  <c r="K50" i="2" s="1"/>
  <c r="P50" i="2" s="1"/>
  <c r="H105" i="2"/>
  <c r="K105" i="2" s="1"/>
  <c r="P105" i="2" s="1"/>
  <c r="H90" i="2"/>
  <c r="K90" i="2" s="1"/>
  <c r="P90" i="2" s="1"/>
  <c r="H85" i="2"/>
  <c r="K85" i="2" s="1"/>
  <c r="P85" i="2" s="1"/>
  <c r="H54" i="2"/>
  <c r="K54" i="2" s="1"/>
  <c r="P54" i="2" s="1"/>
  <c r="H66" i="2"/>
  <c r="K66" i="2" s="1"/>
  <c r="P66" i="2" s="1"/>
  <c r="H79" i="2"/>
  <c r="K79" i="2" s="1"/>
  <c r="P79" i="2" s="1"/>
  <c r="H120" i="2"/>
  <c r="K120" i="2" s="1"/>
  <c r="P120" i="2" s="1"/>
  <c r="H34" i="2"/>
  <c r="K34" i="2" s="1"/>
  <c r="P34" i="2" s="1"/>
  <c r="H59" i="2"/>
  <c r="K59" i="2" s="1"/>
  <c r="P59" i="2" s="1"/>
  <c r="H114" i="2"/>
  <c r="K114" i="2" s="1"/>
  <c r="P114" i="2" s="1"/>
  <c r="H75" i="2"/>
  <c r="K75" i="2" s="1"/>
  <c r="P75" i="2" s="1"/>
  <c r="H70" i="2"/>
  <c r="K70" i="2" s="1"/>
  <c r="P70" i="2" s="1"/>
  <c r="H92" i="2"/>
  <c r="K92" i="2" s="1"/>
  <c r="P92" i="2" s="1"/>
  <c r="H111" i="2"/>
  <c r="K111" i="2" s="1"/>
  <c r="P111" i="2" s="1"/>
  <c r="H98" i="2"/>
  <c r="K98" i="2" s="1"/>
  <c r="P98" i="2" s="1"/>
  <c r="H32" i="2"/>
  <c r="K32" i="2" s="1"/>
  <c r="P32" i="2" s="1"/>
  <c r="H27" i="2"/>
  <c r="K27" i="2" s="1"/>
  <c r="P27" i="2" s="1"/>
  <c r="H80" i="2"/>
  <c r="K80" i="2" s="1"/>
  <c r="P80" i="2" s="1"/>
  <c r="H57" i="2"/>
  <c r="K57" i="2" s="1"/>
  <c r="P57" i="2" s="1"/>
  <c r="H99" i="2"/>
  <c r="K99" i="2" s="1"/>
  <c r="P99" i="2" s="1"/>
  <c r="H116" i="2"/>
  <c r="K116" i="2" s="1"/>
  <c r="P116" i="2" s="1"/>
  <c r="H33" i="2"/>
  <c r="K33" i="2" s="1"/>
  <c r="P33" i="2" s="1"/>
  <c r="H52" i="2"/>
  <c r="K52" i="2" s="1"/>
  <c r="P52" i="2" s="1"/>
  <c r="H121" i="2"/>
  <c r="K121" i="2" s="1"/>
  <c r="P121" i="2" s="1"/>
  <c r="H60" i="2"/>
  <c r="K60" i="2" s="1"/>
  <c r="P60" i="2" s="1"/>
  <c r="H29" i="2"/>
  <c r="K29" i="2" s="1"/>
  <c r="P29" i="2" s="1"/>
  <c r="H37" i="2"/>
  <c r="K37" i="2" s="1"/>
  <c r="P37" i="2" s="1"/>
  <c r="H82" i="2"/>
  <c r="K82" i="2" s="1"/>
  <c r="P82" i="2" s="1"/>
  <c r="H51" i="2"/>
  <c r="K51" i="2" s="1"/>
  <c r="P51" i="2" s="1"/>
  <c r="H122" i="2"/>
  <c r="K122" i="2" s="1"/>
  <c r="P122" i="2" s="1"/>
  <c r="H109" i="2"/>
  <c r="K109" i="2" s="1"/>
  <c r="P109" i="2" s="1"/>
  <c r="H45" i="2"/>
  <c r="K45" i="2" s="1"/>
  <c r="P45" i="2" s="1"/>
  <c r="H47" i="2"/>
  <c r="K47" i="2" s="1"/>
  <c r="P47" i="2" s="1"/>
  <c r="X91" i="1"/>
  <c r="X87" i="1"/>
  <c r="X83" i="1"/>
  <c r="X17" i="1"/>
  <c r="X38" i="1"/>
  <c r="X81" i="1"/>
  <c r="X7" i="1"/>
  <c r="X86" i="1"/>
  <c r="X58" i="1"/>
  <c r="X85" i="1"/>
  <c r="X11" i="1"/>
  <c r="X22" i="1"/>
  <c r="X79" i="1"/>
  <c r="X23" i="1"/>
  <c r="X26" i="1"/>
  <c r="X90" i="1"/>
  <c r="X25" i="1"/>
  <c r="X54" i="1"/>
  <c r="X72" i="1"/>
  <c r="X48" i="1"/>
  <c r="X35" i="1"/>
  <c r="X16" i="1"/>
  <c r="X57" i="1"/>
  <c r="X46" i="1"/>
  <c r="X50" i="1"/>
  <c r="X95" i="1"/>
  <c r="X21" i="1"/>
  <c r="X9" i="1"/>
  <c r="X82" i="1"/>
  <c r="X31" i="1"/>
  <c r="X4" i="1"/>
  <c r="X62" i="1"/>
  <c r="X84" i="1"/>
  <c r="X39" i="1"/>
  <c r="X60" i="1"/>
  <c r="X94" i="1"/>
  <c r="X42" i="1"/>
  <c r="X30" i="1"/>
  <c r="X64" i="1"/>
  <c r="X10" i="1"/>
  <c r="X32" i="1"/>
  <c r="X47" i="1"/>
  <c r="X28" i="1"/>
  <c r="X93" i="1"/>
  <c r="X6" i="1"/>
  <c r="X97" i="1"/>
  <c r="X15" i="1"/>
  <c r="X61" i="1"/>
  <c r="X70" i="1"/>
  <c r="X43" i="1"/>
  <c r="X51" i="1"/>
  <c r="X40" i="1"/>
  <c r="X36" i="1"/>
  <c r="X69" i="1"/>
  <c r="X101" i="1"/>
  <c r="X73" i="1"/>
  <c r="X27" i="1"/>
  <c r="X66" i="1"/>
  <c r="X55" i="1"/>
  <c r="X56" i="1"/>
  <c r="X76" i="1"/>
  <c r="X45" i="1"/>
  <c r="X13" i="1"/>
  <c r="X49" i="1"/>
  <c r="X20" i="1"/>
  <c r="X92" i="1"/>
  <c r="X59" i="1"/>
  <c r="X80" i="1"/>
  <c r="X29" i="1"/>
  <c r="X78" i="1"/>
  <c r="X33" i="1"/>
  <c r="X74" i="1"/>
  <c r="X100" i="1"/>
  <c r="X68" i="1"/>
  <c r="X63" i="1"/>
  <c r="X96" i="1"/>
  <c r="X98" i="1"/>
  <c r="X89" i="1"/>
  <c r="X3" i="1"/>
  <c r="X19" i="1"/>
  <c r="X8" i="1"/>
  <c r="X44" i="1"/>
  <c r="X24" i="1"/>
  <c r="X67" i="1"/>
  <c r="X34" i="1"/>
  <c r="X65" i="1"/>
  <c r="X99" i="1"/>
  <c r="X41" i="1"/>
  <c r="X5" i="1"/>
  <c r="X52" i="1"/>
  <c r="X71" i="1"/>
  <c r="X18" i="1"/>
  <c r="X53" i="1"/>
  <c r="X102" i="1"/>
  <c r="X12" i="1"/>
  <c r="X14" i="1"/>
  <c r="X88" i="1"/>
  <c r="X75" i="1"/>
  <c r="X77" i="1"/>
  <c r="U9" i="2" l="1"/>
  <c r="W9" i="2" s="1"/>
  <c r="W8" i="2"/>
  <c r="W1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J15" authorId="0" shapeId="0" xr:uid="{90A8311D-4DCF-49FC-9CDA-3D3033F8E82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范围：0.7~1.3</t>
        </r>
      </text>
    </comment>
  </commentList>
</comments>
</file>

<file path=xl/sharedStrings.xml><?xml version="1.0" encoding="utf-8"?>
<sst xmlns="http://schemas.openxmlformats.org/spreadsheetml/2006/main" count="301" uniqueCount="124">
  <si>
    <t>基础数据引用自（战斗数值.xlsm）</t>
    <phoneticPr fontId="1" type="noConversion"/>
  </si>
  <si>
    <t>伤害</t>
    <phoneticPr fontId="1" type="noConversion"/>
  </si>
  <si>
    <t>承伤</t>
    <phoneticPr fontId="1" type="noConversion"/>
  </si>
  <si>
    <t>普攻占比</t>
    <phoneticPr fontId="1" type="noConversion"/>
  </si>
  <si>
    <t>角色名</t>
    <phoneticPr fontId="1" type="noConversion"/>
  </si>
  <si>
    <t>类型</t>
    <phoneticPr fontId="1" type="noConversion"/>
  </si>
  <si>
    <t>防御力</t>
    <phoneticPr fontId="1" type="noConversion"/>
  </si>
  <si>
    <t>攻击力</t>
    <phoneticPr fontId="1" type="noConversion"/>
  </si>
  <si>
    <t>攻速</t>
    <phoneticPr fontId="1" type="noConversion"/>
  </si>
  <si>
    <t>公共参数</t>
    <phoneticPr fontId="1" type="noConversion"/>
  </si>
  <si>
    <t>参数值</t>
    <phoneticPr fontId="1" type="noConversion"/>
  </si>
  <si>
    <t>生命上限</t>
    <phoneticPr fontId="1" type="noConversion"/>
  </si>
  <si>
    <t>属性放大比</t>
    <phoneticPr fontId="1" type="noConversion"/>
  </si>
  <si>
    <t>属性增长率</t>
    <phoneticPr fontId="1" type="noConversion"/>
  </si>
  <si>
    <t>暴击MAX</t>
    <phoneticPr fontId="1" type="noConversion"/>
  </si>
  <si>
    <t>暴伤MAX</t>
    <phoneticPr fontId="1" type="noConversion"/>
  </si>
  <si>
    <t>分类</t>
    <phoneticPr fontId="1" type="noConversion"/>
  </si>
  <si>
    <t>参数名</t>
    <phoneticPr fontId="1" type="noConversion"/>
  </si>
  <si>
    <t>攻击偏向</t>
    <phoneticPr fontId="1" type="noConversion"/>
  </si>
  <si>
    <t>防御偏向</t>
    <phoneticPr fontId="1" type="noConversion"/>
  </si>
  <si>
    <t>基准防御力</t>
    <phoneticPr fontId="1" type="noConversion"/>
  </si>
  <si>
    <t>生命偏向</t>
    <phoneticPr fontId="1" type="noConversion"/>
  </si>
  <si>
    <t>品质</t>
    <phoneticPr fontId="1" type="noConversion"/>
  </si>
  <si>
    <t>防御力换算</t>
    <phoneticPr fontId="1" type="noConversion"/>
  </si>
  <si>
    <t>R</t>
  </si>
  <si>
    <t>SR</t>
  </si>
  <si>
    <t>SSR</t>
  </si>
  <si>
    <t>UR</t>
  </si>
  <si>
    <t>SSR</t>
    <phoneticPr fontId="1" type="noConversion"/>
  </si>
  <si>
    <t>防御见长，输出较低</t>
  </si>
  <si>
    <t>防御</t>
  </si>
  <si>
    <t>有一定输出和防御能力</t>
  </si>
  <si>
    <t>突击</t>
  </si>
  <si>
    <t>群体输出能力强</t>
  </si>
  <si>
    <t>魔法</t>
  </si>
  <si>
    <t>单体输出能力强</t>
  </si>
  <si>
    <t>射击</t>
  </si>
  <si>
    <t>对后排输出能力强</t>
  </si>
  <si>
    <t>刺杀</t>
  </si>
  <si>
    <t>更侧重单体治疗能力</t>
  </si>
  <si>
    <t>恢复</t>
  </si>
  <si>
    <t>输出</t>
  </si>
  <si>
    <t>输出</t>
    <phoneticPr fontId="1" type="noConversion"/>
  </si>
  <si>
    <t>治疗</t>
  </si>
  <si>
    <t>治疗</t>
    <phoneticPr fontId="1" type="noConversion"/>
  </si>
  <si>
    <t>坦克</t>
  </si>
  <si>
    <t>坦克</t>
    <phoneticPr fontId="1" type="noConversion"/>
  </si>
  <si>
    <t>包装类型</t>
    <phoneticPr fontId="1" type="noConversion"/>
  </si>
  <si>
    <t>手调参数</t>
    <phoneticPr fontId="1" type="noConversion"/>
  </si>
  <si>
    <t>计算参数</t>
    <phoneticPr fontId="1" type="noConversion"/>
  </si>
  <si>
    <t>输出参数</t>
    <phoneticPr fontId="1" type="noConversion"/>
  </si>
  <si>
    <t>升级占比</t>
    <phoneticPr fontId="1" type="noConversion"/>
  </si>
  <si>
    <t>角色数据</t>
    <phoneticPr fontId="1" type="noConversion"/>
  </si>
  <si>
    <t>升星占比</t>
    <phoneticPr fontId="1" type="noConversion"/>
  </si>
  <si>
    <t>公共占比</t>
    <phoneticPr fontId="1" type="noConversion"/>
  </si>
  <si>
    <t>装备占比</t>
    <phoneticPr fontId="1" type="noConversion"/>
  </si>
  <si>
    <t>攻击力</t>
  </si>
  <si>
    <t>生命上限</t>
  </si>
  <si>
    <t>防御力</t>
  </si>
  <si>
    <t>暴击率</t>
  </si>
  <si>
    <t>暴击倍率</t>
  </si>
  <si>
    <t>攻速</t>
  </si>
  <si>
    <t>等级</t>
    <phoneticPr fontId="1" type="noConversion"/>
  </si>
  <si>
    <t>升级数据</t>
    <phoneticPr fontId="1" type="noConversion"/>
  </si>
  <si>
    <t>饼干1</t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</si>
  <si>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</si>
  <si>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</si>
  <si>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</si>
  <si>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</si>
  <si>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</si>
  <si>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</si>
  <si>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</si>
  <si>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</si>
  <si>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</si>
  <si>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</si>
  <si>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</si>
  <si>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参数Max</t>
    <phoneticPr fontId="1" type="noConversion"/>
  </si>
  <si>
    <t>参数Min</t>
    <phoneticPr fontId="1" type="noConversion"/>
  </si>
  <si>
    <t>↓</t>
    <phoneticPr fontId="1" type="noConversion"/>
  </si>
  <si>
    <t>复制上一行数据填新卡数据</t>
    <phoneticPr fontId="1" type="noConversion"/>
  </si>
  <si>
    <t>Role1</t>
    <phoneticPr fontId="1" type="noConversion"/>
  </si>
  <si>
    <t>DataTable</t>
    <phoneticPr fontId="1" type="noConversion"/>
  </si>
  <si>
    <t>Role2</t>
  </si>
  <si>
    <t>Role3</t>
  </si>
  <si>
    <t>Role4</t>
  </si>
  <si>
    <t>Role5</t>
  </si>
  <si>
    <t>Role6</t>
  </si>
  <si>
    <t>Role7</t>
  </si>
  <si>
    <t>Role8</t>
  </si>
  <si>
    <t>Role9</t>
  </si>
  <si>
    <t>Role10</t>
  </si>
  <si>
    <t>Role11</t>
  </si>
  <si>
    <t>Role12</t>
  </si>
  <si>
    <t>饼干1</t>
    <phoneticPr fontId="1" type="noConversion"/>
  </si>
  <si>
    <t>站位</t>
    <phoneticPr fontId="1" type="noConversion"/>
  </si>
  <si>
    <t>伤害</t>
  </si>
  <si>
    <t>承伤</t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</si>
  <si>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</si>
  <si>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</si>
  <si>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等级</t>
  </si>
  <si>
    <t>星级</t>
    <phoneticPr fontId="1" type="noConversion"/>
  </si>
  <si>
    <t>公共</t>
    <phoneticPr fontId="1" type="noConversion"/>
  </si>
  <si>
    <t>装备</t>
    <phoneticPr fontId="1" type="noConversion"/>
  </si>
  <si>
    <t>//此字段目前是给定值，后续细化</t>
    <phoneticPr fontId="1" type="noConversion"/>
  </si>
  <si>
    <t>品质*（1+星级）*（1+公共+装备）</t>
    <phoneticPr fontId="1" type="noConversion"/>
  </si>
  <si>
    <t>剩余数量</t>
    <phoneticPr fontId="1" type="noConversion"/>
  </si>
  <si>
    <t>怪物数据</t>
    <phoneticPr fontId="1" type="noConversion"/>
  </si>
  <si>
    <t>基础伤害</t>
    <phoneticPr fontId="1" type="noConversion"/>
  </si>
  <si>
    <t>基础承伤</t>
    <phoneticPr fontId="1" type="noConversion"/>
  </si>
  <si>
    <t>基础防御力</t>
    <phoneticPr fontId="1" type="noConversion"/>
  </si>
  <si>
    <t>//防御力是固定的，不随着角色品质星级等变化</t>
    <phoneticPr fontId="1" type="noConversion"/>
  </si>
  <si>
    <t>怪物属性</t>
    <phoneticPr fontId="1" type="noConversion"/>
  </si>
  <si>
    <t>普攻占比</t>
  </si>
  <si>
    <t>大招CD</t>
  </si>
  <si>
    <t>1分9</t>
    <phoneticPr fontId="1" type="noConversion"/>
  </si>
  <si>
    <t>大招威力</t>
    <phoneticPr fontId="1" type="noConversion"/>
  </si>
  <si>
    <t>SSR、纯升级(0星、0公共、0装备)、全角色</t>
    <phoneticPr fontId="1" type="noConversion"/>
  </si>
  <si>
    <t>以下为非设定怪物，特殊设定怪物单独手动设计，单独导出</t>
    <phoneticPr fontId="1" type="noConversion"/>
  </si>
  <si>
    <t>数量</t>
    <phoneticPr fontId="1" type="noConversion"/>
  </si>
  <si>
    <t>3in1</t>
    <phoneticPr fontId="1" type="noConversion"/>
  </si>
  <si>
    <t>1分3</t>
    <phoneticPr fontId="1" type="noConversion"/>
  </si>
  <si>
    <t>//混合怪物的属性计算问题？？</t>
    <phoneticPr fontId="1" type="noConversion"/>
  </si>
  <si>
    <t>//获取最小单位攻击力后，设定其他非最小单位怪物攻击比例可计算得出各自攻击力，生命值按照占用最小单位数量计算得出</t>
    <phoneticPr fontId="1" type="noConversion"/>
  </si>
  <si>
    <t>每波怪组成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</si>
</sst>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76" formatCode="0.000"/>
    <numFmt numFmtId="177" formatCode="_ * #,##0_ ;_ * \-#,##0_ ;_ * &quot;-&quot;??_ ;_ @_ "/>
    <numFmt numFmtId="178" formatCode="0.0%"/>
    <numFmt numFmtId="180" formatCode="0.000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微软雅黑"/>
      <family val="2"/>
      <charset val="134"/>
    </font>
    <font>
      <i/>
      <sz val="9"/>
      <color theme="1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rgb="FFFF0000"/>
      <name val="微软雅黑"/>
      <family val="2"/>
      <charset val="134"/>
    </font>
    <font>
      <b/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shrinkToFit="1"/>
    </xf>
    <xf numFmtId="2" fontId="2" fillId="0" borderId="3" xfId="0" applyNumberFormat="1" applyFont="1" applyBorder="1" applyAlignment="1">
      <alignment horizontal="center" vertical="center" shrinkToFit="1"/>
    </xf>
    <xf numFmtId="0" fontId="6" fillId="0" borderId="0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6" fillId="0" borderId="4" xfId="0" applyFont="1" applyBorder="1" applyAlignment="1">
      <alignment horizontal="center" vertical="center" shrinkToFit="1"/>
    </xf>
    <xf numFmtId="1" fontId="6" fillId="0" borderId="4" xfId="0" applyNumberFormat="1" applyFont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0" fontId="6" fillId="0" borderId="5" xfId="0" applyFont="1" applyBorder="1" applyAlignment="1">
      <alignment horizontal="center" vertical="center" shrinkToFit="1"/>
    </xf>
    <xf numFmtId="0" fontId="6" fillId="2" borderId="1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4" borderId="13" xfId="0" applyFont="1" applyFill="1" applyBorder="1" applyAlignment="1">
      <alignment horizontal="center" vertical="center" shrinkToFit="1"/>
    </xf>
    <xf numFmtId="0" fontId="6" fillId="4" borderId="4" xfId="0" applyFont="1" applyFill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7" fillId="0" borderId="1" xfId="0" applyFont="1" applyBorder="1" applyAlignment="1">
      <alignment horizontal="right" vertical="center"/>
    </xf>
    <xf numFmtId="177" fontId="2" fillId="0" borderId="1" xfId="1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 shrinkToFit="1"/>
    </xf>
    <xf numFmtId="0" fontId="6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178" fontId="2" fillId="0" borderId="1" xfId="2" applyNumberFormat="1" applyFont="1" applyBorder="1" applyAlignment="1">
      <alignment horizontal="center" vertical="center" shrinkToFit="1"/>
    </xf>
    <xf numFmtId="10" fontId="2" fillId="0" borderId="1" xfId="2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2" xfId="0" applyFont="1" applyBorder="1" applyAlignment="1">
      <alignment vertical="center" shrinkToFit="1"/>
    </xf>
    <xf numFmtId="0" fontId="2" fillId="0" borderId="15" xfId="0" applyFont="1" applyBorder="1" applyAlignment="1">
      <alignment vertical="center" shrinkToFit="1"/>
    </xf>
    <xf numFmtId="0" fontId="2" fillId="0" borderId="14" xfId="0" applyFont="1" applyBorder="1" applyAlignment="1">
      <alignment vertical="center" shrinkToFit="1"/>
    </xf>
    <xf numFmtId="0" fontId="10" fillId="2" borderId="1" xfId="0" applyFont="1" applyFill="1" applyBorder="1" applyAlignment="1">
      <alignment horizontal="center" vertical="center" shrinkToFit="1"/>
    </xf>
  </cellXfs>
  <cellStyles count="3">
    <cellStyle name="百分比" xfId="2" builtinId="5"/>
    <cellStyle name="常规" xfId="0" builtinId="0"/>
    <cellStyle name="千位分隔" xfId="1" builtinId="3"/>
  </cellStyles>
  <dxfs count="4"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基础模型(废）"/>
      <sheetName val="基础模型"/>
      <sheetName val="战斗公式"/>
      <sheetName val="角色设定"/>
      <sheetName val="角色成长"/>
      <sheetName val="角色品星"/>
      <sheetName val="角色升级"/>
      <sheetName val="技能模板"/>
      <sheetName val="角色技能"/>
      <sheetName val="怪物设定"/>
      <sheetName val="战斗模拟"/>
    </sheetNames>
    <sheetDataSet>
      <sheetData sheetId="0"/>
      <sheetData sheetId="1"/>
      <sheetData sheetId="2"/>
      <sheetData sheetId="3">
        <row r="5">
          <cell r="E5">
            <v>5</v>
          </cell>
          <cell r="F5">
            <v>100</v>
          </cell>
        </row>
        <row r="6">
          <cell r="E6">
            <v>10</v>
          </cell>
          <cell r="F6">
            <v>40</v>
          </cell>
        </row>
        <row r="7">
          <cell r="E7">
            <v>4</v>
          </cell>
          <cell r="F7">
            <v>50</v>
          </cell>
        </row>
      </sheetData>
      <sheetData sheetId="4"/>
      <sheetData sheetId="5"/>
      <sheetData sheetId="6"/>
      <sheetData sheetId="7"/>
      <sheetData sheetId="8"/>
      <sheetData sheetId="9">
        <row r="6">
          <cell r="C6" t="str">
            <v>1~1</v>
          </cell>
          <cell r="D6" t="str">
            <v>坦克</v>
          </cell>
          <cell r="E6">
            <v>5</v>
          </cell>
          <cell r="F6">
            <v>100</v>
          </cell>
          <cell r="G6">
            <v>2</v>
          </cell>
        </row>
        <row r="7">
          <cell r="C7" t="str">
            <v>1~2</v>
          </cell>
          <cell r="D7" t="str">
            <v>输出</v>
          </cell>
          <cell r="E7">
            <v>10</v>
          </cell>
          <cell r="F7">
            <v>40</v>
          </cell>
          <cell r="G7">
            <v>0</v>
          </cell>
        </row>
        <row r="8">
          <cell r="C8" t="str">
            <v>2~1</v>
          </cell>
          <cell r="D8" t="str">
            <v>坦克</v>
          </cell>
          <cell r="E8">
            <v>5</v>
          </cell>
          <cell r="F8">
            <v>100</v>
          </cell>
          <cell r="G8">
            <v>2</v>
          </cell>
        </row>
        <row r="9">
          <cell r="C9" t="str">
            <v>2~2</v>
          </cell>
          <cell r="D9" t="str">
            <v>输出</v>
          </cell>
          <cell r="E9">
            <v>10</v>
          </cell>
          <cell r="F9">
            <v>40</v>
          </cell>
          <cell r="G9">
            <v>0</v>
          </cell>
        </row>
        <row r="10">
          <cell r="C10">
            <v>0</v>
          </cell>
          <cell r="D10" t="str">
            <v>治疗</v>
          </cell>
          <cell r="E10">
            <v>4</v>
          </cell>
          <cell r="F10">
            <v>50</v>
          </cell>
          <cell r="G10">
            <v>6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50D35-049C-4BF1-8187-863D929EF18C}">
  <sheetPr codeName="Sheet1"/>
  <dimension ref="A1:AC102"/>
  <sheetViews>
    <sheetView zoomScaleNormal="100" workbookViewId="0">
      <pane xSplit="8" ySplit="15" topLeftCell="I16" activePane="bottomRight" state="frozen"/>
      <selection pane="topRight" activeCell="I1" sqref="I1"/>
      <selection pane="bottomLeft" activeCell="A16" sqref="A16"/>
      <selection pane="bottomRight" activeCell="I16" sqref="I16:P29"/>
    </sheetView>
  </sheetViews>
  <sheetFormatPr defaultRowHeight="14.25" customHeight="1" x14ac:dyDescent="0.2"/>
  <cols>
    <col min="1" max="16384" width="9" style="1"/>
  </cols>
  <sheetData>
    <row r="1" spans="2:29" ht="14.25" customHeight="1" x14ac:dyDescent="0.2">
      <c r="B1" s="5" t="s">
        <v>48</v>
      </c>
      <c r="C1" s="6" t="s">
        <v>49</v>
      </c>
      <c r="D1" s="31" t="s">
        <v>50</v>
      </c>
      <c r="E1" s="30"/>
      <c r="G1" s="2"/>
      <c r="V1" s="2" t="s">
        <v>63</v>
      </c>
      <c r="X1" s="1" t="s">
        <v>93</v>
      </c>
      <c r="Y1" s="1" t="str">
        <f>VLOOKUP($X1,$E:$G,3,0)</f>
        <v>SSR</v>
      </c>
      <c r="Z1" s="1" t="str">
        <f>VLOOKUP($X1,$E:$G,2,0)</f>
        <v>防御</v>
      </c>
      <c r="AA1" s="1">
        <v>0.05</v>
      </c>
      <c r="AB1" s="1">
        <v>1.5</v>
      </c>
      <c r="AC1" s="1">
        <f>VLOOKUP(X1,$E:$U,15,0)</f>
        <v>5</v>
      </c>
    </row>
    <row r="2" spans="2:29" ht="14.25" customHeight="1" x14ac:dyDescent="0.2">
      <c r="W2" s="1" t="s">
        <v>62</v>
      </c>
      <c r="X2" s="1" t="s">
        <v>56</v>
      </c>
      <c r="Y2" s="1" t="s">
        <v>57</v>
      </c>
      <c r="Z2" s="1" t="s">
        <v>58</v>
      </c>
      <c r="AA2" s="1" t="s">
        <v>59</v>
      </c>
      <c r="AB2" s="1" t="s">
        <v>60</v>
      </c>
      <c r="AC2" s="1" t="s">
        <v>61</v>
      </c>
    </row>
    <row r="3" spans="2:29" ht="14.25" customHeight="1" x14ac:dyDescent="0.2">
      <c r="E3" s="2" t="s">
        <v>0</v>
      </c>
      <c r="K3" s="2" t="s">
        <v>47</v>
      </c>
      <c r="W3" s="1">
        <v>1</v>
      </c>
      <c r="X3" s="1">
        <f t="shared" ref="X3:X34" si="0">ROUND(VLOOKUP($X$1,$E:$R,MATCH(X$2,$E$15:$R$15,0),0)*$C$6^($W3-1)*$C$13*VLOOKUP($Y$1,$B:$C,2,0),0)</f>
        <v>70</v>
      </c>
      <c r="Y3" s="1">
        <f t="shared" ref="Y3:Y34" si="1">ROUND(VLOOKUP(VLOOKUP($Z$1,$K$4:$L$10,2,0),$E$4:$G$7,3,0)*$C$5*VLOOKUP($X$1,$E:$R,MATCH("生命偏向",$E$15:$R$15,0),0)/(1+VLOOKUP($X$1,$E:$R,MATCH($Z$2,$E$15:$R$15,0),0)*$C$6^($W3-1)/$C$8)*$C$6^($W3-1)*$C$13*VLOOKUP($Y$1,$B:$C,2,0),0)</f>
        <v>2480</v>
      </c>
      <c r="Z3" s="1">
        <f t="shared" ref="Z3:Z34" si="2">ROUND(VLOOKUP($X$1,$E:$R,MATCH(Z$2,$E$15:$R$15,0),0)*$C$6^($W3-1)*$C$13*VLOOKUP($Y$1,$B:$C,2,0),0)</f>
        <v>248</v>
      </c>
      <c r="AA3" s="1">
        <f>$AA$1</f>
        <v>0.05</v>
      </c>
      <c r="AB3" s="1">
        <f>$AB$1</f>
        <v>1.5</v>
      </c>
      <c r="AC3" s="1">
        <f t="shared" ref="AC3:AC34" si="3">VLOOKUP($X$1,$E:$R,MATCH(AC$2,$E$15:$R$15,0),0)</f>
        <v>0.9</v>
      </c>
    </row>
    <row r="4" spans="2:29" ht="14.25" customHeight="1" thickBot="1" x14ac:dyDescent="0.25">
      <c r="B4" s="13" t="s">
        <v>9</v>
      </c>
      <c r="C4" s="20" t="s">
        <v>10</v>
      </c>
      <c r="E4" s="13" t="s">
        <v>5</v>
      </c>
      <c r="F4" s="13" t="s">
        <v>1</v>
      </c>
      <c r="G4" s="13" t="s">
        <v>2</v>
      </c>
      <c r="J4" s="10"/>
      <c r="K4" s="13" t="s">
        <v>47</v>
      </c>
      <c r="L4" s="14" t="s">
        <v>5</v>
      </c>
      <c r="W4" s="1">
        <v>2</v>
      </c>
      <c r="X4" s="1">
        <f t="shared" si="0"/>
        <v>74</v>
      </c>
      <c r="Y4" s="1">
        <f t="shared" si="1"/>
        <v>2602</v>
      </c>
      <c r="Z4" s="1">
        <f t="shared" si="2"/>
        <v>260</v>
      </c>
      <c r="AA4" s="1">
        <f t="shared" ref="AA4:AA67" si="4">$AA$1</f>
        <v>0.05</v>
      </c>
      <c r="AB4" s="1">
        <f t="shared" ref="AB4:AB67" si="5">$AB$1</f>
        <v>1.5</v>
      </c>
      <c r="AC4" s="1">
        <f t="shared" si="3"/>
        <v>0.9</v>
      </c>
    </row>
    <row r="5" spans="2:29" ht="14.25" customHeight="1" x14ac:dyDescent="0.2">
      <c r="B5" s="3" t="s">
        <v>12</v>
      </c>
      <c r="C5" s="3">
        <v>75</v>
      </c>
      <c r="D5" s="3"/>
      <c r="E5" s="3" t="s">
        <v>46</v>
      </c>
      <c r="F5" s="12">
        <f>[1]角色设定!E5</f>
        <v>5</v>
      </c>
      <c r="G5" s="12">
        <f>[1]角色设定!F5</f>
        <v>100</v>
      </c>
      <c r="J5" s="10" t="s">
        <v>29</v>
      </c>
      <c r="K5" s="3" t="s">
        <v>30</v>
      </c>
      <c r="L5" s="12" t="s">
        <v>45</v>
      </c>
      <c r="W5" s="1">
        <v>3</v>
      </c>
      <c r="X5" s="1">
        <f t="shared" si="0"/>
        <v>78</v>
      </c>
      <c r="Y5" s="1">
        <f t="shared" si="1"/>
        <v>2731</v>
      </c>
      <c r="Z5" s="1">
        <f t="shared" si="2"/>
        <v>273</v>
      </c>
      <c r="AA5" s="1">
        <f t="shared" si="4"/>
        <v>0.05</v>
      </c>
      <c r="AB5" s="1">
        <f t="shared" si="5"/>
        <v>1.5</v>
      </c>
      <c r="AC5" s="1">
        <f t="shared" si="3"/>
        <v>0.9</v>
      </c>
    </row>
    <row r="6" spans="2:29" ht="14.25" customHeight="1" x14ac:dyDescent="0.2">
      <c r="B6" s="1" t="s">
        <v>13</v>
      </c>
      <c r="C6" s="1">
        <v>1.05</v>
      </c>
      <c r="E6" s="1" t="s">
        <v>42</v>
      </c>
      <c r="F6" s="11">
        <f>[1]角色设定!E6</f>
        <v>10</v>
      </c>
      <c r="G6" s="11">
        <f>[1]角色设定!F6</f>
        <v>40</v>
      </c>
      <c r="J6" s="10" t="s">
        <v>31</v>
      </c>
      <c r="K6" s="1" t="s">
        <v>32</v>
      </c>
      <c r="L6" s="11" t="s">
        <v>45</v>
      </c>
      <c r="W6" s="1">
        <v>4</v>
      </c>
      <c r="X6" s="1">
        <f t="shared" si="0"/>
        <v>81</v>
      </c>
      <c r="Y6" s="1">
        <f t="shared" si="1"/>
        <v>2867</v>
      </c>
      <c r="Z6" s="1">
        <f t="shared" si="2"/>
        <v>287</v>
      </c>
      <c r="AA6" s="1">
        <f t="shared" si="4"/>
        <v>0.05</v>
      </c>
      <c r="AB6" s="1">
        <f t="shared" si="5"/>
        <v>1.5</v>
      </c>
      <c r="AC6" s="1">
        <f t="shared" si="3"/>
        <v>0.9</v>
      </c>
    </row>
    <row r="7" spans="2:29" ht="14.25" customHeight="1" x14ac:dyDescent="0.2">
      <c r="B7" s="1" t="s">
        <v>20</v>
      </c>
      <c r="C7" s="1">
        <v>11</v>
      </c>
      <c r="E7" s="1" t="s">
        <v>44</v>
      </c>
      <c r="F7" s="11">
        <f>[1]角色设定!E7</f>
        <v>4</v>
      </c>
      <c r="G7" s="11">
        <f>[1]角色设定!F7</f>
        <v>50</v>
      </c>
      <c r="J7" s="10" t="s">
        <v>33</v>
      </c>
      <c r="K7" s="1" t="s">
        <v>34</v>
      </c>
      <c r="L7" s="11" t="s">
        <v>41</v>
      </c>
      <c r="W7" s="1">
        <v>5</v>
      </c>
      <c r="X7" s="1">
        <f t="shared" si="0"/>
        <v>85</v>
      </c>
      <c r="Y7" s="1">
        <f t="shared" si="1"/>
        <v>3009</v>
      </c>
      <c r="Z7" s="1">
        <f t="shared" si="2"/>
        <v>301</v>
      </c>
      <c r="AA7" s="1">
        <f t="shared" si="4"/>
        <v>0.05</v>
      </c>
      <c r="AB7" s="1">
        <f t="shared" si="5"/>
        <v>1.5</v>
      </c>
      <c r="AC7" s="1">
        <f t="shared" si="3"/>
        <v>0.9</v>
      </c>
    </row>
    <row r="8" spans="2:29" ht="14.25" customHeight="1" x14ac:dyDescent="0.2">
      <c r="B8" s="1" t="s">
        <v>23</v>
      </c>
      <c r="C8" s="1">
        <v>100000</v>
      </c>
      <c r="F8" s="11"/>
      <c r="G8" s="11"/>
      <c r="J8" s="10" t="s">
        <v>35</v>
      </c>
      <c r="K8" s="1" t="s">
        <v>36</v>
      </c>
      <c r="L8" s="11" t="s">
        <v>41</v>
      </c>
      <c r="W8" s="1">
        <v>6</v>
      </c>
      <c r="X8" s="1">
        <f t="shared" si="0"/>
        <v>90</v>
      </c>
      <c r="Y8" s="1">
        <f t="shared" si="1"/>
        <v>3157</v>
      </c>
      <c r="Z8" s="1">
        <f t="shared" si="2"/>
        <v>316</v>
      </c>
      <c r="AA8" s="1">
        <f t="shared" si="4"/>
        <v>0.05</v>
      </c>
      <c r="AB8" s="1">
        <f t="shared" si="5"/>
        <v>1.5</v>
      </c>
      <c r="AC8" s="1">
        <f t="shared" si="3"/>
        <v>0.9</v>
      </c>
    </row>
    <row r="9" spans="2:29" ht="14.25" customHeight="1" x14ac:dyDescent="0.2">
      <c r="B9" s="1" t="s">
        <v>24</v>
      </c>
      <c r="C9" s="1">
        <v>0.6</v>
      </c>
      <c r="J9" s="10" t="s">
        <v>37</v>
      </c>
      <c r="K9" s="1" t="s">
        <v>38</v>
      </c>
      <c r="L9" s="11" t="s">
        <v>41</v>
      </c>
      <c r="W9" s="1">
        <v>7</v>
      </c>
      <c r="X9" s="1">
        <f t="shared" si="0"/>
        <v>94</v>
      </c>
      <c r="Y9" s="1">
        <f t="shared" si="1"/>
        <v>3314</v>
      </c>
      <c r="Z9" s="1">
        <f t="shared" si="2"/>
        <v>332</v>
      </c>
      <c r="AA9" s="1">
        <f t="shared" si="4"/>
        <v>0.05</v>
      </c>
      <c r="AB9" s="1">
        <f t="shared" si="5"/>
        <v>1.5</v>
      </c>
      <c r="AC9" s="1">
        <f t="shared" si="3"/>
        <v>0.9</v>
      </c>
    </row>
    <row r="10" spans="2:29" ht="14.25" customHeight="1" x14ac:dyDescent="0.2">
      <c r="B10" s="1" t="s">
        <v>25</v>
      </c>
      <c r="C10" s="1">
        <v>0.8</v>
      </c>
      <c r="J10" s="10" t="s">
        <v>39</v>
      </c>
      <c r="K10" s="1" t="s">
        <v>40</v>
      </c>
      <c r="L10" s="11" t="s">
        <v>43</v>
      </c>
      <c r="W10" s="1">
        <v>8</v>
      </c>
      <c r="X10" s="1">
        <f t="shared" si="0"/>
        <v>99</v>
      </c>
      <c r="Y10" s="1">
        <f t="shared" si="1"/>
        <v>3477</v>
      </c>
      <c r="Z10" s="1">
        <f t="shared" si="2"/>
        <v>348</v>
      </c>
      <c r="AA10" s="1">
        <f t="shared" si="4"/>
        <v>0.05</v>
      </c>
      <c r="AB10" s="1">
        <f t="shared" si="5"/>
        <v>1.5</v>
      </c>
      <c r="AC10" s="1">
        <f t="shared" si="3"/>
        <v>0.9</v>
      </c>
    </row>
    <row r="11" spans="2:29" ht="14.25" customHeight="1" x14ac:dyDescent="0.2">
      <c r="B11" s="1" t="s">
        <v>26</v>
      </c>
      <c r="C11" s="1">
        <v>1</v>
      </c>
      <c r="H11" s="2" t="s">
        <v>52</v>
      </c>
      <c r="W11" s="1">
        <v>9</v>
      </c>
      <c r="X11" s="1">
        <f t="shared" si="0"/>
        <v>104</v>
      </c>
      <c r="Y11" s="1">
        <f t="shared" si="1"/>
        <v>3649</v>
      </c>
      <c r="Z11" s="1">
        <f t="shared" si="2"/>
        <v>366</v>
      </c>
      <c r="AA11" s="1">
        <f t="shared" si="4"/>
        <v>0.05</v>
      </c>
      <c r="AB11" s="1">
        <f t="shared" si="5"/>
        <v>1.5</v>
      </c>
      <c r="AC11" s="1">
        <f t="shared" si="3"/>
        <v>0.9</v>
      </c>
    </row>
    <row r="12" spans="2:29" ht="14.25" customHeight="1" x14ac:dyDescent="0.2">
      <c r="B12" s="1" t="s">
        <v>27</v>
      </c>
      <c r="C12" s="1">
        <v>1.2</v>
      </c>
      <c r="H12" s="7" t="s">
        <v>16</v>
      </c>
      <c r="I12" s="32" t="s">
        <v>1</v>
      </c>
      <c r="J12" s="33"/>
      <c r="K12" s="33"/>
      <c r="L12" s="33"/>
      <c r="M12" s="33"/>
      <c r="N12" s="34"/>
      <c r="O12" s="32" t="s">
        <v>2</v>
      </c>
      <c r="P12" s="33"/>
      <c r="Q12" s="33"/>
      <c r="R12" s="34"/>
      <c r="S12" s="26"/>
      <c r="T12" s="26"/>
      <c r="U12" s="26"/>
      <c r="V12" s="26"/>
      <c r="W12" s="1">
        <v>10</v>
      </c>
      <c r="X12" s="1">
        <f t="shared" si="0"/>
        <v>109</v>
      </c>
      <c r="Y12" s="1">
        <f t="shared" si="1"/>
        <v>3829</v>
      </c>
      <c r="Z12" s="1">
        <f t="shared" si="2"/>
        <v>384</v>
      </c>
      <c r="AA12" s="1">
        <f t="shared" si="4"/>
        <v>0.05</v>
      </c>
      <c r="AB12" s="1">
        <f t="shared" si="5"/>
        <v>1.5</v>
      </c>
      <c r="AC12" s="1">
        <f t="shared" si="3"/>
        <v>0.9</v>
      </c>
    </row>
    <row r="13" spans="2:29" ht="14.25" customHeight="1" x14ac:dyDescent="0.2">
      <c r="B13" s="1" t="s">
        <v>51</v>
      </c>
      <c r="C13" s="1">
        <v>0.3</v>
      </c>
      <c r="F13" s="7"/>
      <c r="G13" s="9"/>
      <c r="H13" s="7" t="s">
        <v>77</v>
      </c>
      <c r="I13" s="16">
        <v>0.7</v>
      </c>
      <c r="J13" s="4">
        <v>0.8</v>
      </c>
      <c r="K13" s="4">
        <v>0</v>
      </c>
      <c r="L13" s="4">
        <v>1.5</v>
      </c>
      <c r="M13" s="4">
        <v>0.8</v>
      </c>
      <c r="N13" s="17"/>
      <c r="O13" s="16">
        <v>0.25</v>
      </c>
      <c r="R13" s="27"/>
      <c r="S13" s="26"/>
      <c r="T13" s="26"/>
      <c r="U13" s="26"/>
      <c r="V13" s="26"/>
      <c r="W13" s="1">
        <v>11</v>
      </c>
      <c r="X13" s="1">
        <f t="shared" si="0"/>
        <v>115</v>
      </c>
      <c r="Y13" s="1">
        <f t="shared" si="1"/>
        <v>4018</v>
      </c>
      <c r="Z13" s="1">
        <f t="shared" si="2"/>
        <v>403</v>
      </c>
      <c r="AA13" s="1">
        <f t="shared" si="4"/>
        <v>0.05</v>
      </c>
      <c r="AB13" s="1">
        <f t="shared" si="5"/>
        <v>1.5</v>
      </c>
      <c r="AC13" s="1">
        <f t="shared" si="3"/>
        <v>0.9</v>
      </c>
    </row>
    <row r="14" spans="2:29" ht="14.25" customHeight="1" x14ac:dyDescent="0.2">
      <c r="B14" s="1" t="s">
        <v>53</v>
      </c>
      <c r="C14" s="1">
        <v>0.3</v>
      </c>
      <c r="F14" s="7"/>
      <c r="H14" s="7" t="s">
        <v>76</v>
      </c>
      <c r="I14" s="16">
        <v>0.9</v>
      </c>
      <c r="J14" s="4">
        <v>1.2</v>
      </c>
      <c r="K14" s="4">
        <v>1</v>
      </c>
      <c r="L14" s="4">
        <v>5</v>
      </c>
      <c r="M14" s="4">
        <v>1.2</v>
      </c>
      <c r="N14" s="17"/>
      <c r="O14" s="16">
        <v>1</v>
      </c>
      <c r="P14" s="4"/>
      <c r="Q14" s="4"/>
      <c r="R14" s="17"/>
      <c r="S14" s="26"/>
      <c r="T14" s="26"/>
      <c r="U14" s="26"/>
      <c r="V14" s="26"/>
      <c r="W14" s="1">
        <v>12</v>
      </c>
      <c r="X14" s="1">
        <f t="shared" si="0"/>
        <v>120</v>
      </c>
      <c r="Y14" s="1">
        <f t="shared" si="1"/>
        <v>4216</v>
      </c>
      <c r="Z14" s="1">
        <f t="shared" si="2"/>
        <v>423</v>
      </c>
      <c r="AA14" s="1">
        <f t="shared" si="4"/>
        <v>0.05</v>
      </c>
      <c r="AB14" s="1">
        <f t="shared" si="5"/>
        <v>1.5</v>
      </c>
      <c r="AC14" s="1">
        <f t="shared" si="3"/>
        <v>0.9</v>
      </c>
    </row>
    <row r="15" spans="2:29" ht="14.25" customHeight="1" thickBot="1" x14ac:dyDescent="0.25">
      <c r="B15" s="1" t="s">
        <v>54</v>
      </c>
      <c r="C15" s="1">
        <v>0.25</v>
      </c>
      <c r="E15" s="13" t="s">
        <v>4</v>
      </c>
      <c r="F15" s="18" t="s">
        <v>5</v>
      </c>
      <c r="G15" s="23" t="s">
        <v>22</v>
      </c>
      <c r="H15" s="18" t="s">
        <v>17</v>
      </c>
      <c r="I15" s="19" t="s">
        <v>3</v>
      </c>
      <c r="J15" s="20" t="s">
        <v>8</v>
      </c>
      <c r="K15" s="20" t="s">
        <v>14</v>
      </c>
      <c r="L15" s="20" t="s">
        <v>15</v>
      </c>
      <c r="M15" s="20" t="s">
        <v>18</v>
      </c>
      <c r="N15" s="21" t="s">
        <v>7</v>
      </c>
      <c r="O15" s="19" t="s">
        <v>19</v>
      </c>
      <c r="P15" s="22" t="s">
        <v>6</v>
      </c>
      <c r="Q15" s="15" t="s">
        <v>21</v>
      </c>
      <c r="R15" s="21" t="s">
        <v>11</v>
      </c>
      <c r="S15" s="26" t="s">
        <v>1</v>
      </c>
      <c r="T15" s="26" t="s">
        <v>2</v>
      </c>
      <c r="U15" s="26" t="s">
        <v>81</v>
      </c>
      <c r="V15" s="26"/>
      <c r="W15" s="1">
        <v>13</v>
      </c>
      <c r="X15" s="1">
        <f t="shared" si="0"/>
        <v>126</v>
      </c>
      <c r="Y15" s="1">
        <f t="shared" si="1"/>
        <v>4424</v>
      </c>
      <c r="Z15" s="1">
        <f t="shared" si="2"/>
        <v>444</v>
      </c>
      <c r="AA15" s="1">
        <f t="shared" si="4"/>
        <v>0.05</v>
      </c>
      <c r="AB15" s="1">
        <f t="shared" si="5"/>
        <v>1.5</v>
      </c>
      <c r="AC15" s="1">
        <f t="shared" si="3"/>
        <v>0.9</v>
      </c>
    </row>
    <row r="16" spans="2:29" ht="14.25" customHeight="1" x14ac:dyDescent="0.2">
      <c r="B16" s="1" t="s">
        <v>55</v>
      </c>
      <c r="C16" s="1">
        <v>0.15</v>
      </c>
      <c r="E16" s="3" t="s">
        <v>64</v>
      </c>
      <c r="F16" s="3" t="s">
        <v>30</v>
      </c>
      <c r="G16" s="3" t="s">
        <v>28</v>
      </c>
      <c r="H16" s="3">
        <v>1</v>
      </c>
      <c r="I16" s="25">
        <v>0.75</v>
      </c>
      <c r="J16" s="25">
        <v>0.9</v>
      </c>
      <c r="K16" s="25">
        <v>0.4</v>
      </c>
      <c r="L16" s="25">
        <v>1.5</v>
      </c>
      <c r="M16" s="25">
        <v>0.9</v>
      </c>
      <c r="N16" s="8">
        <f t="shared" ref="N16:N27" si="6">I16/J16/(1+K16*(L16-1))*$C$5*M16*VLOOKUP(VLOOKUP($F16,$K$4:$L$10,2,0),$E$4:$G$7,2,0)</f>
        <v>234.375</v>
      </c>
      <c r="O16" s="25">
        <v>1</v>
      </c>
      <c r="P16" s="8">
        <f>$C$7*O16*$C$5</f>
        <v>825</v>
      </c>
      <c r="Q16" s="25">
        <f>1/M16</f>
        <v>1.1111111111111112</v>
      </c>
      <c r="R16" s="8">
        <f t="shared" ref="R16:R27" si="7">VLOOKUP(VLOOKUP($F16,$K$4:$L$10,2,0),$E$4:$G$7,3,0)*$C$5*Q16/(1+P16/$C$8)</f>
        <v>8265.1458798247786</v>
      </c>
      <c r="S16" s="1">
        <f t="shared" ref="S16:S27" si="8">VLOOKUP(VLOOKUP($F16,$K$4:$L$10,2,0),$E$4:$G$7,2,0)</f>
        <v>5</v>
      </c>
      <c r="T16" s="1">
        <f t="shared" ref="T16:T27" si="9">VLOOKUP(VLOOKUP($F16,$K$4:$L$10,2,0),$E$4:$G$7,3,0)</f>
        <v>100</v>
      </c>
      <c r="U16" s="1" t="s">
        <v>80</v>
      </c>
      <c r="W16" s="1">
        <v>14</v>
      </c>
      <c r="X16" s="1">
        <f t="shared" si="0"/>
        <v>133</v>
      </c>
      <c r="Y16" s="1">
        <f t="shared" si="1"/>
        <v>4642</v>
      </c>
      <c r="Z16" s="1">
        <f t="shared" si="2"/>
        <v>467</v>
      </c>
      <c r="AA16" s="1">
        <f t="shared" si="4"/>
        <v>0.05</v>
      </c>
      <c r="AB16" s="1">
        <f t="shared" si="5"/>
        <v>1.5</v>
      </c>
      <c r="AC16" s="1">
        <f t="shared" si="3"/>
        <v>0.9</v>
      </c>
    </row>
    <row r="17" spans="1:29" ht="14.25" customHeight="1" x14ac:dyDescent="0.2">
      <c r="A17" s="29"/>
      <c r="B17" s="29"/>
      <c r="C17" s="29"/>
      <c r="D17" s="29"/>
      <c r="E17" s="1" t="s">
        <v>65</v>
      </c>
      <c r="F17" s="1" t="s">
        <v>30</v>
      </c>
      <c r="G17" s="3" t="s">
        <v>28</v>
      </c>
      <c r="H17" s="1">
        <v>2</v>
      </c>
      <c r="I17" s="25">
        <v>0.75</v>
      </c>
      <c r="J17" s="25">
        <v>0.9</v>
      </c>
      <c r="K17" s="25">
        <v>0.4</v>
      </c>
      <c r="L17" s="25">
        <v>1.5</v>
      </c>
      <c r="M17" s="25">
        <v>1</v>
      </c>
      <c r="N17" s="8">
        <f t="shared" si="6"/>
        <v>260.41666666666663</v>
      </c>
      <c r="O17" s="25">
        <v>1</v>
      </c>
      <c r="P17" s="8">
        <f t="shared" ref="P17:P27" si="10">$C$7*O17*$C$5</f>
        <v>825</v>
      </c>
      <c r="Q17" s="25">
        <f t="shared" ref="Q17:Q27" si="11">1/M17</f>
        <v>1</v>
      </c>
      <c r="R17" s="8">
        <f t="shared" si="7"/>
        <v>7438.6312918423</v>
      </c>
      <c r="S17" s="1">
        <f t="shared" si="8"/>
        <v>5</v>
      </c>
      <c r="T17" s="1">
        <f t="shared" si="9"/>
        <v>100</v>
      </c>
      <c r="U17" s="1" t="s">
        <v>82</v>
      </c>
      <c r="W17" s="1">
        <v>15</v>
      </c>
      <c r="X17" s="1">
        <f t="shared" si="0"/>
        <v>139</v>
      </c>
      <c r="Y17" s="1">
        <f t="shared" si="1"/>
        <v>4870</v>
      </c>
      <c r="Z17" s="1">
        <f t="shared" si="2"/>
        <v>490</v>
      </c>
      <c r="AA17" s="1">
        <f t="shared" si="4"/>
        <v>0.05</v>
      </c>
      <c r="AB17" s="1">
        <f t="shared" si="5"/>
        <v>1.5</v>
      </c>
      <c r="AC17" s="1">
        <f t="shared" si="3"/>
        <v>0.9</v>
      </c>
    </row>
    <row r="18" spans="1:29" ht="14.25" customHeight="1" x14ac:dyDescent="0.2">
      <c r="A18" s="29"/>
      <c r="B18" s="29"/>
      <c r="C18" s="29"/>
      <c r="D18" s="29"/>
      <c r="E18" s="1" t="s">
        <v>66</v>
      </c>
      <c r="F18" s="1" t="s">
        <v>32</v>
      </c>
      <c r="G18" s="3" t="s">
        <v>28</v>
      </c>
      <c r="H18" s="3">
        <v>3</v>
      </c>
      <c r="I18" s="25">
        <v>0.751</v>
      </c>
      <c r="J18" s="25">
        <v>0.95</v>
      </c>
      <c r="K18" s="25">
        <v>0.4</v>
      </c>
      <c r="L18" s="25">
        <v>1.5</v>
      </c>
      <c r="M18" s="25">
        <v>1.1000000000000001</v>
      </c>
      <c r="N18" s="8">
        <f t="shared" si="6"/>
        <v>271.74342105263162</v>
      </c>
      <c r="O18" s="25">
        <v>0.82</v>
      </c>
      <c r="P18" s="8">
        <f t="shared" si="10"/>
        <v>676.5</v>
      </c>
      <c r="Q18" s="25">
        <f t="shared" si="11"/>
        <v>0.90909090909090906</v>
      </c>
      <c r="R18" s="8">
        <f t="shared" si="7"/>
        <v>6772.3667570702382</v>
      </c>
      <c r="S18" s="1">
        <f t="shared" si="8"/>
        <v>5</v>
      </c>
      <c r="T18" s="1">
        <f t="shared" si="9"/>
        <v>100</v>
      </c>
      <c r="U18" s="1" t="s">
        <v>83</v>
      </c>
      <c r="W18" s="1">
        <v>16</v>
      </c>
      <c r="X18" s="1">
        <f t="shared" si="0"/>
        <v>146</v>
      </c>
      <c r="Y18" s="1">
        <f t="shared" si="1"/>
        <v>5110</v>
      </c>
      <c r="Z18" s="1">
        <f t="shared" si="2"/>
        <v>515</v>
      </c>
      <c r="AA18" s="1">
        <f t="shared" si="4"/>
        <v>0.05</v>
      </c>
      <c r="AB18" s="1">
        <f t="shared" si="5"/>
        <v>1.5</v>
      </c>
      <c r="AC18" s="1">
        <f t="shared" si="3"/>
        <v>0.9</v>
      </c>
    </row>
    <row r="19" spans="1:29" ht="14.25" customHeight="1" x14ac:dyDescent="0.2">
      <c r="A19" s="29"/>
      <c r="B19" s="29"/>
      <c r="C19" s="29"/>
      <c r="D19" s="29"/>
      <c r="E19" s="1" t="s">
        <v>67</v>
      </c>
      <c r="F19" s="1" t="s">
        <v>32</v>
      </c>
      <c r="G19" s="3" t="s">
        <v>28</v>
      </c>
      <c r="H19" s="1">
        <v>4</v>
      </c>
      <c r="I19" s="25">
        <v>0.751</v>
      </c>
      <c r="J19" s="25">
        <v>0.95</v>
      </c>
      <c r="K19" s="25">
        <v>0.4</v>
      </c>
      <c r="L19" s="25">
        <v>1.5</v>
      </c>
      <c r="M19" s="25">
        <v>1.2</v>
      </c>
      <c r="N19" s="8">
        <f t="shared" si="6"/>
        <v>296.44736842105266</v>
      </c>
      <c r="O19" s="25">
        <v>0.82</v>
      </c>
      <c r="P19" s="8">
        <f t="shared" si="10"/>
        <v>676.5</v>
      </c>
      <c r="Q19" s="25">
        <f t="shared" si="11"/>
        <v>0.83333333333333337</v>
      </c>
      <c r="R19" s="8">
        <f t="shared" si="7"/>
        <v>6208.002860647719</v>
      </c>
      <c r="S19" s="1">
        <f t="shared" si="8"/>
        <v>5</v>
      </c>
      <c r="T19" s="1">
        <f t="shared" si="9"/>
        <v>100</v>
      </c>
      <c r="U19" s="1" t="s">
        <v>84</v>
      </c>
      <c r="W19" s="1">
        <v>17</v>
      </c>
      <c r="X19" s="1">
        <f t="shared" si="0"/>
        <v>153</v>
      </c>
      <c r="Y19" s="1">
        <f t="shared" si="1"/>
        <v>5361</v>
      </c>
      <c r="Z19" s="1">
        <f t="shared" si="2"/>
        <v>540</v>
      </c>
      <c r="AA19" s="1">
        <f t="shared" si="4"/>
        <v>0.05</v>
      </c>
      <c r="AB19" s="1">
        <f t="shared" si="5"/>
        <v>1.5</v>
      </c>
      <c r="AC19" s="1">
        <f t="shared" si="3"/>
        <v>0.9</v>
      </c>
    </row>
    <row r="20" spans="1:29" ht="14.25" customHeight="1" x14ac:dyDescent="0.2">
      <c r="A20" s="29"/>
      <c r="B20" s="29"/>
      <c r="C20" s="29"/>
      <c r="D20" s="29"/>
      <c r="E20" s="1" t="s">
        <v>68</v>
      </c>
      <c r="F20" s="1" t="s">
        <v>34</v>
      </c>
      <c r="G20" s="3" t="s">
        <v>28</v>
      </c>
      <c r="H20" s="3">
        <v>5</v>
      </c>
      <c r="I20" s="25">
        <v>0.8</v>
      </c>
      <c r="J20" s="25">
        <v>1</v>
      </c>
      <c r="K20" s="25">
        <v>0.4</v>
      </c>
      <c r="L20" s="25">
        <v>1.5</v>
      </c>
      <c r="M20" s="25">
        <v>1.05</v>
      </c>
      <c r="N20" s="8">
        <f t="shared" si="6"/>
        <v>525.00000000000011</v>
      </c>
      <c r="O20" s="25">
        <v>0.45</v>
      </c>
      <c r="P20" s="8">
        <f t="shared" si="10"/>
        <v>371.25</v>
      </c>
      <c r="Q20" s="25">
        <f t="shared" si="11"/>
        <v>0.95238095238095233</v>
      </c>
      <c r="R20" s="8">
        <f t="shared" si="7"/>
        <v>2846.5749476497072</v>
      </c>
      <c r="S20" s="1">
        <f t="shared" si="8"/>
        <v>10</v>
      </c>
      <c r="T20" s="1">
        <f t="shared" si="9"/>
        <v>40</v>
      </c>
      <c r="U20" s="1" t="s">
        <v>85</v>
      </c>
      <c r="W20" s="1">
        <v>18</v>
      </c>
      <c r="X20" s="1">
        <f t="shared" si="0"/>
        <v>161</v>
      </c>
      <c r="Y20" s="1">
        <f t="shared" si="1"/>
        <v>5624</v>
      </c>
      <c r="Z20" s="1">
        <f t="shared" si="2"/>
        <v>567</v>
      </c>
      <c r="AA20" s="1">
        <f t="shared" si="4"/>
        <v>0.05</v>
      </c>
      <c r="AB20" s="1">
        <f t="shared" si="5"/>
        <v>1.5</v>
      </c>
      <c r="AC20" s="1">
        <f t="shared" si="3"/>
        <v>0.9</v>
      </c>
    </row>
    <row r="21" spans="1:29" ht="14.25" customHeight="1" x14ac:dyDescent="0.2">
      <c r="E21" s="1" t="s">
        <v>69</v>
      </c>
      <c r="F21" s="1" t="s">
        <v>34</v>
      </c>
      <c r="G21" s="3" t="s">
        <v>28</v>
      </c>
      <c r="H21" s="1">
        <v>6</v>
      </c>
      <c r="I21" s="25">
        <v>0.8</v>
      </c>
      <c r="J21" s="25">
        <v>1</v>
      </c>
      <c r="K21" s="25">
        <v>0.4</v>
      </c>
      <c r="L21" s="25">
        <v>1.5</v>
      </c>
      <c r="M21" s="25">
        <v>1</v>
      </c>
      <c r="N21" s="8">
        <f t="shared" si="6"/>
        <v>500.00000000000006</v>
      </c>
      <c r="O21" s="25">
        <v>0.45</v>
      </c>
      <c r="P21" s="8">
        <f t="shared" si="10"/>
        <v>371.25</v>
      </c>
      <c r="Q21" s="25">
        <f t="shared" si="11"/>
        <v>1</v>
      </c>
      <c r="R21" s="8">
        <f t="shared" si="7"/>
        <v>2988.9036950321929</v>
      </c>
      <c r="S21" s="1">
        <f t="shared" si="8"/>
        <v>10</v>
      </c>
      <c r="T21" s="1">
        <f t="shared" si="9"/>
        <v>40</v>
      </c>
      <c r="U21" s="1" t="s">
        <v>86</v>
      </c>
      <c r="W21" s="1">
        <v>19</v>
      </c>
      <c r="X21" s="1">
        <f t="shared" si="0"/>
        <v>169</v>
      </c>
      <c r="Y21" s="1">
        <f t="shared" si="1"/>
        <v>5899</v>
      </c>
      <c r="Z21" s="1">
        <f t="shared" si="2"/>
        <v>596</v>
      </c>
      <c r="AA21" s="1">
        <f t="shared" si="4"/>
        <v>0.05</v>
      </c>
      <c r="AB21" s="1">
        <f t="shared" si="5"/>
        <v>1.5</v>
      </c>
      <c r="AC21" s="1">
        <f t="shared" si="3"/>
        <v>0.9</v>
      </c>
    </row>
    <row r="22" spans="1:29" ht="14.25" customHeight="1" x14ac:dyDescent="0.2">
      <c r="E22" s="1" t="s">
        <v>70</v>
      </c>
      <c r="F22" s="1" t="s">
        <v>36</v>
      </c>
      <c r="G22" s="3" t="s">
        <v>28</v>
      </c>
      <c r="H22" s="3">
        <v>7</v>
      </c>
      <c r="I22" s="25">
        <v>0.80500000000000005</v>
      </c>
      <c r="J22" s="25">
        <v>1.1000000000000001</v>
      </c>
      <c r="K22" s="25">
        <v>0.4</v>
      </c>
      <c r="L22" s="25">
        <v>1.5</v>
      </c>
      <c r="M22" s="25">
        <v>0.96</v>
      </c>
      <c r="N22" s="8">
        <f t="shared" si="6"/>
        <v>439.09090909090912</v>
      </c>
      <c r="O22" s="25">
        <v>0.41</v>
      </c>
      <c r="P22" s="8">
        <f t="shared" si="10"/>
        <v>338.25</v>
      </c>
      <c r="Q22" s="25">
        <f t="shared" si="11"/>
        <v>1.0416666666666667</v>
      </c>
      <c r="R22" s="8">
        <f t="shared" si="7"/>
        <v>3114.465321051543</v>
      </c>
      <c r="S22" s="1">
        <f t="shared" si="8"/>
        <v>10</v>
      </c>
      <c r="T22" s="1">
        <f t="shared" si="9"/>
        <v>40</v>
      </c>
      <c r="U22" s="1" t="s">
        <v>87</v>
      </c>
      <c r="W22" s="1">
        <v>20</v>
      </c>
      <c r="X22" s="1">
        <f t="shared" si="0"/>
        <v>178</v>
      </c>
      <c r="Y22" s="1">
        <f t="shared" si="1"/>
        <v>6188</v>
      </c>
      <c r="Z22" s="1">
        <f t="shared" si="2"/>
        <v>625</v>
      </c>
      <c r="AA22" s="1">
        <f t="shared" si="4"/>
        <v>0.05</v>
      </c>
      <c r="AB22" s="1">
        <f t="shared" si="5"/>
        <v>1.5</v>
      </c>
      <c r="AC22" s="1">
        <f t="shared" si="3"/>
        <v>0.9</v>
      </c>
    </row>
    <row r="23" spans="1:29" ht="14.25" customHeight="1" x14ac:dyDescent="0.2">
      <c r="E23" s="1" t="s">
        <v>71</v>
      </c>
      <c r="F23" s="1" t="s">
        <v>36</v>
      </c>
      <c r="G23" s="3" t="s">
        <v>28</v>
      </c>
      <c r="H23" s="1">
        <v>8</v>
      </c>
      <c r="I23" s="25">
        <v>0.80500000000000005</v>
      </c>
      <c r="J23" s="25">
        <v>1.1000000000000001</v>
      </c>
      <c r="K23" s="25">
        <v>0.4</v>
      </c>
      <c r="L23" s="25">
        <v>1.5</v>
      </c>
      <c r="M23" s="25">
        <v>0.98</v>
      </c>
      <c r="N23" s="8">
        <f t="shared" si="6"/>
        <v>448.23863636363637</v>
      </c>
      <c r="O23" s="25">
        <v>0.41</v>
      </c>
      <c r="P23" s="8">
        <f t="shared" si="10"/>
        <v>338.25</v>
      </c>
      <c r="Q23" s="25">
        <f t="shared" si="11"/>
        <v>1.0204081632653061</v>
      </c>
      <c r="R23" s="8">
        <f t="shared" si="7"/>
        <v>3050.9048042953891</v>
      </c>
      <c r="S23" s="1">
        <f t="shared" si="8"/>
        <v>10</v>
      </c>
      <c r="T23" s="1">
        <f t="shared" si="9"/>
        <v>40</v>
      </c>
      <c r="U23" s="1" t="s">
        <v>88</v>
      </c>
      <c r="W23" s="1">
        <v>21</v>
      </c>
      <c r="X23" s="1">
        <f t="shared" si="0"/>
        <v>187</v>
      </c>
      <c r="Y23" s="1">
        <f t="shared" si="1"/>
        <v>6491</v>
      </c>
      <c r="Z23" s="1">
        <f t="shared" si="2"/>
        <v>657</v>
      </c>
      <c r="AA23" s="1">
        <f t="shared" si="4"/>
        <v>0.05</v>
      </c>
      <c r="AB23" s="1">
        <f t="shared" si="5"/>
        <v>1.5</v>
      </c>
      <c r="AC23" s="1">
        <f t="shared" si="3"/>
        <v>0.9</v>
      </c>
    </row>
    <row r="24" spans="1:29" ht="14.25" customHeight="1" x14ac:dyDescent="0.2">
      <c r="E24" s="1" t="s">
        <v>72</v>
      </c>
      <c r="F24" s="1" t="s">
        <v>38</v>
      </c>
      <c r="G24" s="3" t="s">
        <v>28</v>
      </c>
      <c r="H24" s="3">
        <v>9</v>
      </c>
      <c r="I24" s="25">
        <v>0.77400000000000002</v>
      </c>
      <c r="J24" s="25">
        <v>1.2</v>
      </c>
      <c r="K24" s="25">
        <v>0.4</v>
      </c>
      <c r="L24" s="25">
        <v>1.5</v>
      </c>
      <c r="M24" s="25">
        <v>0.94</v>
      </c>
      <c r="N24" s="8">
        <f t="shared" si="6"/>
        <v>378.93750000000006</v>
      </c>
      <c r="O24" s="25">
        <v>0.64</v>
      </c>
      <c r="P24" s="8">
        <f t="shared" si="10"/>
        <v>528</v>
      </c>
      <c r="Q24" s="25">
        <f t="shared" si="11"/>
        <v>1.0638297872340425</v>
      </c>
      <c r="R24" s="8">
        <f t="shared" si="7"/>
        <v>3174.7268041760781</v>
      </c>
      <c r="S24" s="1">
        <f t="shared" si="8"/>
        <v>10</v>
      </c>
      <c r="T24" s="1">
        <f t="shared" si="9"/>
        <v>40</v>
      </c>
      <c r="U24" s="1" t="s">
        <v>89</v>
      </c>
      <c r="W24" s="1">
        <v>22</v>
      </c>
      <c r="X24" s="1">
        <f t="shared" si="0"/>
        <v>196</v>
      </c>
      <c r="Y24" s="1">
        <f t="shared" si="1"/>
        <v>6808</v>
      </c>
      <c r="Z24" s="1">
        <f t="shared" si="2"/>
        <v>690</v>
      </c>
      <c r="AA24" s="1">
        <f t="shared" si="4"/>
        <v>0.05</v>
      </c>
      <c r="AB24" s="1">
        <f t="shared" si="5"/>
        <v>1.5</v>
      </c>
      <c r="AC24" s="1">
        <f t="shared" si="3"/>
        <v>0.9</v>
      </c>
    </row>
    <row r="25" spans="1:29" ht="14.25" customHeight="1" x14ac:dyDescent="0.2">
      <c r="E25" s="1" t="s">
        <v>73</v>
      </c>
      <c r="F25" s="1" t="s">
        <v>38</v>
      </c>
      <c r="G25" s="3" t="s">
        <v>28</v>
      </c>
      <c r="H25" s="1">
        <v>10</v>
      </c>
      <c r="I25" s="25">
        <v>0.77400000000000002</v>
      </c>
      <c r="J25" s="25">
        <v>1.2</v>
      </c>
      <c r="K25" s="25">
        <v>0.4</v>
      </c>
      <c r="L25" s="25">
        <v>1.5</v>
      </c>
      <c r="M25" s="25">
        <v>0.9</v>
      </c>
      <c r="N25" s="8">
        <f t="shared" si="6"/>
        <v>362.81250000000006</v>
      </c>
      <c r="O25" s="25">
        <v>0.64</v>
      </c>
      <c r="P25" s="8">
        <f t="shared" si="10"/>
        <v>528</v>
      </c>
      <c r="Q25" s="25">
        <f t="shared" si="11"/>
        <v>1.1111111111111112</v>
      </c>
      <c r="R25" s="8">
        <f t="shared" si="7"/>
        <v>3315.8257732505708</v>
      </c>
      <c r="S25" s="1">
        <f t="shared" si="8"/>
        <v>10</v>
      </c>
      <c r="T25" s="1">
        <f t="shared" si="9"/>
        <v>40</v>
      </c>
      <c r="U25" s="1" t="s">
        <v>90</v>
      </c>
      <c r="W25" s="1">
        <v>23</v>
      </c>
      <c r="X25" s="1">
        <f t="shared" si="0"/>
        <v>206</v>
      </c>
      <c r="Y25" s="1">
        <f t="shared" si="1"/>
        <v>7141</v>
      </c>
      <c r="Z25" s="1">
        <f t="shared" si="2"/>
        <v>724</v>
      </c>
      <c r="AA25" s="1">
        <f t="shared" si="4"/>
        <v>0.05</v>
      </c>
      <c r="AB25" s="1">
        <f t="shared" si="5"/>
        <v>1.5</v>
      </c>
      <c r="AC25" s="1">
        <f t="shared" si="3"/>
        <v>0.9</v>
      </c>
    </row>
    <row r="26" spans="1:29" ht="14.25" customHeight="1" x14ac:dyDescent="0.2">
      <c r="E26" s="1" t="s">
        <v>74</v>
      </c>
      <c r="F26" s="1" t="s">
        <v>40</v>
      </c>
      <c r="G26" s="3" t="s">
        <v>28</v>
      </c>
      <c r="H26" s="3">
        <v>11</v>
      </c>
      <c r="I26" s="25">
        <v>0.79800000000000004</v>
      </c>
      <c r="J26" s="25">
        <v>0.9</v>
      </c>
      <c r="K26" s="25">
        <v>0.4</v>
      </c>
      <c r="L26" s="25">
        <v>1.5</v>
      </c>
      <c r="M26" s="25">
        <v>0.9</v>
      </c>
      <c r="N26" s="8">
        <f t="shared" si="6"/>
        <v>199.50000000000003</v>
      </c>
      <c r="O26" s="25">
        <v>0.25</v>
      </c>
      <c r="P26" s="8">
        <f t="shared" si="10"/>
        <v>206.25</v>
      </c>
      <c r="Q26" s="25">
        <f t="shared" si="11"/>
        <v>1.1111111111111112</v>
      </c>
      <c r="R26" s="8">
        <f t="shared" si="7"/>
        <v>4158.0906047942781</v>
      </c>
      <c r="S26" s="1">
        <f t="shared" si="8"/>
        <v>4</v>
      </c>
      <c r="T26" s="1">
        <f t="shared" si="9"/>
        <v>50</v>
      </c>
      <c r="U26" s="1" t="s">
        <v>91</v>
      </c>
      <c r="W26" s="1">
        <v>24</v>
      </c>
      <c r="X26" s="1">
        <f t="shared" si="0"/>
        <v>216</v>
      </c>
      <c r="Y26" s="1">
        <f t="shared" si="1"/>
        <v>7489</v>
      </c>
      <c r="Z26" s="1">
        <f t="shared" si="2"/>
        <v>760</v>
      </c>
      <c r="AA26" s="1">
        <f t="shared" si="4"/>
        <v>0.05</v>
      </c>
      <c r="AB26" s="1">
        <f t="shared" si="5"/>
        <v>1.5</v>
      </c>
      <c r="AC26" s="1">
        <f t="shared" si="3"/>
        <v>0.9</v>
      </c>
    </row>
    <row r="27" spans="1:29" ht="14.25" customHeight="1" x14ac:dyDescent="0.2">
      <c r="D27" s="1" t="s">
        <v>78</v>
      </c>
      <c r="E27" s="1" t="s">
        <v>75</v>
      </c>
      <c r="F27" s="1" t="s">
        <v>40</v>
      </c>
      <c r="G27" s="3" t="s">
        <v>28</v>
      </c>
      <c r="H27" s="1">
        <v>12</v>
      </c>
      <c r="I27" s="25">
        <v>0.79800000000000004</v>
      </c>
      <c r="J27" s="25">
        <v>0.9</v>
      </c>
      <c r="K27" s="25">
        <v>0.4</v>
      </c>
      <c r="L27" s="25">
        <v>1.5</v>
      </c>
      <c r="M27" s="25">
        <v>1</v>
      </c>
      <c r="N27" s="8">
        <f t="shared" si="6"/>
        <v>221.66666666666669</v>
      </c>
      <c r="O27" s="25">
        <v>0.25</v>
      </c>
      <c r="P27" s="8">
        <f t="shared" si="10"/>
        <v>206.25</v>
      </c>
      <c r="Q27" s="25">
        <f t="shared" si="11"/>
        <v>1</v>
      </c>
      <c r="R27" s="8">
        <f t="shared" si="7"/>
        <v>3742.2815443148502</v>
      </c>
      <c r="S27" s="1">
        <f t="shared" si="8"/>
        <v>4</v>
      </c>
      <c r="T27" s="1">
        <f t="shared" si="9"/>
        <v>50</v>
      </c>
      <c r="U27" s="1" t="s">
        <v>92</v>
      </c>
      <c r="W27" s="1">
        <v>25</v>
      </c>
      <c r="X27" s="1">
        <f t="shared" si="0"/>
        <v>227</v>
      </c>
      <c r="Y27" s="1">
        <f t="shared" si="1"/>
        <v>7854</v>
      </c>
      <c r="Z27" s="1">
        <f t="shared" si="2"/>
        <v>798</v>
      </c>
      <c r="AA27" s="1">
        <f t="shared" si="4"/>
        <v>0.05</v>
      </c>
      <c r="AB27" s="1">
        <f t="shared" si="5"/>
        <v>1.5</v>
      </c>
      <c r="AC27" s="1">
        <f t="shared" si="3"/>
        <v>0.9</v>
      </c>
    </row>
    <row r="28" spans="1:29" ht="14.25" customHeight="1" x14ac:dyDescent="0.2">
      <c r="D28" s="28" t="s">
        <v>79</v>
      </c>
      <c r="W28" s="1">
        <v>26</v>
      </c>
      <c r="X28" s="1">
        <f t="shared" si="0"/>
        <v>238</v>
      </c>
      <c r="Y28" s="1">
        <f t="shared" si="1"/>
        <v>8236</v>
      </c>
      <c r="Z28" s="1">
        <f t="shared" si="2"/>
        <v>838</v>
      </c>
      <c r="AA28" s="1">
        <f t="shared" si="4"/>
        <v>0.05</v>
      </c>
      <c r="AB28" s="1">
        <f t="shared" si="5"/>
        <v>1.5</v>
      </c>
      <c r="AC28" s="1">
        <f t="shared" si="3"/>
        <v>0.9</v>
      </c>
    </row>
    <row r="29" spans="1:29" ht="14.25" customHeight="1" x14ac:dyDescent="0.2">
      <c r="W29" s="1">
        <v>27</v>
      </c>
      <c r="X29" s="1">
        <f t="shared" si="0"/>
        <v>250</v>
      </c>
      <c r="Y29" s="1">
        <f t="shared" si="1"/>
        <v>8636</v>
      </c>
      <c r="Z29" s="1">
        <f t="shared" si="2"/>
        <v>880</v>
      </c>
      <c r="AA29" s="1">
        <f t="shared" si="4"/>
        <v>0.05</v>
      </c>
      <c r="AB29" s="1">
        <f t="shared" si="5"/>
        <v>1.5</v>
      </c>
      <c r="AC29" s="1">
        <f t="shared" si="3"/>
        <v>0.9</v>
      </c>
    </row>
    <row r="30" spans="1:29" ht="14.25" customHeight="1" x14ac:dyDescent="0.2">
      <c r="O30" s="24"/>
      <c r="W30" s="1">
        <v>28</v>
      </c>
      <c r="X30" s="1">
        <f t="shared" si="0"/>
        <v>263</v>
      </c>
      <c r="Y30" s="1">
        <f t="shared" si="1"/>
        <v>9055</v>
      </c>
      <c r="Z30" s="1">
        <f t="shared" si="2"/>
        <v>924</v>
      </c>
      <c r="AA30" s="1">
        <f t="shared" si="4"/>
        <v>0.05</v>
      </c>
      <c r="AB30" s="1">
        <f t="shared" si="5"/>
        <v>1.5</v>
      </c>
      <c r="AC30" s="1">
        <f t="shared" si="3"/>
        <v>0.9</v>
      </c>
    </row>
    <row r="31" spans="1:29" ht="14.25" customHeight="1" x14ac:dyDescent="0.2">
      <c r="O31" s="24"/>
      <c r="W31" s="1">
        <v>29</v>
      </c>
      <c r="X31" s="1">
        <f t="shared" si="0"/>
        <v>276</v>
      </c>
      <c r="Y31" s="1">
        <f t="shared" si="1"/>
        <v>9493</v>
      </c>
      <c r="Z31" s="1">
        <f t="shared" si="2"/>
        <v>970</v>
      </c>
      <c r="AA31" s="1">
        <f t="shared" si="4"/>
        <v>0.05</v>
      </c>
      <c r="AB31" s="1">
        <f t="shared" si="5"/>
        <v>1.5</v>
      </c>
      <c r="AC31" s="1">
        <f t="shared" si="3"/>
        <v>0.9</v>
      </c>
    </row>
    <row r="32" spans="1:29" ht="14.25" customHeight="1" x14ac:dyDescent="0.2">
      <c r="O32" s="24"/>
      <c r="W32" s="1">
        <v>30</v>
      </c>
      <c r="X32" s="1">
        <f t="shared" si="0"/>
        <v>289</v>
      </c>
      <c r="Y32" s="1">
        <f t="shared" si="1"/>
        <v>9952</v>
      </c>
      <c r="Z32" s="1">
        <f t="shared" si="2"/>
        <v>1019</v>
      </c>
      <c r="AA32" s="1">
        <f t="shared" si="4"/>
        <v>0.05</v>
      </c>
      <c r="AB32" s="1">
        <f t="shared" si="5"/>
        <v>1.5</v>
      </c>
      <c r="AC32" s="1">
        <f t="shared" si="3"/>
        <v>0.9</v>
      </c>
    </row>
    <row r="33" spans="2:29" ht="14.25" customHeight="1" x14ac:dyDescent="0.2">
      <c r="B33" s="29"/>
      <c r="O33" s="24"/>
      <c r="W33" s="1">
        <v>31</v>
      </c>
      <c r="X33" s="1">
        <f t="shared" si="0"/>
        <v>304</v>
      </c>
      <c r="Y33" s="1">
        <f t="shared" si="1"/>
        <v>10433</v>
      </c>
      <c r="Z33" s="1">
        <f t="shared" si="2"/>
        <v>1070</v>
      </c>
      <c r="AA33" s="1">
        <f t="shared" si="4"/>
        <v>0.05</v>
      </c>
      <c r="AB33" s="1">
        <f t="shared" si="5"/>
        <v>1.5</v>
      </c>
      <c r="AC33" s="1">
        <f t="shared" si="3"/>
        <v>0.9</v>
      </c>
    </row>
    <row r="34" spans="2:29" ht="14.25" customHeight="1" x14ac:dyDescent="0.2">
      <c r="O34" s="24"/>
      <c r="W34" s="1">
        <v>32</v>
      </c>
      <c r="X34" s="1">
        <f t="shared" si="0"/>
        <v>319</v>
      </c>
      <c r="Y34" s="1">
        <f t="shared" si="1"/>
        <v>10936</v>
      </c>
      <c r="Z34" s="1">
        <f t="shared" si="2"/>
        <v>1123</v>
      </c>
      <c r="AA34" s="1">
        <f t="shared" si="4"/>
        <v>0.05</v>
      </c>
      <c r="AB34" s="1">
        <f t="shared" si="5"/>
        <v>1.5</v>
      </c>
      <c r="AC34" s="1">
        <f t="shared" si="3"/>
        <v>0.9</v>
      </c>
    </row>
    <row r="35" spans="2:29" ht="14.25" customHeight="1" x14ac:dyDescent="0.2">
      <c r="O35" s="24"/>
      <c r="W35" s="1">
        <v>33</v>
      </c>
      <c r="X35" s="1">
        <f t="shared" ref="X35:X66" si="12">ROUND(VLOOKUP($X$1,$E:$R,MATCH(X$2,$E$15:$R$15,0),0)*$C$6^($W35-1)*$C$13*VLOOKUP($Y$1,$B:$C,2,0),0)</f>
        <v>335</v>
      </c>
      <c r="Y35" s="1">
        <f t="shared" ref="Y35:Y66" si="13">ROUND(VLOOKUP(VLOOKUP($Z$1,$K$4:$L$10,2,0),$E$4:$G$7,3,0)*$C$5*VLOOKUP($X$1,$E:$R,MATCH("生命偏向",$E$15:$R$15,0),0)/(1+VLOOKUP($X$1,$E:$R,MATCH($Z$2,$E$15:$R$15,0),0)*$C$6^($W35-1)/$C$8)*$C$6^($W35-1)*$C$13*VLOOKUP($Y$1,$B:$C,2,0),0)</f>
        <v>11462</v>
      </c>
      <c r="Z35" s="1">
        <f t="shared" ref="Z35:Z66" si="14">ROUND(VLOOKUP($X$1,$E:$R,MATCH(Z$2,$E$15:$R$15,0),0)*$C$6^($W35-1)*$C$13*VLOOKUP($Y$1,$B:$C,2,0),0)</f>
        <v>1179</v>
      </c>
      <c r="AA35" s="1">
        <f t="shared" si="4"/>
        <v>0.05</v>
      </c>
      <c r="AB35" s="1">
        <f t="shared" si="5"/>
        <v>1.5</v>
      </c>
      <c r="AC35" s="1">
        <f t="shared" ref="AC35:AC66" si="15">VLOOKUP($X$1,$E:$R,MATCH(AC$2,$E$15:$R$15,0),0)</f>
        <v>0.9</v>
      </c>
    </row>
    <row r="36" spans="2:29" ht="14.25" customHeight="1" x14ac:dyDescent="0.2">
      <c r="O36" s="24"/>
      <c r="W36" s="1">
        <v>34</v>
      </c>
      <c r="X36" s="1">
        <f t="shared" si="12"/>
        <v>352</v>
      </c>
      <c r="Y36" s="1">
        <f t="shared" si="13"/>
        <v>12012</v>
      </c>
      <c r="Z36" s="1">
        <f t="shared" si="14"/>
        <v>1238</v>
      </c>
      <c r="AA36" s="1">
        <f t="shared" si="4"/>
        <v>0.05</v>
      </c>
      <c r="AB36" s="1">
        <f t="shared" si="5"/>
        <v>1.5</v>
      </c>
      <c r="AC36" s="1">
        <f t="shared" si="15"/>
        <v>0.9</v>
      </c>
    </row>
    <row r="37" spans="2:29" ht="14.25" customHeight="1" x14ac:dyDescent="0.2">
      <c r="O37" s="24"/>
      <c r="W37" s="1">
        <v>35</v>
      </c>
      <c r="X37" s="1">
        <f t="shared" si="12"/>
        <v>369</v>
      </c>
      <c r="Y37" s="1">
        <f t="shared" si="13"/>
        <v>12588</v>
      </c>
      <c r="Z37" s="1">
        <f t="shared" si="14"/>
        <v>1300</v>
      </c>
      <c r="AA37" s="1">
        <f t="shared" si="4"/>
        <v>0.05</v>
      </c>
      <c r="AB37" s="1">
        <f t="shared" si="5"/>
        <v>1.5</v>
      </c>
      <c r="AC37" s="1">
        <f t="shared" si="15"/>
        <v>0.9</v>
      </c>
    </row>
    <row r="38" spans="2:29" ht="14.25" customHeight="1" x14ac:dyDescent="0.2">
      <c r="O38" s="24"/>
      <c r="W38" s="1">
        <v>36</v>
      </c>
      <c r="X38" s="1">
        <f t="shared" si="12"/>
        <v>388</v>
      </c>
      <c r="Y38" s="1">
        <f t="shared" si="13"/>
        <v>13190</v>
      </c>
      <c r="Z38" s="1">
        <f t="shared" si="14"/>
        <v>1365</v>
      </c>
      <c r="AA38" s="1">
        <f t="shared" si="4"/>
        <v>0.05</v>
      </c>
      <c r="AB38" s="1">
        <f t="shared" si="5"/>
        <v>1.5</v>
      </c>
      <c r="AC38" s="1">
        <f t="shared" si="15"/>
        <v>0.9</v>
      </c>
    </row>
    <row r="39" spans="2:29" ht="14.25" customHeight="1" x14ac:dyDescent="0.2">
      <c r="O39" s="24"/>
      <c r="W39" s="1">
        <v>37</v>
      </c>
      <c r="X39" s="1">
        <f t="shared" si="12"/>
        <v>407</v>
      </c>
      <c r="Y39" s="1">
        <f t="shared" si="13"/>
        <v>13819</v>
      </c>
      <c r="Z39" s="1">
        <f t="shared" si="14"/>
        <v>1433</v>
      </c>
      <c r="AA39" s="1">
        <f t="shared" si="4"/>
        <v>0.05</v>
      </c>
      <c r="AB39" s="1">
        <f t="shared" si="5"/>
        <v>1.5</v>
      </c>
      <c r="AC39" s="1">
        <f t="shared" si="15"/>
        <v>0.9</v>
      </c>
    </row>
    <row r="40" spans="2:29" ht="14.25" customHeight="1" x14ac:dyDescent="0.2">
      <c r="O40" s="24"/>
      <c r="W40" s="1">
        <v>38</v>
      </c>
      <c r="X40" s="1">
        <f t="shared" si="12"/>
        <v>428</v>
      </c>
      <c r="Y40" s="1">
        <f t="shared" si="13"/>
        <v>14477</v>
      </c>
      <c r="Z40" s="1">
        <f t="shared" si="14"/>
        <v>1505</v>
      </c>
      <c r="AA40" s="1">
        <f t="shared" si="4"/>
        <v>0.05</v>
      </c>
      <c r="AB40" s="1">
        <f t="shared" si="5"/>
        <v>1.5</v>
      </c>
      <c r="AC40" s="1">
        <f t="shared" si="15"/>
        <v>0.9</v>
      </c>
    </row>
    <row r="41" spans="2:29" ht="14.25" customHeight="1" x14ac:dyDescent="0.2">
      <c r="O41" s="24"/>
      <c r="W41" s="1">
        <v>39</v>
      </c>
      <c r="X41" s="1">
        <f t="shared" si="12"/>
        <v>449</v>
      </c>
      <c r="Y41" s="1">
        <f t="shared" si="13"/>
        <v>15165</v>
      </c>
      <c r="Z41" s="1">
        <f t="shared" si="14"/>
        <v>1580</v>
      </c>
      <c r="AA41" s="1">
        <f t="shared" si="4"/>
        <v>0.05</v>
      </c>
      <c r="AB41" s="1">
        <f t="shared" si="5"/>
        <v>1.5</v>
      </c>
      <c r="AC41" s="1">
        <f t="shared" si="15"/>
        <v>0.9</v>
      </c>
    </row>
    <row r="42" spans="2:29" ht="14.25" customHeight="1" x14ac:dyDescent="0.2">
      <c r="W42" s="1">
        <v>40</v>
      </c>
      <c r="X42" s="1">
        <f t="shared" si="12"/>
        <v>471</v>
      </c>
      <c r="Y42" s="1">
        <f t="shared" si="13"/>
        <v>15883</v>
      </c>
      <c r="Z42" s="1">
        <f t="shared" si="14"/>
        <v>1659</v>
      </c>
      <c r="AA42" s="1">
        <f t="shared" si="4"/>
        <v>0.05</v>
      </c>
      <c r="AB42" s="1">
        <f t="shared" si="5"/>
        <v>1.5</v>
      </c>
      <c r="AC42" s="1">
        <f t="shared" si="15"/>
        <v>0.9</v>
      </c>
    </row>
    <row r="43" spans="2:29" ht="14.25" customHeight="1" x14ac:dyDescent="0.2">
      <c r="W43" s="1">
        <v>41</v>
      </c>
      <c r="X43" s="1">
        <f t="shared" si="12"/>
        <v>495</v>
      </c>
      <c r="Y43" s="1">
        <f t="shared" si="13"/>
        <v>16634</v>
      </c>
      <c r="Z43" s="1">
        <f t="shared" si="14"/>
        <v>1742</v>
      </c>
      <c r="AA43" s="1">
        <f t="shared" si="4"/>
        <v>0.05</v>
      </c>
      <c r="AB43" s="1">
        <f t="shared" si="5"/>
        <v>1.5</v>
      </c>
      <c r="AC43" s="1">
        <f t="shared" si="15"/>
        <v>0.9</v>
      </c>
    </row>
    <row r="44" spans="2:29" ht="14.25" customHeight="1" x14ac:dyDescent="0.2">
      <c r="W44" s="1">
        <v>42</v>
      </c>
      <c r="X44" s="1">
        <f t="shared" si="12"/>
        <v>520</v>
      </c>
      <c r="Y44" s="1">
        <f t="shared" si="13"/>
        <v>17418</v>
      </c>
      <c r="Z44" s="1">
        <f t="shared" si="14"/>
        <v>1830</v>
      </c>
      <c r="AA44" s="1">
        <f t="shared" si="4"/>
        <v>0.05</v>
      </c>
      <c r="AB44" s="1">
        <f t="shared" si="5"/>
        <v>1.5</v>
      </c>
      <c r="AC44" s="1">
        <f t="shared" si="15"/>
        <v>0.9</v>
      </c>
    </row>
    <row r="45" spans="2:29" ht="14.25" customHeight="1" x14ac:dyDescent="0.2">
      <c r="W45" s="1">
        <v>43</v>
      </c>
      <c r="X45" s="1">
        <f t="shared" si="12"/>
        <v>546</v>
      </c>
      <c r="Y45" s="1">
        <f t="shared" si="13"/>
        <v>18236</v>
      </c>
      <c r="Z45" s="1">
        <f t="shared" si="14"/>
        <v>1921</v>
      </c>
      <c r="AA45" s="1">
        <f t="shared" si="4"/>
        <v>0.05</v>
      </c>
      <c r="AB45" s="1">
        <f t="shared" si="5"/>
        <v>1.5</v>
      </c>
      <c r="AC45" s="1">
        <f t="shared" si="15"/>
        <v>0.9</v>
      </c>
    </row>
    <row r="46" spans="2:29" ht="14.25" customHeight="1" x14ac:dyDescent="0.2">
      <c r="W46" s="1">
        <v>44</v>
      </c>
      <c r="X46" s="1">
        <f t="shared" si="12"/>
        <v>573</v>
      </c>
      <c r="Y46" s="1">
        <f t="shared" si="13"/>
        <v>19091</v>
      </c>
      <c r="Z46" s="1">
        <f t="shared" si="14"/>
        <v>2017</v>
      </c>
      <c r="AA46" s="1">
        <f t="shared" si="4"/>
        <v>0.05</v>
      </c>
      <c r="AB46" s="1">
        <f t="shared" si="5"/>
        <v>1.5</v>
      </c>
      <c r="AC46" s="1">
        <f t="shared" si="15"/>
        <v>0.9</v>
      </c>
    </row>
    <row r="47" spans="2:29" ht="14.25" customHeight="1" x14ac:dyDescent="0.2">
      <c r="W47" s="1">
        <v>45</v>
      </c>
      <c r="X47" s="1">
        <f t="shared" si="12"/>
        <v>602</v>
      </c>
      <c r="Y47" s="1">
        <f t="shared" si="13"/>
        <v>19982</v>
      </c>
      <c r="Z47" s="1">
        <f t="shared" si="14"/>
        <v>2118</v>
      </c>
      <c r="AA47" s="1">
        <f t="shared" si="4"/>
        <v>0.05</v>
      </c>
      <c r="AB47" s="1">
        <f t="shared" si="5"/>
        <v>1.5</v>
      </c>
      <c r="AC47" s="1">
        <f t="shared" si="15"/>
        <v>0.9</v>
      </c>
    </row>
    <row r="48" spans="2:29" ht="14.25" customHeight="1" x14ac:dyDescent="0.2">
      <c r="W48" s="1">
        <v>46</v>
      </c>
      <c r="X48" s="1">
        <f t="shared" si="12"/>
        <v>632</v>
      </c>
      <c r="Y48" s="1">
        <f t="shared" si="13"/>
        <v>20912</v>
      </c>
      <c r="Z48" s="1">
        <f t="shared" si="14"/>
        <v>2224</v>
      </c>
      <c r="AA48" s="1">
        <f t="shared" si="4"/>
        <v>0.05</v>
      </c>
      <c r="AB48" s="1">
        <f t="shared" si="5"/>
        <v>1.5</v>
      </c>
      <c r="AC48" s="1">
        <f t="shared" si="15"/>
        <v>0.9</v>
      </c>
    </row>
    <row r="49" spans="23:29" ht="14.25" customHeight="1" x14ac:dyDescent="0.2">
      <c r="W49" s="1">
        <v>47</v>
      </c>
      <c r="X49" s="1">
        <f t="shared" si="12"/>
        <v>663</v>
      </c>
      <c r="Y49" s="1">
        <f t="shared" si="13"/>
        <v>21882</v>
      </c>
      <c r="Z49" s="1">
        <f t="shared" si="14"/>
        <v>2335</v>
      </c>
      <c r="AA49" s="1">
        <f t="shared" si="4"/>
        <v>0.05</v>
      </c>
      <c r="AB49" s="1">
        <f t="shared" si="5"/>
        <v>1.5</v>
      </c>
      <c r="AC49" s="1">
        <f t="shared" si="15"/>
        <v>0.9</v>
      </c>
    </row>
    <row r="50" spans="23:29" ht="14.25" customHeight="1" x14ac:dyDescent="0.2">
      <c r="W50" s="1">
        <v>48</v>
      </c>
      <c r="X50" s="1">
        <f t="shared" si="12"/>
        <v>697</v>
      </c>
      <c r="Y50" s="1">
        <f t="shared" si="13"/>
        <v>22894</v>
      </c>
      <c r="Z50" s="1">
        <f t="shared" si="14"/>
        <v>2452</v>
      </c>
      <c r="AA50" s="1">
        <f t="shared" si="4"/>
        <v>0.05</v>
      </c>
      <c r="AB50" s="1">
        <f t="shared" si="5"/>
        <v>1.5</v>
      </c>
      <c r="AC50" s="1">
        <f t="shared" si="15"/>
        <v>0.9</v>
      </c>
    </row>
    <row r="51" spans="23:29" ht="14.25" customHeight="1" x14ac:dyDescent="0.2">
      <c r="W51" s="1">
        <v>49</v>
      </c>
      <c r="X51" s="1">
        <f t="shared" si="12"/>
        <v>731</v>
      </c>
      <c r="Y51" s="1">
        <f t="shared" si="13"/>
        <v>23948</v>
      </c>
      <c r="Z51" s="1">
        <f t="shared" si="14"/>
        <v>2574</v>
      </c>
      <c r="AA51" s="1">
        <f t="shared" si="4"/>
        <v>0.05</v>
      </c>
      <c r="AB51" s="1">
        <f t="shared" si="5"/>
        <v>1.5</v>
      </c>
      <c r="AC51" s="1">
        <f t="shared" si="15"/>
        <v>0.9</v>
      </c>
    </row>
    <row r="52" spans="23:29" ht="14.25" customHeight="1" x14ac:dyDescent="0.2">
      <c r="W52" s="1">
        <v>50</v>
      </c>
      <c r="X52" s="1">
        <f t="shared" si="12"/>
        <v>768</v>
      </c>
      <c r="Y52" s="1">
        <f t="shared" si="13"/>
        <v>25047</v>
      </c>
      <c r="Z52" s="1">
        <f t="shared" si="14"/>
        <v>2703</v>
      </c>
      <c r="AA52" s="1">
        <f t="shared" si="4"/>
        <v>0.05</v>
      </c>
      <c r="AB52" s="1">
        <f t="shared" si="5"/>
        <v>1.5</v>
      </c>
      <c r="AC52" s="1">
        <f t="shared" si="15"/>
        <v>0.9</v>
      </c>
    </row>
    <row r="53" spans="23:29" ht="14.25" customHeight="1" x14ac:dyDescent="0.2">
      <c r="W53" s="1">
        <v>51</v>
      </c>
      <c r="X53" s="1">
        <f t="shared" si="12"/>
        <v>806</v>
      </c>
      <c r="Y53" s="1">
        <f t="shared" si="13"/>
        <v>26191</v>
      </c>
      <c r="Z53" s="1">
        <f t="shared" si="14"/>
        <v>2838</v>
      </c>
      <c r="AA53" s="1">
        <f t="shared" si="4"/>
        <v>0.05</v>
      </c>
      <c r="AB53" s="1">
        <f t="shared" si="5"/>
        <v>1.5</v>
      </c>
      <c r="AC53" s="1">
        <f t="shared" si="15"/>
        <v>0.9</v>
      </c>
    </row>
    <row r="54" spans="23:29" ht="14.25" customHeight="1" x14ac:dyDescent="0.2">
      <c r="W54" s="1">
        <v>52</v>
      </c>
      <c r="X54" s="1">
        <f t="shared" si="12"/>
        <v>847</v>
      </c>
      <c r="Y54" s="1">
        <f t="shared" si="13"/>
        <v>27382</v>
      </c>
      <c r="Z54" s="1">
        <f t="shared" si="14"/>
        <v>2980</v>
      </c>
      <c r="AA54" s="1">
        <f t="shared" si="4"/>
        <v>0.05</v>
      </c>
      <c r="AB54" s="1">
        <f t="shared" si="5"/>
        <v>1.5</v>
      </c>
      <c r="AC54" s="1">
        <f t="shared" si="15"/>
        <v>0.9</v>
      </c>
    </row>
    <row r="55" spans="23:29" ht="14.25" customHeight="1" x14ac:dyDescent="0.2">
      <c r="W55" s="1">
        <v>53</v>
      </c>
      <c r="X55" s="1">
        <f t="shared" si="12"/>
        <v>889</v>
      </c>
      <c r="Y55" s="1">
        <f t="shared" si="13"/>
        <v>28622</v>
      </c>
      <c r="Z55" s="1">
        <f t="shared" si="14"/>
        <v>3129</v>
      </c>
      <c r="AA55" s="1">
        <f t="shared" si="4"/>
        <v>0.05</v>
      </c>
      <c r="AB55" s="1">
        <f t="shared" si="5"/>
        <v>1.5</v>
      </c>
      <c r="AC55" s="1">
        <f t="shared" si="15"/>
        <v>0.9</v>
      </c>
    </row>
    <row r="56" spans="23:29" ht="14.25" customHeight="1" x14ac:dyDescent="0.2">
      <c r="W56" s="1">
        <v>54</v>
      </c>
      <c r="X56" s="1">
        <f t="shared" si="12"/>
        <v>933</v>
      </c>
      <c r="Y56" s="1">
        <f t="shared" si="13"/>
        <v>29912</v>
      </c>
      <c r="Z56" s="1">
        <f t="shared" si="14"/>
        <v>3286</v>
      </c>
      <c r="AA56" s="1">
        <f t="shared" si="4"/>
        <v>0.05</v>
      </c>
      <c r="AB56" s="1">
        <f t="shared" si="5"/>
        <v>1.5</v>
      </c>
      <c r="AC56" s="1">
        <f t="shared" si="15"/>
        <v>0.9</v>
      </c>
    </row>
    <row r="57" spans="23:29" ht="14.25" customHeight="1" x14ac:dyDescent="0.2">
      <c r="W57" s="1">
        <v>55</v>
      </c>
      <c r="X57" s="1">
        <f t="shared" si="12"/>
        <v>980</v>
      </c>
      <c r="Y57" s="1">
        <f t="shared" si="13"/>
        <v>31253</v>
      </c>
      <c r="Z57" s="1">
        <f t="shared" si="14"/>
        <v>3450</v>
      </c>
      <c r="AA57" s="1">
        <f t="shared" si="4"/>
        <v>0.05</v>
      </c>
      <c r="AB57" s="1">
        <f t="shared" si="5"/>
        <v>1.5</v>
      </c>
      <c r="AC57" s="1">
        <f t="shared" si="15"/>
        <v>0.9</v>
      </c>
    </row>
    <row r="58" spans="23:29" ht="14.25" customHeight="1" x14ac:dyDescent="0.2">
      <c r="W58" s="1">
        <v>56</v>
      </c>
      <c r="X58" s="1">
        <f t="shared" si="12"/>
        <v>1029</v>
      </c>
      <c r="Y58" s="1">
        <f t="shared" si="13"/>
        <v>32647</v>
      </c>
      <c r="Z58" s="1">
        <f t="shared" si="14"/>
        <v>3622</v>
      </c>
      <c r="AA58" s="1">
        <f t="shared" si="4"/>
        <v>0.05</v>
      </c>
      <c r="AB58" s="1">
        <f t="shared" si="5"/>
        <v>1.5</v>
      </c>
      <c r="AC58" s="1">
        <f t="shared" si="15"/>
        <v>0.9</v>
      </c>
    </row>
    <row r="59" spans="23:29" ht="14.25" customHeight="1" x14ac:dyDescent="0.2">
      <c r="W59" s="1">
        <v>57</v>
      </c>
      <c r="X59" s="1">
        <f t="shared" si="12"/>
        <v>1081</v>
      </c>
      <c r="Y59" s="1">
        <f t="shared" si="13"/>
        <v>34096</v>
      </c>
      <c r="Z59" s="1">
        <f t="shared" si="14"/>
        <v>3803</v>
      </c>
      <c r="AA59" s="1">
        <f t="shared" si="4"/>
        <v>0.05</v>
      </c>
      <c r="AB59" s="1">
        <f t="shared" si="5"/>
        <v>1.5</v>
      </c>
      <c r="AC59" s="1">
        <f t="shared" si="15"/>
        <v>0.9</v>
      </c>
    </row>
    <row r="60" spans="23:29" ht="14.25" customHeight="1" x14ac:dyDescent="0.2">
      <c r="W60" s="1">
        <v>58</v>
      </c>
      <c r="X60" s="1">
        <f t="shared" si="12"/>
        <v>1135</v>
      </c>
      <c r="Y60" s="1">
        <f t="shared" si="13"/>
        <v>35600</v>
      </c>
      <c r="Z60" s="1">
        <f t="shared" si="14"/>
        <v>3994</v>
      </c>
      <c r="AA60" s="1">
        <f t="shared" si="4"/>
        <v>0.05</v>
      </c>
      <c r="AB60" s="1">
        <f t="shared" si="5"/>
        <v>1.5</v>
      </c>
      <c r="AC60" s="1">
        <f t="shared" si="15"/>
        <v>0.9</v>
      </c>
    </row>
    <row r="61" spans="23:29" ht="14.25" customHeight="1" x14ac:dyDescent="0.2">
      <c r="W61" s="1">
        <v>59</v>
      </c>
      <c r="X61" s="1">
        <f t="shared" si="12"/>
        <v>1191</v>
      </c>
      <c r="Y61" s="1">
        <f t="shared" si="13"/>
        <v>37162</v>
      </c>
      <c r="Z61" s="1">
        <f t="shared" si="14"/>
        <v>4193</v>
      </c>
      <c r="AA61" s="1">
        <f t="shared" si="4"/>
        <v>0.05</v>
      </c>
      <c r="AB61" s="1">
        <f t="shared" si="5"/>
        <v>1.5</v>
      </c>
      <c r="AC61" s="1">
        <f t="shared" si="15"/>
        <v>0.9</v>
      </c>
    </row>
    <row r="62" spans="23:29" ht="14.25" customHeight="1" x14ac:dyDescent="0.2">
      <c r="W62" s="1">
        <v>60</v>
      </c>
      <c r="X62" s="1">
        <f t="shared" si="12"/>
        <v>1251</v>
      </c>
      <c r="Y62" s="1">
        <f t="shared" si="13"/>
        <v>38782</v>
      </c>
      <c r="Z62" s="1">
        <f t="shared" si="14"/>
        <v>4403</v>
      </c>
      <c r="AA62" s="1">
        <f t="shared" si="4"/>
        <v>0.05</v>
      </c>
      <c r="AB62" s="1">
        <f t="shared" si="5"/>
        <v>1.5</v>
      </c>
      <c r="AC62" s="1">
        <f t="shared" si="15"/>
        <v>0.9</v>
      </c>
    </row>
    <row r="63" spans="23:29" ht="14.25" customHeight="1" x14ac:dyDescent="0.2">
      <c r="W63" s="1">
        <v>61</v>
      </c>
      <c r="X63" s="1">
        <f t="shared" si="12"/>
        <v>1313</v>
      </c>
      <c r="Y63" s="1">
        <f t="shared" si="13"/>
        <v>40463</v>
      </c>
      <c r="Z63" s="1">
        <f t="shared" si="14"/>
        <v>4623</v>
      </c>
      <c r="AA63" s="1">
        <f t="shared" si="4"/>
        <v>0.05</v>
      </c>
      <c r="AB63" s="1">
        <f t="shared" si="5"/>
        <v>1.5</v>
      </c>
      <c r="AC63" s="1">
        <f t="shared" si="15"/>
        <v>0.9</v>
      </c>
    </row>
    <row r="64" spans="23:29" ht="14.25" customHeight="1" x14ac:dyDescent="0.2">
      <c r="W64" s="1">
        <v>62</v>
      </c>
      <c r="X64" s="1">
        <f t="shared" si="12"/>
        <v>1379</v>
      </c>
      <c r="Y64" s="1">
        <f t="shared" si="13"/>
        <v>42204</v>
      </c>
      <c r="Z64" s="1">
        <f t="shared" si="14"/>
        <v>4854</v>
      </c>
      <c r="AA64" s="1">
        <f t="shared" si="4"/>
        <v>0.05</v>
      </c>
      <c r="AB64" s="1">
        <f t="shared" si="5"/>
        <v>1.5</v>
      </c>
      <c r="AC64" s="1">
        <f t="shared" si="15"/>
        <v>0.9</v>
      </c>
    </row>
    <row r="65" spans="23:29" ht="14.25" customHeight="1" x14ac:dyDescent="0.2">
      <c r="W65" s="1">
        <v>63</v>
      </c>
      <c r="X65" s="1">
        <f t="shared" si="12"/>
        <v>1448</v>
      </c>
      <c r="Y65" s="1">
        <f t="shared" si="13"/>
        <v>44008</v>
      </c>
      <c r="Z65" s="1">
        <f t="shared" si="14"/>
        <v>5097</v>
      </c>
      <c r="AA65" s="1">
        <f t="shared" si="4"/>
        <v>0.05</v>
      </c>
      <c r="AB65" s="1">
        <f t="shared" si="5"/>
        <v>1.5</v>
      </c>
      <c r="AC65" s="1">
        <f t="shared" si="15"/>
        <v>0.9</v>
      </c>
    </row>
    <row r="66" spans="23:29" ht="14.25" customHeight="1" x14ac:dyDescent="0.2">
      <c r="W66" s="1">
        <v>64</v>
      </c>
      <c r="X66" s="1">
        <f t="shared" si="12"/>
        <v>1520</v>
      </c>
      <c r="Y66" s="1">
        <f t="shared" si="13"/>
        <v>45875</v>
      </c>
      <c r="Z66" s="1">
        <f t="shared" si="14"/>
        <v>5352</v>
      </c>
      <c r="AA66" s="1">
        <f t="shared" si="4"/>
        <v>0.05</v>
      </c>
      <c r="AB66" s="1">
        <f t="shared" si="5"/>
        <v>1.5</v>
      </c>
      <c r="AC66" s="1">
        <f t="shared" si="15"/>
        <v>0.9</v>
      </c>
    </row>
    <row r="67" spans="23:29" ht="14.25" customHeight="1" x14ac:dyDescent="0.2">
      <c r="W67" s="1">
        <v>65</v>
      </c>
      <c r="X67" s="1">
        <f t="shared" ref="X67:X102" si="16">ROUND(VLOOKUP($X$1,$E:$R,MATCH(X$2,$E$15:$R$15,0),0)*$C$6^($W67-1)*$C$13*VLOOKUP($Y$1,$B:$C,2,0),0)</f>
        <v>1596</v>
      </c>
      <c r="Y67" s="1">
        <f t="shared" ref="Y67:Y102" si="17">ROUND(VLOOKUP(VLOOKUP($Z$1,$K$4:$L$10,2,0),$E$4:$G$7,3,0)*$C$5*VLOOKUP($X$1,$E:$R,MATCH("生命偏向",$E$15:$R$15,0),0)/(1+VLOOKUP($X$1,$E:$R,MATCH($Z$2,$E$15:$R$15,0),0)*$C$6^($W67-1)/$C$8)*$C$6^($W67-1)*$C$13*VLOOKUP($Y$1,$B:$C,2,0),0)</f>
        <v>47807</v>
      </c>
      <c r="Z67" s="1">
        <f t="shared" ref="Z67:Z102" si="18">ROUND(VLOOKUP($X$1,$E:$R,MATCH(Z$2,$E$15:$R$15,0),0)*$C$6^($W67-1)*$C$13*VLOOKUP($Y$1,$B:$C,2,0),0)</f>
        <v>5619</v>
      </c>
      <c r="AA67" s="1">
        <f t="shared" si="4"/>
        <v>0.05</v>
      </c>
      <c r="AB67" s="1">
        <f t="shared" si="5"/>
        <v>1.5</v>
      </c>
      <c r="AC67" s="1">
        <f t="shared" ref="AC67:AC102" si="19">VLOOKUP($X$1,$E:$R,MATCH(AC$2,$E$15:$R$15,0),0)</f>
        <v>0.9</v>
      </c>
    </row>
    <row r="68" spans="23:29" ht="14.25" customHeight="1" x14ac:dyDescent="0.2">
      <c r="W68" s="1">
        <v>66</v>
      </c>
      <c r="X68" s="1">
        <f t="shared" si="16"/>
        <v>1676</v>
      </c>
      <c r="Y68" s="1">
        <f t="shared" si="17"/>
        <v>49804</v>
      </c>
      <c r="Z68" s="1">
        <f t="shared" si="18"/>
        <v>5900</v>
      </c>
      <c r="AA68" s="1">
        <f t="shared" ref="AA68:AA102" si="20">$AA$1</f>
        <v>0.05</v>
      </c>
      <c r="AB68" s="1">
        <f t="shared" ref="AB68:AB102" si="21">$AB$1</f>
        <v>1.5</v>
      </c>
      <c r="AC68" s="1">
        <f t="shared" si="19"/>
        <v>0.9</v>
      </c>
    </row>
    <row r="69" spans="23:29" ht="14.25" customHeight="1" x14ac:dyDescent="0.2">
      <c r="W69" s="1">
        <v>67</v>
      </c>
      <c r="X69" s="1">
        <f t="shared" si="16"/>
        <v>1760</v>
      </c>
      <c r="Y69" s="1">
        <f t="shared" si="17"/>
        <v>51868</v>
      </c>
      <c r="Z69" s="1">
        <f t="shared" si="18"/>
        <v>6195</v>
      </c>
      <c r="AA69" s="1">
        <f t="shared" si="20"/>
        <v>0.05</v>
      </c>
      <c r="AB69" s="1">
        <f t="shared" si="21"/>
        <v>1.5</v>
      </c>
      <c r="AC69" s="1">
        <f t="shared" si="19"/>
        <v>0.9</v>
      </c>
    </row>
    <row r="70" spans="23:29" ht="14.25" customHeight="1" x14ac:dyDescent="0.2">
      <c r="W70" s="1">
        <v>68</v>
      </c>
      <c r="X70" s="1">
        <f t="shared" si="16"/>
        <v>1848</v>
      </c>
      <c r="Y70" s="1">
        <f t="shared" si="17"/>
        <v>54000</v>
      </c>
      <c r="Z70" s="1">
        <f t="shared" si="18"/>
        <v>6505</v>
      </c>
      <c r="AA70" s="1">
        <f t="shared" si="20"/>
        <v>0.05</v>
      </c>
      <c r="AB70" s="1">
        <f t="shared" si="21"/>
        <v>1.5</v>
      </c>
      <c r="AC70" s="1">
        <f t="shared" si="19"/>
        <v>0.9</v>
      </c>
    </row>
    <row r="71" spans="23:29" ht="14.25" customHeight="1" x14ac:dyDescent="0.2">
      <c r="W71" s="1">
        <v>69</v>
      </c>
      <c r="X71" s="1">
        <f t="shared" si="16"/>
        <v>1940</v>
      </c>
      <c r="Y71" s="1">
        <f t="shared" si="17"/>
        <v>56199</v>
      </c>
      <c r="Z71" s="1">
        <f t="shared" si="18"/>
        <v>6830</v>
      </c>
      <c r="AA71" s="1">
        <f t="shared" si="20"/>
        <v>0.05</v>
      </c>
      <c r="AB71" s="1">
        <f t="shared" si="21"/>
        <v>1.5</v>
      </c>
      <c r="AC71" s="1">
        <f t="shared" si="19"/>
        <v>0.9</v>
      </c>
    </row>
    <row r="72" spans="23:29" ht="14.25" customHeight="1" x14ac:dyDescent="0.2">
      <c r="W72" s="1">
        <v>70</v>
      </c>
      <c r="X72" s="1">
        <f t="shared" si="16"/>
        <v>2037</v>
      </c>
      <c r="Y72" s="1">
        <f t="shared" si="17"/>
        <v>58467</v>
      </c>
      <c r="Z72" s="1">
        <f t="shared" si="18"/>
        <v>7172</v>
      </c>
      <c r="AA72" s="1">
        <f t="shared" si="20"/>
        <v>0.05</v>
      </c>
      <c r="AB72" s="1">
        <f t="shared" si="21"/>
        <v>1.5</v>
      </c>
      <c r="AC72" s="1">
        <f t="shared" si="19"/>
        <v>0.9</v>
      </c>
    </row>
    <row r="73" spans="23:29" ht="14.25" customHeight="1" x14ac:dyDescent="0.2">
      <c r="W73" s="1">
        <v>71</v>
      </c>
      <c r="X73" s="1">
        <f t="shared" si="16"/>
        <v>2139</v>
      </c>
      <c r="Y73" s="1">
        <f t="shared" si="17"/>
        <v>60803</v>
      </c>
      <c r="Z73" s="1">
        <f t="shared" si="18"/>
        <v>7531</v>
      </c>
      <c r="AA73" s="1">
        <f t="shared" si="20"/>
        <v>0.05</v>
      </c>
      <c r="AB73" s="1">
        <f t="shared" si="21"/>
        <v>1.5</v>
      </c>
      <c r="AC73" s="1">
        <f t="shared" si="19"/>
        <v>0.9</v>
      </c>
    </row>
    <row r="74" spans="23:29" ht="14.25" customHeight="1" x14ac:dyDescent="0.2">
      <c r="W74" s="1">
        <v>72</v>
      </c>
      <c r="X74" s="1">
        <f t="shared" si="16"/>
        <v>2246</v>
      </c>
      <c r="Y74" s="1">
        <f t="shared" si="17"/>
        <v>63209</v>
      </c>
      <c r="Z74" s="1">
        <f t="shared" si="18"/>
        <v>7907</v>
      </c>
      <c r="AA74" s="1">
        <f t="shared" si="20"/>
        <v>0.05</v>
      </c>
      <c r="AB74" s="1">
        <f t="shared" si="21"/>
        <v>1.5</v>
      </c>
      <c r="AC74" s="1">
        <f t="shared" si="19"/>
        <v>0.9</v>
      </c>
    </row>
    <row r="75" spans="23:29" ht="14.25" customHeight="1" x14ac:dyDescent="0.2">
      <c r="W75" s="1">
        <v>73</v>
      </c>
      <c r="X75" s="1">
        <f t="shared" si="16"/>
        <v>2359</v>
      </c>
      <c r="Y75" s="1">
        <f t="shared" si="17"/>
        <v>65685</v>
      </c>
      <c r="Z75" s="1">
        <f t="shared" si="18"/>
        <v>8302</v>
      </c>
      <c r="AA75" s="1">
        <f t="shared" si="20"/>
        <v>0.05</v>
      </c>
      <c r="AB75" s="1">
        <f t="shared" si="21"/>
        <v>1.5</v>
      </c>
      <c r="AC75" s="1">
        <f t="shared" si="19"/>
        <v>0.9</v>
      </c>
    </row>
    <row r="76" spans="23:29" ht="14.25" customHeight="1" x14ac:dyDescent="0.2">
      <c r="W76" s="1">
        <v>74</v>
      </c>
      <c r="X76" s="1">
        <f t="shared" si="16"/>
        <v>2477</v>
      </c>
      <c r="Y76" s="1">
        <f t="shared" si="17"/>
        <v>68230</v>
      </c>
      <c r="Z76" s="1">
        <f t="shared" si="18"/>
        <v>8718</v>
      </c>
      <c r="AA76" s="1">
        <f t="shared" si="20"/>
        <v>0.05</v>
      </c>
      <c r="AB76" s="1">
        <f t="shared" si="21"/>
        <v>1.5</v>
      </c>
      <c r="AC76" s="1">
        <f t="shared" si="19"/>
        <v>0.9</v>
      </c>
    </row>
    <row r="77" spans="23:29" ht="14.25" customHeight="1" x14ac:dyDescent="0.2">
      <c r="W77" s="1">
        <v>75</v>
      </c>
      <c r="X77" s="1">
        <f t="shared" si="16"/>
        <v>2600</v>
      </c>
      <c r="Y77" s="1">
        <f t="shared" si="17"/>
        <v>70843</v>
      </c>
      <c r="Z77" s="1">
        <f t="shared" si="18"/>
        <v>9153</v>
      </c>
      <c r="AA77" s="1">
        <f t="shared" si="20"/>
        <v>0.05</v>
      </c>
      <c r="AB77" s="1">
        <f t="shared" si="21"/>
        <v>1.5</v>
      </c>
      <c r="AC77" s="1">
        <f t="shared" si="19"/>
        <v>0.9</v>
      </c>
    </row>
    <row r="78" spans="23:29" ht="14.25" customHeight="1" x14ac:dyDescent="0.2">
      <c r="W78" s="1">
        <v>76</v>
      </c>
      <c r="X78" s="1">
        <f t="shared" si="16"/>
        <v>2730</v>
      </c>
      <c r="Y78" s="1">
        <f t="shared" si="17"/>
        <v>73526</v>
      </c>
      <c r="Z78" s="1">
        <f t="shared" si="18"/>
        <v>9611</v>
      </c>
      <c r="AA78" s="1">
        <f t="shared" si="20"/>
        <v>0.05</v>
      </c>
      <c r="AB78" s="1">
        <f t="shared" si="21"/>
        <v>1.5</v>
      </c>
      <c r="AC78" s="1">
        <f t="shared" si="19"/>
        <v>0.9</v>
      </c>
    </row>
    <row r="79" spans="23:29" ht="14.25" customHeight="1" x14ac:dyDescent="0.2">
      <c r="W79" s="1">
        <v>77</v>
      </c>
      <c r="X79" s="1">
        <f t="shared" si="16"/>
        <v>2867</v>
      </c>
      <c r="Y79" s="1">
        <f t="shared" si="17"/>
        <v>76277</v>
      </c>
      <c r="Z79" s="1">
        <f t="shared" si="18"/>
        <v>10092</v>
      </c>
      <c r="AA79" s="1">
        <f t="shared" si="20"/>
        <v>0.05</v>
      </c>
      <c r="AB79" s="1">
        <f t="shared" si="21"/>
        <v>1.5</v>
      </c>
      <c r="AC79" s="1">
        <f t="shared" si="19"/>
        <v>0.9</v>
      </c>
    </row>
    <row r="80" spans="23:29" ht="14.25" customHeight="1" x14ac:dyDescent="0.2">
      <c r="W80" s="1">
        <v>78</v>
      </c>
      <c r="X80" s="1">
        <f t="shared" si="16"/>
        <v>3010</v>
      </c>
      <c r="Y80" s="1">
        <f t="shared" si="17"/>
        <v>79095</v>
      </c>
      <c r="Z80" s="1">
        <f t="shared" si="18"/>
        <v>10596</v>
      </c>
      <c r="AA80" s="1">
        <f t="shared" si="20"/>
        <v>0.05</v>
      </c>
      <c r="AB80" s="1">
        <f t="shared" si="21"/>
        <v>1.5</v>
      </c>
      <c r="AC80" s="1">
        <f t="shared" si="19"/>
        <v>0.9</v>
      </c>
    </row>
    <row r="81" spans="23:29" ht="14.25" customHeight="1" x14ac:dyDescent="0.2">
      <c r="W81" s="1">
        <v>79</v>
      </c>
      <c r="X81" s="1">
        <f t="shared" si="16"/>
        <v>3161</v>
      </c>
      <c r="Y81" s="1">
        <f t="shared" si="17"/>
        <v>81980</v>
      </c>
      <c r="Z81" s="1">
        <f t="shared" si="18"/>
        <v>11126</v>
      </c>
      <c r="AA81" s="1">
        <f t="shared" si="20"/>
        <v>0.05</v>
      </c>
      <c r="AB81" s="1">
        <f t="shared" si="21"/>
        <v>1.5</v>
      </c>
      <c r="AC81" s="1">
        <f t="shared" si="19"/>
        <v>0.9</v>
      </c>
    </row>
    <row r="82" spans="23:29" ht="14.25" customHeight="1" x14ac:dyDescent="0.2">
      <c r="W82" s="1">
        <v>80</v>
      </c>
      <c r="X82" s="1">
        <f t="shared" si="16"/>
        <v>3319</v>
      </c>
      <c r="Y82" s="1">
        <f t="shared" si="17"/>
        <v>84931</v>
      </c>
      <c r="Z82" s="1">
        <f t="shared" si="18"/>
        <v>11682</v>
      </c>
      <c r="AA82" s="1">
        <f t="shared" si="20"/>
        <v>0.05</v>
      </c>
      <c r="AB82" s="1">
        <f t="shared" si="21"/>
        <v>1.5</v>
      </c>
      <c r="AC82" s="1">
        <f t="shared" si="19"/>
        <v>0.9</v>
      </c>
    </row>
    <row r="83" spans="23:29" ht="14.25" customHeight="1" x14ac:dyDescent="0.2">
      <c r="W83" s="1">
        <v>81</v>
      </c>
      <c r="X83" s="1">
        <f t="shared" si="16"/>
        <v>3485</v>
      </c>
      <c r="Y83" s="1">
        <f t="shared" si="17"/>
        <v>87945</v>
      </c>
      <c r="Z83" s="1">
        <f t="shared" si="18"/>
        <v>12266</v>
      </c>
      <c r="AA83" s="1">
        <f t="shared" si="20"/>
        <v>0.05</v>
      </c>
      <c r="AB83" s="1">
        <f t="shared" si="21"/>
        <v>1.5</v>
      </c>
      <c r="AC83" s="1">
        <f t="shared" si="19"/>
        <v>0.9</v>
      </c>
    </row>
    <row r="84" spans="23:29" ht="14.25" customHeight="1" x14ac:dyDescent="0.2">
      <c r="W84" s="1">
        <v>82</v>
      </c>
      <c r="X84" s="1">
        <f t="shared" si="16"/>
        <v>3659</v>
      </c>
      <c r="Y84" s="1">
        <f t="shared" si="17"/>
        <v>91021</v>
      </c>
      <c r="Z84" s="1">
        <f t="shared" si="18"/>
        <v>12880</v>
      </c>
      <c r="AA84" s="1">
        <f t="shared" si="20"/>
        <v>0.05</v>
      </c>
      <c r="AB84" s="1">
        <f t="shared" si="21"/>
        <v>1.5</v>
      </c>
      <c r="AC84" s="1">
        <f t="shared" si="19"/>
        <v>0.9</v>
      </c>
    </row>
    <row r="85" spans="23:29" ht="14.25" customHeight="1" x14ac:dyDescent="0.2">
      <c r="W85" s="1">
        <v>83</v>
      </c>
      <c r="X85" s="1">
        <f t="shared" si="16"/>
        <v>3842</v>
      </c>
      <c r="Y85" s="1">
        <f t="shared" si="17"/>
        <v>94158</v>
      </c>
      <c r="Z85" s="1">
        <f t="shared" si="18"/>
        <v>13524</v>
      </c>
      <c r="AA85" s="1">
        <f t="shared" si="20"/>
        <v>0.05</v>
      </c>
      <c r="AB85" s="1">
        <f t="shared" si="21"/>
        <v>1.5</v>
      </c>
      <c r="AC85" s="1">
        <f t="shared" si="19"/>
        <v>0.9</v>
      </c>
    </row>
    <row r="86" spans="23:29" ht="14.25" customHeight="1" x14ac:dyDescent="0.2">
      <c r="W86" s="1">
        <v>84</v>
      </c>
      <c r="X86" s="1">
        <f t="shared" si="16"/>
        <v>4034</v>
      </c>
      <c r="Y86" s="1">
        <f t="shared" si="17"/>
        <v>97353</v>
      </c>
      <c r="Z86" s="1">
        <f t="shared" si="18"/>
        <v>14200</v>
      </c>
      <c r="AA86" s="1">
        <f t="shared" si="20"/>
        <v>0.05</v>
      </c>
      <c r="AB86" s="1">
        <f t="shared" si="21"/>
        <v>1.5</v>
      </c>
      <c r="AC86" s="1">
        <f t="shared" si="19"/>
        <v>0.9</v>
      </c>
    </row>
    <row r="87" spans="23:29" ht="14.25" customHeight="1" x14ac:dyDescent="0.2">
      <c r="W87" s="1">
        <v>85</v>
      </c>
      <c r="X87" s="1">
        <f t="shared" si="16"/>
        <v>4236</v>
      </c>
      <c r="Y87" s="1">
        <f t="shared" si="17"/>
        <v>100605</v>
      </c>
      <c r="Z87" s="1">
        <f t="shared" si="18"/>
        <v>14910</v>
      </c>
      <c r="AA87" s="1">
        <f t="shared" si="20"/>
        <v>0.05</v>
      </c>
      <c r="AB87" s="1">
        <f t="shared" si="21"/>
        <v>1.5</v>
      </c>
      <c r="AC87" s="1">
        <f t="shared" si="19"/>
        <v>0.9</v>
      </c>
    </row>
    <row r="88" spans="23:29" ht="14.25" customHeight="1" x14ac:dyDescent="0.2">
      <c r="W88" s="1">
        <v>86</v>
      </c>
      <c r="X88" s="1">
        <f t="shared" si="16"/>
        <v>4448</v>
      </c>
      <c r="Y88" s="1">
        <f t="shared" si="17"/>
        <v>103910</v>
      </c>
      <c r="Z88" s="1">
        <f t="shared" si="18"/>
        <v>15655</v>
      </c>
      <c r="AA88" s="1">
        <f t="shared" si="20"/>
        <v>0.05</v>
      </c>
      <c r="AB88" s="1">
        <f t="shared" si="21"/>
        <v>1.5</v>
      </c>
      <c r="AC88" s="1">
        <f t="shared" si="19"/>
        <v>0.9</v>
      </c>
    </row>
    <row r="89" spans="23:29" ht="14.25" customHeight="1" x14ac:dyDescent="0.2">
      <c r="W89" s="1">
        <v>87</v>
      </c>
      <c r="X89" s="1">
        <f t="shared" si="16"/>
        <v>4670</v>
      </c>
      <c r="Y89" s="1">
        <f t="shared" si="17"/>
        <v>107267</v>
      </c>
      <c r="Z89" s="1">
        <f t="shared" si="18"/>
        <v>16438</v>
      </c>
      <c r="AA89" s="1">
        <f t="shared" si="20"/>
        <v>0.05</v>
      </c>
      <c r="AB89" s="1">
        <f t="shared" si="21"/>
        <v>1.5</v>
      </c>
      <c r="AC89" s="1">
        <f t="shared" si="19"/>
        <v>0.9</v>
      </c>
    </row>
    <row r="90" spans="23:29" ht="14.25" customHeight="1" x14ac:dyDescent="0.2">
      <c r="W90" s="1">
        <v>88</v>
      </c>
      <c r="X90" s="1">
        <f t="shared" si="16"/>
        <v>4903</v>
      </c>
      <c r="Y90" s="1">
        <f t="shared" si="17"/>
        <v>110671</v>
      </c>
      <c r="Z90" s="1">
        <f t="shared" si="18"/>
        <v>17260</v>
      </c>
      <c r="AA90" s="1">
        <f t="shared" si="20"/>
        <v>0.05</v>
      </c>
      <c r="AB90" s="1">
        <f t="shared" si="21"/>
        <v>1.5</v>
      </c>
      <c r="AC90" s="1">
        <f t="shared" si="19"/>
        <v>0.9</v>
      </c>
    </row>
    <row r="91" spans="23:29" ht="14.25" customHeight="1" x14ac:dyDescent="0.2">
      <c r="W91" s="1">
        <v>89</v>
      </c>
      <c r="X91" s="1">
        <f t="shared" si="16"/>
        <v>5149</v>
      </c>
      <c r="Y91" s="1">
        <f t="shared" si="17"/>
        <v>114121</v>
      </c>
      <c r="Z91" s="1">
        <f t="shared" si="18"/>
        <v>18123</v>
      </c>
      <c r="AA91" s="1">
        <f t="shared" si="20"/>
        <v>0.05</v>
      </c>
      <c r="AB91" s="1">
        <f t="shared" si="21"/>
        <v>1.5</v>
      </c>
      <c r="AC91" s="1">
        <f t="shared" si="19"/>
        <v>0.9</v>
      </c>
    </row>
    <row r="92" spans="23:29" ht="14.25" customHeight="1" x14ac:dyDescent="0.2">
      <c r="W92" s="1">
        <v>90</v>
      </c>
      <c r="X92" s="1">
        <f t="shared" si="16"/>
        <v>5406</v>
      </c>
      <c r="Y92" s="1">
        <f t="shared" si="17"/>
        <v>117612</v>
      </c>
      <c r="Z92" s="1">
        <f t="shared" si="18"/>
        <v>19029</v>
      </c>
      <c r="AA92" s="1">
        <f t="shared" si="20"/>
        <v>0.05</v>
      </c>
      <c r="AB92" s="1">
        <f t="shared" si="21"/>
        <v>1.5</v>
      </c>
      <c r="AC92" s="1">
        <f t="shared" si="19"/>
        <v>0.9</v>
      </c>
    </row>
    <row r="93" spans="23:29" ht="14.25" customHeight="1" x14ac:dyDescent="0.2">
      <c r="W93" s="1">
        <v>91</v>
      </c>
      <c r="X93" s="1">
        <f t="shared" si="16"/>
        <v>5676</v>
      </c>
      <c r="Y93" s="1">
        <f t="shared" si="17"/>
        <v>121142</v>
      </c>
      <c r="Z93" s="1">
        <f t="shared" si="18"/>
        <v>19981</v>
      </c>
      <c r="AA93" s="1">
        <f t="shared" si="20"/>
        <v>0.05</v>
      </c>
      <c r="AB93" s="1">
        <f t="shared" si="21"/>
        <v>1.5</v>
      </c>
      <c r="AC93" s="1">
        <f t="shared" si="19"/>
        <v>0.9</v>
      </c>
    </row>
    <row r="94" spans="23:29" ht="14.25" customHeight="1" x14ac:dyDescent="0.2">
      <c r="W94" s="1">
        <v>92</v>
      </c>
      <c r="X94" s="1">
        <f t="shared" si="16"/>
        <v>5960</v>
      </c>
      <c r="Y94" s="1">
        <f t="shared" si="17"/>
        <v>124707</v>
      </c>
      <c r="Z94" s="1">
        <f t="shared" si="18"/>
        <v>20980</v>
      </c>
      <c r="AA94" s="1">
        <f t="shared" si="20"/>
        <v>0.05</v>
      </c>
      <c r="AB94" s="1">
        <f t="shared" si="21"/>
        <v>1.5</v>
      </c>
      <c r="AC94" s="1">
        <f t="shared" si="19"/>
        <v>0.9</v>
      </c>
    </row>
    <row r="95" spans="23:29" ht="14.25" customHeight="1" x14ac:dyDescent="0.2">
      <c r="W95" s="1">
        <v>93</v>
      </c>
      <c r="X95" s="1">
        <f t="shared" si="16"/>
        <v>6258</v>
      </c>
      <c r="Y95" s="1">
        <f t="shared" si="17"/>
        <v>128302</v>
      </c>
      <c r="Z95" s="1">
        <f t="shared" si="18"/>
        <v>22029</v>
      </c>
      <c r="AA95" s="1">
        <f t="shared" si="20"/>
        <v>0.05</v>
      </c>
      <c r="AB95" s="1">
        <f t="shared" si="21"/>
        <v>1.5</v>
      </c>
      <c r="AC95" s="1">
        <f t="shared" si="19"/>
        <v>0.9</v>
      </c>
    </row>
    <row r="96" spans="23:29" ht="14.25" customHeight="1" x14ac:dyDescent="0.2">
      <c r="W96" s="1">
        <v>94</v>
      </c>
      <c r="X96" s="1">
        <f t="shared" si="16"/>
        <v>6571</v>
      </c>
      <c r="Y96" s="1">
        <f t="shared" si="17"/>
        <v>131924</v>
      </c>
      <c r="Z96" s="1">
        <f t="shared" si="18"/>
        <v>23130</v>
      </c>
      <c r="AA96" s="1">
        <f t="shared" si="20"/>
        <v>0.05</v>
      </c>
      <c r="AB96" s="1">
        <f t="shared" si="21"/>
        <v>1.5</v>
      </c>
      <c r="AC96" s="1">
        <f t="shared" si="19"/>
        <v>0.9</v>
      </c>
    </row>
    <row r="97" spans="23:29" ht="14.25" customHeight="1" x14ac:dyDescent="0.2">
      <c r="W97" s="1">
        <v>95</v>
      </c>
      <c r="X97" s="1">
        <f t="shared" si="16"/>
        <v>6900</v>
      </c>
      <c r="Y97" s="1">
        <f t="shared" si="17"/>
        <v>135569</v>
      </c>
      <c r="Z97" s="1">
        <f t="shared" si="18"/>
        <v>24287</v>
      </c>
      <c r="AA97" s="1">
        <f t="shared" si="20"/>
        <v>0.05</v>
      </c>
      <c r="AB97" s="1">
        <f t="shared" si="21"/>
        <v>1.5</v>
      </c>
      <c r="AC97" s="1">
        <f t="shared" si="19"/>
        <v>0.9</v>
      </c>
    </row>
    <row r="98" spans="23:29" ht="14.25" customHeight="1" x14ac:dyDescent="0.2">
      <c r="W98" s="1">
        <v>96</v>
      </c>
      <c r="X98" s="1">
        <f t="shared" si="16"/>
        <v>7245</v>
      </c>
      <c r="Y98" s="1">
        <f t="shared" si="17"/>
        <v>139233</v>
      </c>
      <c r="Z98" s="1">
        <f t="shared" si="18"/>
        <v>25501</v>
      </c>
      <c r="AA98" s="1">
        <f t="shared" si="20"/>
        <v>0.05</v>
      </c>
      <c r="AB98" s="1">
        <f t="shared" si="21"/>
        <v>1.5</v>
      </c>
      <c r="AC98" s="1">
        <f t="shared" si="19"/>
        <v>0.9</v>
      </c>
    </row>
    <row r="99" spans="23:29" ht="14.25" customHeight="1" x14ac:dyDescent="0.2">
      <c r="W99" s="1">
        <v>97</v>
      </c>
      <c r="X99" s="1">
        <f t="shared" si="16"/>
        <v>7607</v>
      </c>
      <c r="Y99" s="1">
        <f t="shared" si="17"/>
        <v>142912</v>
      </c>
      <c r="Z99" s="1">
        <f t="shared" si="18"/>
        <v>26776</v>
      </c>
      <c r="AA99" s="1">
        <f t="shared" si="20"/>
        <v>0.05</v>
      </c>
      <c r="AB99" s="1">
        <f t="shared" si="21"/>
        <v>1.5</v>
      </c>
      <c r="AC99" s="1">
        <f t="shared" si="19"/>
        <v>0.9</v>
      </c>
    </row>
    <row r="100" spans="23:29" ht="14.25" customHeight="1" x14ac:dyDescent="0.2">
      <c r="W100" s="1">
        <v>98</v>
      </c>
      <c r="X100" s="1">
        <f t="shared" si="16"/>
        <v>7987</v>
      </c>
      <c r="Y100" s="1">
        <f t="shared" si="17"/>
        <v>146601</v>
      </c>
      <c r="Z100" s="1">
        <f t="shared" si="18"/>
        <v>28115</v>
      </c>
      <c r="AA100" s="1">
        <f t="shared" si="20"/>
        <v>0.05</v>
      </c>
      <c r="AB100" s="1">
        <f t="shared" si="21"/>
        <v>1.5</v>
      </c>
      <c r="AC100" s="1">
        <f t="shared" si="19"/>
        <v>0.9</v>
      </c>
    </row>
    <row r="101" spans="23:29" ht="14.25" customHeight="1" x14ac:dyDescent="0.2">
      <c r="W101" s="1">
        <v>99</v>
      </c>
      <c r="X101" s="1">
        <f t="shared" si="16"/>
        <v>8387</v>
      </c>
      <c r="Y101" s="1">
        <f t="shared" si="17"/>
        <v>150295</v>
      </c>
      <c r="Z101" s="1">
        <f t="shared" si="18"/>
        <v>29521</v>
      </c>
      <c r="AA101" s="1">
        <f t="shared" si="20"/>
        <v>0.05</v>
      </c>
      <c r="AB101" s="1">
        <f t="shared" si="21"/>
        <v>1.5</v>
      </c>
      <c r="AC101" s="1">
        <f t="shared" si="19"/>
        <v>0.9</v>
      </c>
    </row>
    <row r="102" spans="23:29" ht="14.25" customHeight="1" x14ac:dyDescent="0.2">
      <c r="W102" s="1">
        <v>100</v>
      </c>
      <c r="X102" s="1">
        <f t="shared" si="16"/>
        <v>8806</v>
      </c>
      <c r="Y102" s="1">
        <f t="shared" si="17"/>
        <v>153991</v>
      </c>
      <c r="Z102" s="1">
        <f t="shared" si="18"/>
        <v>30997</v>
      </c>
      <c r="AA102" s="1">
        <f t="shared" si="20"/>
        <v>0.05</v>
      </c>
      <c r="AB102" s="1">
        <f t="shared" si="21"/>
        <v>1.5</v>
      </c>
      <c r="AC102" s="1">
        <f t="shared" si="19"/>
        <v>0.9</v>
      </c>
    </row>
  </sheetData>
  <mergeCells count="2">
    <mergeCell ref="I12:N12"/>
    <mergeCell ref="O12:R12"/>
  </mergeCells>
  <phoneticPr fontId="1" type="noConversion"/>
  <conditionalFormatting sqref="I16:M27">
    <cfRule type="cellIs" dxfId="3" priority="4" operator="greaterThan">
      <formula>I$14</formula>
    </cfRule>
  </conditionalFormatting>
  <conditionalFormatting sqref="I16:M27">
    <cfRule type="cellIs" dxfId="2" priority="3" operator="lessThan">
      <formula>I$13</formula>
    </cfRule>
  </conditionalFormatting>
  <conditionalFormatting sqref="O16:O27">
    <cfRule type="cellIs" dxfId="1" priority="2" operator="greaterThan">
      <formula>O$14</formula>
    </cfRule>
  </conditionalFormatting>
  <conditionalFormatting sqref="O16:O27">
    <cfRule type="cellIs" dxfId="0" priority="1" operator="lessThan">
      <formula>O$13</formula>
    </cfRule>
  </conditionalFormatting>
  <pageMargins left="0.7" right="0.7" top="0.75" bottom="0.75" header="0.3" footer="0.3"/>
  <pageSetup paperSize="9" orientation="portrait" r:id="rId1"/>
  <ignoredErrors>
    <ignoredError sqref="Y3:Y9 Y10:Y102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C2CD-DD55-4E47-A7AC-8429E77EF58A}">
  <dimension ref="A1:AB123"/>
  <sheetViews>
    <sheetView tabSelected="1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O8" sqref="O8"/>
    </sheetView>
  </sheetViews>
  <sheetFormatPr defaultRowHeight="14.25" customHeight="1" x14ac:dyDescent="0.2"/>
  <cols>
    <col min="1" max="16384" width="9" style="1"/>
  </cols>
  <sheetData>
    <row r="1" spans="1:28" ht="14.25" customHeight="1" x14ac:dyDescent="0.2">
      <c r="A1" s="2"/>
      <c r="B1" s="5" t="s">
        <v>48</v>
      </c>
      <c r="C1" s="6" t="s">
        <v>49</v>
      </c>
      <c r="D1" s="31" t="s">
        <v>50</v>
      </c>
      <c r="E1" s="2" t="s">
        <v>97</v>
      </c>
      <c r="G1" s="2"/>
      <c r="N1" s="2" t="s">
        <v>121</v>
      </c>
      <c r="U1" s="1">
        <v>10</v>
      </c>
      <c r="V1" s="1">
        <v>1</v>
      </c>
      <c r="W1" s="1">
        <f>U1*V1/10</f>
        <v>1</v>
      </c>
      <c r="X1" s="1">
        <v>10</v>
      </c>
      <c r="Y1" s="1">
        <v>1</v>
      </c>
      <c r="Z1" s="1">
        <f>X1*Y1/10</f>
        <v>1</v>
      </c>
    </row>
    <row r="2" spans="1:28" ht="14.25" customHeight="1" x14ac:dyDescent="0.2">
      <c r="E2" s="2" t="s">
        <v>98</v>
      </c>
      <c r="N2" s="2" t="s">
        <v>122</v>
      </c>
      <c r="U2" s="1">
        <f>U1</f>
        <v>10</v>
      </c>
      <c r="V2" s="1">
        <v>2</v>
      </c>
      <c r="W2" s="1">
        <f t="shared" ref="W2:W10" si="0">U2*V2/10</f>
        <v>2</v>
      </c>
      <c r="X2" s="1">
        <f>X1</f>
        <v>10</v>
      </c>
      <c r="Y2" s="1">
        <v>2</v>
      </c>
      <c r="Z2" s="1">
        <f t="shared" ref="Z2:Z10" si="1">X2*Y2/10</f>
        <v>2</v>
      </c>
    </row>
    <row r="3" spans="1:28" ht="14.25" customHeight="1" x14ac:dyDescent="0.2">
      <c r="E3" s="2" t="s">
        <v>0</v>
      </c>
      <c r="U3" s="1">
        <f t="shared" ref="U3:U10" si="2">U2</f>
        <v>10</v>
      </c>
      <c r="V3" s="1">
        <v>3</v>
      </c>
      <c r="W3" s="1">
        <f t="shared" si="0"/>
        <v>3</v>
      </c>
      <c r="X3" s="1">
        <f>X2</f>
        <v>10</v>
      </c>
      <c r="Y3" s="1">
        <v>3</v>
      </c>
      <c r="Z3" s="1">
        <f t="shared" si="1"/>
        <v>3</v>
      </c>
    </row>
    <row r="4" spans="1:28" ht="14.25" customHeight="1" thickBot="1" x14ac:dyDescent="0.25">
      <c r="B4" s="13" t="s">
        <v>9</v>
      </c>
      <c r="C4" s="20" t="s">
        <v>10</v>
      </c>
      <c r="E4" s="13" t="s">
        <v>94</v>
      </c>
      <c r="F4" s="13" t="s">
        <v>5</v>
      </c>
      <c r="G4" s="13" t="s">
        <v>1</v>
      </c>
      <c r="H4" s="13" t="s">
        <v>2</v>
      </c>
      <c r="I4" s="13" t="s">
        <v>44</v>
      </c>
      <c r="U4" s="1">
        <f t="shared" si="2"/>
        <v>10</v>
      </c>
      <c r="V4" s="1">
        <v>4</v>
      </c>
      <c r="W4" s="1">
        <f t="shared" si="0"/>
        <v>4</v>
      </c>
      <c r="X4" s="1">
        <v>16</v>
      </c>
      <c r="Z4" s="1">
        <f t="shared" si="1"/>
        <v>0</v>
      </c>
    </row>
    <row r="5" spans="1:28" ht="14.25" customHeight="1" x14ac:dyDescent="0.2">
      <c r="B5" s="3" t="s">
        <v>12</v>
      </c>
      <c r="C5" s="3">
        <v>75</v>
      </c>
      <c r="D5" s="3"/>
      <c r="E5" s="3" t="str">
        <f>[1]怪物设定!C6</f>
        <v>1~1</v>
      </c>
      <c r="F5" s="3" t="str">
        <f>[1]怪物设定!D6</f>
        <v>坦克</v>
      </c>
      <c r="G5" s="3">
        <f>[1]怪物设定!E6</f>
        <v>5</v>
      </c>
      <c r="H5" s="3">
        <f>[1]怪物设定!F6</f>
        <v>100</v>
      </c>
      <c r="I5" s="3">
        <f>[1]怪物设定!G6</f>
        <v>2</v>
      </c>
      <c r="U5" s="1">
        <f t="shared" si="2"/>
        <v>10</v>
      </c>
      <c r="V5" s="1">
        <v>5</v>
      </c>
      <c r="W5" s="1">
        <f t="shared" si="0"/>
        <v>5</v>
      </c>
      <c r="X5" s="1">
        <f>X4</f>
        <v>16</v>
      </c>
      <c r="Y5" s="1">
        <v>5</v>
      </c>
      <c r="Z5" s="1">
        <f t="shared" si="1"/>
        <v>8</v>
      </c>
    </row>
    <row r="6" spans="1:28" ht="14.25" customHeight="1" x14ac:dyDescent="0.2">
      <c r="B6" s="1" t="s">
        <v>13</v>
      </c>
      <c r="C6" s="1">
        <v>1.05</v>
      </c>
      <c r="E6" s="3" t="str">
        <f>[1]怪物设定!C7</f>
        <v>1~2</v>
      </c>
      <c r="F6" s="3" t="str">
        <f>[1]怪物设定!D7</f>
        <v>输出</v>
      </c>
      <c r="G6" s="3">
        <f>[1]怪物设定!E7</f>
        <v>10</v>
      </c>
      <c r="H6" s="3">
        <f>[1]怪物设定!F7</f>
        <v>40</v>
      </c>
      <c r="I6" s="3">
        <f>[1]怪物设定!G7</f>
        <v>0</v>
      </c>
      <c r="U6" s="1">
        <f t="shared" si="2"/>
        <v>10</v>
      </c>
      <c r="V6" s="1">
        <v>6</v>
      </c>
      <c r="W6" s="1">
        <f t="shared" si="0"/>
        <v>6</v>
      </c>
      <c r="X6" s="1">
        <f>X5</f>
        <v>16</v>
      </c>
      <c r="Z6" s="1">
        <f t="shared" si="1"/>
        <v>0</v>
      </c>
    </row>
    <row r="7" spans="1:28" ht="14.25" customHeight="1" x14ac:dyDescent="0.2">
      <c r="B7" s="1" t="s">
        <v>20</v>
      </c>
      <c r="C7" s="1">
        <v>11</v>
      </c>
      <c r="E7" s="3" t="str">
        <f>[1]怪物设定!C8</f>
        <v>2~1</v>
      </c>
      <c r="F7" s="3" t="str">
        <f>[1]怪物设定!D8</f>
        <v>坦克</v>
      </c>
      <c r="G7" s="3">
        <f>[1]怪物设定!E8</f>
        <v>5</v>
      </c>
      <c r="H7" s="3">
        <f>[1]怪物设定!F8</f>
        <v>100</v>
      </c>
      <c r="I7" s="3">
        <f>[1]怪物设定!G8</f>
        <v>2</v>
      </c>
      <c r="O7" s="1" t="s">
        <v>123</v>
      </c>
      <c r="Q7" s="1">
        <v>15</v>
      </c>
      <c r="U7" s="1">
        <f t="shared" si="2"/>
        <v>10</v>
      </c>
      <c r="V7" s="1">
        <v>7</v>
      </c>
      <c r="W7" s="1">
        <f t="shared" si="0"/>
        <v>7</v>
      </c>
      <c r="X7" s="1">
        <f t="shared" ref="X7:X9" si="3">X6</f>
        <v>16</v>
      </c>
      <c r="Y7" s="1">
        <v>7</v>
      </c>
      <c r="Z7" s="1">
        <f t="shared" si="1"/>
        <v>11.2</v>
      </c>
    </row>
    <row r="8" spans="1:28" ht="14.25" customHeight="1" x14ac:dyDescent="0.2">
      <c r="B8" s="1" t="s">
        <v>23</v>
      </c>
      <c r="C8" s="1">
        <v>100000</v>
      </c>
      <c r="E8" s="3" t="str">
        <f>[1]怪物设定!C9</f>
        <v>2~2</v>
      </c>
      <c r="F8" s="3" t="str">
        <f>[1]怪物设定!D9</f>
        <v>输出</v>
      </c>
      <c r="G8" s="3">
        <f>[1]怪物设定!E9</f>
        <v>10</v>
      </c>
      <c r="H8" s="3">
        <f>[1]怪物设定!F9</f>
        <v>40</v>
      </c>
      <c r="I8" s="3">
        <f>[1]怪物设定!G9</f>
        <v>0</v>
      </c>
      <c r="O8" s="1" t="s">
        <v>5</v>
      </c>
      <c r="P8" s="1" t="s">
        <v>118</v>
      </c>
      <c r="U8" s="1">
        <f t="shared" si="2"/>
        <v>10</v>
      </c>
      <c r="V8" s="1">
        <v>8</v>
      </c>
      <c r="W8" s="1">
        <f t="shared" si="0"/>
        <v>8</v>
      </c>
      <c r="X8" s="1">
        <f t="shared" si="3"/>
        <v>16</v>
      </c>
      <c r="Z8" s="1">
        <f t="shared" si="1"/>
        <v>0</v>
      </c>
    </row>
    <row r="9" spans="1:28" ht="14.25" customHeight="1" x14ac:dyDescent="0.2">
      <c r="B9" s="1" t="s">
        <v>24</v>
      </c>
      <c r="C9" s="1">
        <v>0.6</v>
      </c>
      <c r="E9" s="3">
        <f>[1]怪物设定!C10</f>
        <v>0</v>
      </c>
      <c r="F9" s="3" t="str">
        <f>[1]怪物设定!D10</f>
        <v>治疗</v>
      </c>
      <c r="G9" s="3">
        <f>[1]怪物设定!E10</f>
        <v>4</v>
      </c>
      <c r="H9" s="3">
        <f>[1]怪物设定!F10</f>
        <v>50</v>
      </c>
      <c r="I9" s="3">
        <f>[1]怪物设定!G10</f>
        <v>6</v>
      </c>
      <c r="O9" s="1">
        <v>1</v>
      </c>
      <c r="P9" s="1">
        <v>3</v>
      </c>
      <c r="U9" s="1">
        <f t="shared" si="2"/>
        <v>10</v>
      </c>
      <c r="V9" s="1">
        <v>9</v>
      </c>
      <c r="W9" s="1">
        <f t="shared" si="0"/>
        <v>9</v>
      </c>
      <c r="X9" s="1">
        <v>22</v>
      </c>
      <c r="Y9" s="1">
        <v>9</v>
      </c>
      <c r="Z9" s="1">
        <f t="shared" si="1"/>
        <v>19.8</v>
      </c>
      <c r="AB9" s="1">
        <f>Z11-Z1-Z2-Z3</f>
        <v>39</v>
      </c>
    </row>
    <row r="10" spans="1:28" ht="14.25" customHeight="1" x14ac:dyDescent="0.2">
      <c r="B10" s="1" t="s">
        <v>25</v>
      </c>
      <c r="C10" s="1">
        <v>0.8</v>
      </c>
      <c r="O10" s="1">
        <v>2</v>
      </c>
      <c r="P10" s="1">
        <v>1</v>
      </c>
    </row>
    <row r="11" spans="1:28" ht="14.25" customHeight="1" x14ac:dyDescent="0.2">
      <c r="B11" s="1" t="s">
        <v>26</v>
      </c>
      <c r="C11" s="1">
        <v>1</v>
      </c>
      <c r="E11" s="4" t="s">
        <v>52</v>
      </c>
      <c r="F11" s="2" t="s">
        <v>116</v>
      </c>
      <c r="J11" s="4" t="s">
        <v>106</v>
      </c>
      <c r="O11" s="1">
        <v>3</v>
      </c>
      <c r="P11" s="1">
        <v>1</v>
      </c>
      <c r="W11" s="1">
        <f>SUM(W1:W10)</f>
        <v>45</v>
      </c>
      <c r="Z11" s="1">
        <f>SUM(Z1:Z10)</f>
        <v>45</v>
      </c>
    </row>
    <row r="12" spans="1:28" ht="14.25" customHeight="1" x14ac:dyDescent="0.2">
      <c r="B12" s="1" t="s">
        <v>27</v>
      </c>
      <c r="C12" s="1">
        <v>1.2</v>
      </c>
      <c r="F12" s="4" t="s">
        <v>105</v>
      </c>
      <c r="G12" s="4" t="s">
        <v>95</v>
      </c>
      <c r="H12" s="4" t="s">
        <v>96</v>
      </c>
      <c r="I12" s="4" t="s">
        <v>43</v>
      </c>
      <c r="K12" s="5" t="s">
        <v>1</v>
      </c>
      <c r="L12" s="6" t="s">
        <v>2</v>
      </c>
      <c r="O12" s="1">
        <f>MAX(O9:O11)</f>
        <v>3</v>
      </c>
      <c r="P12" s="1">
        <f>MAX(P9:P11)</f>
        <v>3</v>
      </c>
    </row>
    <row r="13" spans="1:28" ht="14.25" customHeight="1" x14ac:dyDescent="0.2">
      <c r="B13" s="1" t="s">
        <v>51</v>
      </c>
      <c r="C13" s="1">
        <v>0.3</v>
      </c>
      <c r="F13" s="1">
        <v>5</v>
      </c>
      <c r="G13" s="1">
        <f>SUM(G5:$G$9)*$C$13*$C$11</f>
        <v>10.199999999999999</v>
      </c>
      <c r="H13" s="1">
        <f>H5*C13</f>
        <v>30</v>
      </c>
      <c r="I13" s="1">
        <f>SUM(I5:I9)*C13*C11</f>
        <v>3</v>
      </c>
      <c r="J13" s="24">
        <f>H13/(K13-I13)</f>
        <v>10.575296108291031</v>
      </c>
      <c r="K13" s="39">
        <v>5.8368000000000002</v>
      </c>
      <c r="L13" s="39">
        <f>G13*J13</f>
        <v>107.8680203045685</v>
      </c>
      <c r="P13" s="1">
        <f>O12*P12</f>
        <v>9</v>
      </c>
      <c r="U13" s="1">
        <v>10</v>
      </c>
      <c r="V13" s="1">
        <v>1</v>
      </c>
      <c r="W13" s="1">
        <f>U13*V13/6</f>
        <v>1.6666666666666667</v>
      </c>
      <c r="X13" s="1">
        <v>10</v>
      </c>
      <c r="Y13" s="1">
        <v>1</v>
      </c>
      <c r="Z13" s="1">
        <f>X13*Y13/6</f>
        <v>1.6666666666666667</v>
      </c>
    </row>
    <row r="14" spans="1:28" ht="14.25" customHeight="1" x14ac:dyDescent="0.2">
      <c r="B14" s="1" t="s">
        <v>53</v>
      </c>
      <c r="C14" s="1">
        <v>0.3</v>
      </c>
      <c r="D14" s="35">
        <f>C14/$C$13</f>
        <v>1</v>
      </c>
      <c r="F14" s="1">
        <v>4</v>
      </c>
      <c r="G14" s="1">
        <f>SUM(G6:$G$9)*$C$13*$C$11</f>
        <v>8.6999999999999993</v>
      </c>
      <c r="H14" s="1">
        <f>H7*C13</f>
        <v>30</v>
      </c>
      <c r="I14" s="1">
        <f>I13-I7*C13*C11</f>
        <v>2.4</v>
      </c>
      <c r="J14" s="24">
        <f t="shared" ref="J14:J17" si="4">H14/(K14-I14)</f>
        <v>8.7290502793296074</v>
      </c>
      <c r="K14" s="39">
        <v>5.8368000000000002</v>
      </c>
      <c r="L14" s="39">
        <f>G14*J14</f>
        <v>75.942737430167583</v>
      </c>
      <c r="U14" s="1">
        <v>10</v>
      </c>
      <c r="V14" s="1">
        <v>2</v>
      </c>
      <c r="W14" s="1">
        <f t="shared" ref="W14:W18" si="5">U14*V14/6</f>
        <v>3.3333333333333335</v>
      </c>
      <c r="X14" s="1">
        <f>X13</f>
        <v>10</v>
      </c>
      <c r="Y14" s="1">
        <v>2</v>
      </c>
      <c r="Z14" s="1">
        <f t="shared" ref="Z14:Z18" si="6">X14*Y14/6</f>
        <v>3.3333333333333335</v>
      </c>
    </row>
    <row r="15" spans="1:28" ht="14.25" customHeight="1" x14ac:dyDescent="0.2">
      <c r="B15" s="1" t="s">
        <v>54</v>
      </c>
      <c r="C15" s="1">
        <v>0.25</v>
      </c>
      <c r="D15" s="36">
        <f>C15/($C$13+$C$14)</f>
        <v>0.41666666666666669</v>
      </c>
      <c r="F15" s="1">
        <v>3</v>
      </c>
      <c r="G15" s="1">
        <f>SUM(G7:$G$9)*$C$13*$C$11</f>
        <v>5.7</v>
      </c>
      <c r="H15" s="1">
        <f>H6*C13</f>
        <v>12</v>
      </c>
      <c r="I15" s="1">
        <f>I14-I6*C13*C11</f>
        <v>2.4</v>
      </c>
      <c r="J15" s="24">
        <f t="shared" si="4"/>
        <v>3.4916201117318431</v>
      </c>
      <c r="K15" s="39">
        <v>5.8368000000000002</v>
      </c>
      <c r="L15" s="39">
        <f t="shared" ref="L15:L17" si="7">G15*J15</f>
        <v>19.902234636871505</v>
      </c>
      <c r="P15" s="1">
        <f>P18*2/(1+3)</f>
        <v>243.20000000000007</v>
      </c>
      <c r="Q15" s="1">
        <f>Q18/3</f>
        <v>5758.0561821377041</v>
      </c>
      <c r="U15" s="1">
        <v>10</v>
      </c>
      <c r="V15" s="1">
        <v>3</v>
      </c>
      <c r="W15" s="1">
        <f>U15*V15/6</f>
        <v>5</v>
      </c>
      <c r="X15" s="1">
        <v>18</v>
      </c>
      <c r="Z15" s="1">
        <f t="shared" si="6"/>
        <v>0</v>
      </c>
    </row>
    <row r="16" spans="1:28" ht="14.25" customHeight="1" x14ac:dyDescent="0.2">
      <c r="B16" s="1" t="s">
        <v>55</v>
      </c>
      <c r="C16" s="1">
        <v>0.15</v>
      </c>
      <c r="D16" s="35">
        <f>C16/($C$13+$C$14)</f>
        <v>0.25</v>
      </c>
      <c r="F16" s="1">
        <v>2</v>
      </c>
      <c r="G16" s="1">
        <f>SUM(G8:$G$9)*$C$13*$C$11</f>
        <v>4.2</v>
      </c>
      <c r="H16" s="1">
        <f>H8*C13</f>
        <v>12</v>
      </c>
      <c r="I16" s="1">
        <f>I15-I8*C13*C11</f>
        <v>2.4</v>
      </c>
      <c r="J16" s="24">
        <f t="shared" si="4"/>
        <v>3.4916201117318431</v>
      </c>
      <c r="K16" s="39">
        <v>5.8368000000000002</v>
      </c>
      <c r="L16" s="39">
        <f t="shared" si="7"/>
        <v>14.664804469273742</v>
      </c>
      <c r="S16" s="1">
        <f>X16/U16</f>
        <v>1.8</v>
      </c>
      <c r="U16" s="1">
        <v>10</v>
      </c>
      <c r="V16" s="1">
        <v>4</v>
      </c>
      <c r="W16" s="1">
        <f>U16*V16/6</f>
        <v>6.666666666666667</v>
      </c>
      <c r="X16" s="1">
        <f>X15</f>
        <v>18</v>
      </c>
      <c r="Y16" s="1">
        <v>4</v>
      </c>
      <c r="Z16" s="1">
        <f t="shared" si="6"/>
        <v>12</v>
      </c>
    </row>
    <row r="17" spans="2:27" ht="14.25" customHeight="1" x14ac:dyDescent="0.2">
      <c r="F17" s="1">
        <v>1</v>
      </c>
      <c r="G17" s="1">
        <f>SUM(G9:$G$9)*$C$13*$C$11</f>
        <v>1.2</v>
      </c>
      <c r="H17" s="1">
        <f>H9*C13</f>
        <v>15</v>
      </c>
      <c r="I17" s="1">
        <f>I9*C13*C11</f>
        <v>1.7999999999999998</v>
      </c>
      <c r="J17" s="24">
        <f t="shared" si="4"/>
        <v>3.7158145065398331</v>
      </c>
      <c r="K17" s="39">
        <v>5.8368000000000002</v>
      </c>
      <c r="L17" s="39">
        <f t="shared" si="7"/>
        <v>4.4589774078477999</v>
      </c>
      <c r="U17" s="1">
        <v>10</v>
      </c>
      <c r="V17" s="1">
        <v>5</v>
      </c>
      <c r="W17" s="1">
        <f t="shared" si="5"/>
        <v>8.3333333333333339</v>
      </c>
      <c r="X17" s="1">
        <f>X15</f>
        <v>18</v>
      </c>
      <c r="Z17" s="1">
        <f t="shared" si="6"/>
        <v>0</v>
      </c>
    </row>
    <row r="18" spans="2:27" ht="14.25" customHeight="1" x14ac:dyDescent="0.2">
      <c r="J18" s="24">
        <f>SUM(J13:J17)</f>
        <v>30.003401117624161</v>
      </c>
      <c r="K18" s="39">
        <f>MAX(K13:K17)</f>
        <v>5.8368000000000002</v>
      </c>
      <c r="L18" s="39">
        <f>SUM(L13:L17)</f>
        <v>222.83677424872914</v>
      </c>
      <c r="O18" s="1" t="s">
        <v>120</v>
      </c>
      <c r="P18" s="1">
        <f>2*O24/(1+3)</f>
        <v>486.40000000000015</v>
      </c>
      <c r="Q18" s="1">
        <f>P24/3</f>
        <v>17274.168546413111</v>
      </c>
      <c r="S18" s="1">
        <f>X18/U18</f>
        <v>1.8</v>
      </c>
      <c r="U18" s="1">
        <v>10</v>
      </c>
      <c r="V18" s="1">
        <v>6</v>
      </c>
      <c r="W18" s="1">
        <f t="shared" si="5"/>
        <v>10</v>
      </c>
      <c r="X18" s="1">
        <f>X17</f>
        <v>18</v>
      </c>
      <c r="Y18" s="1">
        <v>6</v>
      </c>
      <c r="Z18" s="1">
        <f>X18*Y18/6</f>
        <v>18</v>
      </c>
    </row>
    <row r="19" spans="2:27" ht="14.25" customHeight="1" x14ac:dyDescent="0.2">
      <c r="B19" s="2" t="s">
        <v>117</v>
      </c>
      <c r="O19" s="1" t="s">
        <v>119</v>
      </c>
      <c r="P19" s="1">
        <f>S24*4/2</f>
        <v>389.12000000000012</v>
      </c>
      <c r="Q19" s="1">
        <f>T24*3</f>
        <v>17274.168546413111</v>
      </c>
    </row>
    <row r="20" spans="2:27" ht="14.25" customHeight="1" x14ac:dyDescent="0.2">
      <c r="W20" s="1">
        <f>SUM(W13:W18)</f>
        <v>35</v>
      </c>
      <c r="Z20" s="1">
        <f>SUM(Z13:Z18)</f>
        <v>35</v>
      </c>
    </row>
    <row r="21" spans="2:27" ht="14.25" customHeight="1" x14ac:dyDescent="0.2">
      <c r="C21" s="37" t="s">
        <v>104</v>
      </c>
      <c r="I21" s="2" t="s">
        <v>110</v>
      </c>
    </row>
    <row r="22" spans="2:27" ht="14.25" customHeight="1" x14ac:dyDescent="0.2">
      <c r="C22" s="2" t="s">
        <v>103</v>
      </c>
      <c r="G22" s="39">
        <f>K18</f>
        <v>5.8368000000000002</v>
      </c>
      <c r="H22" s="39">
        <f>L18</f>
        <v>222.83677424872914</v>
      </c>
      <c r="I22" s="40">
        <v>100</v>
      </c>
      <c r="M22" s="4" t="s">
        <v>111</v>
      </c>
      <c r="N22" s="43"/>
      <c r="O22" s="44"/>
      <c r="P22" s="44"/>
      <c r="Q22" s="45"/>
      <c r="R22" s="38">
        <v>9</v>
      </c>
      <c r="S22" s="41" t="s">
        <v>114</v>
      </c>
      <c r="T22" s="41"/>
      <c r="U22" s="42"/>
    </row>
    <row r="23" spans="2:27" ht="14.25" customHeight="1" x14ac:dyDescent="0.2">
      <c r="B23" s="5" t="s">
        <v>22</v>
      </c>
      <c r="C23" s="46" t="s">
        <v>100</v>
      </c>
      <c r="D23" s="46" t="s">
        <v>101</v>
      </c>
      <c r="E23" s="46" t="s">
        <v>102</v>
      </c>
      <c r="F23" s="4" t="s">
        <v>62</v>
      </c>
      <c r="G23" s="4" t="s">
        <v>107</v>
      </c>
      <c r="H23" s="4" t="s">
        <v>108</v>
      </c>
      <c r="I23" s="4" t="s">
        <v>109</v>
      </c>
      <c r="J23" s="4" t="s">
        <v>1</v>
      </c>
      <c r="K23" s="4" t="s">
        <v>2</v>
      </c>
      <c r="L23" s="4" t="s">
        <v>6</v>
      </c>
      <c r="N23" s="4" t="s">
        <v>99</v>
      </c>
      <c r="O23" s="31" t="s">
        <v>7</v>
      </c>
      <c r="P23" s="31" t="s">
        <v>11</v>
      </c>
      <c r="Q23" s="31" t="s">
        <v>6</v>
      </c>
      <c r="R23" s="4" t="s">
        <v>99</v>
      </c>
      <c r="S23" s="31" t="s">
        <v>7</v>
      </c>
      <c r="T23" s="31" t="s">
        <v>11</v>
      </c>
      <c r="U23" s="31" t="s">
        <v>6</v>
      </c>
      <c r="V23" s="5" t="s">
        <v>59</v>
      </c>
      <c r="W23" s="5" t="s">
        <v>60</v>
      </c>
      <c r="X23" s="5" t="s">
        <v>61</v>
      </c>
      <c r="Y23" s="5" t="s">
        <v>112</v>
      </c>
      <c r="Z23" s="5" t="s">
        <v>113</v>
      </c>
      <c r="AA23" s="31" t="s">
        <v>115</v>
      </c>
    </row>
    <row r="24" spans="2:27" ht="14.25" customHeight="1" x14ac:dyDescent="0.2">
      <c r="B24" s="1" t="s">
        <v>28</v>
      </c>
      <c r="C24" s="36">
        <f>$D$14</f>
        <v>1</v>
      </c>
      <c r="D24" s="36">
        <f>$D$15</f>
        <v>0.41666666666666669</v>
      </c>
      <c r="E24" s="36">
        <f>$D$16</f>
        <v>0.25</v>
      </c>
      <c r="F24" s="1">
        <v>1</v>
      </c>
      <c r="G24" s="24">
        <f>G$22*$C$6^($F24-1)</f>
        <v>5.8368000000000002</v>
      </c>
      <c r="H24" s="24">
        <f t="shared" ref="H24:I39" si="8">H$22*$C$6^($F24-1)</f>
        <v>222.83677424872914</v>
      </c>
      <c r="I24" s="24">
        <f t="shared" si="8"/>
        <v>100</v>
      </c>
      <c r="J24" s="24">
        <f>G24*(1+$C24)*(1+$D24+$E24)</f>
        <v>19.456000000000003</v>
      </c>
      <c r="K24" s="24">
        <f t="shared" ref="K24" si="9">H24*(1+$C24)*(1+$D24+$E24)</f>
        <v>742.78924749576379</v>
      </c>
      <c r="L24" s="24">
        <f>I24</f>
        <v>100</v>
      </c>
      <c r="N24" s="1">
        <f>F24</f>
        <v>1</v>
      </c>
      <c r="O24" s="24">
        <f>J24*Y24*$C$5/X24/(1+V24*(W24-1))</f>
        <v>972.8000000000003</v>
      </c>
      <c r="P24" s="24">
        <f>K24*$C$5/(1+Q24/$C$8)</f>
        <v>51822.505639239338</v>
      </c>
      <c r="Q24" s="24">
        <f>I24*$C$5</f>
        <v>7500</v>
      </c>
      <c r="R24" s="1">
        <f>F24</f>
        <v>1</v>
      </c>
      <c r="S24" s="24">
        <f>2*O24/(1+$R$22)</f>
        <v>194.56000000000006</v>
      </c>
      <c r="T24" s="24">
        <f>P24/$R$22</f>
        <v>5758.0561821377041</v>
      </c>
      <c r="U24" s="24">
        <f>Q24</f>
        <v>7500</v>
      </c>
      <c r="V24" s="1">
        <v>0.4</v>
      </c>
      <c r="W24" s="1">
        <v>1.5</v>
      </c>
      <c r="X24" s="1">
        <v>1</v>
      </c>
      <c r="Y24" s="1">
        <v>0.8</v>
      </c>
      <c r="Z24" s="1">
        <v>10</v>
      </c>
      <c r="AA24" s="36">
        <f>J24*$C$5*(1-Y24)/(1/Z24)/(1+V24*(W24-1))/O24</f>
        <v>2.4999999999999991</v>
      </c>
    </row>
    <row r="25" spans="2:27" ht="14.25" customHeight="1" x14ac:dyDescent="0.2">
      <c r="B25" s="1" t="s">
        <v>28</v>
      </c>
      <c r="C25" s="36">
        <f t="shared" ref="C25:C88" si="10">$D$14</f>
        <v>1</v>
      </c>
      <c r="D25" s="36">
        <f t="shared" ref="D25:D88" si="11">$D$15</f>
        <v>0.41666666666666669</v>
      </c>
      <c r="E25" s="36">
        <f t="shared" ref="E25:E88" si="12">$D$16</f>
        <v>0.25</v>
      </c>
      <c r="F25" s="1">
        <v>2</v>
      </c>
      <c r="G25" s="24">
        <f t="shared" ref="G25:I40" si="13">G$22*$C$6^($F25-1)</f>
        <v>6.1286400000000008</v>
      </c>
      <c r="H25" s="24">
        <f t="shared" si="8"/>
        <v>233.9786129611656</v>
      </c>
      <c r="I25" s="24">
        <f t="shared" si="8"/>
        <v>105</v>
      </c>
      <c r="J25" s="24">
        <f t="shared" ref="J25:J88" si="14">G25*(1+$C25)*(1+$D25+$E25)</f>
        <v>20.428800000000003</v>
      </c>
      <c r="K25" s="24">
        <f t="shared" ref="K25:K88" si="15">H25*(1+$C25)*(1+$D25+$E25)</f>
        <v>779.92870987055198</v>
      </c>
      <c r="L25" s="24">
        <f t="shared" ref="L25:L88" si="16">I25</f>
        <v>105</v>
      </c>
      <c r="N25" s="1">
        <f t="shared" ref="N25:N88" si="17">F25</f>
        <v>2</v>
      </c>
      <c r="O25" s="24">
        <f t="shared" ref="O25:O88" si="18">J25*Y25*$C$5/X25/(1+V25*(W25-1))</f>
        <v>1021.44</v>
      </c>
      <c r="P25" s="24">
        <f t="shared" ref="P25:P88" si="19">K25*$C$5/(1+Q25/$C$8)</f>
        <v>54224.475773155405</v>
      </c>
      <c r="Q25" s="24">
        <f t="shared" ref="Q25:Q88" si="20">I25*$C$5</f>
        <v>7875</v>
      </c>
      <c r="R25" s="1">
        <f t="shared" ref="R25:R88" si="21">F25</f>
        <v>2</v>
      </c>
      <c r="S25" s="24">
        <f t="shared" ref="S25:S31" si="22">2*O25/(1+$R$22)</f>
        <v>204.28800000000001</v>
      </c>
      <c r="T25" s="24">
        <f t="shared" ref="T25:T31" si="23">P25/$R$22</f>
        <v>6024.9417525728231</v>
      </c>
      <c r="U25" s="24">
        <f t="shared" ref="U25:U31" si="24">Q25</f>
        <v>7875</v>
      </c>
      <c r="V25" s="1">
        <v>0.4</v>
      </c>
      <c r="W25" s="1">
        <v>1.5</v>
      </c>
      <c r="X25" s="1">
        <v>1</v>
      </c>
      <c r="Y25" s="1">
        <v>0.8</v>
      </c>
      <c r="Z25" s="1">
        <v>10</v>
      </c>
      <c r="AA25" s="36">
        <f>J25*$C$5*(1-Y25)/(1/Z25)/(1+V25*(W25-1))/O25</f>
        <v>2.4999999999999991</v>
      </c>
    </row>
    <row r="26" spans="2:27" ht="14.25" customHeight="1" x14ac:dyDescent="0.2">
      <c r="B26" s="1" t="s">
        <v>28</v>
      </c>
      <c r="C26" s="36">
        <f t="shared" si="10"/>
        <v>1</v>
      </c>
      <c r="D26" s="36">
        <f t="shared" si="11"/>
        <v>0.41666666666666669</v>
      </c>
      <c r="E26" s="36">
        <f t="shared" si="12"/>
        <v>0.25</v>
      </c>
      <c r="F26" s="1">
        <v>3</v>
      </c>
      <c r="G26" s="24">
        <f t="shared" si="13"/>
        <v>6.4350720000000008</v>
      </c>
      <c r="H26" s="24">
        <f t="shared" si="8"/>
        <v>245.67754360922387</v>
      </c>
      <c r="I26" s="24">
        <f t="shared" si="8"/>
        <v>110.25</v>
      </c>
      <c r="J26" s="24">
        <f t="shared" si="14"/>
        <v>21.450240000000004</v>
      </c>
      <c r="K26" s="24">
        <f t="shared" si="15"/>
        <v>818.92514536407964</v>
      </c>
      <c r="L26" s="24">
        <f t="shared" si="16"/>
        <v>110.25</v>
      </c>
      <c r="N26" s="1">
        <f t="shared" si="17"/>
        <v>3</v>
      </c>
      <c r="O26" s="24">
        <f t="shared" si="18"/>
        <v>1072.5120000000004</v>
      </c>
      <c r="P26" s="24">
        <f t="shared" si="19"/>
        <v>56728.63675096089</v>
      </c>
      <c r="Q26" s="24">
        <f t="shared" si="20"/>
        <v>8268.75</v>
      </c>
      <c r="R26" s="1">
        <f t="shared" si="21"/>
        <v>3</v>
      </c>
      <c r="S26" s="24">
        <f t="shared" si="22"/>
        <v>214.50240000000008</v>
      </c>
      <c r="T26" s="24">
        <f t="shared" si="23"/>
        <v>6303.1818612178768</v>
      </c>
      <c r="U26" s="24">
        <f t="shared" si="24"/>
        <v>8268.75</v>
      </c>
      <c r="V26" s="1">
        <v>0.4</v>
      </c>
      <c r="W26" s="1">
        <v>1.5</v>
      </c>
      <c r="X26" s="1">
        <v>1</v>
      </c>
      <c r="Y26" s="1">
        <v>0.8</v>
      </c>
      <c r="Z26" s="1">
        <v>10</v>
      </c>
      <c r="AA26" s="36">
        <f t="shared" ref="AA26:AA89" si="25">J26*$C$5*(1-Y26)/(1/Z26)/(1+V26*(W26-1))/O26</f>
        <v>2.4999999999999991</v>
      </c>
    </row>
    <row r="27" spans="2:27" ht="14.25" customHeight="1" x14ac:dyDescent="0.2">
      <c r="B27" s="1" t="s">
        <v>28</v>
      </c>
      <c r="C27" s="36">
        <f t="shared" si="10"/>
        <v>1</v>
      </c>
      <c r="D27" s="36">
        <f t="shared" si="11"/>
        <v>0.41666666666666669</v>
      </c>
      <c r="E27" s="36">
        <f t="shared" si="12"/>
        <v>0.25</v>
      </c>
      <c r="F27" s="1">
        <v>4</v>
      </c>
      <c r="G27" s="24">
        <f t="shared" si="13"/>
        <v>6.7568256000000009</v>
      </c>
      <c r="H27" s="24">
        <f t="shared" si="8"/>
        <v>257.96142078968512</v>
      </c>
      <c r="I27" s="24">
        <f t="shared" si="8"/>
        <v>115.76250000000002</v>
      </c>
      <c r="J27" s="24">
        <f t="shared" si="14"/>
        <v>22.522752000000004</v>
      </c>
      <c r="K27" s="24">
        <f t="shared" si="15"/>
        <v>859.87140263228378</v>
      </c>
      <c r="L27" s="24">
        <f t="shared" si="16"/>
        <v>115.76250000000002</v>
      </c>
      <c r="N27" s="1">
        <f t="shared" si="17"/>
        <v>4</v>
      </c>
      <c r="O27" s="24">
        <f t="shared" si="18"/>
        <v>1126.1376000000005</v>
      </c>
      <c r="P27" s="24">
        <f t="shared" si="19"/>
        <v>59338.477335507516</v>
      </c>
      <c r="Q27" s="24">
        <f t="shared" si="20"/>
        <v>8682.1875000000018</v>
      </c>
      <c r="R27" s="1">
        <f t="shared" si="21"/>
        <v>4</v>
      </c>
      <c r="S27" s="24">
        <f t="shared" si="22"/>
        <v>225.22752000000008</v>
      </c>
      <c r="T27" s="24">
        <f t="shared" si="23"/>
        <v>6593.1641483897238</v>
      </c>
      <c r="U27" s="24">
        <f t="shared" si="24"/>
        <v>8682.1875000000018</v>
      </c>
      <c r="V27" s="1">
        <v>0.4</v>
      </c>
      <c r="W27" s="1">
        <v>1.5</v>
      </c>
      <c r="X27" s="1">
        <v>1</v>
      </c>
      <c r="Y27" s="1">
        <v>0.8</v>
      </c>
      <c r="Z27" s="1">
        <v>10</v>
      </c>
      <c r="AA27" s="36">
        <f t="shared" si="25"/>
        <v>2.4999999999999987</v>
      </c>
    </row>
    <row r="28" spans="2:27" ht="14.25" customHeight="1" x14ac:dyDescent="0.2">
      <c r="B28" s="1" t="s">
        <v>28</v>
      </c>
      <c r="C28" s="36">
        <f t="shared" si="10"/>
        <v>1</v>
      </c>
      <c r="D28" s="36">
        <f t="shared" si="11"/>
        <v>0.41666666666666669</v>
      </c>
      <c r="E28" s="36">
        <f t="shared" si="12"/>
        <v>0.25</v>
      </c>
      <c r="F28" s="1">
        <v>5</v>
      </c>
      <c r="G28" s="24">
        <f t="shared" si="13"/>
        <v>7.0946668800000001</v>
      </c>
      <c r="H28" s="24">
        <f t="shared" si="8"/>
        <v>270.85949182916931</v>
      </c>
      <c r="I28" s="24">
        <f t="shared" si="8"/>
        <v>121.550625</v>
      </c>
      <c r="J28" s="24">
        <f t="shared" si="14"/>
        <v>23.6488896</v>
      </c>
      <c r="K28" s="24">
        <f t="shared" si="15"/>
        <v>902.86497276389775</v>
      </c>
      <c r="L28" s="24">
        <f t="shared" si="16"/>
        <v>121.550625</v>
      </c>
      <c r="N28" s="1">
        <f t="shared" si="17"/>
        <v>5</v>
      </c>
      <c r="O28" s="24">
        <f t="shared" si="18"/>
        <v>1182.4444800000001</v>
      </c>
      <c r="P28" s="24">
        <f t="shared" si="19"/>
        <v>62057.524766318122</v>
      </c>
      <c r="Q28" s="24">
        <f t="shared" si="20"/>
        <v>9116.296875</v>
      </c>
      <c r="R28" s="1">
        <f t="shared" si="21"/>
        <v>5</v>
      </c>
      <c r="S28" s="24">
        <f t="shared" si="22"/>
        <v>236.48889600000001</v>
      </c>
      <c r="T28" s="24">
        <f t="shared" si="23"/>
        <v>6895.280529590902</v>
      </c>
      <c r="U28" s="24">
        <f t="shared" si="24"/>
        <v>9116.296875</v>
      </c>
      <c r="V28" s="1">
        <v>0.4</v>
      </c>
      <c r="W28" s="1">
        <v>1.5</v>
      </c>
      <c r="X28" s="1">
        <v>1</v>
      </c>
      <c r="Y28" s="1">
        <v>0.8</v>
      </c>
      <c r="Z28" s="1">
        <v>10</v>
      </c>
      <c r="AA28" s="36">
        <f t="shared" si="25"/>
        <v>2.4999999999999991</v>
      </c>
    </row>
    <row r="29" spans="2:27" ht="14.25" customHeight="1" x14ac:dyDescent="0.2">
      <c r="B29" s="1" t="s">
        <v>28</v>
      </c>
      <c r="C29" s="36">
        <f t="shared" si="10"/>
        <v>1</v>
      </c>
      <c r="D29" s="36">
        <f t="shared" si="11"/>
        <v>0.41666666666666669</v>
      </c>
      <c r="E29" s="36">
        <f t="shared" si="12"/>
        <v>0.25</v>
      </c>
      <c r="F29" s="1">
        <v>6</v>
      </c>
      <c r="G29" s="24">
        <f t="shared" si="13"/>
        <v>7.4494002240000015</v>
      </c>
      <c r="H29" s="24">
        <f t="shared" si="8"/>
        <v>284.40246642062783</v>
      </c>
      <c r="I29" s="24">
        <f t="shared" si="8"/>
        <v>127.62815625000002</v>
      </c>
      <c r="J29" s="24">
        <f t="shared" si="14"/>
        <v>24.831334080000005</v>
      </c>
      <c r="K29" s="24">
        <f t="shared" si="15"/>
        <v>948.00822140209277</v>
      </c>
      <c r="L29" s="24">
        <f t="shared" si="16"/>
        <v>127.62815625000002</v>
      </c>
      <c r="N29" s="1">
        <f t="shared" si="17"/>
        <v>6</v>
      </c>
      <c r="O29" s="24">
        <f t="shared" si="18"/>
        <v>1241.5667040000003</v>
      </c>
      <c r="P29" s="24">
        <f t="shared" si="19"/>
        <v>64889.336793707342</v>
      </c>
      <c r="Q29" s="24">
        <f t="shared" si="20"/>
        <v>9572.1117187500022</v>
      </c>
      <c r="R29" s="1">
        <f t="shared" si="21"/>
        <v>6</v>
      </c>
      <c r="S29" s="24">
        <f t="shared" si="22"/>
        <v>248.31334080000005</v>
      </c>
      <c r="T29" s="24">
        <f t="shared" si="23"/>
        <v>7209.9263104119273</v>
      </c>
      <c r="U29" s="24">
        <f t="shared" si="24"/>
        <v>9572.1117187500022</v>
      </c>
      <c r="V29" s="1">
        <v>0.4</v>
      </c>
      <c r="W29" s="1">
        <v>1.5</v>
      </c>
      <c r="X29" s="1">
        <v>1</v>
      </c>
      <c r="Y29" s="1">
        <v>0.8</v>
      </c>
      <c r="Z29" s="1">
        <v>10</v>
      </c>
      <c r="AA29" s="36">
        <f t="shared" si="25"/>
        <v>2.4999999999999991</v>
      </c>
    </row>
    <row r="30" spans="2:27" ht="14.25" customHeight="1" x14ac:dyDescent="0.2">
      <c r="B30" s="1" t="s">
        <v>28</v>
      </c>
      <c r="C30" s="36">
        <f t="shared" si="10"/>
        <v>1</v>
      </c>
      <c r="D30" s="36">
        <f t="shared" si="11"/>
        <v>0.41666666666666669</v>
      </c>
      <c r="E30" s="36">
        <f t="shared" si="12"/>
        <v>0.25</v>
      </c>
      <c r="F30" s="1">
        <v>7</v>
      </c>
      <c r="G30" s="24">
        <f t="shared" si="13"/>
        <v>7.8218702352000005</v>
      </c>
      <c r="H30" s="24">
        <f t="shared" si="8"/>
        <v>298.62258974165917</v>
      </c>
      <c r="I30" s="24">
        <f t="shared" si="8"/>
        <v>134.0095640625</v>
      </c>
      <c r="J30" s="24">
        <f t="shared" si="14"/>
        <v>26.072900784000002</v>
      </c>
      <c r="K30" s="24">
        <f t="shared" si="15"/>
        <v>995.40863247219727</v>
      </c>
      <c r="L30" s="24">
        <f t="shared" si="16"/>
        <v>134.0095640625</v>
      </c>
      <c r="N30" s="1">
        <f t="shared" si="17"/>
        <v>7</v>
      </c>
      <c r="O30" s="24">
        <f t="shared" si="18"/>
        <v>1303.6450392000002</v>
      </c>
      <c r="P30" s="24">
        <f t="shared" si="19"/>
        <v>67837.492806814189</v>
      </c>
      <c r="Q30" s="24">
        <f t="shared" si="20"/>
        <v>10050.7173046875</v>
      </c>
      <c r="R30" s="1">
        <f t="shared" si="21"/>
        <v>7</v>
      </c>
      <c r="S30" s="24">
        <f t="shared" si="22"/>
        <v>260.72900784000001</v>
      </c>
      <c r="T30" s="24">
        <f t="shared" si="23"/>
        <v>7537.4992007571318</v>
      </c>
      <c r="U30" s="24">
        <f t="shared" si="24"/>
        <v>10050.7173046875</v>
      </c>
      <c r="V30" s="1">
        <v>0.4</v>
      </c>
      <c r="W30" s="1">
        <v>1.5</v>
      </c>
      <c r="X30" s="1">
        <v>1</v>
      </c>
      <c r="Y30" s="1">
        <v>0.8</v>
      </c>
      <c r="Z30" s="1">
        <v>10</v>
      </c>
      <c r="AA30" s="36">
        <f t="shared" si="25"/>
        <v>2.4999999999999987</v>
      </c>
    </row>
    <row r="31" spans="2:27" ht="14.25" customHeight="1" x14ac:dyDescent="0.2">
      <c r="B31" s="1" t="s">
        <v>28</v>
      </c>
      <c r="C31" s="36">
        <f t="shared" si="10"/>
        <v>1</v>
      </c>
      <c r="D31" s="36">
        <f t="shared" si="11"/>
        <v>0.41666666666666669</v>
      </c>
      <c r="E31" s="36">
        <f t="shared" si="12"/>
        <v>0.25</v>
      </c>
      <c r="F31" s="1">
        <v>8</v>
      </c>
      <c r="G31" s="24">
        <f t="shared" si="13"/>
        <v>8.2129637469600016</v>
      </c>
      <c r="H31" s="24">
        <f t="shared" si="8"/>
        <v>313.55371922874218</v>
      </c>
      <c r="I31" s="24">
        <f t="shared" si="8"/>
        <v>140.71004226562502</v>
      </c>
      <c r="J31" s="24">
        <f t="shared" si="14"/>
        <v>27.376545823200008</v>
      </c>
      <c r="K31" s="24">
        <f t="shared" si="15"/>
        <v>1045.1790640958072</v>
      </c>
      <c r="L31" s="24">
        <f t="shared" si="16"/>
        <v>140.71004226562502</v>
      </c>
      <c r="N31" s="1">
        <f t="shared" si="17"/>
        <v>8</v>
      </c>
      <c r="O31" s="24">
        <f t="shared" si="18"/>
        <v>1368.8272911600006</v>
      </c>
      <c r="P31" s="24">
        <f t="shared" si="19"/>
        <v>70905.584014521432</v>
      </c>
      <c r="Q31" s="24">
        <f t="shared" si="20"/>
        <v>10553.253169921876</v>
      </c>
      <c r="R31" s="1">
        <f t="shared" si="21"/>
        <v>8</v>
      </c>
      <c r="S31" s="24">
        <f t="shared" si="22"/>
        <v>273.76545823200013</v>
      </c>
      <c r="T31" s="24">
        <f t="shared" si="23"/>
        <v>7878.3982238357148</v>
      </c>
      <c r="U31" s="24">
        <f t="shared" si="24"/>
        <v>10553.253169921876</v>
      </c>
      <c r="V31" s="1">
        <v>0.4</v>
      </c>
      <c r="W31" s="1">
        <v>1.5</v>
      </c>
      <c r="X31" s="1">
        <v>1</v>
      </c>
      <c r="Y31" s="1">
        <v>0.8</v>
      </c>
      <c r="Z31" s="1">
        <v>10</v>
      </c>
      <c r="AA31" s="36">
        <f t="shared" si="25"/>
        <v>2.4999999999999991</v>
      </c>
    </row>
    <row r="32" spans="2:27" ht="14.25" customHeight="1" x14ac:dyDescent="0.2">
      <c r="B32" s="1" t="s">
        <v>28</v>
      </c>
      <c r="C32" s="36">
        <f t="shared" si="10"/>
        <v>1</v>
      </c>
      <c r="D32" s="36">
        <f t="shared" si="11"/>
        <v>0.41666666666666669</v>
      </c>
      <c r="E32" s="36">
        <f t="shared" si="12"/>
        <v>0.25</v>
      </c>
      <c r="F32" s="1">
        <v>9</v>
      </c>
      <c r="G32" s="24">
        <f t="shared" si="13"/>
        <v>8.6236119343080002</v>
      </c>
      <c r="H32" s="24">
        <f t="shared" si="8"/>
        <v>329.23140519017926</v>
      </c>
      <c r="I32" s="24">
        <f t="shared" si="8"/>
        <v>147.74554437890626</v>
      </c>
      <c r="J32" s="24">
        <f t="shared" si="14"/>
        <v>28.745373114360003</v>
      </c>
      <c r="K32" s="24">
        <f t="shared" si="15"/>
        <v>1097.4380173005975</v>
      </c>
      <c r="L32" s="24">
        <f t="shared" si="16"/>
        <v>147.74554437890626</v>
      </c>
      <c r="N32" s="1">
        <f t="shared" si="17"/>
        <v>9</v>
      </c>
      <c r="O32" s="24">
        <f t="shared" si="18"/>
        <v>1437.2686557180004</v>
      </c>
      <c r="P32" s="24">
        <f t="shared" si="19"/>
        <v>74097.202641615135</v>
      </c>
      <c r="Q32" s="24">
        <f t="shared" si="20"/>
        <v>11080.91582841797</v>
      </c>
      <c r="R32" s="1">
        <f t="shared" si="21"/>
        <v>9</v>
      </c>
      <c r="S32" s="24">
        <f t="shared" ref="S32:S95" si="26">2*O32/(1+$R$22)</f>
        <v>287.45373114360007</v>
      </c>
      <c r="T32" s="24">
        <f t="shared" ref="T32:T95" si="27">P32/$R$22</f>
        <v>8233.0225157350142</v>
      </c>
      <c r="U32" s="24">
        <f t="shared" ref="U32:U95" si="28">Q32</f>
        <v>11080.91582841797</v>
      </c>
      <c r="V32" s="1">
        <v>0.4</v>
      </c>
      <c r="W32" s="1">
        <v>1.5</v>
      </c>
      <c r="X32" s="1">
        <v>1</v>
      </c>
      <c r="Y32" s="1">
        <v>0.8</v>
      </c>
      <c r="Z32" s="1">
        <v>10</v>
      </c>
      <c r="AA32" s="36">
        <f t="shared" si="25"/>
        <v>2.4999999999999982</v>
      </c>
    </row>
    <row r="33" spans="2:27" ht="14.25" customHeight="1" x14ac:dyDescent="0.2">
      <c r="B33" s="1" t="s">
        <v>28</v>
      </c>
      <c r="C33" s="36">
        <f t="shared" si="10"/>
        <v>1</v>
      </c>
      <c r="D33" s="36">
        <f t="shared" si="11"/>
        <v>0.41666666666666669</v>
      </c>
      <c r="E33" s="36">
        <f t="shared" si="12"/>
        <v>0.25</v>
      </c>
      <c r="F33" s="1">
        <v>10</v>
      </c>
      <c r="G33" s="24">
        <f t="shared" si="13"/>
        <v>9.0547925310234021</v>
      </c>
      <c r="H33" s="24">
        <f t="shared" si="8"/>
        <v>345.69297544968822</v>
      </c>
      <c r="I33" s="24">
        <f t="shared" si="8"/>
        <v>155.13282159785157</v>
      </c>
      <c r="J33" s="24">
        <f t="shared" si="14"/>
        <v>30.182641770078007</v>
      </c>
      <c r="K33" s="24">
        <f t="shared" si="15"/>
        <v>1152.3099181656276</v>
      </c>
      <c r="L33" s="24">
        <f t="shared" si="16"/>
        <v>155.13282159785157</v>
      </c>
      <c r="N33" s="1">
        <f t="shared" si="17"/>
        <v>10</v>
      </c>
      <c r="O33" s="24">
        <f t="shared" si="18"/>
        <v>1509.1320885039004</v>
      </c>
      <c r="P33" s="24">
        <f t="shared" si="19"/>
        <v>77415.9301068489</v>
      </c>
      <c r="Q33" s="24">
        <f t="shared" si="20"/>
        <v>11634.961619838869</v>
      </c>
      <c r="R33" s="1">
        <f t="shared" si="21"/>
        <v>10</v>
      </c>
      <c r="S33" s="24">
        <f t="shared" si="26"/>
        <v>301.8264177007801</v>
      </c>
      <c r="T33" s="24">
        <f t="shared" si="27"/>
        <v>8601.7700118721004</v>
      </c>
      <c r="U33" s="24">
        <f t="shared" si="28"/>
        <v>11634.961619838869</v>
      </c>
      <c r="V33" s="1">
        <v>0.4</v>
      </c>
      <c r="W33" s="1">
        <v>1.5</v>
      </c>
      <c r="X33" s="1">
        <v>1</v>
      </c>
      <c r="Y33" s="1">
        <v>0.8</v>
      </c>
      <c r="Z33" s="1">
        <v>10</v>
      </c>
      <c r="AA33" s="36">
        <f t="shared" si="25"/>
        <v>2.4999999999999996</v>
      </c>
    </row>
    <row r="34" spans="2:27" ht="14.25" customHeight="1" x14ac:dyDescent="0.2">
      <c r="B34" s="1" t="s">
        <v>28</v>
      </c>
      <c r="C34" s="36">
        <f t="shared" si="10"/>
        <v>1</v>
      </c>
      <c r="D34" s="36">
        <f t="shared" si="11"/>
        <v>0.41666666666666669</v>
      </c>
      <c r="E34" s="36">
        <f t="shared" si="12"/>
        <v>0.25</v>
      </c>
      <c r="F34" s="1">
        <v>11</v>
      </c>
      <c r="G34" s="24">
        <f t="shared" si="13"/>
        <v>9.5075321575745715</v>
      </c>
      <c r="H34" s="24">
        <f t="shared" si="8"/>
        <v>362.97762422217266</v>
      </c>
      <c r="I34" s="24">
        <f t="shared" si="8"/>
        <v>162.88946267774415</v>
      </c>
      <c r="J34" s="24">
        <f t="shared" si="14"/>
        <v>31.691773858581907</v>
      </c>
      <c r="K34" s="24">
        <f t="shared" si="15"/>
        <v>1209.925414073909</v>
      </c>
      <c r="L34" s="24">
        <f t="shared" si="16"/>
        <v>162.88946267774415</v>
      </c>
      <c r="N34" s="1">
        <f t="shared" si="17"/>
        <v>11</v>
      </c>
      <c r="O34" s="24">
        <f t="shared" si="18"/>
        <v>1584.5886929290957</v>
      </c>
      <c r="P34" s="24">
        <f t="shared" si="19"/>
        <v>80865.324154902875</v>
      </c>
      <c r="Q34" s="24">
        <f t="shared" si="20"/>
        <v>12216.709700830812</v>
      </c>
      <c r="R34" s="1">
        <f t="shared" si="21"/>
        <v>11</v>
      </c>
      <c r="S34" s="24">
        <f t="shared" si="26"/>
        <v>316.91773858581917</v>
      </c>
      <c r="T34" s="24">
        <f t="shared" si="27"/>
        <v>8985.0360172114306</v>
      </c>
      <c r="U34" s="24">
        <f t="shared" si="28"/>
        <v>12216.709700830812</v>
      </c>
      <c r="V34" s="1">
        <v>0.4</v>
      </c>
      <c r="W34" s="1">
        <v>1.5</v>
      </c>
      <c r="X34" s="1">
        <v>1</v>
      </c>
      <c r="Y34" s="1">
        <v>0.8</v>
      </c>
      <c r="Z34" s="1">
        <v>10</v>
      </c>
      <c r="AA34" s="36">
        <f t="shared" si="25"/>
        <v>2.4999999999999987</v>
      </c>
    </row>
    <row r="35" spans="2:27" ht="14.25" customHeight="1" x14ac:dyDescent="0.2">
      <c r="B35" s="1" t="s">
        <v>28</v>
      </c>
      <c r="C35" s="36">
        <f t="shared" si="10"/>
        <v>1</v>
      </c>
      <c r="D35" s="36">
        <f t="shared" si="11"/>
        <v>0.41666666666666669</v>
      </c>
      <c r="E35" s="36">
        <f t="shared" si="12"/>
        <v>0.25</v>
      </c>
      <c r="F35" s="1">
        <v>12</v>
      </c>
      <c r="G35" s="24">
        <f t="shared" si="13"/>
        <v>9.9829087654533009</v>
      </c>
      <c r="H35" s="24">
        <f t="shared" si="8"/>
        <v>381.1265054332813</v>
      </c>
      <c r="I35" s="24">
        <f t="shared" si="8"/>
        <v>171.03393581163138</v>
      </c>
      <c r="J35" s="24">
        <f t="shared" si="14"/>
        <v>33.276362551511006</v>
      </c>
      <c r="K35" s="24">
        <f t="shared" si="15"/>
        <v>1270.4216847776045</v>
      </c>
      <c r="L35" s="24">
        <f t="shared" si="16"/>
        <v>171.03393581163138</v>
      </c>
      <c r="N35" s="1">
        <f t="shared" si="17"/>
        <v>12</v>
      </c>
      <c r="O35" s="24">
        <f t="shared" si="18"/>
        <v>1663.8181275755503</v>
      </c>
      <c r="P35" s="24">
        <f t="shared" si="19"/>
        <v>84448.904920649627</v>
      </c>
      <c r="Q35" s="24">
        <f t="shared" si="20"/>
        <v>12827.545185872354</v>
      </c>
      <c r="R35" s="1">
        <f t="shared" si="21"/>
        <v>12</v>
      </c>
      <c r="S35" s="24">
        <f t="shared" si="26"/>
        <v>332.76362551511005</v>
      </c>
      <c r="T35" s="24">
        <f t="shared" si="27"/>
        <v>9383.211657849959</v>
      </c>
      <c r="U35" s="24">
        <f t="shared" si="28"/>
        <v>12827.545185872354</v>
      </c>
      <c r="V35" s="1">
        <v>0.4</v>
      </c>
      <c r="W35" s="1">
        <v>1.5</v>
      </c>
      <c r="X35" s="1">
        <v>1</v>
      </c>
      <c r="Y35" s="1">
        <v>0.8</v>
      </c>
      <c r="Z35" s="1">
        <v>10</v>
      </c>
      <c r="AA35" s="36">
        <f t="shared" si="25"/>
        <v>2.4999999999999991</v>
      </c>
    </row>
    <row r="36" spans="2:27" ht="14.25" customHeight="1" x14ac:dyDescent="0.2">
      <c r="B36" s="1" t="s">
        <v>28</v>
      </c>
      <c r="C36" s="36">
        <f t="shared" si="10"/>
        <v>1</v>
      </c>
      <c r="D36" s="36">
        <f t="shared" si="11"/>
        <v>0.41666666666666669</v>
      </c>
      <c r="E36" s="36">
        <f t="shared" si="12"/>
        <v>0.25</v>
      </c>
      <c r="F36" s="1">
        <v>13</v>
      </c>
      <c r="G36" s="24">
        <f t="shared" si="13"/>
        <v>10.482054203725964</v>
      </c>
      <c r="H36" s="24">
        <f t="shared" si="8"/>
        <v>400.18283070494533</v>
      </c>
      <c r="I36" s="24">
        <f t="shared" si="8"/>
        <v>179.58563260221291</v>
      </c>
      <c r="J36" s="24">
        <f t="shared" si="14"/>
        <v>34.940180679086545</v>
      </c>
      <c r="K36" s="24">
        <f t="shared" si="15"/>
        <v>1333.9427690164846</v>
      </c>
      <c r="L36" s="24">
        <f t="shared" si="16"/>
        <v>179.58563260221291</v>
      </c>
      <c r="N36" s="1">
        <f t="shared" si="17"/>
        <v>13</v>
      </c>
      <c r="O36" s="24">
        <f t="shared" si="18"/>
        <v>1747.0090339543274</v>
      </c>
      <c r="P36" s="24">
        <f t="shared" si="19"/>
        <v>88170.139911730963</v>
      </c>
      <c r="Q36" s="24">
        <f t="shared" si="20"/>
        <v>13468.922445165968</v>
      </c>
      <c r="R36" s="1">
        <f t="shared" si="21"/>
        <v>13</v>
      </c>
      <c r="S36" s="24">
        <f t="shared" si="26"/>
        <v>349.40180679086546</v>
      </c>
      <c r="T36" s="24">
        <f t="shared" si="27"/>
        <v>9796.682212414551</v>
      </c>
      <c r="U36" s="24">
        <f t="shared" si="28"/>
        <v>13468.922445165968</v>
      </c>
      <c r="V36" s="1">
        <v>0.4</v>
      </c>
      <c r="W36" s="1">
        <v>1.5</v>
      </c>
      <c r="X36" s="1">
        <v>1</v>
      </c>
      <c r="Y36" s="1">
        <v>0.8</v>
      </c>
      <c r="Z36" s="1">
        <v>10</v>
      </c>
      <c r="AA36" s="36">
        <f t="shared" si="25"/>
        <v>2.4999999999999991</v>
      </c>
    </row>
    <row r="37" spans="2:27" ht="14.25" customHeight="1" x14ac:dyDescent="0.2">
      <c r="B37" s="1" t="s">
        <v>28</v>
      </c>
      <c r="C37" s="36">
        <f t="shared" si="10"/>
        <v>1</v>
      </c>
      <c r="D37" s="36">
        <f t="shared" si="11"/>
        <v>0.41666666666666669</v>
      </c>
      <c r="E37" s="36">
        <f t="shared" si="12"/>
        <v>0.25</v>
      </c>
      <c r="F37" s="1">
        <v>14</v>
      </c>
      <c r="G37" s="24">
        <f t="shared" si="13"/>
        <v>11.006156913912264</v>
      </c>
      <c r="H37" s="24">
        <f t="shared" si="8"/>
        <v>420.19197224019268</v>
      </c>
      <c r="I37" s="24">
        <f t="shared" si="8"/>
        <v>188.56491423232359</v>
      </c>
      <c r="J37" s="24">
        <f t="shared" si="14"/>
        <v>36.68718971304088</v>
      </c>
      <c r="K37" s="24">
        <f t="shared" si="15"/>
        <v>1400.6399074673091</v>
      </c>
      <c r="L37" s="24">
        <f t="shared" si="16"/>
        <v>188.56491423232359</v>
      </c>
      <c r="N37" s="1">
        <f t="shared" si="17"/>
        <v>14</v>
      </c>
      <c r="O37" s="24">
        <f t="shared" si="18"/>
        <v>1834.359485652044</v>
      </c>
      <c r="P37" s="24">
        <f t="shared" si="19"/>
        <v>92032.427904276381</v>
      </c>
      <c r="Q37" s="24">
        <f t="shared" si="20"/>
        <v>14142.36856742427</v>
      </c>
      <c r="R37" s="1">
        <f t="shared" si="21"/>
        <v>14</v>
      </c>
      <c r="S37" s="24">
        <f t="shared" si="26"/>
        <v>366.8718971304088</v>
      </c>
      <c r="T37" s="24">
        <f t="shared" si="27"/>
        <v>10225.825322697376</v>
      </c>
      <c r="U37" s="24">
        <f t="shared" si="28"/>
        <v>14142.36856742427</v>
      </c>
      <c r="V37" s="1">
        <v>0.4</v>
      </c>
      <c r="W37" s="1">
        <v>1.5</v>
      </c>
      <c r="X37" s="1">
        <v>1</v>
      </c>
      <c r="Y37" s="1">
        <v>0.8</v>
      </c>
      <c r="Z37" s="1">
        <v>10</v>
      </c>
      <c r="AA37" s="36">
        <f t="shared" si="25"/>
        <v>2.4999999999999991</v>
      </c>
    </row>
    <row r="38" spans="2:27" ht="14.25" customHeight="1" x14ac:dyDescent="0.2">
      <c r="B38" s="1" t="s">
        <v>28</v>
      </c>
      <c r="C38" s="36">
        <f t="shared" si="10"/>
        <v>1</v>
      </c>
      <c r="D38" s="36">
        <f t="shared" si="11"/>
        <v>0.41666666666666669</v>
      </c>
      <c r="E38" s="36">
        <f t="shared" si="12"/>
        <v>0.25</v>
      </c>
      <c r="F38" s="1">
        <v>15</v>
      </c>
      <c r="G38" s="24">
        <f t="shared" si="13"/>
        <v>11.556464759607875</v>
      </c>
      <c r="H38" s="24">
        <f t="shared" si="8"/>
        <v>441.20157085220222</v>
      </c>
      <c r="I38" s="24">
        <f t="shared" si="8"/>
        <v>197.99315994393973</v>
      </c>
      <c r="J38" s="24">
        <f t="shared" si="14"/>
        <v>38.521549198692917</v>
      </c>
      <c r="K38" s="24">
        <f t="shared" si="15"/>
        <v>1470.6719028406742</v>
      </c>
      <c r="L38" s="24">
        <f t="shared" si="16"/>
        <v>197.99315994393973</v>
      </c>
      <c r="N38" s="1">
        <f t="shared" si="17"/>
        <v>15</v>
      </c>
      <c r="O38" s="24">
        <f t="shared" si="18"/>
        <v>1926.077459934646</v>
      </c>
      <c r="P38" s="24">
        <f t="shared" si="19"/>
        <v>96039.081756706961</v>
      </c>
      <c r="Q38" s="24">
        <f t="shared" si="20"/>
        <v>14849.48699579548</v>
      </c>
      <c r="R38" s="1">
        <f t="shared" si="21"/>
        <v>15</v>
      </c>
      <c r="S38" s="24">
        <f t="shared" si="26"/>
        <v>385.21549198692918</v>
      </c>
      <c r="T38" s="24">
        <f t="shared" si="27"/>
        <v>10671.009084078551</v>
      </c>
      <c r="U38" s="24">
        <f t="shared" si="28"/>
        <v>14849.48699579548</v>
      </c>
      <c r="V38" s="1">
        <v>0.4</v>
      </c>
      <c r="W38" s="1">
        <v>1.5</v>
      </c>
      <c r="X38" s="1">
        <v>1</v>
      </c>
      <c r="Y38" s="1">
        <v>0.8</v>
      </c>
      <c r="Z38" s="1">
        <v>10</v>
      </c>
      <c r="AA38" s="36">
        <f t="shared" si="25"/>
        <v>2.4999999999999996</v>
      </c>
    </row>
    <row r="39" spans="2:27" ht="14.25" customHeight="1" x14ac:dyDescent="0.2">
      <c r="B39" s="1" t="s">
        <v>28</v>
      </c>
      <c r="C39" s="36">
        <f t="shared" si="10"/>
        <v>1</v>
      </c>
      <c r="D39" s="36">
        <f t="shared" si="11"/>
        <v>0.41666666666666669</v>
      </c>
      <c r="E39" s="36">
        <f t="shared" si="12"/>
        <v>0.25</v>
      </c>
      <c r="F39" s="1">
        <v>16</v>
      </c>
      <c r="G39" s="24">
        <f t="shared" si="13"/>
        <v>12.134287997588272</v>
      </c>
      <c r="H39" s="24">
        <f t="shared" si="8"/>
        <v>463.26164939481248</v>
      </c>
      <c r="I39" s="24">
        <f t="shared" si="8"/>
        <v>207.8928179411368</v>
      </c>
      <c r="J39" s="24">
        <f t="shared" si="14"/>
        <v>40.447626658627577</v>
      </c>
      <c r="K39" s="24">
        <f t="shared" si="15"/>
        <v>1544.2054979827083</v>
      </c>
      <c r="L39" s="24">
        <f t="shared" si="16"/>
        <v>207.8928179411368</v>
      </c>
      <c r="N39" s="1">
        <f t="shared" si="17"/>
        <v>16</v>
      </c>
      <c r="O39" s="24">
        <f t="shared" si="18"/>
        <v>2022.3813329313791</v>
      </c>
      <c r="P39" s="24">
        <f t="shared" si="19"/>
        <v>100193.31015800466</v>
      </c>
      <c r="Q39" s="24">
        <f t="shared" si="20"/>
        <v>15591.96134558526</v>
      </c>
      <c r="R39" s="1">
        <f t="shared" si="21"/>
        <v>16</v>
      </c>
      <c r="S39" s="24">
        <f t="shared" si="26"/>
        <v>404.47626658627581</v>
      </c>
      <c r="T39" s="24">
        <f t="shared" si="27"/>
        <v>11132.590017556075</v>
      </c>
      <c r="U39" s="24">
        <f t="shared" si="28"/>
        <v>15591.96134558526</v>
      </c>
      <c r="V39" s="1">
        <v>0.4</v>
      </c>
      <c r="W39" s="1">
        <v>1.5</v>
      </c>
      <c r="X39" s="1">
        <v>1</v>
      </c>
      <c r="Y39" s="1">
        <v>0.8</v>
      </c>
      <c r="Z39" s="1">
        <v>10</v>
      </c>
      <c r="AA39" s="36">
        <f t="shared" si="25"/>
        <v>2.4999999999999996</v>
      </c>
    </row>
    <row r="40" spans="2:27" ht="14.25" customHeight="1" x14ac:dyDescent="0.2">
      <c r="B40" s="1" t="s">
        <v>28</v>
      </c>
      <c r="C40" s="36">
        <f t="shared" si="10"/>
        <v>1</v>
      </c>
      <c r="D40" s="36">
        <f t="shared" si="11"/>
        <v>0.41666666666666669</v>
      </c>
      <c r="E40" s="36">
        <f t="shared" si="12"/>
        <v>0.25</v>
      </c>
      <c r="F40" s="1">
        <v>17</v>
      </c>
      <c r="G40" s="24">
        <f t="shared" si="13"/>
        <v>12.741002397467685</v>
      </c>
      <c r="H40" s="24">
        <f t="shared" si="13"/>
        <v>486.42473186455305</v>
      </c>
      <c r="I40" s="24">
        <f t="shared" si="13"/>
        <v>218.2874588381936</v>
      </c>
      <c r="J40" s="24">
        <f t="shared" si="14"/>
        <v>42.470007991558951</v>
      </c>
      <c r="K40" s="24">
        <f t="shared" si="15"/>
        <v>1621.4157728818436</v>
      </c>
      <c r="L40" s="24">
        <f t="shared" si="16"/>
        <v>218.2874588381936</v>
      </c>
      <c r="N40" s="1">
        <f t="shared" si="17"/>
        <v>17</v>
      </c>
      <c r="O40" s="24">
        <f t="shared" si="18"/>
        <v>2123.5003995779475</v>
      </c>
      <c r="P40" s="24">
        <f t="shared" si="19"/>
        <v>104498.19833959798</v>
      </c>
      <c r="Q40" s="24">
        <f t="shared" si="20"/>
        <v>16371.559412864521</v>
      </c>
      <c r="R40" s="1">
        <f t="shared" si="21"/>
        <v>17</v>
      </c>
      <c r="S40" s="24">
        <f t="shared" si="26"/>
        <v>424.70007991558953</v>
      </c>
      <c r="T40" s="24">
        <f t="shared" si="27"/>
        <v>11610.910926621997</v>
      </c>
      <c r="U40" s="24">
        <f t="shared" si="28"/>
        <v>16371.559412864521</v>
      </c>
      <c r="V40" s="1">
        <v>0.4</v>
      </c>
      <c r="W40" s="1">
        <v>1.5</v>
      </c>
      <c r="X40" s="1">
        <v>1</v>
      </c>
      <c r="Y40" s="1">
        <v>0.8</v>
      </c>
      <c r="Z40" s="1">
        <v>10</v>
      </c>
      <c r="AA40" s="36">
        <f t="shared" si="25"/>
        <v>2.4999999999999996</v>
      </c>
    </row>
    <row r="41" spans="2:27" ht="14.25" customHeight="1" x14ac:dyDescent="0.2">
      <c r="B41" s="1" t="s">
        <v>28</v>
      </c>
      <c r="C41" s="36">
        <f t="shared" si="10"/>
        <v>1</v>
      </c>
      <c r="D41" s="36">
        <f t="shared" si="11"/>
        <v>0.41666666666666669</v>
      </c>
      <c r="E41" s="36">
        <f t="shared" si="12"/>
        <v>0.25</v>
      </c>
      <c r="F41" s="1">
        <v>18</v>
      </c>
      <c r="G41" s="24">
        <f t="shared" ref="G41:I87" si="29">G$22*$C$6^($F41-1)</f>
        <v>13.378052517341072</v>
      </c>
      <c r="H41" s="24">
        <f t="shared" si="29"/>
        <v>510.74596845778075</v>
      </c>
      <c r="I41" s="24">
        <f t="shared" si="29"/>
        <v>229.2018317801033</v>
      </c>
      <c r="J41" s="24">
        <f t="shared" si="14"/>
        <v>44.593508391136908</v>
      </c>
      <c r="K41" s="24">
        <f t="shared" si="15"/>
        <v>1702.4865615259359</v>
      </c>
      <c r="L41" s="24">
        <f t="shared" si="16"/>
        <v>229.2018317801033</v>
      </c>
      <c r="N41" s="1">
        <f t="shared" si="17"/>
        <v>18</v>
      </c>
      <c r="O41" s="24">
        <f t="shared" si="18"/>
        <v>2229.6754195568456</v>
      </c>
      <c r="P41" s="24">
        <f t="shared" si="19"/>
        <v>108956.68779411689</v>
      </c>
      <c r="Q41" s="24">
        <f t="shared" si="20"/>
        <v>17190.137383507747</v>
      </c>
      <c r="R41" s="1">
        <f t="shared" si="21"/>
        <v>18</v>
      </c>
      <c r="S41" s="24">
        <f t="shared" si="26"/>
        <v>445.93508391136913</v>
      </c>
      <c r="T41" s="24">
        <f t="shared" si="27"/>
        <v>12106.298643790766</v>
      </c>
      <c r="U41" s="24">
        <f t="shared" si="28"/>
        <v>17190.137383507747</v>
      </c>
      <c r="V41" s="1">
        <v>0.4</v>
      </c>
      <c r="W41" s="1">
        <v>1.5</v>
      </c>
      <c r="X41" s="1">
        <v>1</v>
      </c>
      <c r="Y41" s="1">
        <v>0.8</v>
      </c>
      <c r="Z41" s="1">
        <v>10</v>
      </c>
      <c r="AA41" s="36">
        <f t="shared" si="25"/>
        <v>2.4999999999999991</v>
      </c>
    </row>
    <row r="42" spans="2:27" ht="14.25" customHeight="1" x14ac:dyDescent="0.2">
      <c r="B42" s="1" t="s">
        <v>28</v>
      </c>
      <c r="C42" s="36">
        <f t="shared" si="10"/>
        <v>1</v>
      </c>
      <c r="D42" s="36">
        <f t="shared" si="11"/>
        <v>0.41666666666666669</v>
      </c>
      <c r="E42" s="36">
        <f t="shared" si="12"/>
        <v>0.25</v>
      </c>
      <c r="F42" s="1">
        <v>19</v>
      </c>
      <c r="G42" s="24">
        <f t="shared" si="29"/>
        <v>14.046955143208123</v>
      </c>
      <c r="H42" s="24">
        <f t="shared" si="29"/>
        <v>536.28326688066977</v>
      </c>
      <c r="I42" s="24">
        <f t="shared" si="29"/>
        <v>240.66192336910848</v>
      </c>
      <c r="J42" s="24">
        <f t="shared" si="14"/>
        <v>46.823183810693749</v>
      </c>
      <c r="K42" s="24">
        <f t="shared" si="15"/>
        <v>1787.6108896022326</v>
      </c>
      <c r="L42" s="24">
        <f t="shared" si="16"/>
        <v>240.66192336910848</v>
      </c>
      <c r="N42" s="1">
        <f t="shared" si="17"/>
        <v>19</v>
      </c>
      <c r="O42" s="24">
        <f t="shared" si="18"/>
        <v>2341.1591905346877</v>
      </c>
      <c r="P42" s="24">
        <f t="shared" si="19"/>
        <v>113571.55505965886</v>
      </c>
      <c r="Q42" s="24">
        <f t="shared" si="20"/>
        <v>18049.644252683134</v>
      </c>
      <c r="R42" s="1">
        <f t="shared" si="21"/>
        <v>19</v>
      </c>
      <c r="S42" s="24">
        <f t="shared" si="26"/>
        <v>468.23183810693752</v>
      </c>
      <c r="T42" s="24">
        <f t="shared" si="27"/>
        <v>12619.06167329543</v>
      </c>
      <c r="U42" s="24">
        <f t="shared" si="28"/>
        <v>18049.644252683134</v>
      </c>
      <c r="V42" s="1">
        <v>0.4</v>
      </c>
      <c r="W42" s="1">
        <v>1.5</v>
      </c>
      <c r="X42" s="1">
        <v>1</v>
      </c>
      <c r="Y42" s="1">
        <v>0.8</v>
      </c>
      <c r="Z42" s="1">
        <v>10</v>
      </c>
      <c r="AA42" s="36">
        <f t="shared" si="25"/>
        <v>2.4999999999999991</v>
      </c>
    </row>
    <row r="43" spans="2:27" ht="14.25" customHeight="1" x14ac:dyDescent="0.2">
      <c r="B43" s="1" t="s">
        <v>28</v>
      </c>
      <c r="C43" s="36">
        <f t="shared" si="10"/>
        <v>1</v>
      </c>
      <c r="D43" s="36">
        <f t="shared" si="11"/>
        <v>0.41666666666666669</v>
      </c>
      <c r="E43" s="36">
        <f t="shared" si="12"/>
        <v>0.25</v>
      </c>
      <c r="F43" s="1">
        <v>20</v>
      </c>
      <c r="G43" s="24">
        <f t="shared" si="29"/>
        <v>14.74930290036853</v>
      </c>
      <c r="H43" s="24">
        <f t="shared" si="29"/>
        <v>563.09743022470332</v>
      </c>
      <c r="I43" s="24">
        <f t="shared" si="29"/>
        <v>252.69501953756389</v>
      </c>
      <c r="J43" s="24">
        <f t="shared" si="14"/>
        <v>49.164343001228438</v>
      </c>
      <c r="K43" s="24">
        <f t="shared" si="15"/>
        <v>1876.9914340823445</v>
      </c>
      <c r="L43" s="24">
        <f t="shared" si="16"/>
        <v>252.69501953756389</v>
      </c>
      <c r="N43" s="1">
        <f t="shared" si="17"/>
        <v>20</v>
      </c>
      <c r="O43" s="24">
        <f t="shared" si="18"/>
        <v>2458.2171500614227</v>
      </c>
      <c r="P43" s="24">
        <f t="shared" si="19"/>
        <v>118345.38964481751</v>
      </c>
      <c r="Q43" s="24">
        <f t="shared" si="20"/>
        <v>18952.126465317291</v>
      </c>
      <c r="R43" s="1">
        <f t="shared" si="21"/>
        <v>20</v>
      </c>
      <c r="S43" s="24">
        <f t="shared" si="26"/>
        <v>491.64343001228451</v>
      </c>
      <c r="T43" s="24">
        <f t="shared" si="27"/>
        <v>13149.487738313057</v>
      </c>
      <c r="U43" s="24">
        <f t="shared" si="28"/>
        <v>18952.126465317291</v>
      </c>
      <c r="V43" s="1">
        <v>0.4</v>
      </c>
      <c r="W43" s="1">
        <v>1.5</v>
      </c>
      <c r="X43" s="1">
        <v>1</v>
      </c>
      <c r="Y43" s="1">
        <v>0.8</v>
      </c>
      <c r="Z43" s="1">
        <v>10</v>
      </c>
      <c r="AA43" s="36">
        <f t="shared" si="25"/>
        <v>2.4999999999999982</v>
      </c>
    </row>
    <row r="44" spans="2:27" ht="14.25" customHeight="1" x14ac:dyDescent="0.2">
      <c r="B44" s="1" t="s">
        <v>28</v>
      </c>
      <c r="C44" s="36">
        <f t="shared" si="10"/>
        <v>1</v>
      </c>
      <c r="D44" s="36">
        <f t="shared" si="11"/>
        <v>0.41666666666666669</v>
      </c>
      <c r="E44" s="36">
        <f t="shared" si="12"/>
        <v>0.25</v>
      </c>
      <c r="F44" s="1">
        <v>21</v>
      </c>
      <c r="G44" s="24">
        <f t="shared" si="29"/>
        <v>15.486768045386956</v>
      </c>
      <c r="H44" s="24">
        <f t="shared" si="29"/>
        <v>591.25230173593843</v>
      </c>
      <c r="I44" s="24">
        <f t="shared" si="29"/>
        <v>265.32977051444209</v>
      </c>
      <c r="J44" s="24">
        <f t="shared" si="14"/>
        <v>51.622560151289854</v>
      </c>
      <c r="K44" s="24">
        <f t="shared" si="15"/>
        <v>1970.8410057864614</v>
      </c>
      <c r="L44" s="24">
        <f t="shared" si="16"/>
        <v>265.32977051444209</v>
      </c>
      <c r="N44" s="1">
        <f t="shared" si="17"/>
        <v>21</v>
      </c>
      <c r="O44" s="24">
        <f t="shared" si="18"/>
        <v>2581.1280075644931</v>
      </c>
      <c r="P44" s="24">
        <f t="shared" si="19"/>
        <v>123280.57118744416</v>
      </c>
      <c r="Q44" s="24">
        <f t="shared" si="20"/>
        <v>19899.732788583158</v>
      </c>
      <c r="R44" s="1">
        <f t="shared" si="21"/>
        <v>21</v>
      </c>
      <c r="S44" s="24">
        <f t="shared" si="26"/>
        <v>516.22560151289861</v>
      </c>
      <c r="T44" s="24">
        <f t="shared" si="27"/>
        <v>13697.841243049352</v>
      </c>
      <c r="U44" s="24">
        <f t="shared" si="28"/>
        <v>19899.732788583158</v>
      </c>
      <c r="V44" s="1">
        <v>0.4</v>
      </c>
      <c r="W44" s="1">
        <v>1.5</v>
      </c>
      <c r="X44" s="1">
        <v>1</v>
      </c>
      <c r="Y44" s="1">
        <v>0.8</v>
      </c>
      <c r="Z44" s="1">
        <v>10</v>
      </c>
      <c r="AA44" s="36">
        <f t="shared" si="25"/>
        <v>2.4999999999999991</v>
      </c>
    </row>
    <row r="45" spans="2:27" ht="14.25" customHeight="1" x14ac:dyDescent="0.2">
      <c r="B45" s="1" t="s">
        <v>28</v>
      </c>
      <c r="C45" s="36">
        <f t="shared" si="10"/>
        <v>1</v>
      </c>
      <c r="D45" s="36">
        <f t="shared" si="11"/>
        <v>0.41666666666666669</v>
      </c>
      <c r="E45" s="36">
        <f t="shared" si="12"/>
        <v>0.25</v>
      </c>
      <c r="F45" s="1">
        <v>22</v>
      </c>
      <c r="G45" s="24">
        <f t="shared" si="29"/>
        <v>16.261106447656303</v>
      </c>
      <c r="H45" s="24">
        <f t="shared" si="29"/>
        <v>620.81491682273531</v>
      </c>
      <c r="I45" s="24">
        <f t="shared" si="29"/>
        <v>278.59625904016417</v>
      </c>
      <c r="J45" s="24">
        <f t="shared" si="14"/>
        <v>54.203688158854348</v>
      </c>
      <c r="K45" s="24">
        <f t="shared" si="15"/>
        <v>2069.3830560757847</v>
      </c>
      <c r="L45" s="24">
        <f t="shared" si="16"/>
        <v>278.59625904016417</v>
      </c>
      <c r="N45" s="1">
        <f t="shared" si="17"/>
        <v>22</v>
      </c>
      <c r="O45" s="24">
        <f t="shared" si="18"/>
        <v>2710.1844079427178</v>
      </c>
      <c r="P45" s="24">
        <f t="shared" si="19"/>
        <v>128379.24595879567</v>
      </c>
      <c r="Q45" s="24">
        <f t="shared" si="20"/>
        <v>20894.719428012311</v>
      </c>
      <c r="R45" s="1">
        <f t="shared" si="21"/>
        <v>22</v>
      </c>
      <c r="S45" s="24">
        <f t="shared" si="26"/>
        <v>542.03688158854357</v>
      </c>
      <c r="T45" s="24">
        <f t="shared" si="27"/>
        <v>14264.360662088407</v>
      </c>
      <c r="U45" s="24">
        <f t="shared" si="28"/>
        <v>20894.719428012311</v>
      </c>
      <c r="V45" s="1">
        <v>0.4</v>
      </c>
      <c r="W45" s="1">
        <v>1.5</v>
      </c>
      <c r="X45" s="1">
        <v>1</v>
      </c>
      <c r="Y45" s="1">
        <v>0.8</v>
      </c>
      <c r="Z45" s="1">
        <v>10</v>
      </c>
      <c r="AA45" s="36">
        <f t="shared" si="25"/>
        <v>2.4999999999999991</v>
      </c>
    </row>
    <row r="46" spans="2:27" ht="14.25" customHeight="1" x14ac:dyDescent="0.2">
      <c r="B46" s="1" t="s">
        <v>28</v>
      </c>
      <c r="C46" s="36">
        <f t="shared" si="10"/>
        <v>1</v>
      </c>
      <c r="D46" s="36">
        <f t="shared" si="11"/>
        <v>0.41666666666666669</v>
      </c>
      <c r="E46" s="36">
        <f t="shared" si="12"/>
        <v>0.25</v>
      </c>
      <c r="F46" s="1">
        <v>23</v>
      </c>
      <c r="G46" s="24">
        <f t="shared" si="29"/>
        <v>17.074161770039119</v>
      </c>
      <c r="H46" s="24">
        <f t="shared" si="29"/>
        <v>651.85566266387207</v>
      </c>
      <c r="I46" s="24">
        <f t="shared" si="29"/>
        <v>292.52607199217238</v>
      </c>
      <c r="J46" s="24">
        <f t="shared" si="14"/>
        <v>56.913872566797068</v>
      </c>
      <c r="K46" s="24">
        <f t="shared" si="15"/>
        <v>2172.8522088795735</v>
      </c>
      <c r="L46" s="24">
        <f t="shared" si="16"/>
        <v>292.52607199217238</v>
      </c>
      <c r="N46" s="1">
        <f t="shared" si="17"/>
        <v>23</v>
      </c>
      <c r="O46" s="24">
        <f t="shared" si="18"/>
        <v>2845.6936283398541</v>
      </c>
      <c r="P46" s="24">
        <f t="shared" si="19"/>
        <v>133643.30284416914</v>
      </c>
      <c r="Q46" s="24">
        <f t="shared" si="20"/>
        <v>21939.455399412927</v>
      </c>
      <c r="R46" s="1">
        <f t="shared" si="21"/>
        <v>23</v>
      </c>
      <c r="S46" s="24">
        <f t="shared" si="26"/>
        <v>569.13872566797079</v>
      </c>
      <c r="T46" s="24">
        <f t="shared" si="27"/>
        <v>14849.255871574349</v>
      </c>
      <c r="U46" s="24">
        <f t="shared" si="28"/>
        <v>21939.455399412927</v>
      </c>
      <c r="V46" s="1">
        <v>0.4</v>
      </c>
      <c r="W46" s="1">
        <v>1.5</v>
      </c>
      <c r="X46" s="1">
        <v>1</v>
      </c>
      <c r="Y46" s="1">
        <v>0.8</v>
      </c>
      <c r="Z46" s="1">
        <v>10</v>
      </c>
      <c r="AA46" s="36">
        <f t="shared" si="25"/>
        <v>2.4999999999999991</v>
      </c>
    </row>
    <row r="47" spans="2:27" ht="14.25" customHeight="1" x14ac:dyDescent="0.2">
      <c r="B47" s="1" t="s">
        <v>28</v>
      </c>
      <c r="C47" s="36">
        <f t="shared" si="10"/>
        <v>1</v>
      </c>
      <c r="D47" s="36">
        <f t="shared" si="11"/>
        <v>0.41666666666666669</v>
      </c>
      <c r="E47" s="36">
        <f t="shared" si="12"/>
        <v>0.25</v>
      </c>
      <c r="F47" s="1">
        <v>24</v>
      </c>
      <c r="G47" s="24">
        <f t="shared" si="29"/>
        <v>17.927869858541076</v>
      </c>
      <c r="H47" s="24">
        <f t="shared" si="29"/>
        <v>684.4484457970658</v>
      </c>
      <c r="I47" s="24">
        <f t="shared" si="29"/>
        <v>307.15237559178104</v>
      </c>
      <c r="J47" s="24">
        <f t="shared" si="14"/>
        <v>59.759566195136919</v>
      </c>
      <c r="K47" s="24">
        <f t="shared" si="15"/>
        <v>2281.4948193235527</v>
      </c>
      <c r="L47" s="24">
        <f t="shared" si="16"/>
        <v>307.15237559178104</v>
      </c>
      <c r="N47" s="1">
        <f t="shared" si="17"/>
        <v>24</v>
      </c>
      <c r="O47" s="24">
        <f t="shared" si="18"/>
        <v>2987.9783097568461</v>
      </c>
      <c r="P47" s="24">
        <f t="shared" si="19"/>
        <v>139074.34895110686</v>
      </c>
      <c r="Q47" s="24">
        <f t="shared" si="20"/>
        <v>23036.428169383576</v>
      </c>
      <c r="R47" s="1">
        <f t="shared" si="21"/>
        <v>24</v>
      </c>
      <c r="S47" s="24">
        <f t="shared" si="26"/>
        <v>597.59566195136927</v>
      </c>
      <c r="T47" s="24">
        <f t="shared" si="27"/>
        <v>15452.705439011874</v>
      </c>
      <c r="U47" s="24">
        <f t="shared" si="28"/>
        <v>23036.428169383576</v>
      </c>
      <c r="V47" s="1">
        <v>0.4</v>
      </c>
      <c r="W47" s="1">
        <v>1.5</v>
      </c>
      <c r="X47" s="1">
        <v>1</v>
      </c>
      <c r="Y47" s="1">
        <v>0.8</v>
      </c>
      <c r="Z47" s="1">
        <v>10</v>
      </c>
      <c r="AA47" s="36">
        <f t="shared" si="25"/>
        <v>2.4999999999999991</v>
      </c>
    </row>
    <row r="48" spans="2:27" ht="14.25" customHeight="1" x14ac:dyDescent="0.2">
      <c r="B48" s="1" t="s">
        <v>28</v>
      </c>
      <c r="C48" s="36">
        <f t="shared" si="10"/>
        <v>1</v>
      </c>
      <c r="D48" s="36">
        <f t="shared" si="11"/>
        <v>0.41666666666666669</v>
      </c>
      <c r="E48" s="36">
        <f t="shared" si="12"/>
        <v>0.25</v>
      </c>
      <c r="F48" s="1">
        <v>25</v>
      </c>
      <c r="G48" s="24">
        <f t="shared" si="29"/>
        <v>18.824263351468129</v>
      </c>
      <c r="H48" s="24">
        <f t="shared" si="29"/>
        <v>718.67086808691897</v>
      </c>
      <c r="I48" s="24">
        <f t="shared" si="29"/>
        <v>322.50999437137006</v>
      </c>
      <c r="J48" s="24">
        <f t="shared" si="14"/>
        <v>62.747544504893767</v>
      </c>
      <c r="K48" s="24">
        <f t="shared" si="15"/>
        <v>2395.5695602897299</v>
      </c>
      <c r="L48" s="24">
        <f t="shared" si="16"/>
        <v>322.50999437137006</v>
      </c>
      <c r="N48" s="1">
        <f t="shared" si="17"/>
        <v>25</v>
      </c>
      <c r="O48" s="24">
        <f t="shared" si="18"/>
        <v>3137.3772252446884</v>
      </c>
      <c r="P48" s="24">
        <f t="shared" si="19"/>
        <v>144673.68501646954</v>
      </c>
      <c r="Q48" s="24">
        <f t="shared" si="20"/>
        <v>24188.249577852755</v>
      </c>
      <c r="R48" s="1">
        <f t="shared" si="21"/>
        <v>25</v>
      </c>
      <c r="S48" s="24">
        <f t="shared" si="26"/>
        <v>627.47544504893767</v>
      </c>
      <c r="T48" s="24">
        <f t="shared" si="27"/>
        <v>16074.853890718838</v>
      </c>
      <c r="U48" s="24">
        <f t="shared" si="28"/>
        <v>24188.249577852755</v>
      </c>
      <c r="V48" s="1">
        <v>0.4</v>
      </c>
      <c r="W48" s="1">
        <v>1.5</v>
      </c>
      <c r="X48" s="1">
        <v>1</v>
      </c>
      <c r="Y48" s="1">
        <v>0.8</v>
      </c>
      <c r="Z48" s="1">
        <v>10</v>
      </c>
      <c r="AA48" s="36">
        <f t="shared" si="25"/>
        <v>2.4999999999999996</v>
      </c>
    </row>
    <row r="49" spans="2:27" ht="14.25" customHeight="1" x14ac:dyDescent="0.2">
      <c r="B49" s="1" t="s">
        <v>28</v>
      </c>
      <c r="C49" s="36">
        <f t="shared" si="10"/>
        <v>1</v>
      </c>
      <c r="D49" s="36">
        <f t="shared" si="11"/>
        <v>0.41666666666666669</v>
      </c>
      <c r="E49" s="36">
        <f t="shared" si="12"/>
        <v>0.25</v>
      </c>
      <c r="F49" s="1">
        <v>26</v>
      </c>
      <c r="G49" s="24">
        <f t="shared" si="29"/>
        <v>19.765476519041535</v>
      </c>
      <c r="H49" s="24">
        <f t="shared" si="29"/>
        <v>754.60441149126495</v>
      </c>
      <c r="I49" s="24">
        <f t="shared" si="29"/>
        <v>338.63549408993856</v>
      </c>
      <c r="J49" s="24">
        <f t="shared" si="14"/>
        <v>65.884921730138458</v>
      </c>
      <c r="K49" s="24">
        <f t="shared" si="15"/>
        <v>2515.3480383042165</v>
      </c>
      <c r="L49" s="24">
        <f t="shared" si="16"/>
        <v>338.63549408993856</v>
      </c>
      <c r="N49" s="1">
        <f t="shared" si="17"/>
        <v>26</v>
      </c>
      <c r="O49" s="24">
        <f t="shared" si="18"/>
        <v>3294.2460865069233</v>
      </c>
      <c r="P49" s="24">
        <f t="shared" si="19"/>
        <v>150442.28080380568</v>
      </c>
      <c r="Q49" s="24">
        <f t="shared" si="20"/>
        <v>25397.662056745394</v>
      </c>
      <c r="R49" s="1">
        <f t="shared" si="21"/>
        <v>26</v>
      </c>
      <c r="S49" s="24">
        <f t="shared" si="26"/>
        <v>658.84921730138467</v>
      </c>
      <c r="T49" s="24">
        <f t="shared" si="27"/>
        <v>16715.808978200632</v>
      </c>
      <c r="U49" s="24">
        <f t="shared" si="28"/>
        <v>25397.662056745394</v>
      </c>
      <c r="V49" s="1">
        <v>0.4</v>
      </c>
      <c r="W49" s="1">
        <v>1.5</v>
      </c>
      <c r="X49" s="1">
        <v>1</v>
      </c>
      <c r="Y49" s="1">
        <v>0.8</v>
      </c>
      <c r="Z49" s="1">
        <v>10</v>
      </c>
      <c r="AA49" s="36">
        <f t="shared" si="25"/>
        <v>2.4999999999999987</v>
      </c>
    </row>
    <row r="50" spans="2:27" ht="14.25" customHeight="1" x14ac:dyDescent="0.2">
      <c r="B50" s="1" t="s">
        <v>28</v>
      </c>
      <c r="C50" s="36">
        <f t="shared" si="10"/>
        <v>1</v>
      </c>
      <c r="D50" s="36">
        <f t="shared" si="11"/>
        <v>0.41666666666666669</v>
      </c>
      <c r="E50" s="36">
        <f t="shared" si="12"/>
        <v>0.25</v>
      </c>
      <c r="F50" s="1">
        <v>27</v>
      </c>
      <c r="G50" s="24">
        <f t="shared" si="29"/>
        <v>20.753750344993612</v>
      </c>
      <c r="H50" s="24">
        <f t="shared" si="29"/>
        <v>792.33463206582826</v>
      </c>
      <c r="I50" s="24">
        <f t="shared" si="29"/>
        <v>355.56726879443551</v>
      </c>
      <c r="J50" s="24">
        <f t="shared" si="14"/>
        <v>69.179167816645375</v>
      </c>
      <c r="K50" s="24">
        <f t="shared" si="15"/>
        <v>2641.1154402194275</v>
      </c>
      <c r="L50" s="24">
        <f t="shared" si="16"/>
        <v>355.56726879443551</v>
      </c>
      <c r="N50" s="1">
        <f t="shared" si="17"/>
        <v>27</v>
      </c>
      <c r="O50" s="24">
        <f t="shared" si="18"/>
        <v>3458.9583908322693</v>
      </c>
      <c r="P50" s="24">
        <f t="shared" si="19"/>
        <v>156380.7507020843</v>
      </c>
      <c r="Q50" s="24">
        <f t="shared" si="20"/>
        <v>26667.545159582663</v>
      </c>
      <c r="R50" s="1">
        <f t="shared" si="21"/>
        <v>27</v>
      </c>
      <c r="S50" s="24">
        <f t="shared" si="26"/>
        <v>691.79167816645383</v>
      </c>
      <c r="T50" s="24">
        <f t="shared" si="27"/>
        <v>17375.638966898256</v>
      </c>
      <c r="U50" s="24">
        <f t="shared" si="28"/>
        <v>26667.545159582663</v>
      </c>
      <c r="V50" s="1">
        <v>0.4</v>
      </c>
      <c r="W50" s="1">
        <v>1.5</v>
      </c>
      <c r="X50" s="1">
        <v>1</v>
      </c>
      <c r="Y50" s="1">
        <v>0.8</v>
      </c>
      <c r="Z50" s="1">
        <v>10</v>
      </c>
      <c r="AA50" s="36">
        <f t="shared" si="25"/>
        <v>2.4999999999999991</v>
      </c>
    </row>
    <row r="51" spans="2:27" ht="14.25" customHeight="1" x14ac:dyDescent="0.2">
      <c r="B51" s="1" t="s">
        <v>28</v>
      </c>
      <c r="C51" s="36">
        <f t="shared" si="10"/>
        <v>1</v>
      </c>
      <c r="D51" s="36">
        <f t="shared" si="11"/>
        <v>0.41666666666666669</v>
      </c>
      <c r="E51" s="36">
        <f t="shared" si="12"/>
        <v>0.25</v>
      </c>
      <c r="F51" s="1">
        <v>28</v>
      </c>
      <c r="G51" s="24">
        <f t="shared" si="29"/>
        <v>21.791437862243296</v>
      </c>
      <c r="H51" s="24">
        <f t="shared" si="29"/>
        <v>831.9513636691197</v>
      </c>
      <c r="I51" s="24">
        <f t="shared" si="29"/>
        <v>373.34563223415734</v>
      </c>
      <c r="J51" s="24">
        <f t="shared" si="14"/>
        <v>72.638126207477654</v>
      </c>
      <c r="K51" s="24">
        <f t="shared" si="15"/>
        <v>2773.1712122303993</v>
      </c>
      <c r="L51" s="24">
        <f t="shared" si="16"/>
        <v>373.34563223415734</v>
      </c>
      <c r="N51" s="1">
        <f t="shared" si="17"/>
        <v>28</v>
      </c>
      <c r="O51" s="24">
        <f t="shared" si="18"/>
        <v>3631.9063103738831</v>
      </c>
      <c r="P51" s="24">
        <f t="shared" si="19"/>
        <v>162489.32975559862</v>
      </c>
      <c r="Q51" s="24">
        <f t="shared" si="20"/>
        <v>28000.9224175618</v>
      </c>
      <c r="R51" s="1">
        <f t="shared" si="21"/>
        <v>28</v>
      </c>
      <c r="S51" s="24">
        <f t="shared" si="26"/>
        <v>726.3812620747766</v>
      </c>
      <c r="T51" s="24">
        <f t="shared" si="27"/>
        <v>18054.369972844292</v>
      </c>
      <c r="U51" s="24">
        <f t="shared" si="28"/>
        <v>28000.9224175618</v>
      </c>
      <c r="V51" s="1">
        <v>0.4</v>
      </c>
      <c r="W51" s="1">
        <v>1.5</v>
      </c>
      <c r="X51" s="1">
        <v>1</v>
      </c>
      <c r="Y51" s="1">
        <v>0.8</v>
      </c>
      <c r="Z51" s="1">
        <v>10</v>
      </c>
      <c r="AA51" s="36">
        <f t="shared" si="25"/>
        <v>2.4999999999999996</v>
      </c>
    </row>
    <row r="52" spans="2:27" ht="14.25" customHeight="1" x14ac:dyDescent="0.2">
      <c r="B52" s="1" t="s">
        <v>28</v>
      </c>
      <c r="C52" s="36">
        <f t="shared" si="10"/>
        <v>1</v>
      </c>
      <c r="D52" s="36">
        <f t="shared" si="11"/>
        <v>0.41666666666666669</v>
      </c>
      <c r="E52" s="36">
        <f t="shared" si="12"/>
        <v>0.25</v>
      </c>
      <c r="F52" s="1">
        <v>29</v>
      </c>
      <c r="G52" s="24">
        <f t="shared" si="29"/>
        <v>22.881009755355457</v>
      </c>
      <c r="H52" s="24">
        <f t="shared" si="29"/>
        <v>873.54893185257561</v>
      </c>
      <c r="I52" s="24">
        <f t="shared" si="29"/>
        <v>392.01291384586511</v>
      </c>
      <c r="J52" s="24">
        <f t="shared" si="14"/>
        <v>76.270032517851533</v>
      </c>
      <c r="K52" s="24">
        <f t="shared" si="15"/>
        <v>2911.8297728419188</v>
      </c>
      <c r="L52" s="24">
        <f t="shared" si="16"/>
        <v>392.01291384586511</v>
      </c>
      <c r="N52" s="1">
        <f t="shared" si="17"/>
        <v>29</v>
      </c>
      <c r="O52" s="24">
        <f t="shared" si="18"/>
        <v>3813.5016258925771</v>
      </c>
      <c r="P52" s="24">
        <f t="shared" si="19"/>
        <v>168767.85037220936</v>
      </c>
      <c r="Q52" s="24">
        <f t="shared" si="20"/>
        <v>29400.968538439884</v>
      </c>
      <c r="R52" s="1">
        <f t="shared" si="21"/>
        <v>29</v>
      </c>
      <c r="S52" s="24">
        <f t="shared" si="26"/>
        <v>762.70032517851541</v>
      </c>
      <c r="T52" s="24">
        <f t="shared" si="27"/>
        <v>18751.983374689928</v>
      </c>
      <c r="U52" s="24">
        <f t="shared" si="28"/>
        <v>29400.968538439884</v>
      </c>
      <c r="V52" s="1">
        <v>0.4</v>
      </c>
      <c r="W52" s="1">
        <v>1.5</v>
      </c>
      <c r="X52" s="1">
        <v>1</v>
      </c>
      <c r="Y52" s="1">
        <v>0.8</v>
      </c>
      <c r="Z52" s="1">
        <v>10</v>
      </c>
      <c r="AA52" s="36">
        <f t="shared" si="25"/>
        <v>2.4999999999999987</v>
      </c>
    </row>
    <row r="53" spans="2:27" ht="14.25" customHeight="1" x14ac:dyDescent="0.2">
      <c r="B53" s="1" t="s">
        <v>28</v>
      </c>
      <c r="C53" s="36">
        <f t="shared" si="10"/>
        <v>1</v>
      </c>
      <c r="D53" s="36">
        <f t="shared" si="11"/>
        <v>0.41666666666666669</v>
      </c>
      <c r="E53" s="36">
        <f t="shared" si="12"/>
        <v>0.25</v>
      </c>
      <c r="F53" s="1">
        <v>30</v>
      </c>
      <c r="G53" s="24">
        <f t="shared" si="29"/>
        <v>24.025060243123235</v>
      </c>
      <c r="H53" s="24">
        <f t="shared" si="29"/>
        <v>917.22637844520455</v>
      </c>
      <c r="I53" s="24">
        <f t="shared" si="29"/>
        <v>411.61355953815848</v>
      </c>
      <c r="J53" s="24">
        <f t="shared" si="14"/>
        <v>80.083534143744117</v>
      </c>
      <c r="K53" s="24">
        <f t="shared" si="15"/>
        <v>3057.4212614840153</v>
      </c>
      <c r="L53" s="24">
        <f t="shared" si="16"/>
        <v>411.61355953815848</v>
      </c>
      <c r="N53" s="1">
        <f t="shared" si="17"/>
        <v>30</v>
      </c>
      <c r="O53" s="24">
        <f t="shared" si="18"/>
        <v>4004.1767071872059</v>
      </c>
      <c r="P53" s="24">
        <f t="shared" si="19"/>
        <v>175215.71997258384</v>
      </c>
      <c r="Q53" s="24">
        <f t="shared" si="20"/>
        <v>30871.016965361887</v>
      </c>
      <c r="R53" s="1">
        <f t="shared" si="21"/>
        <v>30</v>
      </c>
      <c r="S53" s="24">
        <f t="shared" si="26"/>
        <v>800.83534143744123</v>
      </c>
      <c r="T53" s="24">
        <f t="shared" si="27"/>
        <v>19468.413330287094</v>
      </c>
      <c r="U53" s="24">
        <f t="shared" si="28"/>
        <v>30871.016965361887</v>
      </c>
      <c r="V53" s="1">
        <v>0.4</v>
      </c>
      <c r="W53" s="1">
        <v>1.5</v>
      </c>
      <c r="X53" s="1">
        <v>1</v>
      </c>
      <c r="Y53" s="1">
        <v>0.8</v>
      </c>
      <c r="Z53" s="1">
        <v>10</v>
      </c>
      <c r="AA53" s="36">
        <f t="shared" si="25"/>
        <v>2.4999999999999991</v>
      </c>
    </row>
    <row r="54" spans="2:27" ht="14.25" customHeight="1" x14ac:dyDescent="0.2">
      <c r="B54" s="1" t="s">
        <v>28</v>
      </c>
      <c r="C54" s="36">
        <f t="shared" si="10"/>
        <v>1</v>
      </c>
      <c r="D54" s="36">
        <f t="shared" si="11"/>
        <v>0.41666666666666669</v>
      </c>
      <c r="E54" s="36">
        <f t="shared" si="12"/>
        <v>0.25</v>
      </c>
      <c r="F54" s="1">
        <v>31</v>
      </c>
      <c r="G54" s="24">
        <f t="shared" si="29"/>
        <v>25.226313255279386</v>
      </c>
      <c r="H54" s="24">
        <f t="shared" si="29"/>
        <v>963.08769736746444</v>
      </c>
      <c r="I54" s="24">
        <f t="shared" si="29"/>
        <v>432.19423751506622</v>
      </c>
      <c r="J54" s="24">
        <f t="shared" si="14"/>
        <v>84.087710850931288</v>
      </c>
      <c r="K54" s="24">
        <f t="shared" si="15"/>
        <v>3210.2923245582151</v>
      </c>
      <c r="L54" s="24">
        <f t="shared" si="16"/>
        <v>432.19423751506622</v>
      </c>
      <c r="N54" s="1">
        <f t="shared" si="17"/>
        <v>31</v>
      </c>
      <c r="O54" s="24">
        <f t="shared" si="18"/>
        <v>4204.3855425465645</v>
      </c>
      <c r="P54" s="24">
        <f t="shared" si="19"/>
        <v>181831.89985617466</v>
      </c>
      <c r="Q54" s="24">
        <f t="shared" si="20"/>
        <v>32414.567813629965</v>
      </c>
      <c r="R54" s="1">
        <f t="shared" si="21"/>
        <v>31</v>
      </c>
      <c r="S54" s="24">
        <f t="shared" si="26"/>
        <v>840.87710850931285</v>
      </c>
      <c r="T54" s="24">
        <f t="shared" si="27"/>
        <v>20203.544428463851</v>
      </c>
      <c r="U54" s="24">
        <f t="shared" si="28"/>
        <v>32414.567813629965</v>
      </c>
      <c r="V54" s="1">
        <v>0.4</v>
      </c>
      <c r="W54" s="1">
        <v>1.5</v>
      </c>
      <c r="X54" s="1">
        <v>1</v>
      </c>
      <c r="Y54" s="1">
        <v>0.8</v>
      </c>
      <c r="Z54" s="1">
        <v>10</v>
      </c>
      <c r="AA54" s="36">
        <f t="shared" si="25"/>
        <v>2.5</v>
      </c>
    </row>
    <row r="55" spans="2:27" ht="14.25" customHeight="1" x14ac:dyDescent="0.2">
      <c r="B55" s="1" t="s">
        <v>28</v>
      </c>
      <c r="C55" s="36">
        <f t="shared" si="10"/>
        <v>1</v>
      </c>
      <c r="D55" s="36">
        <f t="shared" si="11"/>
        <v>0.41666666666666669</v>
      </c>
      <c r="E55" s="36">
        <f t="shared" si="12"/>
        <v>0.25</v>
      </c>
      <c r="F55" s="1">
        <v>32</v>
      </c>
      <c r="G55" s="24">
        <f t="shared" si="29"/>
        <v>26.487628918043367</v>
      </c>
      <c r="H55" s="24">
        <f t="shared" si="29"/>
        <v>1011.242082235838</v>
      </c>
      <c r="I55" s="24">
        <f t="shared" si="29"/>
        <v>453.80394939081975</v>
      </c>
      <c r="J55" s="24">
        <f t="shared" si="14"/>
        <v>88.292096393477891</v>
      </c>
      <c r="K55" s="24">
        <f t="shared" si="15"/>
        <v>3370.8069407861267</v>
      </c>
      <c r="L55" s="24">
        <f t="shared" si="16"/>
        <v>453.80394939081975</v>
      </c>
      <c r="N55" s="1">
        <f t="shared" si="17"/>
        <v>32</v>
      </c>
      <c r="O55" s="24">
        <f t="shared" si="18"/>
        <v>4414.6048196738948</v>
      </c>
      <c r="P55" s="24">
        <f t="shared" si="19"/>
        <v>188614.88556984099</v>
      </c>
      <c r="Q55" s="24">
        <f t="shared" si="20"/>
        <v>34035.296204311482</v>
      </c>
      <c r="R55" s="1">
        <f t="shared" si="21"/>
        <v>32</v>
      </c>
      <c r="S55" s="24">
        <f t="shared" si="26"/>
        <v>882.92096393477891</v>
      </c>
      <c r="T55" s="24">
        <f t="shared" si="27"/>
        <v>20957.209507760112</v>
      </c>
      <c r="U55" s="24">
        <f t="shared" si="28"/>
        <v>34035.296204311482</v>
      </c>
      <c r="V55" s="1">
        <v>0.4</v>
      </c>
      <c r="W55" s="1">
        <v>1.5</v>
      </c>
      <c r="X55" s="1">
        <v>1</v>
      </c>
      <c r="Y55" s="1">
        <v>0.8</v>
      </c>
      <c r="Z55" s="1">
        <v>10</v>
      </c>
      <c r="AA55" s="36">
        <f t="shared" si="25"/>
        <v>2.4999999999999991</v>
      </c>
    </row>
    <row r="56" spans="2:27" ht="14.25" customHeight="1" x14ac:dyDescent="0.2">
      <c r="B56" s="1" t="s">
        <v>28</v>
      </c>
      <c r="C56" s="36">
        <f t="shared" si="10"/>
        <v>1</v>
      </c>
      <c r="D56" s="36">
        <f t="shared" si="11"/>
        <v>0.41666666666666669</v>
      </c>
      <c r="E56" s="36">
        <f t="shared" si="12"/>
        <v>0.25</v>
      </c>
      <c r="F56" s="1">
        <v>33</v>
      </c>
      <c r="G56" s="24">
        <f t="shared" si="29"/>
        <v>27.812010363945532</v>
      </c>
      <c r="H56" s="24">
        <f t="shared" si="29"/>
        <v>1061.8041863476299</v>
      </c>
      <c r="I56" s="24">
        <f t="shared" si="29"/>
        <v>476.49414686036067</v>
      </c>
      <c r="J56" s="24">
        <f t="shared" si="14"/>
        <v>92.706701213151774</v>
      </c>
      <c r="K56" s="24">
        <f t="shared" si="15"/>
        <v>3539.3472878254329</v>
      </c>
      <c r="L56" s="24">
        <f t="shared" si="16"/>
        <v>476.49414686036067</v>
      </c>
      <c r="N56" s="1">
        <f t="shared" si="17"/>
        <v>33</v>
      </c>
      <c r="O56" s="24">
        <f t="shared" si="18"/>
        <v>4635.3350606575887</v>
      </c>
      <c r="P56" s="24">
        <f t="shared" si="19"/>
        <v>195562.68907170312</v>
      </c>
      <c r="Q56" s="24">
        <f t="shared" si="20"/>
        <v>35737.061014527048</v>
      </c>
      <c r="R56" s="1">
        <f t="shared" si="21"/>
        <v>33</v>
      </c>
      <c r="S56" s="24">
        <f t="shared" si="26"/>
        <v>927.06701213151769</v>
      </c>
      <c r="T56" s="24">
        <f t="shared" si="27"/>
        <v>21729.187674633678</v>
      </c>
      <c r="U56" s="24">
        <f t="shared" si="28"/>
        <v>35737.061014527048</v>
      </c>
      <c r="V56" s="1">
        <v>0.4</v>
      </c>
      <c r="W56" s="1">
        <v>1.5</v>
      </c>
      <c r="X56" s="1">
        <v>1</v>
      </c>
      <c r="Y56" s="1">
        <v>0.8</v>
      </c>
      <c r="Z56" s="1">
        <v>10</v>
      </c>
      <c r="AA56" s="36">
        <f t="shared" si="25"/>
        <v>2.4999999999999996</v>
      </c>
    </row>
    <row r="57" spans="2:27" ht="14.25" customHeight="1" x14ac:dyDescent="0.2">
      <c r="B57" s="1" t="s">
        <v>28</v>
      </c>
      <c r="C57" s="36">
        <f t="shared" si="10"/>
        <v>1</v>
      </c>
      <c r="D57" s="36">
        <f t="shared" si="11"/>
        <v>0.41666666666666669</v>
      </c>
      <c r="E57" s="36">
        <f t="shared" si="12"/>
        <v>0.25</v>
      </c>
      <c r="F57" s="1">
        <v>34</v>
      </c>
      <c r="G57" s="24">
        <f t="shared" si="29"/>
        <v>29.20261088214281</v>
      </c>
      <c r="H57" s="24">
        <f t="shared" si="29"/>
        <v>1114.8943956650114</v>
      </c>
      <c r="I57" s="24">
        <f t="shared" si="29"/>
        <v>500.31885420337875</v>
      </c>
      <c r="J57" s="24">
        <f t="shared" si="14"/>
        <v>97.34203627380937</v>
      </c>
      <c r="K57" s="24">
        <f t="shared" si="15"/>
        <v>3716.3146522167049</v>
      </c>
      <c r="L57" s="24">
        <f t="shared" si="16"/>
        <v>500.31885420337875</v>
      </c>
      <c r="N57" s="1">
        <f t="shared" si="17"/>
        <v>34</v>
      </c>
      <c r="O57" s="24">
        <f t="shared" si="18"/>
        <v>4867.1018136904686</v>
      </c>
      <c r="P57" s="24">
        <f t="shared" si="19"/>
        <v>202672.82298553683</v>
      </c>
      <c r="Q57" s="24">
        <f t="shared" si="20"/>
        <v>37523.914065253404</v>
      </c>
      <c r="R57" s="1">
        <f t="shared" si="21"/>
        <v>34</v>
      </c>
      <c r="S57" s="24">
        <f t="shared" si="26"/>
        <v>973.42036273809367</v>
      </c>
      <c r="T57" s="24">
        <f t="shared" si="27"/>
        <v>22519.202553948537</v>
      </c>
      <c r="U57" s="24">
        <f t="shared" si="28"/>
        <v>37523.914065253404</v>
      </c>
      <c r="V57" s="1">
        <v>0.4</v>
      </c>
      <c r="W57" s="1">
        <v>1.5</v>
      </c>
      <c r="X57" s="1">
        <v>1</v>
      </c>
      <c r="Y57" s="1">
        <v>0.8</v>
      </c>
      <c r="Z57" s="1">
        <v>10</v>
      </c>
      <c r="AA57" s="36">
        <f t="shared" si="25"/>
        <v>2.4999999999999991</v>
      </c>
    </row>
    <row r="58" spans="2:27" ht="14.25" customHeight="1" x14ac:dyDescent="0.2">
      <c r="B58" s="1" t="s">
        <v>28</v>
      </c>
      <c r="C58" s="36">
        <f t="shared" si="10"/>
        <v>1</v>
      </c>
      <c r="D58" s="36">
        <f t="shared" si="11"/>
        <v>0.41666666666666669</v>
      </c>
      <c r="E58" s="36">
        <f t="shared" si="12"/>
        <v>0.25</v>
      </c>
      <c r="F58" s="1">
        <v>35</v>
      </c>
      <c r="G58" s="24">
        <f t="shared" si="29"/>
        <v>30.662741426249951</v>
      </c>
      <c r="H58" s="24">
        <f t="shared" si="29"/>
        <v>1170.6391154482619</v>
      </c>
      <c r="I58" s="24">
        <f t="shared" si="29"/>
        <v>525.33479691354762</v>
      </c>
      <c r="J58" s="24">
        <f t="shared" si="14"/>
        <v>102.20913808749984</v>
      </c>
      <c r="K58" s="24">
        <f t="shared" si="15"/>
        <v>3902.1303848275397</v>
      </c>
      <c r="L58" s="24">
        <f t="shared" si="16"/>
        <v>525.33479691354762</v>
      </c>
      <c r="N58" s="1">
        <f t="shared" si="17"/>
        <v>35</v>
      </c>
      <c r="O58" s="24">
        <f t="shared" si="18"/>
        <v>5110.4569043749916</v>
      </c>
      <c r="P58" s="24">
        <f t="shared" si="19"/>
        <v>209942.28723926266</v>
      </c>
      <c r="Q58" s="24">
        <f t="shared" si="20"/>
        <v>39400.109768516071</v>
      </c>
      <c r="R58" s="1">
        <f t="shared" si="21"/>
        <v>35</v>
      </c>
      <c r="S58" s="24">
        <f t="shared" si="26"/>
        <v>1022.0913808749983</v>
      </c>
      <c r="T58" s="24">
        <f t="shared" si="27"/>
        <v>23326.920804362519</v>
      </c>
      <c r="U58" s="24">
        <f t="shared" si="28"/>
        <v>39400.109768516071</v>
      </c>
      <c r="V58" s="1">
        <v>0.4</v>
      </c>
      <c r="W58" s="1">
        <v>1.5</v>
      </c>
      <c r="X58" s="1">
        <v>1</v>
      </c>
      <c r="Y58" s="1">
        <v>0.8</v>
      </c>
      <c r="Z58" s="1">
        <v>10</v>
      </c>
      <c r="AA58" s="36">
        <f t="shared" si="25"/>
        <v>2.4999999999999996</v>
      </c>
    </row>
    <row r="59" spans="2:27" ht="14.25" customHeight="1" x14ac:dyDescent="0.2">
      <c r="B59" s="1" t="s">
        <v>28</v>
      </c>
      <c r="C59" s="36">
        <f t="shared" si="10"/>
        <v>1</v>
      </c>
      <c r="D59" s="36">
        <f t="shared" si="11"/>
        <v>0.41666666666666669</v>
      </c>
      <c r="E59" s="36">
        <f t="shared" si="12"/>
        <v>0.25</v>
      </c>
      <c r="F59" s="1">
        <v>36</v>
      </c>
      <c r="G59" s="24">
        <f t="shared" si="29"/>
        <v>32.195878497562454</v>
      </c>
      <c r="H59" s="24">
        <f t="shared" si="29"/>
        <v>1229.1710712206752</v>
      </c>
      <c r="I59" s="24">
        <f t="shared" si="29"/>
        <v>551.60153675922516</v>
      </c>
      <c r="J59" s="24">
        <f t="shared" si="14"/>
        <v>107.31959499187485</v>
      </c>
      <c r="K59" s="24">
        <f t="shared" si="15"/>
        <v>4097.2369040689173</v>
      </c>
      <c r="L59" s="24">
        <f t="shared" si="16"/>
        <v>551.60153675922516</v>
      </c>
      <c r="N59" s="1">
        <f t="shared" si="17"/>
        <v>36</v>
      </c>
      <c r="O59" s="24">
        <f t="shared" si="18"/>
        <v>5365.9797495937428</v>
      </c>
      <c r="P59" s="24">
        <f t="shared" si="19"/>
        <v>217367.55837445593</v>
      </c>
      <c r="Q59" s="24">
        <f t="shared" si="20"/>
        <v>41370.115256941885</v>
      </c>
      <c r="R59" s="1">
        <f t="shared" si="21"/>
        <v>36</v>
      </c>
      <c r="S59" s="24">
        <f t="shared" si="26"/>
        <v>1073.1959499187485</v>
      </c>
      <c r="T59" s="24">
        <f t="shared" si="27"/>
        <v>24151.950930495103</v>
      </c>
      <c r="U59" s="24">
        <f t="shared" si="28"/>
        <v>41370.115256941885</v>
      </c>
      <c r="V59" s="1">
        <v>0.4</v>
      </c>
      <c r="W59" s="1">
        <v>1.5</v>
      </c>
      <c r="X59" s="1">
        <v>1</v>
      </c>
      <c r="Y59" s="1">
        <v>0.8</v>
      </c>
      <c r="Z59" s="1">
        <v>10</v>
      </c>
      <c r="AA59" s="36">
        <f t="shared" si="25"/>
        <v>2.4999999999999991</v>
      </c>
    </row>
    <row r="60" spans="2:27" ht="14.25" customHeight="1" x14ac:dyDescent="0.2">
      <c r="B60" s="1" t="s">
        <v>28</v>
      </c>
      <c r="C60" s="36">
        <f t="shared" si="10"/>
        <v>1</v>
      </c>
      <c r="D60" s="36">
        <f t="shared" si="11"/>
        <v>0.41666666666666669</v>
      </c>
      <c r="E60" s="36">
        <f t="shared" si="12"/>
        <v>0.25</v>
      </c>
      <c r="F60" s="1">
        <v>37</v>
      </c>
      <c r="G60" s="24">
        <f t="shared" si="29"/>
        <v>33.805672422440573</v>
      </c>
      <c r="H60" s="24">
        <f t="shared" si="29"/>
        <v>1290.6296247817088</v>
      </c>
      <c r="I60" s="24">
        <f t="shared" si="29"/>
        <v>579.18161359718624</v>
      </c>
      <c r="J60" s="24">
        <f t="shared" si="14"/>
        <v>112.68557474146859</v>
      </c>
      <c r="K60" s="24">
        <f t="shared" si="15"/>
        <v>4302.0987492723625</v>
      </c>
      <c r="L60" s="24">
        <f t="shared" si="16"/>
        <v>579.18161359718624</v>
      </c>
      <c r="N60" s="1">
        <f t="shared" si="17"/>
        <v>37</v>
      </c>
      <c r="O60" s="24">
        <f t="shared" si="18"/>
        <v>5634.2787370734304</v>
      </c>
      <c r="P60" s="24">
        <f t="shared" si="19"/>
        <v>224944.5818019353</v>
      </c>
      <c r="Q60" s="24">
        <f t="shared" si="20"/>
        <v>43438.621019788967</v>
      </c>
      <c r="R60" s="1">
        <f t="shared" si="21"/>
        <v>37</v>
      </c>
      <c r="S60" s="24">
        <f t="shared" si="26"/>
        <v>1126.855747414686</v>
      </c>
      <c r="T60" s="24">
        <f t="shared" si="27"/>
        <v>24993.842422437257</v>
      </c>
      <c r="U60" s="24">
        <f t="shared" si="28"/>
        <v>43438.621019788967</v>
      </c>
      <c r="V60" s="1">
        <v>0.4</v>
      </c>
      <c r="W60" s="1">
        <v>1.5</v>
      </c>
      <c r="X60" s="1">
        <v>1</v>
      </c>
      <c r="Y60" s="1">
        <v>0.8</v>
      </c>
      <c r="Z60" s="1">
        <v>10</v>
      </c>
      <c r="AA60" s="36">
        <f t="shared" si="25"/>
        <v>2.4999999999999991</v>
      </c>
    </row>
    <row r="61" spans="2:27" ht="14.25" customHeight="1" x14ac:dyDescent="0.2">
      <c r="B61" s="1" t="s">
        <v>28</v>
      </c>
      <c r="C61" s="36">
        <f t="shared" si="10"/>
        <v>1</v>
      </c>
      <c r="D61" s="36">
        <f t="shared" si="11"/>
        <v>0.41666666666666669</v>
      </c>
      <c r="E61" s="36">
        <f t="shared" si="12"/>
        <v>0.25</v>
      </c>
      <c r="F61" s="1">
        <v>38</v>
      </c>
      <c r="G61" s="24">
        <f t="shared" si="29"/>
        <v>35.4959560435626</v>
      </c>
      <c r="H61" s="24">
        <f t="shared" si="29"/>
        <v>1355.1611060207943</v>
      </c>
      <c r="I61" s="24">
        <f t="shared" si="29"/>
        <v>608.14069427704567</v>
      </c>
      <c r="J61" s="24">
        <f t="shared" si="14"/>
        <v>118.319853478542</v>
      </c>
      <c r="K61" s="24">
        <f t="shared" si="15"/>
        <v>4517.2036867359811</v>
      </c>
      <c r="L61" s="24">
        <f t="shared" si="16"/>
        <v>608.14069427704567</v>
      </c>
      <c r="N61" s="1">
        <f t="shared" si="17"/>
        <v>38</v>
      </c>
      <c r="O61" s="24">
        <f t="shared" si="18"/>
        <v>5915.9926739271004</v>
      </c>
      <c r="P61" s="24">
        <f t="shared" si="19"/>
        <v>232668.76726112491</v>
      </c>
      <c r="Q61" s="24">
        <f t="shared" si="20"/>
        <v>45610.552070778424</v>
      </c>
      <c r="R61" s="1">
        <f t="shared" si="21"/>
        <v>38</v>
      </c>
      <c r="S61" s="24">
        <f t="shared" si="26"/>
        <v>1183.1985347854202</v>
      </c>
      <c r="T61" s="24">
        <f t="shared" si="27"/>
        <v>25852.085251236102</v>
      </c>
      <c r="U61" s="24">
        <f t="shared" si="28"/>
        <v>45610.552070778424</v>
      </c>
      <c r="V61" s="1">
        <v>0.4</v>
      </c>
      <c r="W61" s="1">
        <v>1.5</v>
      </c>
      <c r="X61" s="1">
        <v>1</v>
      </c>
      <c r="Y61" s="1">
        <v>0.8</v>
      </c>
      <c r="Z61" s="1">
        <v>10</v>
      </c>
      <c r="AA61" s="36">
        <f t="shared" si="25"/>
        <v>2.4999999999999987</v>
      </c>
    </row>
    <row r="62" spans="2:27" ht="14.25" customHeight="1" x14ac:dyDescent="0.2">
      <c r="B62" s="1" t="s">
        <v>28</v>
      </c>
      <c r="C62" s="36">
        <f t="shared" si="10"/>
        <v>1</v>
      </c>
      <c r="D62" s="36">
        <f t="shared" si="11"/>
        <v>0.41666666666666669</v>
      </c>
      <c r="E62" s="36">
        <f t="shared" si="12"/>
        <v>0.25</v>
      </c>
      <c r="F62" s="1">
        <v>39</v>
      </c>
      <c r="G62" s="24">
        <f t="shared" si="29"/>
        <v>37.270753845740728</v>
      </c>
      <c r="H62" s="24">
        <f t="shared" si="29"/>
        <v>1422.9191613218338</v>
      </c>
      <c r="I62" s="24">
        <f t="shared" si="29"/>
        <v>638.54772899089789</v>
      </c>
      <c r="J62" s="24">
        <f t="shared" si="14"/>
        <v>124.23584615246909</v>
      </c>
      <c r="K62" s="24">
        <f t="shared" si="15"/>
        <v>4743.0638710727799</v>
      </c>
      <c r="L62" s="24">
        <f t="shared" si="16"/>
        <v>638.54772899089789</v>
      </c>
      <c r="N62" s="1">
        <f t="shared" si="17"/>
        <v>39</v>
      </c>
      <c r="O62" s="24">
        <f t="shared" si="18"/>
        <v>6211.7923076234547</v>
      </c>
      <c r="P62" s="24">
        <f t="shared" si="19"/>
        <v>240534.98771787944</v>
      </c>
      <c r="Q62" s="24">
        <f t="shared" si="20"/>
        <v>47891.079674317341</v>
      </c>
      <c r="R62" s="1">
        <f t="shared" si="21"/>
        <v>39</v>
      </c>
      <c r="S62" s="24">
        <f t="shared" si="26"/>
        <v>1242.3584615246909</v>
      </c>
      <c r="T62" s="24">
        <f t="shared" si="27"/>
        <v>26726.109746431048</v>
      </c>
      <c r="U62" s="24">
        <f t="shared" si="28"/>
        <v>47891.079674317341</v>
      </c>
      <c r="V62" s="1">
        <v>0.4</v>
      </c>
      <c r="W62" s="1">
        <v>1.5</v>
      </c>
      <c r="X62" s="1">
        <v>1</v>
      </c>
      <c r="Y62" s="1">
        <v>0.8</v>
      </c>
      <c r="Z62" s="1">
        <v>10</v>
      </c>
      <c r="AA62" s="36">
        <f t="shared" si="25"/>
        <v>2.4999999999999991</v>
      </c>
    </row>
    <row r="63" spans="2:27" ht="14.25" customHeight="1" x14ac:dyDescent="0.2">
      <c r="B63" s="1" t="s">
        <v>28</v>
      </c>
      <c r="C63" s="36">
        <f t="shared" si="10"/>
        <v>1</v>
      </c>
      <c r="D63" s="36">
        <f t="shared" si="11"/>
        <v>0.41666666666666669</v>
      </c>
      <c r="E63" s="36">
        <f t="shared" si="12"/>
        <v>0.25</v>
      </c>
      <c r="F63" s="1">
        <v>40</v>
      </c>
      <c r="G63" s="24">
        <f t="shared" si="29"/>
        <v>39.134291538027767</v>
      </c>
      <c r="H63" s="24">
        <f t="shared" si="29"/>
        <v>1494.0651193879257</v>
      </c>
      <c r="I63" s="24">
        <f t="shared" si="29"/>
        <v>670.47511544044289</v>
      </c>
      <c r="J63" s="24">
        <f t="shared" si="14"/>
        <v>130.44763846009258</v>
      </c>
      <c r="K63" s="24">
        <f t="shared" si="15"/>
        <v>4980.2170646264194</v>
      </c>
      <c r="L63" s="24">
        <f t="shared" si="16"/>
        <v>670.47511544044289</v>
      </c>
      <c r="N63" s="1">
        <f t="shared" si="17"/>
        <v>40</v>
      </c>
      <c r="O63" s="24">
        <f t="shared" si="18"/>
        <v>6522.3819230046302</v>
      </c>
      <c r="P63" s="24">
        <f t="shared" si="19"/>
        <v>248537.58190679588</v>
      </c>
      <c r="Q63" s="24">
        <f t="shared" si="20"/>
        <v>50285.633658033214</v>
      </c>
      <c r="R63" s="1">
        <f t="shared" si="21"/>
        <v>40</v>
      </c>
      <c r="S63" s="24">
        <f t="shared" si="26"/>
        <v>1304.4763846009259</v>
      </c>
      <c r="T63" s="24">
        <f t="shared" si="27"/>
        <v>27615.286878532876</v>
      </c>
      <c r="U63" s="24">
        <f t="shared" si="28"/>
        <v>50285.633658033214</v>
      </c>
      <c r="V63" s="1">
        <v>0.4</v>
      </c>
      <c r="W63" s="1">
        <v>1.5</v>
      </c>
      <c r="X63" s="1">
        <v>1</v>
      </c>
      <c r="Y63" s="1">
        <v>0.8</v>
      </c>
      <c r="Z63" s="1">
        <v>10</v>
      </c>
      <c r="AA63" s="36">
        <f t="shared" si="25"/>
        <v>2.4999999999999987</v>
      </c>
    </row>
    <row r="64" spans="2:27" ht="14.25" customHeight="1" x14ac:dyDescent="0.2">
      <c r="B64" s="1" t="s">
        <v>28</v>
      </c>
      <c r="C64" s="36">
        <f t="shared" si="10"/>
        <v>1</v>
      </c>
      <c r="D64" s="36">
        <f t="shared" si="11"/>
        <v>0.41666666666666669</v>
      </c>
      <c r="E64" s="36">
        <f t="shared" si="12"/>
        <v>0.25</v>
      </c>
      <c r="F64" s="1">
        <v>41</v>
      </c>
      <c r="G64" s="24">
        <f t="shared" si="29"/>
        <v>41.091006114929151</v>
      </c>
      <c r="H64" s="24">
        <f t="shared" si="29"/>
        <v>1568.7683753573219</v>
      </c>
      <c r="I64" s="24">
        <f t="shared" si="29"/>
        <v>703.99887121246491</v>
      </c>
      <c r="J64" s="24">
        <f t="shared" si="14"/>
        <v>136.97002038309716</v>
      </c>
      <c r="K64" s="24">
        <f t="shared" si="15"/>
        <v>5229.2279178577401</v>
      </c>
      <c r="L64" s="24">
        <f t="shared" si="16"/>
        <v>703.99887121246491</v>
      </c>
      <c r="N64" s="1">
        <f t="shared" si="17"/>
        <v>41</v>
      </c>
      <c r="O64" s="24">
        <f t="shared" si="18"/>
        <v>6848.501019154859</v>
      </c>
      <c r="P64" s="24">
        <f t="shared" si="19"/>
        <v>256670.36068982875</v>
      </c>
      <c r="Q64" s="24">
        <f t="shared" si="20"/>
        <v>52799.915340934866</v>
      </c>
      <c r="R64" s="1">
        <f t="shared" si="21"/>
        <v>41</v>
      </c>
      <c r="S64" s="24">
        <f t="shared" si="26"/>
        <v>1369.7002038309718</v>
      </c>
      <c r="T64" s="24">
        <f t="shared" si="27"/>
        <v>28518.928965536528</v>
      </c>
      <c r="U64" s="24">
        <f t="shared" si="28"/>
        <v>52799.915340934866</v>
      </c>
      <c r="V64" s="1">
        <v>0.4</v>
      </c>
      <c r="W64" s="1">
        <v>1.5</v>
      </c>
      <c r="X64" s="1">
        <v>1</v>
      </c>
      <c r="Y64" s="1">
        <v>0.8</v>
      </c>
      <c r="Z64" s="1">
        <v>10</v>
      </c>
      <c r="AA64" s="36">
        <f t="shared" si="25"/>
        <v>2.4999999999999987</v>
      </c>
    </row>
    <row r="65" spans="2:27" ht="14.25" customHeight="1" x14ac:dyDescent="0.2">
      <c r="B65" s="1" t="s">
        <v>28</v>
      </c>
      <c r="C65" s="36">
        <f t="shared" si="10"/>
        <v>1</v>
      </c>
      <c r="D65" s="36">
        <f t="shared" si="11"/>
        <v>0.41666666666666669</v>
      </c>
      <c r="E65" s="36">
        <f t="shared" si="12"/>
        <v>0.25</v>
      </c>
      <c r="F65" s="1">
        <v>42</v>
      </c>
      <c r="G65" s="24">
        <f t="shared" si="29"/>
        <v>43.145556420675618</v>
      </c>
      <c r="H65" s="24">
        <f t="shared" si="29"/>
        <v>1647.206794125188</v>
      </c>
      <c r="I65" s="24">
        <f t="shared" si="29"/>
        <v>739.1988147730882</v>
      </c>
      <c r="J65" s="24">
        <f t="shared" si="14"/>
        <v>143.81852140225206</v>
      </c>
      <c r="K65" s="24">
        <f t="shared" si="15"/>
        <v>5490.6893137506268</v>
      </c>
      <c r="L65" s="24">
        <f t="shared" si="16"/>
        <v>739.1988147730882</v>
      </c>
      <c r="N65" s="1">
        <f t="shared" si="17"/>
        <v>42</v>
      </c>
      <c r="O65" s="24">
        <f t="shared" si="18"/>
        <v>7190.9260701126041</v>
      </c>
      <c r="P65" s="24">
        <f t="shared" si="19"/>
        <v>264926.61736355792</v>
      </c>
      <c r="Q65" s="24">
        <f t="shared" si="20"/>
        <v>55439.911107981614</v>
      </c>
      <c r="R65" s="1">
        <f t="shared" si="21"/>
        <v>42</v>
      </c>
      <c r="S65" s="24">
        <f t="shared" si="26"/>
        <v>1438.1852140225208</v>
      </c>
      <c r="T65" s="24">
        <f t="shared" si="27"/>
        <v>29436.290818173104</v>
      </c>
      <c r="U65" s="24">
        <f t="shared" si="28"/>
        <v>55439.911107981614</v>
      </c>
      <c r="V65" s="1">
        <v>0.4</v>
      </c>
      <c r="W65" s="1">
        <v>1.5</v>
      </c>
      <c r="X65" s="1">
        <v>1</v>
      </c>
      <c r="Y65" s="1">
        <v>0.8</v>
      </c>
      <c r="Z65" s="1">
        <v>10</v>
      </c>
      <c r="AA65" s="36">
        <f t="shared" si="25"/>
        <v>2.4999999999999996</v>
      </c>
    </row>
    <row r="66" spans="2:27" ht="14.25" customHeight="1" x14ac:dyDescent="0.2">
      <c r="B66" s="1" t="s">
        <v>28</v>
      </c>
      <c r="C66" s="36">
        <f t="shared" si="10"/>
        <v>1</v>
      </c>
      <c r="D66" s="36">
        <f t="shared" si="11"/>
        <v>0.41666666666666669</v>
      </c>
      <c r="E66" s="36">
        <f t="shared" si="12"/>
        <v>0.25</v>
      </c>
      <c r="F66" s="1">
        <v>43</v>
      </c>
      <c r="G66" s="24">
        <f t="shared" si="29"/>
        <v>45.302834241709398</v>
      </c>
      <c r="H66" s="24">
        <f t="shared" si="29"/>
        <v>1729.5671338314476</v>
      </c>
      <c r="I66" s="24">
        <f t="shared" si="29"/>
        <v>776.15875551174258</v>
      </c>
      <c r="J66" s="24">
        <f t="shared" si="14"/>
        <v>151.00944747236466</v>
      </c>
      <c r="K66" s="24">
        <f t="shared" si="15"/>
        <v>5765.223779438159</v>
      </c>
      <c r="L66" s="24">
        <f t="shared" si="16"/>
        <v>776.15875551174258</v>
      </c>
      <c r="N66" s="1">
        <f t="shared" si="17"/>
        <v>43</v>
      </c>
      <c r="O66" s="24">
        <f t="shared" si="18"/>
        <v>7550.4723736182332</v>
      </c>
      <c r="P66" s="24">
        <f t="shared" si="19"/>
        <v>273299.14200316137</v>
      </c>
      <c r="Q66" s="24">
        <f t="shared" si="20"/>
        <v>58211.906663380694</v>
      </c>
      <c r="R66" s="1">
        <f t="shared" si="21"/>
        <v>43</v>
      </c>
      <c r="S66" s="24">
        <f t="shared" si="26"/>
        <v>1510.0944747236467</v>
      </c>
      <c r="T66" s="24">
        <f t="shared" si="27"/>
        <v>30366.571333684595</v>
      </c>
      <c r="U66" s="24">
        <f t="shared" si="28"/>
        <v>58211.906663380694</v>
      </c>
      <c r="V66" s="1">
        <v>0.4</v>
      </c>
      <c r="W66" s="1">
        <v>1.5</v>
      </c>
      <c r="X66" s="1">
        <v>1</v>
      </c>
      <c r="Y66" s="1">
        <v>0.8</v>
      </c>
      <c r="Z66" s="1">
        <v>10</v>
      </c>
      <c r="AA66" s="36">
        <f t="shared" si="25"/>
        <v>2.4999999999999996</v>
      </c>
    </row>
    <row r="67" spans="2:27" ht="14.25" customHeight="1" x14ac:dyDescent="0.2">
      <c r="B67" s="1" t="s">
        <v>28</v>
      </c>
      <c r="C67" s="36">
        <f t="shared" si="10"/>
        <v>1</v>
      </c>
      <c r="D67" s="36">
        <f t="shared" si="11"/>
        <v>0.41666666666666669</v>
      </c>
      <c r="E67" s="36">
        <f t="shared" si="12"/>
        <v>0.25</v>
      </c>
      <c r="F67" s="1">
        <v>44</v>
      </c>
      <c r="G67" s="24">
        <f t="shared" si="29"/>
        <v>47.567975953794871</v>
      </c>
      <c r="H67" s="24">
        <f t="shared" si="29"/>
        <v>1816.0454905230201</v>
      </c>
      <c r="I67" s="24">
        <f t="shared" si="29"/>
        <v>814.9666932873298</v>
      </c>
      <c r="J67" s="24">
        <f t="shared" si="14"/>
        <v>158.5599198459829</v>
      </c>
      <c r="K67" s="24">
        <f t="shared" si="15"/>
        <v>6053.4849684100673</v>
      </c>
      <c r="L67" s="24">
        <f t="shared" si="16"/>
        <v>814.9666932873298</v>
      </c>
      <c r="N67" s="1">
        <f t="shared" si="17"/>
        <v>44</v>
      </c>
      <c r="O67" s="24">
        <f t="shared" si="18"/>
        <v>7927.9959922991447</v>
      </c>
      <c r="P67" s="24">
        <f t="shared" si="19"/>
        <v>281780.23988261877</v>
      </c>
      <c r="Q67" s="24">
        <f t="shared" si="20"/>
        <v>61122.501996549734</v>
      </c>
      <c r="R67" s="1">
        <f t="shared" si="21"/>
        <v>44</v>
      </c>
      <c r="S67" s="24">
        <f t="shared" si="26"/>
        <v>1585.599198459829</v>
      </c>
      <c r="T67" s="24">
        <f t="shared" si="27"/>
        <v>31308.915542513198</v>
      </c>
      <c r="U67" s="24">
        <f t="shared" si="28"/>
        <v>61122.501996549734</v>
      </c>
      <c r="V67" s="1">
        <v>0.4</v>
      </c>
      <c r="W67" s="1">
        <v>1.5</v>
      </c>
      <c r="X67" s="1">
        <v>1</v>
      </c>
      <c r="Y67" s="1">
        <v>0.8</v>
      </c>
      <c r="Z67" s="1">
        <v>10</v>
      </c>
      <c r="AA67" s="36">
        <f t="shared" si="25"/>
        <v>2.4999999999999996</v>
      </c>
    </row>
    <row r="68" spans="2:27" ht="14.25" customHeight="1" x14ac:dyDescent="0.2">
      <c r="B68" s="1" t="s">
        <v>28</v>
      </c>
      <c r="C68" s="36">
        <f t="shared" si="10"/>
        <v>1</v>
      </c>
      <c r="D68" s="36">
        <f t="shared" si="11"/>
        <v>0.41666666666666669</v>
      </c>
      <c r="E68" s="36">
        <f t="shared" si="12"/>
        <v>0.25</v>
      </c>
      <c r="F68" s="1">
        <v>45</v>
      </c>
      <c r="G68" s="24">
        <f t="shared" si="29"/>
        <v>49.946374751484612</v>
      </c>
      <c r="H68" s="24">
        <f t="shared" si="29"/>
        <v>1906.8477650491709</v>
      </c>
      <c r="I68" s="24">
        <f t="shared" si="29"/>
        <v>855.71502795169624</v>
      </c>
      <c r="J68" s="24">
        <f t="shared" si="14"/>
        <v>166.48791583828205</v>
      </c>
      <c r="K68" s="24">
        <f t="shared" si="15"/>
        <v>6356.1592168305697</v>
      </c>
      <c r="L68" s="24">
        <f t="shared" si="16"/>
        <v>855.71502795169624</v>
      </c>
      <c r="N68" s="1">
        <f t="shared" si="17"/>
        <v>45</v>
      </c>
      <c r="O68" s="24">
        <f t="shared" si="18"/>
        <v>8324.395791914103</v>
      </c>
      <c r="P68" s="24">
        <f t="shared" si="19"/>
        <v>290361.75395866245</v>
      </c>
      <c r="Q68" s="24">
        <f t="shared" si="20"/>
        <v>64178.627096377219</v>
      </c>
      <c r="R68" s="1">
        <f t="shared" si="21"/>
        <v>45</v>
      </c>
      <c r="S68" s="24">
        <f t="shared" si="26"/>
        <v>1664.8791583828206</v>
      </c>
      <c r="T68" s="24">
        <f t="shared" si="27"/>
        <v>32262.417106518049</v>
      </c>
      <c r="U68" s="24">
        <f t="shared" si="28"/>
        <v>64178.627096377219</v>
      </c>
      <c r="V68" s="1">
        <v>0.4</v>
      </c>
      <c r="W68" s="1">
        <v>1.5</v>
      </c>
      <c r="X68" s="1">
        <v>1</v>
      </c>
      <c r="Y68" s="1">
        <v>0.8</v>
      </c>
      <c r="Z68" s="1">
        <v>10</v>
      </c>
      <c r="AA68" s="36">
        <f t="shared" si="25"/>
        <v>2.4999999999999996</v>
      </c>
    </row>
    <row r="69" spans="2:27" ht="14.25" customHeight="1" x14ac:dyDescent="0.2">
      <c r="B69" s="1" t="s">
        <v>28</v>
      </c>
      <c r="C69" s="36">
        <f t="shared" si="10"/>
        <v>1</v>
      </c>
      <c r="D69" s="36">
        <f t="shared" si="11"/>
        <v>0.41666666666666669</v>
      </c>
      <c r="E69" s="36">
        <f t="shared" si="12"/>
        <v>0.25</v>
      </c>
      <c r="F69" s="1">
        <v>46</v>
      </c>
      <c r="G69" s="24">
        <f t="shared" si="29"/>
        <v>52.443693489058852</v>
      </c>
      <c r="H69" s="24">
        <f t="shared" si="29"/>
        <v>2002.1901533016298</v>
      </c>
      <c r="I69" s="24">
        <f t="shared" si="29"/>
        <v>898.50077934928117</v>
      </c>
      <c r="J69" s="24">
        <f t="shared" si="14"/>
        <v>174.81231163019618</v>
      </c>
      <c r="K69" s="24">
        <f t="shared" si="15"/>
        <v>6673.9671776720998</v>
      </c>
      <c r="L69" s="24">
        <f t="shared" si="16"/>
        <v>898.50077934928117</v>
      </c>
      <c r="N69" s="1">
        <f t="shared" si="17"/>
        <v>46</v>
      </c>
      <c r="O69" s="24">
        <f t="shared" si="18"/>
        <v>8740.6155815098082</v>
      </c>
      <c r="P69" s="24">
        <f t="shared" si="19"/>
        <v>299035.09135139716</v>
      </c>
      <c r="Q69" s="24">
        <f t="shared" si="20"/>
        <v>67387.558451196091</v>
      </c>
      <c r="R69" s="1">
        <f t="shared" si="21"/>
        <v>46</v>
      </c>
      <c r="S69" s="24">
        <f t="shared" si="26"/>
        <v>1748.1231163019615</v>
      </c>
      <c r="T69" s="24">
        <f t="shared" si="27"/>
        <v>33226.121261266351</v>
      </c>
      <c r="U69" s="24">
        <f t="shared" si="28"/>
        <v>67387.558451196091</v>
      </c>
      <c r="V69" s="1">
        <v>0.4</v>
      </c>
      <c r="W69" s="1">
        <v>1.5</v>
      </c>
      <c r="X69" s="1">
        <v>1</v>
      </c>
      <c r="Y69" s="1">
        <v>0.8</v>
      </c>
      <c r="Z69" s="1">
        <v>10</v>
      </c>
      <c r="AA69" s="36">
        <f t="shared" si="25"/>
        <v>2.4999999999999996</v>
      </c>
    </row>
    <row r="70" spans="2:27" ht="14.25" customHeight="1" x14ac:dyDescent="0.2">
      <c r="B70" s="1" t="s">
        <v>28</v>
      </c>
      <c r="C70" s="36">
        <f t="shared" si="10"/>
        <v>1</v>
      </c>
      <c r="D70" s="36">
        <f t="shared" si="11"/>
        <v>0.41666666666666669</v>
      </c>
      <c r="E70" s="36">
        <f t="shared" si="12"/>
        <v>0.25</v>
      </c>
      <c r="F70" s="1">
        <v>47</v>
      </c>
      <c r="G70" s="24">
        <f t="shared" si="29"/>
        <v>55.065878163511776</v>
      </c>
      <c r="H70" s="24">
        <f t="shared" si="29"/>
        <v>2102.2996609667107</v>
      </c>
      <c r="I70" s="24">
        <f t="shared" si="29"/>
        <v>943.42581831674511</v>
      </c>
      <c r="J70" s="24">
        <f t="shared" si="14"/>
        <v>183.55292721170593</v>
      </c>
      <c r="K70" s="24">
        <f t="shared" si="15"/>
        <v>7007.6655365557026</v>
      </c>
      <c r="L70" s="24">
        <f t="shared" si="16"/>
        <v>943.42581831674511</v>
      </c>
      <c r="N70" s="1">
        <f t="shared" si="17"/>
        <v>47</v>
      </c>
      <c r="O70" s="24">
        <f t="shared" si="18"/>
        <v>9177.6463605852987</v>
      </c>
      <c r="P70" s="24">
        <f t="shared" si="19"/>
        <v>307791.25369835034</v>
      </c>
      <c r="Q70" s="24">
        <f t="shared" si="20"/>
        <v>70756.936373755889</v>
      </c>
      <c r="R70" s="1">
        <f t="shared" si="21"/>
        <v>47</v>
      </c>
      <c r="S70" s="24">
        <f t="shared" si="26"/>
        <v>1835.5292721170597</v>
      </c>
      <c r="T70" s="24">
        <f t="shared" si="27"/>
        <v>34199.02818870559</v>
      </c>
      <c r="U70" s="24">
        <f t="shared" si="28"/>
        <v>70756.936373755889</v>
      </c>
      <c r="V70" s="1">
        <v>0.4</v>
      </c>
      <c r="W70" s="1">
        <v>1.5</v>
      </c>
      <c r="X70" s="1">
        <v>1</v>
      </c>
      <c r="Y70" s="1">
        <v>0.8</v>
      </c>
      <c r="Z70" s="1">
        <v>10</v>
      </c>
      <c r="AA70" s="36">
        <f t="shared" si="25"/>
        <v>2.4999999999999982</v>
      </c>
    </row>
    <row r="71" spans="2:27" ht="14.25" customHeight="1" x14ac:dyDescent="0.2">
      <c r="B71" s="1" t="s">
        <v>28</v>
      </c>
      <c r="C71" s="36">
        <f t="shared" si="10"/>
        <v>1</v>
      </c>
      <c r="D71" s="36">
        <f t="shared" si="11"/>
        <v>0.41666666666666669</v>
      </c>
      <c r="E71" s="36">
        <f t="shared" si="12"/>
        <v>0.25</v>
      </c>
      <c r="F71" s="1">
        <v>48</v>
      </c>
      <c r="G71" s="24">
        <f t="shared" si="29"/>
        <v>57.819172071687383</v>
      </c>
      <c r="H71" s="24">
        <f t="shared" si="29"/>
        <v>2207.4146440150471</v>
      </c>
      <c r="I71" s="24">
        <f t="shared" si="29"/>
        <v>990.59710923258262</v>
      </c>
      <c r="J71" s="24">
        <f t="shared" si="14"/>
        <v>192.73057357229129</v>
      </c>
      <c r="K71" s="24">
        <f t="shared" si="15"/>
        <v>7358.0488133834906</v>
      </c>
      <c r="L71" s="24">
        <f t="shared" si="16"/>
        <v>990.59710923258262</v>
      </c>
      <c r="N71" s="1">
        <f t="shared" si="17"/>
        <v>48</v>
      </c>
      <c r="O71" s="24">
        <f t="shared" si="18"/>
        <v>9636.5286786145662</v>
      </c>
      <c r="P71" s="24">
        <f t="shared" si="19"/>
        <v>316620.87120212021</v>
      </c>
      <c r="Q71" s="24">
        <f t="shared" si="20"/>
        <v>74294.78319244369</v>
      </c>
      <c r="R71" s="1">
        <f t="shared" si="21"/>
        <v>48</v>
      </c>
      <c r="S71" s="24">
        <f t="shared" si="26"/>
        <v>1927.3057357229131</v>
      </c>
      <c r="T71" s="24">
        <f t="shared" si="27"/>
        <v>35180.09680023558</v>
      </c>
      <c r="U71" s="24">
        <f t="shared" si="28"/>
        <v>74294.78319244369</v>
      </c>
      <c r="V71" s="1">
        <v>0.4</v>
      </c>
      <c r="W71" s="1">
        <v>1.5</v>
      </c>
      <c r="X71" s="1">
        <v>1</v>
      </c>
      <c r="Y71" s="1">
        <v>0.8</v>
      </c>
      <c r="Z71" s="1">
        <v>10</v>
      </c>
      <c r="AA71" s="36">
        <f t="shared" si="25"/>
        <v>2.4999999999999991</v>
      </c>
    </row>
    <row r="72" spans="2:27" ht="14.25" customHeight="1" x14ac:dyDescent="0.2">
      <c r="B72" s="1" t="s">
        <v>28</v>
      </c>
      <c r="C72" s="36">
        <f t="shared" si="10"/>
        <v>1</v>
      </c>
      <c r="D72" s="36">
        <f t="shared" si="11"/>
        <v>0.41666666666666669</v>
      </c>
      <c r="E72" s="36">
        <f t="shared" si="12"/>
        <v>0.25</v>
      </c>
      <c r="F72" s="1">
        <v>49</v>
      </c>
      <c r="G72" s="24">
        <f t="shared" si="29"/>
        <v>60.710130675271749</v>
      </c>
      <c r="H72" s="24">
        <f t="shared" si="29"/>
        <v>2317.7853762157993</v>
      </c>
      <c r="I72" s="24">
        <f t="shared" si="29"/>
        <v>1040.1269646942117</v>
      </c>
      <c r="J72" s="24">
        <f t="shared" si="14"/>
        <v>202.36710225090584</v>
      </c>
      <c r="K72" s="24">
        <f t="shared" si="15"/>
        <v>7725.9512540526648</v>
      </c>
      <c r="L72" s="24">
        <f t="shared" si="16"/>
        <v>1040.1269646942117</v>
      </c>
      <c r="N72" s="1">
        <f t="shared" si="17"/>
        <v>49</v>
      </c>
      <c r="O72" s="24">
        <f t="shared" si="18"/>
        <v>10118.355112545294</v>
      </c>
      <c r="P72" s="24">
        <f t="shared" si="19"/>
        <v>325514.24013594358</v>
      </c>
      <c r="Q72" s="24">
        <f t="shared" si="20"/>
        <v>78009.522352065876</v>
      </c>
      <c r="R72" s="1">
        <f t="shared" si="21"/>
        <v>49</v>
      </c>
      <c r="S72" s="24">
        <f t="shared" si="26"/>
        <v>2023.6710225090587</v>
      </c>
      <c r="T72" s="24">
        <f t="shared" si="27"/>
        <v>36168.248903993728</v>
      </c>
      <c r="U72" s="24">
        <f t="shared" si="28"/>
        <v>78009.522352065876</v>
      </c>
      <c r="V72" s="1">
        <v>0.4</v>
      </c>
      <c r="W72" s="1">
        <v>1.5</v>
      </c>
      <c r="X72" s="1">
        <v>1</v>
      </c>
      <c r="Y72" s="1">
        <v>0.8</v>
      </c>
      <c r="Z72" s="1">
        <v>10</v>
      </c>
      <c r="AA72" s="36">
        <f t="shared" si="25"/>
        <v>2.4999999999999991</v>
      </c>
    </row>
    <row r="73" spans="2:27" ht="14.25" customHeight="1" x14ac:dyDescent="0.2">
      <c r="B73" s="1" t="s">
        <v>28</v>
      </c>
      <c r="C73" s="36">
        <f t="shared" si="10"/>
        <v>1</v>
      </c>
      <c r="D73" s="36">
        <f t="shared" si="11"/>
        <v>0.41666666666666669</v>
      </c>
      <c r="E73" s="36">
        <f t="shared" si="12"/>
        <v>0.25</v>
      </c>
      <c r="F73" s="1">
        <v>50</v>
      </c>
      <c r="G73" s="24">
        <f t="shared" si="29"/>
        <v>63.745637209035344</v>
      </c>
      <c r="H73" s="24">
        <f t="shared" si="29"/>
        <v>2433.6746450265891</v>
      </c>
      <c r="I73" s="24">
        <f t="shared" si="29"/>
        <v>1092.1333129289224</v>
      </c>
      <c r="J73" s="24">
        <f t="shared" si="14"/>
        <v>212.48545736345116</v>
      </c>
      <c r="K73" s="24">
        <f t="shared" si="15"/>
        <v>8112.2488167552974</v>
      </c>
      <c r="L73" s="24">
        <f t="shared" si="16"/>
        <v>1092.1333129289224</v>
      </c>
      <c r="N73" s="1">
        <f t="shared" si="17"/>
        <v>50</v>
      </c>
      <c r="O73" s="24">
        <f t="shared" si="18"/>
        <v>10624.27286817256</v>
      </c>
      <c r="P73" s="24">
        <f t="shared" si="19"/>
        <v>334461.36351768055</v>
      </c>
      <c r="Q73" s="24">
        <f t="shared" si="20"/>
        <v>81909.998469669183</v>
      </c>
      <c r="R73" s="1">
        <f t="shared" si="21"/>
        <v>50</v>
      </c>
      <c r="S73" s="24">
        <f t="shared" si="26"/>
        <v>2124.8545736345122</v>
      </c>
      <c r="T73" s="24">
        <f t="shared" si="27"/>
        <v>37162.373724186727</v>
      </c>
      <c r="U73" s="24">
        <f t="shared" si="28"/>
        <v>81909.998469669183</v>
      </c>
      <c r="V73" s="1">
        <v>0.4</v>
      </c>
      <c r="W73" s="1">
        <v>1.5</v>
      </c>
      <c r="X73" s="1">
        <v>1</v>
      </c>
      <c r="Y73" s="1">
        <v>0.8</v>
      </c>
      <c r="Z73" s="1">
        <v>10</v>
      </c>
      <c r="AA73" s="36">
        <f t="shared" si="25"/>
        <v>2.4999999999999987</v>
      </c>
    </row>
    <row r="74" spans="2:27" ht="14.25" customHeight="1" x14ac:dyDescent="0.2">
      <c r="B74" s="1" t="s">
        <v>28</v>
      </c>
      <c r="C74" s="36">
        <f t="shared" si="10"/>
        <v>1</v>
      </c>
      <c r="D74" s="36">
        <f t="shared" si="11"/>
        <v>0.41666666666666669</v>
      </c>
      <c r="E74" s="36">
        <f t="shared" si="12"/>
        <v>0.25</v>
      </c>
      <c r="F74" s="1">
        <v>51</v>
      </c>
      <c r="G74" s="24">
        <f t="shared" si="29"/>
        <v>66.932919069487113</v>
      </c>
      <c r="H74" s="24">
        <f t="shared" si="29"/>
        <v>2555.3583772779189</v>
      </c>
      <c r="I74" s="24">
        <f t="shared" si="29"/>
        <v>1146.7399785753685</v>
      </c>
      <c r="J74" s="24">
        <f t="shared" si="14"/>
        <v>223.10973023162373</v>
      </c>
      <c r="K74" s="24">
        <f t="shared" si="15"/>
        <v>8517.8612575930638</v>
      </c>
      <c r="L74" s="24">
        <f t="shared" si="16"/>
        <v>1146.7399785753685</v>
      </c>
      <c r="N74" s="1">
        <f t="shared" si="17"/>
        <v>51</v>
      </c>
      <c r="O74" s="24">
        <f t="shared" si="18"/>
        <v>11155.486511581188</v>
      </c>
      <c r="P74" s="24">
        <f t="shared" si="19"/>
        <v>343451.99461211043</v>
      </c>
      <c r="Q74" s="24">
        <f t="shared" si="20"/>
        <v>86005.498393152637</v>
      </c>
      <c r="R74" s="1">
        <f t="shared" si="21"/>
        <v>51</v>
      </c>
      <c r="S74" s="24">
        <f t="shared" si="26"/>
        <v>2231.0973023162378</v>
      </c>
      <c r="T74" s="24">
        <f t="shared" si="27"/>
        <v>38161.332734678937</v>
      </c>
      <c r="U74" s="24">
        <f t="shared" si="28"/>
        <v>86005.498393152637</v>
      </c>
      <c r="V74" s="1">
        <v>0.4</v>
      </c>
      <c r="W74" s="1">
        <v>1.5</v>
      </c>
      <c r="X74" s="1">
        <v>1</v>
      </c>
      <c r="Y74" s="1">
        <v>0.8</v>
      </c>
      <c r="Z74" s="1">
        <v>10</v>
      </c>
      <c r="AA74" s="36">
        <f t="shared" si="25"/>
        <v>2.4999999999999991</v>
      </c>
    </row>
    <row r="75" spans="2:27" ht="14.25" customHeight="1" x14ac:dyDescent="0.2">
      <c r="B75" s="1" t="s">
        <v>28</v>
      </c>
      <c r="C75" s="36">
        <f t="shared" si="10"/>
        <v>1</v>
      </c>
      <c r="D75" s="36">
        <f t="shared" si="11"/>
        <v>0.41666666666666669</v>
      </c>
      <c r="E75" s="36">
        <f t="shared" si="12"/>
        <v>0.25</v>
      </c>
      <c r="F75" s="1">
        <v>52</v>
      </c>
      <c r="G75" s="24">
        <f t="shared" si="29"/>
        <v>70.279565022961464</v>
      </c>
      <c r="H75" s="24">
        <f t="shared" si="29"/>
        <v>2683.1262961418147</v>
      </c>
      <c r="I75" s="24">
        <f t="shared" si="29"/>
        <v>1204.0769775041369</v>
      </c>
      <c r="J75" s="24">
        <f t="shared" si="14"/>
        <v>234.26521674320489</v>
      </c>
      <c r="K75" s="24">
        <f t="shared" si="15"/>
        <v>8943.7543204727153</v>
      </c>
      <c r="L75" s="24">
        <f t="shared" si="16"/>
        <v>1204.0769775041369</v>
      </c>
      <c r="N75" s="1">
        <f t="shared" si="17"/>
        <v>52</v>
      </c>
      <c r="O75" s="24">
        <f t="shared" si="18"/>
        <v>11713.260837160246</v>
      </c>
      <c r="P75" s="24">
        <f t="shared" si="19"/>
        <v>352475.68287530274</v>
      </c>
      <c r="Q75" s="24">
        <f t="shared" si="20"/>
        <v>90305.77331281027</v>
      </c>
      <c r="R75" s="1">
        <f t="shared" si="21"/>
        <v>52</v>
      </c>
      <c r="S75" s="24">
        <f t="shared" si="26"/>
        <v>2342.6521674320493</v>
      </c>
      <c r="T75" s="24">
        <f t="shared" si="27"/>
        <v>39163.96476392253</v>
      </c>
      <c r="U75" s="24">
        <f t="shared" si="28"/>
        <v>90305.77331281027</v>
      </c>
      <c r="V75" s="1">
        <v>0.4</v>
      </c>
      <c r="W75" s="1">
        <v>1.5</v>
      </c>
      <c r="X75" s="1">
        <v>1</v>
      </c>
      <c r="Y75" s="1">
        <v>0.8</v>
      </c>
      <c r="Z75" s="1">
        <v>10</v>
      </c>
      <c r="AA75" s="36">
        <f t="shared" si="25"/>
        <v>2.4999999999999987</v>
      </c>
    </row>
    <row r="76" spans="2:27" ht="14.25" customHeight="1" x14ac:dyDescent="0.2">
      <c r="B76" s="1" t="s">
        <v>28</v>
      </c>
      <c r="C76" s="36">
        <f t="shared" si="10"/>
        <v>1</v>
      </c>
      <c r="D76" s="36">
        <f t="shared" si="11"/>
        <v>0.41666666666666669</v>
      </c>
      <c r="E76" s="36">
        <f t="shared" si="12"/>
        <v>0.25</v>
      </c>
      <c r="F76" s="1">
        <v>53</v>
      </c>
      <c r="G76" s="24">
        <f t="shared" si="29"/>
        <v>73.793543274109538</v>
      </c>
      <c r="H76" s="24">
        <f t="shared" si="29"/>
        <v>2817.2826109489056</v>
      </c>
      <c r="I76" s="24">
        <f t="shared" si="29"/>
        <v>1264.2808263793438</v>
      </c>
      <c r="J76" s="24">
        <f t="shared" si="14"/>
        <v>245.97847758036514</v>
      </c>
      <c r="K76" s="24">
        <f t="shared" si="15"/>
        <v>9390.9420364963516</v>
      </c>
      <c r="L76" s="24">
        <f t="shared" si="16"/>
        <v>1264.2808263793438</v>
      </c>
      <c r="N76" s="1">
        <f t="shared" si="17"/>
        <v>53</v>
      </c>
      <c r="O76" s="24">
        <f t="shared" si="18"/>
        <v>12298.923879018257</v>
      </c>
      <c r="P76" s="24">
        <f t="shared" si="19"/>
        <v>361521.82191427099</v>
      </c>
      <c r="Q76" s="24">
        <f t="shared" si="20"/>
        <v>94821.061978450787</v>
      </c>
      <c r="R76" s="1">
        <f t="shared" si="21"/>
        <v>53</v>
      </c>
      <c r="S76" s="24">
        <f t="shared" si="26"/>
        <v>2459.7847758036514</v>
      </c>
      <c r="T76" s="24">
        <f t="shared" si="27"/>
        <v>40169.091323807887</v>
      </c>
      <c r="U76" s="24">
        <f t="shared" si="28"/>
        <v>94821.061978450787</v>
      </c>
      <c r="V76" s="1">
        <v>0.4</v>
      </c>
      <c r="W76" s="1">
        <v>1.5</v>
      </c>
      <c r="X76" s="1">
        <v>1</v>
      </c>
      <c r="Y76" s="1">
        <v>0.8</v>
      </c>
      <c r="Z76" s="1">
        <v>10</v>
      </c>
      <c r="AA76" s="36">
        <f t="shared" si="25"/>
        <v>2.4999999999999991</v>
      </c>
    </row>
    <row r="77" spans="2:27" ht="14.25" customHeight="1" x14ac:dyDescent="0.2">
      <c r="B77" s="1" t="s">
        <v>28</v>
      </c>
      <c r="C77" s="36">
        <f t="shared" si="10"/>
        <v>1</v>
      </c>
      <c r="D77" s="36">
        <f t="shared" si="11"/>
        <v>0.41666666666666669</v>
      </c>
      <c r="E77" s="36">
        <f t="shared" si="12"/>
        <v>0.25</v>
      </c>
      <c r="F77" s="1">
        <v>54</v>
      </c>
      <c r="G77" s="24">
        <f t="shared" si="29"/>
        <v>77.483220437815007</v>
      </c>
      <c r="H77" s="24">
        <f t="shared" si="29"/>
        <v>2958.1467414963504</v>
      </c>
      <c r="I77" s="24">
        <f t="shared" si="29"/>
        <v>1327.4948676983108</v>
      </c>
      <c r="J77" s="24">
        <f t="shared" si="14"/>
        <v>258.27740145938338</v>
      </c>
      <c r="K77" s="24">
        <f t="shared" si="15"/>
        <v>9860.4891383211689</v>
      </c>
      <c r="L77" s="24">
        <f t="shared" si="16"/>
        <v>1327.4948676983108</v>
      </c>
      <c r="N77" s="1">
        <f t="shared" si="17"/>
        <v>54</v>
      </c>
      <c r="O77" s="24">
        <f t="shared" si="18"/>
        <v>12913.87007296917</v>
      </c>
      <c r="P77" s="24">
        <f t="shared" si="19"/>
        <v>370579.69900116458</v>
      </c>
      <c r="Q77" s="24">
        <f t="shared" si="20"/>
        <v>99562.11507737331</v>
      </c>
      <c r="R77" s="1">
        <f t="shared" si="21"/>
        <v>54</v>
      </c>
      <c r="S77" s="24">
        <f t="shared" si="26"/>
        <v>2582.7740145938342</v>
      </c>
      <c r="T77" s="24">
        <f t="shared" si="27"/>
        <v>41175.522111240512</v>
      </c>
      <c r="U77" s="24">
        <f t="shared" si="28"/>
        <v>99562.11507737331</v>
      </c>
      <c r="V77" s="1">
        <v>0.4</v>
      </c>
      <c r="W77" s="1">
        <v>1.5</v>
      </c>
      <c r="X77" s="1">
        <v>1</v>
      </c>
      <c r="Y77" s="1">
        <v>0.8</v>
      </c>
      <c r="Z77" s="1">
        <v>10</v>
      </c>
      <c r="AA77" s="36">
        <f t="shared" si="25"/>
        <v>2.4999999999999996</v>
      </c>
    </row>
    <row r="78" spans="2:27" ht="14.25" customHeight="1" x14ac:dyDescent="0.2">
      <c r="B78" s="1" t="s">
        <v>28</v>
      </c>
      <c r="C78" s="36">
        <f t="shared" si="10"/>
        <v>1</v>
      </c>
      <c r="D78" s="36">
        <f t="shared" si="11"/>
        <v>0.41666666666666669</v>
      </c>
      <c r="E78" s="36">
        <f t="shared" si="12"/>
        <v>0.25</v>
      </c>
      <c r="F78" s="1">
        <v>55</v>
      </c>
      <c r="G78" s="24">
        <f t="shared" si="29"/>
        <v>81.357381459705749</v>
      </c>
      <c r="H78" s="24">
        <f t="shared" si="29"/>
        <v>3106.0540785711678</v>
      </c>
      <c r="I78" s="24">
        <f t="shared" si="29"/>
        <v>1393.8696110832263</v>
      </c>
      <c r="J78" s="24">
        <f t="shared" si="14"/>
        <v>271.19127153235252</v>
      </c>
      <c r="K78" s="24">
        <f t="shared" si="15"/>
        <v>10353.513595237226</v>
      </c>
      <c r="L78" s="24">
        <f t="shared" si="16"/>
        <v>1393.8696110832263</v>
      </c>
      <c r="N78" s="1">
        <f t="shared" si="17"/>
        <v>55</v>
      </c>
      <c r="O78" s="24">
        <f t="shared" si="18"/>
        <v>13559.563576617627</v>
      </c>
      <c r="P78" s="24">
        <f t="shared" si="19"/>
        <v>379638.54565477488</v>
      </c>
      <c r="Q78" s="24">
        <f t="shared" si="20"/>
        <v>104540.22083124198</v>
      </c>
      <c r="R78" s="1">
        <f t="shared" si="21"/>
        <v>55</v>
      </c>
      <c r="S78" s="24">
        <f t="shared" si="26"/>
        <v>2711.9127153235254</v>
      </c>
      <c r="T78" s="24">
        <f t="shared" si="27"/>
        <v>42182.060628308318</v>
      </c>
      <c r="U78" s="24">
        <f t="shared" si="28"/>
        <v>104540.22083124198</v>
      </c>
      <c r="V78" s="1">
        <v>0.4</v>
      </c>
      <c r="W78" s="1">
        <v>1.5</v>
      </c>
      <c r="X78" s="1">
        <v>1</v>
      </c>
      <c r="Y78" s="1">
        <v>0.8</v>
      </c>
      <c r="Z78" s="1">
        <v>10</v>
      </c>
      <c r="AA78" s="36">
        <f t="shared" si="25"/>
        <v>2.4999999999999991</v>
      </c>
    </row>
    <row r="79" spans="2:27" ht="14.25" customHeight="1" x14ac:dyDescent="0.2">
      <c r="B79" s="1" t="s">
        <v>28</v>
      </c>
      <c r="C79" s="36">
        <f t="shared" si="10"/>
        <v>1</v>
      </c>
      <c r="D79" s="36">
        <f t="shared" si="11"/>
        <v>0.41666666666666669</v>
      </c>
      <c r="E79" s="36">
        <f t="shared" si="12"/>
        <v>0.25</v>
      </c>
      <c r="F79" s="1">
        <v>56</v>
      </c>
      <c r="G79" s="24">
        <f t="shared" si="29"/>
        <v>85.425250532691066</v>
      </c>
      <c r="H79" s="24">
        <f t="shared" si="29"/>
        <v>3261.3567824997267</v>
      </c>
      <c r="I79" s="24">
        <f t="shared" si="29"/>
        <v>1463.563091637388</v>
      </c>
      <c r="J79" s="24">
        <f t="shared" si="14"/>
        <v>284.75083510897025</v>
      </c>
      <c r="K79" s="24">
        <f t="shared" si="15"/>
        <v>10871.189274999089</v>
      </c>
      <c r="L79" s="24">
        <f t="shared" si="16"/>
        <v>1463.563091637388</v>
      </c>
      <c r="N79" s="1">
        <f t="shared" si="17"/>
        <v>56</v>
      </c>
      <c r="O79" s="24">
        <f t="shared" si="18"/>
        <v>14237.541755448514</v>
      </c>
      <c r="P79" s="24">
        <f t="shared" si="19"/>
        <v>388687.58878380316</v>
      </c>
      <c r="Q79" s="24">
        <f t="shared" si="20"/>
        <v>109767.2318728041</v>
      </c>
      <c r="R79" s="1">
        <f t="shared" si="21"/>
        <v>56</v>
      </c>
      <c r="S79" s="24">
        <f t="shared" si="26"/>
        <v>2847.508351089703</v>
      </c>
      <c r="T79" s="24">
        <f t="shared" si="27"/>
        <v>43187.509864867017</v>
      </c>
      <c r="U79" s="24">
        <f t="shared" si="28"/>
        <v>109767.2318728041</v>
      </c>
      <c r="V79" s="1">
        <v>0.4</v>
      </c>
      <c r="W79" s="1">
        <v>1.5</v>
      </c>
      <c r="X79" s="1">
        <v>1</v>
      </c>
      <c r="Y79" s="1">
        <v>0.8</v>
      </c>
      <c r="Z79" s="1">
        <v>10</v>
      </c>
      <c r="AA79" s="36">
        <f t="shared" si="25"/>
        <v>2.4999999999999996</v>
      </c>
    </row>
    <row r="80" spans="2:27" ht="14.25" customHeight="1" x14ac:dyDescent="0.2">
      <c r="B80" s="1" t="s">
        <v>28</v>
      </c>
      <c r="C80" s="36">
        <f t="shared" si="10"/>
        <v>1</v>
      </c>
      <c r="D80" s="36">
        <f t="shared" si="11"/>
        <v>0.41666666666666669</v>
      </c>
      <c r="E80" s="36">
        <f t="shared" si="12"/>
        <v>0.25</v>
      </c>
      <c r="F80" s="1">
        <v>57</v>
      </c>
      <c r="G80" s="24">
        <f t="shared" si="29"/>
        <v>89.696513059325596</v>
      </c>
      <c r="H80" s="24">
        <f t="shared" si="29"/>
        <v>3424.4246216247125</v>
      </c>
      <c r="I80" s="24">
        <f t="shared" si="29"/>
        <v>1536.7412462192569</v>
      </c>
      <c r="J80" s="24">
        <f t="shared" si="14"/>
        <v>298.98837686441868</v>
      </c>
      <c r="K80" s="24">
        <f t="shared" si="15"/>
        <v>11414.748738749042</v>
      </c>
      <c r="L80" s="24">
        <f t="shared" si="16"/>
        <v>1536.7412462192569</v>
      </c>
      <c r="N80" s="1">
        <f t="shared" si="17"/>
        <v>57</v>
      </c>
      <c r="O80" s="24">
        <f t="shared" si="18"/>
        <v>14949.418843220936</v>
      </c>
      <c r="P80" s="24">
        <f t="shared" si="19"/>
        <v>397716.10187664395</v>
      </c>
      <c r="Q80" s="24">
        <f t="shared" si="20"/>
        <v>115255.59346644428</v>
      </c>
      <c r="R80" s="1">
        <f t="shared" si="21"/>
        <v>57</v>
      </c>
      <c r="S80" s="24">
        <f t="shared" si="26"/>
        <v>2989.8837686441871</v>
      </c>
      <c r="T80" s="24">
        <f t="shared" si="27"/>
        <v>44190.677986293769</v>
      </c>
      <c r="U80" s="24">
        <f t="shared" si="28"/>
        <v>115255.59346644428</v>
      </c>
      <c r="V80" s="1">
        <v>0.4</v>
      </c>
      <c r="W80" s="1">
        <v>1.5</v>
      </c>
      <c r="X80" s="1">
        <v>1</v>
      </c>
      <c r="Y80" s="1">
        <v>0.8</v>
      </c>
      <c r="Z80" s="1">
        <v>10</v>
      </c>
      <c r="AA80" s="36">
        <f t="shared" si="25"/>
        <v>2.4999999999999991</v>
      </c>
    </row>
    <row r="81" spans="2:27" ht="14.25" customHeight="1" x14ac:dyDescent="0.2">
      <c r="B81" s="1" t="s">
        <v>28</v>
      </c>
      <c r="C81" s="36">
        <f t="shared" si="10"/>
        <v>1</v>
      </c>
      <c r="D81" s="36">
        <f t="shared" si="11"/>
        <v>0.41666666666666669</v>
      </c>
      <c r="E81" s="36">
        <f t="shared" si="12"/>
        <v>0.25</v>
      </c>
      <c r="F81" s="1">
        <v>58</v>
      </c>
      <c r="G81" s="24">
        <f t="shared" si="29"/>
        <v>94.18133871229189</v>
      </c>
      <c r="H81" s="24">
        <f t="shared" si="29"/>
        <v>3595.6458527059485</v>
      </c>
      <c r="I81" s="24">
        <f t="shared" si="29"/>
        <v>1613.5783085302201</v>
      </c>
      <c r="J81" s="24">
        <f t="shared" si="14"/>
        <v>313.93779570763962</v>
      </c>
      <c r="K81" s="24">
        <f t="shared" si="15"/>
        <v>11985.486175686496</v>
      </c>
      <c r="L81" s="24">
        <f t="shared" si="16"/>
        <v>1613.5783085302201</v>
      </c>
      <c r="N81" s="1">
        <f t="shared" si="17"/>
        <v>58</v>
      </c>
      <c r="O81" s="24">
        <f t="shared" si="18"/>
        <v>15696.889785381982</v>
      </c>
      <c r="P81" s="24">
        <f t="shared" si="19"/>
        <v>406713.45572163723</v>
      </c>
      <c r="Q81" s="24">
        <f t="shared" si="20"/>
        <v>121018.37313976651</v>
      </c>
      <c r="R81" s="1">
        <f t="shared" si="21"/>
        <v>58</v>
      </c>
      <c r="S81" s="24">
        <f t="shared" si="26"/>
        <v>3139.3779570763963</v>
      </c>
      <c r="T81" s="24">
        <f t="shared" si="27"/>
        <v>45190.383969070805</v>
      </c>
      <c r="U81" s="24">
        <f t="shared" si="28"/>
        <v>121018.37313976651</v>
      </c>
      <c r="V81" s="1">
        <v>0.4</v>
      </c>
      <c r="W81" s="1">
        <v>1.5</v>
      </c>
      <c r="X81" s="1">
        <v>1</v>
      </c>
      <c r="Y81" s="1">
        <v>0.8</v>
      </c>
      <c r="Z81" s="1">
        <v>10</v>
      </c>
      <c r="AA81" s="36">
        <f t="shared" si="25"/>
        <v>2.4999999999999991</v>
      </c>
    </row>
    <row r="82" spans="2:27" ht="14.25" customHeight="1" x14ac:dyDescent="0.2">
      <c r="B82" s="1" t="s">
        <v>28</v>
      </c>
      <c r="C82" s="36">
        <f t="shared" si="10"/>
        <v>1</v>
      </c>
      <c r="D82" s="36">
        <f t="shared" si="11"/>
        <v>0.41666666666666669</v>
      </c>
      <c r="E82" s="36">
        <f t="shared" si="12"/>
        <v>0.25</v>
      </c>
      <c r="F82" s="1">
        <v>59</v>
      </c>
      <c r="G82" s="24">
        <f t="shared" si="29"/>
        <v>98.890405647906491</v>
      </c>
      <c r="H82" s="24">
        <f t="shared" si="29"/>
        <v>3775.4281453412464</v>
      </c>
      <c r="I82" s="24">
        <f t="shared" si="29"/>
        <v>1694.2572239567312</v>
      </c>
      <c r="J82" s="24">
        <f t="shared" si="14"/>
        <v>329.63468549302166</v>
      </c>
      <c r="K82" s="24">
        <f t="shared" si="15"/>
        <v>12584.760484470822</v>
      </c>
      <c r="L82" s="24">
        <f t="shared" si="16"/>
        <v>1694.2572239567312</v>
      </c>
      <c r="N82" s="1">
        <f t="shared" si="17"/>
        <v>59</v>
      </c>
      <c r="O82" s="24">
        <f t="shared" si="18"/>
        <v>16481.734274651088</v>
      </c>
      <c r="P82" s="24">
        <f t="shared" si="19"/>
        <v>415669.16814984346</v>
      </c>
      <c r="Q82" s="24">
        <f t="shared" si="20"/>
        <v>127069.29179675484</v>
      </c>
      <c r="R82" s="1">
        <f t="shared" si="21"/>
        <v>59</v>
      </c>
      <c r="S82" s="24">
        <f t="shared" si="26"/>
        <v>3296.3468549302174</v>
      </c>
      <c r="T82" s="24">
        <f t="shared" si="27"/>
        <v>46185.463127760384</v>
      </c>
      <c r="U82" s="24">
        <f t="shared" si="28"/>
        <v>127069.29179675484</v>
      </c>
      <c r="V82" s="1">
        <v>0.4</v>
      </c>
      <c r="W82" s="1">
        <v>1.5</v>
      </c>
      <c r="X82" s="1">
        <v>1</v>
      </c>
      <c r="Y82" s="1">
        <v>0.8</v>
      </c>
      <c r="Z82" s="1">
        <v>10</v>
      </c>
      <c r="AA82" s="36">
        <f t="shared" si="25"/>
        <v>2.4999999999999991</v>
      </c>
    </row>
    <row r="83" spans="2:27" ht="14.25" customHeight="1" x14ac:dyDescent="0.2">
      <c r="B83" s="1" t="s">
        <v>28</v>
      </c>
      <c r="C83" s="36">
        <f t="shared" si="10"/>
        <v>1</v>
      </c>
      <c r="D83" s="36">
        <f t="shared" si="11"/>
        <v>0.41666666666666669</v>
      </c>
      <c r="E83" s="36">
        <f t="shared" si="12"/>
        <v>0.25</v>
      </c>
      <c r="F83" s="1">
        <v>60</v>
      </c>
      <c r="G83" s="24">
        <f t="shared" si="29"/>
        <v>103.83492593030182</v>
      </c>
      <c r="H83" s="24">
        <f t="shared" si="29"/>
        <v>3964.1995526083087</v>
      </c>
      <c r="I83" s="24">
        <f t="shared" si="29"/>
        <v>1778.9700851545679</v>
      </c>
      <c r="J83" s="24">
        <f t="shared" si="14"/>
        <v>346.11641976767277</v>
      </c>
      <c r="K83" s="24">
        <f t="shared" si="15"/>
        <v>13213.998508694363</v>
      </c>
      <c r="L83" s="24">
        <f t="shared" si="16"/>
        <v>1778.9700851545679</v>
      </c>
      <c r="N83" s="1">
        <f t="shared" si="17"/>
        <v>60</v>
      </c>
      <c r="O83" s="24">
        <f t="shared" si="18"/>
        <v>17305.820988383643</v>
      </c>
      <c r="P83" s="24">
        <f t="shared" si="19"/>
        <v>424572.95230920403</v>
      </c>
      <c r="Q83" s="24">
        <f t="shared" si="20"/>
        <v>133422.75638659258</v>
      </c>
      <c r="R83" s="1">
        <f t="shared" si="21"/>
        <v>60</v>
      </c>
      <c r="S83" s="24">
        <f t="shared" si="26"/>
        <v>3461.1641976767287</v>
      </c>
      <c r="T83" s="24">
        <f t="shared" si="27"/>
        <v>47174.772478800449</v>
      </c>
      <c r="U83" s="24">
        <f t="shared" si="28"/>
        <v>133422.75638659258</v>
      </c>
      <c r="V83" s="1">
        <v>0.4</v>
      </c>
      <c r="W83" s="1">
        <v>1.5</v>
      </c>
      <c r="X83" s="1">
        <v>1</v>
      </c>
      <c r="Y83" s="1">
        <v>0.8</v>
      </c>
      <c r="Z83" s="1">
        <v>10</v>
      </c>
      <c r="AA83" s="36">
        <f t="shared" si="25"/>
        <v>2.4999999999999991</v>
      </c>
    </row>
    <row r="84" spans="2:27" ht="14.25" customHeight="1" x14ac:dyDescent="0.2">
      <c r="B84" s="1" t="s">
        <v>28</v>
      </c>
      <c r="C84" s="36">
        <f t="shared" si="10"/>
        <v>1</v>
      </c>
      <c r="D84" s="36">
        <f t="shared" si="11"/>
        <v>0.41666666666666669</v>
      </c>
      <c r="E84" s="36">
        <f t="shared" si="12"/>
        <v>0.25</v>
      </c>
      <c r="F84" s="1">
        <v>61</v>
      </c>
      <c r="G84" s="24">
        <f t="shared" si="29"/>
        <v>109.02667222681688</v>
      </c>
      <c r="H84" s="24">
        <f t="shared" si="29"/>
        <v>4162.4095302387241</v>
      </c>
      <c r="I84" s="24">
        <f t="shared" si="29"/>
        <v>1867.9185894122959</v>
      </c>
      <c r="J84" s="24">
        <f t="shared" si="14"/>
        <v>363.42224075605628</v>
      </c>
      <c r="K84" s="24">
        <f t="shared" si="15"/>
        <v>13874.698434129081</v>
      </c>
      <c r="L84" s="24">
        <f t="shared" si="16"/>
        <v>1867.9185894122959</v>
      </c>
      <c r="N84" s="1">
        <f t="shared" si="17"/>
        <v>61</v>
      </c>
      <c r="O84" s="24">
        <f t="shared" si="18"/>
        <v>18171.112037802814</v>
      </c>
      <c r="P84" s="24">
        <f t="shared" si="19"/>
        <v>433414.76300400373</v>
      </c>
      <c r="Q84" s="24">
        <f t="shared" si="20"/>
        <v>140093.8942059222</v>
      </c>
      <c r="R84" s="1">
        <f t="shared" si="21"/>
        <v>61</v>
      </c>
      <c r="S84" s="24">
        <f t="shared" si="26"/>
        <v>3634.2224075605627</v>
      </c>
      <c r="T84" s="24">
        <f t="shared" si="27"/>
        <v>48157.195889333751</v>
      </c>
      <c r="U84" s="24">
        <f t="shared" si="28"/>
        <v>140093.8942059222</v>
      </c>
      <c r="V84" s="1">
        <v>0.4</v>
      </c>
      <c r="W84" s="1">
        <v>1.5</v>
      </c>
      <c r="X84" s="1">
        <v>1</v>
      </c>
      <c r="Y84" s="1">
        <v>0.8</v>
      </c>
      <c r="Z84" s="1">
        <v>10</v>
      </c>
      <c r="AA84" s="36">
        <f t="shared" si="25"/>
        <v>2.4999999999999996</v>
      </c>
    </row>
    <row r="85" spans="2:27" ht="14.25" customHeight="1" x14ac:dyDescent="0.2">
      <c r="B85" s="1" t="s">
        <v>28</v>
      </c>
      <c r="C85" s="36">
        <f t="shared" si="10"/>
        <v>1</v>
      </c>
      <c r="D85" s="36">
        <f t="shared" si="11"/>
        <v>0.41666666666666669</v>
      </c>
      <c r="E85" s="36">
        <f t="shared" si="12"/>
        <v>0.25</v>
      </c>
      <c r="F85" s="1">
        <v>62</v>
      </c>
      <c r="G85" s="24">
        <f t="shared" si="29"/>
        <v>114.47800583815777</v>
      </c>
      <c r="H85" s="24">
        <f t="shared" si="29"/>
        <v>4370.5300067506605</v>
      </c>
      <c r="I85" s="24">
        <f t="shared" si="29"/>
        <v>1961.3145188829112</v>
      </c>
      <c r="J85" s="24">
        <f t="shared" si="14"/>
        <v>381.59335279385925</v>
      </c>
      <c r="K85" s="24">
        <f t="shared" si="15"/>
        <v>14568.433355835536</v>
      </c>
      <c r="L85" s="24">
        <f t="shared" si="16"/>
        <v>1961.3145188829112</v>
      </c>
      <c r="N85" s="1">
        <f t="shared" si="17"/>
        <v>62</v>
      </c>
      <c r="O85" s="24">
        <f t="shared" si="18"/>
        <v>19079.667639692965</v>
      </c>
      <c r="P85" s="24">
        <f t="shared" si="19"/>
        <v>442184.84066622285</v>
      </c>
      <c r="Q85" s="24">
        <f t="shared" si="20"/>
        <v>147098.58891621834</v>
      </c>
      <c r="R85" s="1">
        <f t="shared" si="21"/>
        <v>62</v>
      </c>
      <c r="S85" s="24">
        <f t="shared" si="26"/>
        <v>3815.9335279385932</v>
      </c>
      <c r="T85" s="24">
        <f t="shared" si="27"/>
        <v>49131.648962913649</v>
      </c>
      <c r="U85" s="24">
        <f t="shared" si="28"/>
        <v>147098.58891621834</v>
      </c>
      <c r="V85" s="1">
        <v>0.4</v>
      </c>
      <c r="W85" s="1">
        <v>1.5</v>
      </c>
      <c r="X85" s="1">
        <v>1</v>
      </c>
      <c r="Y85" s="1">
        <v>0.8</v>
      </c>
      <c r="Z85" s="1">
        <v>10</v>
      </c>
      <c r="AA85" s="36">
        <f t="shared" si="25"/>
        <v>2.4999999999999991</v>
      </c>
    </row>
    <row r="86" spans="2:27" ht="14.25" customHeight="1" x14ac:dyDescent="0.2">
      <c r="B86" s="1" t="s">
        <v>28</v>
      </c>
      <c r="C86" s="36">
        <f t="shared" si="10"/>
        <v>1</v>
      </c>
      <c r="D86" s="36">
        <f t="shared" si="11"/>
        <v>0.41666666666666669</v>
      </c>
      <c r="E86" s="36">
        <f t="shared" si="12"/>
        <v>0.25</v>
      </c>
      <c r="F86" s="1">
        <v>63</v>
      </c>
      <c r="G86" s="24">
        <f t="shared" si="29"/>
        <v>120.20190613006559</v>
      </c>
      <c r="H86" s="24">
        <f t="shared" si="29"/>
        <v>4589.0565070881921</v>
      </c>
      <c r="I86" s="24">
        <f t="shared" si="29"/>
        <v>2059.3802448270558</v>
      </c>
      <c r="J86" s="24">
        <f t="shared" si="14"/>
        <v>400.67302043355198</v>
      </c>
      <c r="K86" s="24">
        <f t="shared" si="15"/>
        <v>15296.855023627308</v>
      </c>
      <c r="L86" s="24">
        <f t="shared" si="16"/>
        <v>2059.3802448270558</v>
      </c>
      <c r="N86" s="1">
        <f t="shared" si="17"/>
        <v>63</v>
      </c>
      <c r="O86" s="24">
        <f t="shared" si="18"/>
        <v>20033.651021677601</v>
      </c>
      <c r="P86" s="24">
        <f t="shared" si="19"/>
        <v>450873.75256480183</v>
      </c>
      <c r="Q86" s="24">
        <f t="shared" si="20"/>
        <v>154453.51836202919</v>
      </c>
      <c r="R86" s="1">
        <f t="shared" si="21"/>
        <v>63</v>
      </c>
      <c r="S86" s="24">
        <f t="shared" si="26"/>
        <v>4006.7302043355203</v>
      </c>
      <c r="T86" s="24">
        <f t="shared" si="27"/>
        <v>50097.083618311313</v>
      </c>
      <c r="U86" s="24">
        <f t="shared" si="28"/>
        <v>154453.51836202919</v>
      </c>
      <c r="V86" s="1">
        <v>0.4</v>
      </c>
      <c r="W86" s="1">
        <v>1.5</v>
      </c>
      <c r="X86" s="1">
        <v>1</v>
      </c>
      <c r="Y86" s="1">
        <v>0.8</v>
      </c>
      <c r="Z86" s="1">
        <v>10</v>
      </c>
      <c r="AA86" s="36">
        <f t="shared" si="25"/>
        <v>2.4999999999999991</v>
      </c>
    </row>
    <row r="87" spans="2:27" ht="14.25" customHeight="1" x14ac:dyDescent="0.2">
      <c r="B87" s="1" t="s">
        <v>28</v>
      </c>
      <c r="C87" s="36">
        <f t="shared" si="10"/>
        <v>1</v>
      </c>
      <c r="D87" s="36">
        <f t="shared" si="11"/>
        <v>0.41666666666666669</v>
      </c>
      <c r="E87" s="36">
        <f t="shared" si="12"/>
        <v>0.25</v>
      </c>
      <c r="F87" s="1">
        <v>64</v>
      </c>
      <c r="G87" s="24">
        <f t="shared" si="29"/>
        <v>126.21200143656894</v>
      </c>
      <c r="H87" s="24">
        <f t="shared" si="29"/>
        <v>4818.5093324426034</v>
      </c>
      <c r="I87" s="24">
        <f t="shared" si="29"/>
        <v>2162.3492570684098</v>
      </c>
      <c r="J87" s="24">
        <f t="shared" si="14"/>
        <v>420.70667145522981</v>
      </c>
      <c r="K87" s="24">
        <f t="shared" si="15"/>
        <v>16061.697774808679</v>
      </c>
      <c r="L87" s="24">
        <f t="shared" si="16"/>
        <v>2162.3492570684098</v>
      </c>
      <c r="N87" s="1">
        <f t="shared" si="17"/>
        <v>64</v>
      </c>
      <c r="O87" s="24">
        <f t="shared" si="18"/>
        <v>21035.333572761494</v>
      </c>
      <c r="P87" s="24">
        <f t="shared" si="19"/>
        <v>459472.43090405356</v>
      </c>
      <c r="Q87" s="24">
        <f t="shared" si="20"/>
        <v>162176.19428013073</v>
      </c>
      <c r="R87" s="1">
        <f t="shared" si="21"/>
        <v>64</v>
      </c>
      <c r="S87" s="24">
        <f t="shared" si="26"/>
        <v>4207.0667145522984</v>
      </c>
      <c r="T87" s="24">
        <f t="shared" si="27"/>
        <v>51052.492322672617</v>
      </c>
      <c r="U87" s="24">
        <f t="shared" si="28"/>
        <v>162176.19428013073</v>
      </c>
      <c r="V87" s="1">
        <v>0.4</v>
      </c>
      <c r="W87" s="1">
        <v>1.5</v>
      </c>
      <c r="X87" s="1">
        <v>1</v>
      </c>
      <c r="Y87" s="1">
        <v>0.8</v>
      </c>
      <c r="Z87" s="1">
        <v>10</v>
      </c>
      <c r="AA87" s="36">
        <f t="shared" si="25"/>
        <v>2.4999999999999991</v>
      </c>
    </row>
    <row r="88" spans="2:27" ht="14.25" customHeight="1" x14ac:dyDescent="0.2">
      <c r="B88" s="1" t="s">
        <v>28</v>
      </c>
      <c r="C88" s="36">
        <f t="shared" si="10"/>
        <v>1</v>
      </c>
      <c r="D88" s="36">
        <f t="shared" si="11"/>
        <v>0.41666666666666669</v>
      </c>
      <c r="E88" s="36">
        <f t="shared" si="12"/>
        <v>0.25</v>
      </c>
      <c r="F88" s="1">
        <v>65</v>
      </c>
      <c r="G88" s="24">
        <f>G$22*$C$6^($F88-1)</f>
        <v>132.52260150839737</v>
      </c>
      <c r="H88" s="24">
        <f t="shared" ref="H88:I103" si="30">H$22*$C$6^($F88-1)</f>
        <v>5059.4347990647339</v>
      </c>
      <c r="I88" s="24">
        <f t="shared" si="30"/>
        <v>2270.4667199218297</v>
      </c>
      <c r="J88" s="24">
        <f t="shared" si="14"/>
        <v>441.74200502799124</v>
      </c>
      <c r="K88" s="24">
        <f t="shared" si="15"/>
        <v>16864.782663549115</v>
      </c>
      <c r="L88" s="24">
        <f t="shared" si="16"/>
        <v>2270.4667199218297</v>
      </c>
      <c r="N88" s="1">
        <f t="shared" si="17"/>
        <v>65</v>
      </c>
      <c r="O88" s="24">
        <f t="shared" si="18"/>
        <v>22087.100251399563</v>
      </c>
      <c r="P88" s="24">
        <f t="shared" si="19"/>
        <v>467972.20751234121</v>
      </c>
      <c r="Q88" s="24">
        <f t="shared" si="20"/>
        <v>170285.00399413722</v>
      </c>
      <c r="R88" s="1">
        <f t="shared" si="21"/>
        <v>65</v>
      </c>
      <c r="S88" s="24">
        <f t="shared" si="26"/>
        <v>4417.4200502799122</v>
      </c>
      <c r="T88" s="24">
        <f t="shared" si="27"/>
        <v>51996.911945815693</v>
      </c>
      <c r="U88" s="24">
        <f t="shared" si="28"/>
        <v>170285.00399413722</v>
      </c>
      <c r="V88" s="1">
        <v>0.4</v>
      </c>
      <c r="W88" s="1">
        <v>1.5</v>
      </c>
      <c r="X88" s="1">
        <v>1</v>
      </c>
      <c r="Y88" s="1">
        <v>0.8</v>
      </c>
      <c r="Z88" s="1">
        <v>10</v>
      </c>
      <c r="AA88" s="36">
        <f t="shared" si="25"/>
        <v>2.4999999999999996</v>
      </c>
    </row>
    <row r="89" spans="2:27" ht="14.25" customHeight="1" x14ac:dyDescent="0.2">
      <c r="B89" s="1" t="s">
        <v>28</v>
      </c>
      <c r="C89" s="36">
        <f t="shared" ref="C89:C123" si="31">$D$14</f>
        <v>1</v>
      </c>
      <c r="D89" s="36">
        <f t="shared" ref="D89:D123" si="32">$D$15</f>
        <v>0.41666666666666669</v>
      </c>
      <c r="E89" s="36">
        <f t="shared" ref="E89:E123" si="33">$D$16</f>
        <v>0.25</v>
      </c>
      <c r="F89" s="1">
        <v>66</v>
      </c>
      <c r="G89" s="24">
        <f t="shared" ref="G89:I103" si="34">G$22*$C$6^($F89-1)</f>
        <v>139.14873158381727</v>
      </c>
      <c r="H89" s="24">
        <f t="shared" si="30"/>
        <v>5312.4065390179712</v>
      </c>
      <c r="I89" s="24">
        <f t="shared" si="30"/>
        <v>2383.9900559179218</v>
      </c>
      <c r="J89" s="24">
        <f t="shared" ref="J89:J123" si="35">G89*(1+$C89)*(1+$D89+$E89)</f>
        <v>463.82910527939089</v>
      </c>
      <c r="K89" s="24">
        <f t="shared" ref="K89:K123" si="36">H89*(1+$C89)*(1+$D89+$E89)</f>
        <v>17708.021796726571</v>
      </c>
      <c r="L89" s="24">
        <f t="shared" ref="L89:L123" si="37">I89</f>
        <v>2383.9900559179218</v>
      </c>
      <c r="N89" s="1">
        <f t="shared" ref="N89:N123" si="38">F89</f>
        <v>66</v>
      </c>
      <c r="O89" s="24">
        <f t="shared" ref="O89:O123" si="39">J89*Y89*$C$5/X89/(1+V89*(W89-1))</f>
        <v>23191.455263969543</v>
      </c>
      <c r="P89" s="24">
        <f t="shared" ref="P89:P123" si="40">K89*$C$5/(1+Q89/$C$8)</f>
        <v>476364.8448754772</v>
      </c>
      <c r="Q89" s="24">
        <f t="shared" ref="Q89:Q123" si="41">I89*$C$5</f>
        <v>178799.25419384413</v>
      </c>
      <c r="R89" s="1">
        <f t="shared" ref="R89:R123" si="42">F89</f>
        <v>66</v>
      </c>
      <c r="S89" s="24">
        <f t="shared" si="26"/>
        <v>4638.2910527939084</v>
      </c>
      <c r="T89" s="24">
        <f t="shared" si="27"/>
        <v>52929.427208386354</v>
      </c>
      <c r="U89" s="24">
        <f t="shared" si="28"/>
        <v>178799.25419384413</v>
      </c>
      <c r="V89" s="1">
        <v>0.4</v>
      </c>
      <c r="W89" s="1">
        <v>1.5</v>
      </c>
      <c r="X89" s="1">
        <v>1</v>
      </c>
      <c r="Y89" s="1">
        <v>0.8</v>
      </c>
      <c r="Z89" s="1">
        <v>10</v>
      </c>
      <c r="AA89" s="36">
        <f t="shared" si="25"/>
        <v>2.4999999999999996</v>
      </c>
    </row>
    <row r="90" spans="2:27" ht="14.25" customHeight="1" x14ac:dyDescent="0.2">
      <c r="B90" s="1" t="s">
        <v>28</v>
      </c>
      <c r="C90" s="36">
        <f t="shared" si="31"/>
        <v>1</v>
      </c>
      <c r="D90" s="36">
        <f t="shared" si="32"/>
        <v>0.41666666666666669</v>
      </c>
      <c r="E90" s="36">
        <f t="shared" si="33"/>
        <v>0.25</v>
      </c>
      <c r="F90" s="1">
        <v>67</v>
      </c>
      <c r="G90" s="24">
        <f t="shared" si="34"/>
        <v>146.10616816300811</v>
      </c>
      <c r="H90" s="24">
        <f t="shared" si="30"/>
        <v>5578.0268659688691</v>
      </c>
      <c r="I90" s="24">
        <f t="shared" si="30"/>
        <v>2503.1895587138179</v>
      </c>
      <c r="J90" s="24">
        <f t="shared" si="35"/>
        <v>487.02056054336038</v>
      </c>
      <c r="K90" s="24">
        <f t="shared" si="36"/>
        <v>18593.422886562897</v>
      </c>
      <c r="L90" s="24">
        <f t="shared" si="37"/>
        <v>2503.1895587138179</v>
      </c>
      <c r="N90" s="1">
        <f t="shared" si="38"/>
        <v>67</v>
      </c>
      <c r="O90" s="24">
        <f t="shared" si="39"/>
        <v>24351.02802716802</v>
      </c>
      <c r="P90" s="24">
        <f t="shared" si="40"/>
        <v>484642.56332487386</v>
      </c>
      <c r="Q90" s="24">
        <f t="shared" si="41"/>
        <v>187739.21690353635</v>
      </c>
      <c r="R90" s="1">
        <f t="shared" si="42"/>
        <v>67</v>
      </c>
      <c r="S90" s="24">
        <f t="shared" si="26"/>
        <v>4870.2056054336044</v>
      </c>
      <c r="T90" s="24">
        <f t="shared" si="27"/>
        <v>53849.173702763765</v>
      </c>
      <c r="U90" s="24">
        <f t="shared" si="28"/>
        <v>187739.21690353635</v>
      </c>
      <c r="V90" s="1">
        <v>0.4</v>
      </c>
      <c r="W90" s="1">
        <v>1.5</v>
      </c>
      <c r="X90" s="1">
        <v>1</v>
      </c>
      <c r="Y90" s="1">
        <v>0.8</v>
      </c>
      <c r="Z90" s="1">
        <v>10</v>
      </c>
      <c r="AA90" s="36">
        <f t="shared" ref="AA90:AA123" si="43">J90*$C$5*(1-Y90)/(1/Z90)/(1+V90*(W90-1))/O90</f>
        <v>2.4999999999999987</v>
      </c>
    </row>
    <row r="91" spans="2:27" ht="14.25" customHeight="1" x14ac:dyDescent="0.2">
      <c r="B91" s="1" t="s">
        <v>28</v>
      </c>
      <c r="C91" s="36">
        <f t="shared" si="31"/>
        <v>1</v>
      </c>
      <c r="D91" s="36">
        <f t="shared" si="32"/>
        <v>0.41666666666666669</v>
      </c>
      <c r="E91" s="36">
        <f t="shared" si="33"/>
        <v>0.25</v>
      </c>
      <c r="F91" s="1">
        <v>68</v>
      </c>
      <c r="G91" s="24">
        <f t="shared" si="34"/>
        <v>153.41147657115852</v>
      </c>
      <c r="H91" s="24">
        <f t="shared" si="30"/>
        <v>5856.9282092673129</v>
      </c>
      <c r="I91" s="24">
        <f t="shared" si="30"/>
        <v>2628.3490366495089</v>
      </c>
      <c r="J91" s="24">
        <f t="shared" si="35"/>
        <v>511.37158857052839</v>
      </c>
      <c r="K91" s="24">
        <f t="shared" si="36"/>
        <v>19523.094030891043</v>
      </c>
      <c r="L91" s="24">
        <f t="shared" si="37"/>
        <v>2628.3490366495089</v>
      </c>
      <c r="N91" s="1">
        <f t="shared" si="38"/>
        <v>68</v>
      </c>
      <c r="O91" s="24">
        <f t="shared" si="39"/>
        <v>25568.57942852642</v>
      </c>
      <c r="P91" s="24">
        <f t="shared" si="40"/>
        <v>492798.06424702331</v>
      </c>
      <c r="Q91" s="24">
        <f t="shared" si="41"/>
        <v>197126.17774871318</v>
      </c>
      <c r="R91" s="1">
        <f t="shared" si="42"/>
        <v>68</v>
      </c>
      <c r="S91" s="24">
        <f t="shared" si="26"/>
        <v>5113.7158857052837</v>
      </c>
      <c r="T91" s="24">
        <f t="shared" si="27"/>
        <v>54755.340471891483</v>
      </c>
      <c r="U91" s="24">
        <f t="shared" si="28"/>
        <v>197126.17774871318</v>
      </c>
      <c r="V91" s="1">
        <v>0.4</v>
      </c>
      <c r="W91" s="1">
        <v>1.5</v>
      </c>
      <c r="X91" s="1">
        <v>1</v>
      </c>
      <c r="Y91" s="1">
        <v>0.8</v>
      </c>
      <c r="Z91" s="1">
        <v>10</v>
      </c>
      <c r="AA91" s="36">
        <f t="shared" si="43"/>
        <v>2.4999999999999991</v>
      </c>
    </row>
    <row r="92" spans="2:27" ht="14.25" customHeight="1" x14ac:dyDescent="0.2">
      <c r="B92" s="1" t="s">
        <v>28</v>
      </c>
      <c r="C92" s="36">
        <f t="shared" si="31"/>
        <v>1</v>
      </c>
      <c r="D92" s="36">
        <f t="shared" si="32"/>
        <v>0.41666666666666669</v>
      </c>
      <c r="E92" s="36">
        <f t="shared" si="33"/>
        <v>0.25</v>
      </c>
      <c r="F92" s="1">
        <v>69</v>
      </c>
      <c r="G92" s="24">
        <f t="shared" si="34"/>
        <v>161.08205039971645</v>
      </c>
      <c r="H92" s="24">
        <f t="shared" si="30"/>
        <v>6149.7746197306778</v>
      </c>
      <c r="I92" s="24">
        <f t="shared" si="30"/>
        <v>2759.7664884819837</v>
      </c>
      <c r="J92" s="24">
        <f t="shared" si="35"/>
        <v>536.94016799905489</v>
      </c>
      <c r="K92" s="24">
        <f t="shared" si="36"/>
        <v>20499.248732435593</v>
      </c>
      <c r="L92" s="24">
        <f t="shared" si="37"/>
        <v>2759.7664884819837</v>
      </c>
      <c r="N92" s="1">
        <f t="shared" si="38"/>
        <v>69</v>
      </c>
      <c r="O92" s="24">
        <f t="shared" si="39"/>
        <v>26847.008399952745</v>
      </c>
      <c r="P92" s="24">
        <f t="shared" si="40"/>
        <v>500824.54923720966</v>
      </c>
      <c r="Q92" s="24">
        <f t="shared" si="41"/>
        <v>206982.48663614879</v>
      </c>
      <c r="R92" s="1">
        <f t="shared" si="42"/>
        <v>69</v>
      </c>
      <c r="S92" s="24">
        <f t="shared" si="26"/>
        <v>5369.4016799905494</v>
      </c>
      <c r="T92" s="24">
        <f t="shared" si="27"/>
        <v>55647.172137467744</v>
      </c>
      <c r="U92" s="24">
        <f t="shared" si="28"/>
        <v>206982.48663614879</v>
      </c>
      <c r="V92" s="1">
        <v>0.4</v>
      </c>
      <c r="W92" s="1">
        <v>1.5</v>
      </c>
      <c r="X92" s="1">
        <v>1</v>
      </c>
      <c r="Y92" s="1">
        <v>0.8</v>
      </c>
      <c r="Z92" s="1">
        <v>10</v>
      </c>
      <c r="AA92" s="36">
        <f t="shared" si="43"/>
        <v>2.5</v>
      </c>
    </row>
    <row r="93" spans="2:27" ht="14.25" customHeight="1" x14ac:dyDescent="0.2">
      <c r="B93" s="1" t="s">
        <v>28</v>
      </c>
      <c r="C93" s="36">
        <f t="shared" si="31"/>
        <v>1</v>
      </c>
      <c r="D93" s="36">
        <f t="shared" si="32"/>
        <v>0.41666666666666669</v>
      </c>
      <c r="E93" s="36">
        <f t="shared" si="33"/>
        <v>0.25</v>
      </c>
      <c r="F93" s="1">
        <v>70</v>
      </c>
      <c r="G93" s="24">
        <f t="shared" si="34"/>
        <v>169.13615291970228</v>
      </c>
      <c r="H93" s="24">
        <f t="shared" si="30"/>
        <v>6457.2633507172122</v>
      </c>
      <c r="I93" s="24">
        <f t="shared" si="30"/>
        <v>2897.7548129060833</v>
      </c>
      <c r="J93" s="24">
        <f t="shared" si="35"/>
        <v>563.78717639900765</v>
      </c>
      <c r="K93" s="24">
        <f t="shared" si="36"/>
        <v>21524.211169057377</v>
      </c>
      <c r="L93" s="24">
        <f t="shared" si="37"/>
        <v>2897.7548129060833</v>
      </c>
      <c r="N93" s="1">
        <f t="shared" si="38"/>
        <v>70</v>
      </c>
      <c r="O93" s="24">
        <f t="shared" si="39"/>
        <v>28189.35881995039</v>
      </c>
      <c r="P93" s="24">
        <f t="shared" si="40"/>
        <v>508715.73517531314</v>
      </c>
      <c r="Q93" s="24">
        <f t="shared" si="41"/>
        <v>217331.61096795625</v>
      </c>
      <c r="R93" s="1">
        <f t="shared" si="42"/>
        <v>70</v>
      </c>
      <c r="S93" s="24">
        <f t="shared" si="26"/>
        <v>5637.8717639900779</v>
      </c>
      <c r="T93" s="24">
        <f t="shared" si="27"/>
        <v>56523.970575034793</v>
      </c>
      <c r="U93" s="24">
        <f t="shared" si="28"/>
        <v>217331.61096795625</v>
      </c>
      <c r="V93" s="1">
        <v>0.4</v>
      </c>
      <c r="W93" s="1">
        <v>1.5</v>
      </c>
      <c r="X93" s="1">
        <v>1</v>
      </c>
      <c r="Y93" s="1">
        <v>0.8</v>
      </c>
      <c r="Z93" s="1">
        <v>10</v>
      </c>
      <c r="AA93" s="36">
        <f t="shared" si="43"/>
        <v>2.4999999999999982</v>
      </c>
    </row>
    <row r="94" spans="2:27" ht="14.25" customHeight="1" x14ac:dyDescent="0.2">
      <c r="B94" s="1" t="s">
        <v>28</v>
      </c>
      <c r="C94" s="36">
        <f t="shared" si="31"/>
        <v>1</v>
      </c>
      <c r="D94" s="36">
        <f t="shared" si="32"/>
        <v>0.41666666666666669</v>
      </c>
      <c r="E94" s="36">
        <f t="shared" si="33"/>
        <v>0.25</v>
      </c>
      <c r="F94" s="1">
        <v>71</v>
      </c>
      <c r="G94" s="24">
        <f t="shared" si="34"/>
        <v>177.59296056568738</v>
      </c>
      <c r="H94" s="24">
        <f t="shared" si="30"/>
        <v>6780.1265182530724</v>
      </c>
      <c r="I94" s="24">
        <f t="shared" si="30"/>
        <v>3042.6425535513872</v>
      </c>
      <c r="J94" s="24">
        <f t="shared" si="35"/>
        <v>591.97653521895791</v>
      </c>
      <c r="K94" s="24">
        <f t="shared" si="36"/>
        <v>22600.421727510242</v>
      </c>
      <c r="L94" s="24">
        <f t="shared" si="37"/>
        <v>3042.6425535513872</v>
      </c>
      <c r="N94" s="1">
        <f t="shared" si="38"/>
        <v>71</v>
      </c>
      <c r="O94" s="24">
        <f t="shared" si="39"/>
        <v>29598.826760947901</v>
      </c>
      <c r="P94" s="24">
        <f t="shared" si="40"/>
        <v>516465.86525410664</v>
      </c>
      <c r="Q94" s="24">
        <f t="shared" si="41"/>
        <v>228198.19151635404</v>
      </c>
      <c r="R94" s="1">
        <f t="shared" si="42"/>
        <v>71</v>
      </c>
      <c r="S94" s="24">
        <f t="shared" si="26"/>
        <v>5919.76535218958</v>
      </c>
      <c r="T94" s="24">
        <f t="shared" si="27"/>
        <v>57385.09613934518</v>
      </c>
      <c r="U94" s="24">
        <f t="shared" si="28"/>
        <v>228198.19151635404</v>
      </c>
      <c r="V94" s="1">
        <v>0.4</v>
      </c>
      <c r="W94" s="1">
        <v>1.5</v>
      </c>
      <c r="X94" s="1">
        <v>1</v>
      </c>
      <c r="Y94" s="1">
        <v>0.8</v>
      </c>
      <c r="Z94" s="1">
        <v>10</v>
      </c>
      <c r="AA94" s="36">
        <f t="shared" si="43"/>
        <v>2.4999999999999987</v>
      </c>
    </row>
    <row r="95" spans="2:27" ht="14.25" customHeight="1" x14ac:dyDescent="0.2">
      <c r="B95" s="1" t="s">
        <v>28</v>
      </c>
      <c r="C95" s="36">
        <f t="shared" si="31"/>
        <v>1</v>
      </c>
      <c r="D95" s="36">
        <f t="shared" si="32"/>
        <v>0.41666666666666669</v>
      </c>
      <c r="E95" s="36">
        <f t="shared" si="33"/>
        <v>0.25</v>
      </c>
      <c r="F95" s="1">
        <v>72</v>
      </c>
      <c r="G95" s="24">
        <f t="shared" si="34"/>
        <v>186.47260859397176</v>
      </c>
      <c r="H95" s="24">
        <f t="shared" si="30"/>
        <v>7119.132844165727</v>
      </c>
      <c r="I95" s="24">
        <f t="shared" si="30"/>
        <v>3194.774681228957</v>
      </c>
      <c r="J95" s="24">
        <f t="shared" si="35"/>
        <v>621.57536197990589</v>
      </c>
      <c r="K95" s="24">
        <f t="shared" si="36"/>
        <v>23730.442813885758</v>
      </c>
      <c r="L95" s="24">
        <f t="shared" si="37"/>
        <v>3194.774681228957</v>
      </c>
      <c r="N95" s="1">
        <f t="shared" si="38"/>
        <v>72</v>
      </c>
      <c r="O95" s="24">
        <f t="shared" si="39"/>
        <v>31078.768098995297</v>
      </c>
      <c r="P95" s="24">
        <f t="shared" si="40"/>
        <v>524069.71603966167</v>
      </c>
      <c r="Q95" s="24">
        <f t="shared" si="41"/>
        <v>239608.10109217177</v>
      </c>
      <c r="R95" s="1">
        <f t="shared" si="42"/>
        <v>72</v>
      </c>
      <c r="S95" s="24">
        <f t="shared" si="26"/>
        <v>6215.7536197990594</v>
      </c>
      <c r="T95" s="24">
        <f t="shared" si="27"/>
        <v>58229.968448851294</v>
      </c>
      <c r="U95" s="24">
        <f t="shared" si="28"/>
        <v>239608.10109217177</v>
      </c>
      <c r="V95" s="1">
        <v>0.4</v>
      </c>
      <c r="W95" s="1">
        <v>1.5</v>
      </c>
      <c r="X95" s="1">
        <v>1</v>
      </c>
      <c r="Y95" s="1">
        <v>0.8</v>
      </c>
      <c r="Z95" s="1">
        <v>10</v>
      </c>
      <c r="AA95" s="36">
        <f t="shared" si="43"/>
        <v>2.4999999999999991</v>
      </c>
    </row>
    <row r="96" spans="2:27" ht="14.25" customHeight="1" x14ac:dyDescent="0.2">
      <c r="B96" s="1" t="s">
        <v>28</v>
      </c>
      <c r="C96" s="36">
        <f t="shared" si="31"/>
        <v>1</v>
      </c>
      <c r="D96" s="36">
        <f t="shared" si="32"/>
        <v>0.41666666666666669</v>
      </c>
      <c r="E96" s="36">
        <f t="shared" si="33"/>
        <v>0.25</v>
      </c>
      <c r="F96" s="1">
        <v>73</v>
      </c>
      <c r="G96" s="24">
        <f t="shared" si="34"/>
        <v>195.79623902367035</v>
      </c>
      <c r="H96" s="24">
        <f t="shared" si="30"/>
        <v>7475.0894863740132</v>
      </c>
      <c r="I96" s="24">
        <f t="shared" si="30"/>
        <v>3354.5134152904047</v>
      </c>
      <c r="J96" s="24">
        <f t="shared" si="35"/>
        <v>652.65413007890118</v>
      </c>
      <c r="K96" s="24">
        <f t="shared" si="36"/>
        <v>24916.964954580046</v>
      </c>
      <c r="L96" s="24">
        <f t="shared" si="37"/>
        <v>3354.5134152904047</v>
      </c>
      <c r="N96" s="1">
        <f t="shared" si="38"/>
        <v>73</v>
      </c>
      <c r="O96" s="24">
        <f t="shared" si="39"/>
        <v>32632.706503945061</v>
      </c>
      <c r="P96" s="24">
        <f t="shared" si="40"/>
        <v>531522.6006885824</v>
      </c>
      <c r="Q96" s="24">
        <f t="shared" si="41"/>
        <v>251588.50614678036</v>
      </c>
      <c r="R96" s="1">
        <f t="shared" si="42"/>
        <v>73</v>
      </c>
      <c r="S96" s="24">
        <f t="shared" ref="S96:S123" si="44">2*O96/(1+$R$22)</f>
        <v>6526.541300789012</v>
      </c>
      <c r="T96" s="24">
        <f t="shared" ref="T96:T123" si="45">P96/$R$22</f>
        <v>59058.066743175819</v>
      </c>
      <c r="U96" s="24">
        <f t="shared" ref="U96:U123" si="46">Q96</f>
        <v>251588.50614678036</v>
      </c>
      <c r="V96" s="1">
        <v>0.4</v>
      </c>
      <c r="W96" s="1">
        <v>1.5</v>
      </c>
      <c r="X96" s="1">
        <v>1</v>
      </c>
      <c r="Y96" s="1">
        <v>0.8</v>
      </c>
      <c r="Z96" s="1">
        <v>10</v>
      </c>
      <c r="AA96" s="36">
        <f t="shared" si="43"/>
        <v>2.4999999999999991</v>
      </c>
    </row>
    <row r="97" spans="2:27" ht="14.25" customHeight="1" x14ac:dyDescent="0.2">
      <c r="B97" s="1" t="s">
        <v>28</v>
      </c>
      <c r="C97" s="36">
        <f t="shared" si="31"/>
        <v>1</v>
      </c>
      <c r="D97" s="36">
        <f t="shared" si="32"/>
        <v>0.41666666666666669</v>
      </c>
      <c r="E97" s="36">
        <f t="shared" si="33"/>
        <v>0.25</v>
      </c>
      <c r="F97" s="1">
        <v>74</v>
      </c>
      <c r="G97" s="24">
        <f t="shared" si="34"/>
        <v>205.58605097485386</v>
      </c>
      <c r="H97" s="24">
        <f t="shared" si="30"/>
        <v>7848.8439606927132</v>
      </c>
      <c r="I97" s="24">
        <f t="shared" si="30"/>
        <v>3522.2390860549249</v>
      </c>
      <c r="J97" s="24">
        <f t="shared" si="35"/>
        <v>685.28683658284626</v>
      </c>
      <c r="K97" s="24">
        <f t="shared" si="36"/>
        <v>26162.813202309044</v>
      </c>
      <c r="L97" s="24">
        <f t="shared" si="37"/>
        <v>3522.2390860549249</v>
      </c>
      <c r="N97" s="1">
        <f t="shared" si="38"/>
        <v>74</v>
      </c>
      <c r="O97" s="24">
        <f t="shared" si="39"/>
        <v>34264.341829142315</v>
      </c>
      <c r="P97" s="24">
        <f t="shared" si="40"/>
        <v>538820.36848716659</v>
      </c>
      <c r="Q97" s="24">
        <f t="shared" si="41"/>
        <v>264167.93145411939</v>
      </c>
      <c r="R97" s="1">
        <f t="shared" si="42"/>
        <v>74</v>
      </c>
      <c r="S97" s="24">
        <f t="shared" si="44"/>
        <v>6852.8683658284626</v>
      </c>
      <c r="T97" s="24">
        <f t="shared" si="45"/>
        <v>59868.929831907401</v>
      </c>
      <c r="U97" s="24">
        <f t="shared" si="46"/>
        <v>264167.93145411939</v>
      </c>
      <c r="V97" s="1">
        <v>0.4</v>
      </c>
      <c r="W97" s="1">
        <v>1.5</v>
      </c>
      <c r="X97" s="1">
        <v>1</v>
      </c>
      <c r="Y97" s="1">
        <v>0.8</v>
      </c>
      <c r="Z97" s="1">
        <v>10</v>
      </c>
      <c r="AA97" s="36">
        <f t="shared" si="43"/>
        <v>2.5</v>
      </c>
    </row>
    <row r="98" spans="2:27" ht="14.25" customHeight="1" x14ac:dyDescent="0.2">
      <c r="B98" s="1" t="s">
        <v>28</v>
      </c>
      <c r="C98" s="36">
        <f t="shared" si="31"/>
        <v>1</v>
      </c>
      <c r="D98" s="36">
        <f t="shared" si="32"/>
        <v>0.41666666666666669</v>
      </c>
      <c r="E98" s="36">
        <f t="shared" si="33"/>
        <v>0.25</v>
      </c>
      <c r="F98" s="1">
        <v>75</v>
      </c>
      <c r="G98" s="24">
        <f t="shared" si="34"/>
        <v>215.86535352359655</v>
      </c>
      <c r="H98" s="24">
        <f t="shared" si="30"/>
        <v>8241.2861587273492</v>
      </c>
      <c r="I98" s="24">
        <f t="shared" si="30"/>
        <v>3698.3510403576711</v>
      </c>
      <c r="J98" s="24">
        <f t="shared" si="35"/>
        <v>719.55117841198853</v>
      </c>
      <c r="K98" s="24">
        <f t="shared" si="36"/>
        <v>27470.9538624245</v>
      </c>
      <c r="L98" s="24">
        <f t="shared" si="37"/>
        <v>3698.3510403576711</v>
      </c>
      <c r="N98" s="1">
        <f t="shared" si="38"/>
        <v>75</v>
      </c>
      <c r="O98" s="24">
        <f t="shared" si="39"/>
        <v>35977.558920599433</v>
      </c>
      <c r="P98" s="24">
        <f t="shared" si="40"/>
        <v>545959.40091276262</v>
      </c>
      <c r="Q98" s="24">
        <f t="shared" si="41"/>
        <v>277376.32802682533</v>
      </c>
      <c r="R98" s="1">
        <f t="shared" si="42"/>
        <v>75</v>
      </c>
      <c r="S98" s="24">
        <f t="shared" si="44"/>
        <v>7195.5117841198862</v>
      </c>
      <c r="T98" s="24">
        <f t="shared" si="45"/>
        <v>60662.155656973628</v>
      </c>
      <c r="U98" s="24">
        <f t="shared" si="46"/>
        <v>277376.32802682533</v>
      </c>
      <c r="V98" s="1">
        <v>0.4</v>
      </c>
      <c r="W98" s="1">
        <v>1.5</v>
      </c>
      <c r="X98" s="1">
        <v>1</v>
      </c>
      <c r="Y98" s="1">
        <v>0.8</v>
      </c>
      <c r="Z98" s="1">
        <v>10</v>
      </c>
      <c r="AA98" s="36">
        <f t="shared" si="43"/>
        <v>2.4999999999999991</v>
      </c>
    </row>
    <row r="99" spans="2:27" ht="14.25" customHeight="1" x14ac:dyDescent="0.2">
      <c r="B99" s="1" t="s">
        <v>28</v>
      </c>
      <c r="C99" s="36">
        <f t="shared" si="31"/>
        <v>1</v>
      </c>
      <c r="D99" s="36">
        <f t="shared" si="32"/>
        <v>0.41666666666666669</v>
      </c>
      <c r="E99" s="36">
        <f t="shared" si="33"/>
        <v>0.25</v>
      </c>
      <c r="F99" s="1">
        <v>76</v>
      </c>
      <c r="G99" s="24">
        <f t="shared" si="34"/>
        <v>226.65862119977641</v>
      </c>
      <c r="H99" s="24">
        <f t="shared" si="30"/>
        <v>8653.3504666637164</v>
      </c>
      <c r="I99" s="24">
        <f t="shared" si="30"/>
        <v>3883.2685923755548</v>
      </c>
      <c r="J99" s="24">
        <f t="shared" si="35"/>
        <v>755.52873733258809</v>
      </c>
      <c r="K99" s="24">
        <f t="shared" si="36"/>
        <v>28844.501555545721</v>
      </c>
      <c r="L99" s="24">
        <f t="shared" si="37"/>
        <v>3883.2685923755548</v>
      </c>
      <c r="N99" s="1">
        <f t="shared" si="38"/>
        <v>76</v>
      </c>
      <c r="O99" s="24">
        <f t="shared" si="39"/>
        <v>37776.436866629403</v>
      </c>
      <c r="P99" s="24">
        <f t="shared" si="40"/>
        <v>552936.60444727191</v>
      </c>
      <c r="Q99" s="24">
        <f t="shared" si="41"/>
        <v>291245.14442816662</v>
      </c>
      <c r="R99" s="1">
        <f t="shared" si="42"/>
        <v>76</v>
      </c>
      <c r="S99" s="24">
        <f t="shared" si="44"/>
        <v>7555.2873733258803</v>
      </c>
      <c r="T99" s="24">
        <f t="shared" si="45"/>
        <v>61437.400494141322</v>
      </c>
      <c r="U99" s="24">
        <f t="shared" si="46"/>
        <v>291245.14442816662</v>
      </c>
      <c r="V99" s="1">
        <v>0.4</v>
      </c>
      <c r="W99" s="1">
        <v>1.5</v>
      </c>
      <c r="X99" s="1">
        <v>1</v>
      </c>
      <c r="Y99" s="1">
        <v>0.8</v>
      </c>
      <c r="Z99" s="1">
        <v>10</v>
      </c>
      <c r="AA99" s="36">
        <f t="shared" si="43"/>
        <v>2.4999999999999991</v>
      </c>
    </row>
    <row r="100" spans="2:27" ht="14.25" customHeight="1" x14ac:dyDescent="0.2">
      <c r="B100" s="1" t="s">
        <v>28</v>
      </c>
      <c r="C100" s="36">
        <f t="shared" si="31"/>
        <v>1</v>
      </c>
      <c r="D100" s="36">
        <f t="shared" si="32"/>
        <v>0.41666666666666669</v>
      </c>
      <c r="E100" s="36">
        <f t="shared" si="33"/>
        <v>0.25</v>
      </c>
      <c r="F100" s="1">
        <v>77</v>
      </c>
      <c r="G100" s="24">
        <f t="shared" si="34"/>
        <v>237.99155225976517</v>
      </c>
      <c r="H100" s="24">
        <f t="shared" si="30"/>
        <v>9086.0179899969007</v>
      </c>
      <c r="I100" s="24">
        <f t="shared" si="30"/>
        <v>4077.432021994332</v>
      </c>
      <c r="J100" s="24">
        <f t="shared" si="35"/>
        <v>793.30517419921728</v>
      </c>
      <c r="K100" s="24">
        <f t="shared" si="36"/>
        <v>30286.726633323004</v>
      </c>
      <c r="L100" s="24">
        <f t="shared" si="37"/>
        <v>4077.432021994332</v>
      </c>
      <c r="N100" s="1">
        <f t="shared" si="38"/>
        <v>77</v>
      </c>
      <c r="O100" s="24">
        <f t="shared" si="39"/>
        <v>39665.258709960865</v>
      </c>
      <c r="P100" s="24">
        <f t="shared" si="40"/>
        <v>559749.40039677429</v>
      </c>
      <c r="Q100" s="24">
        <f t="shared" si="41"/>
        <v>305807.40164957492</v>
      </c>
      <c r="R100" s="1">
        <f t="shared" si="42"/>
        <v>77</v>
      </c>
      <c r="S100" s="24">
        <f t="shared" si="44"/>
        <v>7933.0517419921725</v>
      </c>
      <c r="T100" s="24">
        <f t="shared" si="45"/>
        <v>62194.377821863811</v>
      </c>
      <c r="U100" s="24">
        <f t="shared" si="46"/>
        <v>305807.40164957492</v>
      </c>
      <c r="V100" s="1">
        <v>0.4</v>
      </c>
      <c r="W100" s="1">
        <v>1.5</v>
      </c>
      <c r="X100" s="1">
        <v>1</v>
      </c>
      <c r="Y100" s="1">
        <v>0.8</v>
      </c>
      <c r="Z100" s="1">
        <v>10</v>
      </c>
      <c r="AA100" s="36">
        <f t="shared" si="43"/>
        <v>2.4999999999999991</v>
      </c>
    </row>
    <row r="101" spans="2:27" ht="14.25" customHeight="1" x14ac:dyDescent="0.2">
      <c r="B101" s="1" t="s">
        <v>28</v>
      </c>
      <c r="C101" s="36">
        <f t="shared" si="31"/>
        <v>1</v>
      </c>
      <c r="D101" s="36">
        <f t="shared" si="32"/>
        <v>0.41666666666666669</v>
      </c>
      <c r="E101" s="36">
        <f t="shared" si="33"/>
        <v>0.25</v>
      </c>
      <c r="F101" s="1">
        <v>78</v>
      </c>
      <c r="G101" s="24">
        <f t="shared" si="34"/>
        <v>249.89112987275351</v>
      </c>
      <c r="H101" s="24">
        <f t="shared" si="30"/>
        <v>9540.3188894967498</v>
      </c>
      <c r="I101" s="24">
        <f t="shared" si="30"/>
        <v>4281.3036230940497</v>
      </c>
      <c r="J101" s="24">
        <f t="shared" si="35"/>
        <v>832.97043290917838</v>
      </c>
      <c r="K101" s="24">
        <f t="shared" si="36"/>
        <v>31801.062964989167</v>
      </c>
      <c r="L101" s="24">
        <f t="shared" si="37"/>
        <v>4281.3036230940497</v>
      </c>
      <c r="N101" s="1">
        <f t="shared" si="38"/>
        <v>78</v>
      </c>
      <c r="O101" s="24">
        <f t="shared" si="39"/>
        <v>41648.521645458924</v>
      </c>
      <c r="P101" s="24">
        <f t="shared" si="40"/>
        <v>566395.7119896193</v>
      </c>
      <c r="Q101" s="24">
        <f t="shared" si="41"/>
        <v>321097.77173205372</v>
      </c>
      <c r="R101" s="1">
        <f t="shared" si="42"/>
        <v>78</v>
      </c>
      <c r="S101" s="24">
        <f t="shared" si="44"/>
        <v>8329.7043290917845</v>
      </c>
      <c r="T101" s="24">
        <f t="shared" si="45"/>
        <v>62932.856887735477</v>
      </c>
      <c r="U101" s="24">
        <f t="shared" si="46"/>
        <v>321097.77173205372</v>
      </c>
      <c r="V101" s="1">
        <v>0.4</v>
      </c>
      <c r="W101" s="1">
        <v>1.5</v>
      </c>
      <c r="X101" s="1">
        <v>1</v>
      </c>
      <c r="Y101" s="1">
        <v>0.8</v>
      </c>
      <c r="Z101" s="1">
        <v>10</v>
      </c>
      <c r="AA101" s="36">
        <f t="shared" si="43"/>
        <v>2.4999999999999987</v>
      </c>
    </row>
    <row r="102" spans="2:27" ht="14.25" customHeight="1" x14ac:dyDescent="0.2">
      <c r="B102" s="1" t="s">
        <v>28</v>
      </c>
      <c r="C102" s="36">
        <f t="shared" si="31"/>
        <v>1</v>
      </c>
      <c r="D102" s="36">
        <f t="shared" si="32"/>
        <v>0.41666666666666669</v>
      </c>
      <c r="E102" s="36">
        <f t="shared" si="33"/>
        <v>0.25</v>
      </c>
      <c r="F102" s="1">
        <v>79</v>
      </c>
      <c r="G102" s="24">
        <f t="shared" si="34"/>
        <v>262.3856863663911</v>
      </c>
      <c r="H102" s="24">
        <f t="shared" si="30"/>
        <v>10017.334833971583</v>
      </c>
      <c r="I102" s="24">
        <f t="shared" si="30"/>
        <v>4495.3688042487511</v>
      </c>
      <c r="J102" s="24">
        <f t="shared" si="35"/>
        <v>874.61895455463707</v>
      </c>
      <c r="K102" s="24">
        <f t="shared" si="36"/>
        <v>33391.116113238611</v>
      </c>
      <c r="L102" s="24">
        <f t="shared" si="37"/>
        <v>4495.3688042487511</v>
      </c>
      <c r="N102" s="1">
        <f t="shared" si="38"/>
        <v>79</v>
      </c>
      <c r="O102" s="24">
        <f t="shared" si="39"/>
        <v>43730.947727731866</v>
      </c>
      <c r="P102" s="24">
        <f t="shared" si="40"/>
        <v>572873.9490381683</v>
      </c>
      <c r="Q102" s="24">
        <f t="shared" si="41"/>
        <v>337152.66031865636</v>
      </c>
      <c r="R102" s="1">
        <f t="shared" si="42"/>
        <v>79</v>
      </c>
      <c r="S102" s="24">
        <f t="shared" si="44"/>
        <v>8746.1895455463728</v>
      </c>
      <c r="T102" s="24">
        <f t="shared" si="45"/>
        <v>63652.661004240923</v>
      </c>
      <c r="U102" s="24">
        <f t="shared" si="46"/>
        <v>337152.66031865636</v>
      </c>
      <c r="V102" s="1">
        <v>0.4</v>
      </c>
      <c r="W102" s="1">
        <v>1.5</v>
      </c>
      <c r="X102" s="1">
        <v>1</v>
      </c>
      <c r="Y102" s="1">
        <v>0.8</v>
      </c>
      <c r="Z102" s="1">
        <v>10</v>
      </c>
      <c r="AA102" s="36">
        <f t="shared" si="43"/>
        <v>2.4999999999999991</v>
      </c>
    </row>
    <row r="103" spans="2:27" ht="14.25" customHeight="1" x14ac:dyDescent="0.2">
      <c r="B103" s="1" t="s">
        <v>28</v>
      </c>
      <c r="C103" s="36">
        <f t="shared" si="31"/>
        <v>1</v>
      </c>
      <c r="D103" s="36">
        <f t="shared" si="32"/>
        <v>0.41666666666666669</v>
      </c>
      <c r="E103" s="36">
        <f t="shared" si="33"/>
        <v>0.25</v>
      </c>
      <c r="F103" s="1">
        <v>80</v>
      </c>
      <c r="G103" s="24">
        <f t="shared" si="34"/>
        <v>275.50497068471071</v>
      </c>
      <c r="H103" s="24">
        <f t="shared" si="30"/>
        <v>10518.201575670166</v>
      </c>
      <c r="I103" s="24">
        <f t="shared" si="30"/>
        <v>4720.1372444611898</v>
      </c>
      <c r="J103" s="24">
        <f t="shared" si="35"/>
        <v>918.34990228236904</v>
      </c>
      <c r="K103" s="24">
        <f t="shared" si="36"/>
        <v>35060.671918900553</v>
      </c>
      <c r="L103" s="24">
        <f t="shared" si="37"/>
        <v>4720.1372444611898</v>
      </c>
      <c r="N103" s="1">
        <f t="shared" si="38"/>
        <v>80</v>
      </c>
      <c r="O103" s="24">
        <f t="shared" si="39"/>
        <v>45917.495114118457</v>
      </c>
      <c r="P103" s="24">
        <f t="shared" si="40"/>
        <v>579182.99045692733</v>
      </c>
      <c r="Q103" s="24">
        <f t="shared" si="41"/>
        <v>354010.29333458922</v>
      </c>
      <c r="R103" s="1">
        <f t="shared" si="42"/>
        <v>80</v>
      </c>
      <c r="S103" s="24">
        <f t="shared" si="44"/>
        <v>9183.4990228236911</v>
      </c>
      <c r="T103" s="24">
        <f t="shared" si="45"/>
        <v>64353.665606325259</v>
      </c>
      <c r="U103" s="24">
        <f t="shared" si="46"/>
        <v>354010.29333458922</v>
      </c>
      <c r="V103" s="1">
        <v>0.4</v>
      </c>
      <c r="W103" s="1">
        <v>1.5</v>
      </c>
      <c r="X103" s="1">
        <v>1</v>
      </c>
      <c r="Y103" s="1">
        <v>0.8</v>
      </c>
      <c r="Z103" s="1">
        <v>10</v>
      </c>
      <c r="AA103" s="36">
        <f t="shared" si="43"/>
        <v>2.4999999999999991</v>
      </c>
    </row>
    <row r="104" spans="2:27" ht="14.25" customHeight="1" x14ac:dyDescent="0.2">
      <c r="B104" s="1" t="s">
        <v>28</v>
      </c>
      <c r="C104" s="36">
        <f t="shared" si="31"/>
        <v>1</v>
      </c>
      <c r="D104" s="36">
        <f t="shared" si="32"/>
        <v>0.41666666666666669</v>
      </c>
      <c r="E104" s="36">
        <f t="shared" si="33"/>
        <v>0.25</v>
      </c>
      <c r="F104" s="1">
        <v>81</v>
      </c>
      <c r="G104" s="24">
        <f>G$22*$C$6^($F104-1)</f>
        <v>289.28021921894629</v>
      </c>
      <c r="H104" s="24">
        <f t="shared" ref="H104:I119" si="47">H$22*$C$6^($F104-1)</f>
        <v>11044.111654453674</v>
      </c>
      <c r="I104" s="24">
        <f t="shared" si="47"/>
        <v>4956.144106684249</v>
      </c>
      <c r="J104" s="24">
        <f t="shared" si="35"/>
        <v>964.2673973964877</v>
      </c>
      <c r="K104" s="24">
        <f t="shared" si="36"/>
        <v>36813.705514845584</v>
      </c>
      <c r="L104" s="24">
        <f t="shared" si="37"/>
        <v>4956.144106684249</v>
      </c>
      <c r="N104" s="1">
        <f t="shared" si="38"/>
        <v>81</v>
      </c>
      <c r="O104" s="24">
        <f t="shared" si="39"/>
        <v>48213.36986982439</v>
      </c>
      <c r="P104" s="24">
        <f t="shared" si="40"/>
        <v>585322.1649323965</v>
      </c>
      <c r="Q104" s="24">
        <f t="shared" si="41"/>
        <v>371710.80800131866</v>
      </c>
      <c r="R104" s="1">
        <f t="shared" si="42"/>
        <v>81</v>
      </c>
      <c r="S104" s="24">
        <f t="shared" si="44"/>
        <v>9642.6739739648783</v>
      </c>
      <c r="T104" s="24">
        <f t="shared" si="45"/>
        <v>65035.796103599612</v>
      </c>
      <c r="U104" s="24">
        <f t="shared" si="46"/>
        <v>371710.80800131866</v>
      </c>
      <c r="V104" s="1">
        <v>0.4</v>
      </c>
      <c r="W104" s="1">
        <v>1.5</v>
      </c>
      <c r="X104" s="1">
        <v>1</v>
      </c>
      <c r="Y104" s="1">
        <v>0.8</v>
      </c>
      <c r="Z104" s="1">
        <v>10</v>
      </c>
      <c r="AA104" s="36">
        <f t="shared" si="43"/>
        <v>2.4999999999999987</v>
      </c>
    </row>
    <row r="105" spans="2:27" ht="14.25" customHeight="1" x14ac:dyDescent="0.2">
      <c r="B105" s="1" t="s">
        <v>28</v>
      </c>
      <c r="C105" s="36">
        <f t="shared" si="31"/>
        <v>1</v>
      </c>
      <c r="D105" s="36">
        <f t="shared" si="32"/>
        <v>0.41666666666666669</v>
      </c>
      <c r="E105" s="36">
        <f t="shared" si="33"/>
        <v>0.25</v>
      </c>
      <c r="F105" s="1">
        <v>82</v>
      </c>
      <c r="G105" s="24">
        <f t="shared" ref="G105:I120" si="48">G$22*$C$6^($F105-1)</f>
        <v>303.74423017989363</v>
      </c>
      <c r="H105" s="24">
        <f t="shared" si="47"/>
        <v>11596.317237176359</v>
      </c>
      <c r="I105" s="24">
        <f t="shared" si="47"/>
        <v>5203.951312018462</v>
      </c>
      <c r="J105" s="24">
        <f t="shared" si="35"/>
        <v>1012.4807672663121</v>
      </c>
      <c r="K105" s="24">
        <f t="shared" si="36"/>
        <v>38654.390790587866</v>
      </c>
      <c r="L105" s="24">
        <f t="shared" si="37"/>
        <v>5203.951312018462</v>
      </c>
      <c r="N105" s="1">
        <f t="shared" si="38"/>
        <v>82</v>
      </c>
      <c r="O105" s="24">
        <f t="shared" si="39"/>
        <v>50624.038363315609</v>
      </c>
      <c r="P105" s="24">
        <f t="shared" si="40"/>
        <v>591291.23003802961</v>
      </c>
      <c r="Q105" s="24">
        <f t="shared" si="41"/>
        <v>390296.34840138466</v>
      </c>
      <c r="R105" s="1">
        <f t="shared" si="42"/>
        <v>82</v>
      </c>
      <c r="S105" s="24">
        <f t="shared" si="44"/>
        <v>10124.807672663123</v>
      </c>
      <c r="T105" s="24">
        <f t="shared" si="45"/>
        <v>65699.025559781061</v>
      </c>
      <c r="U105" s="24">
        <f t="shared" si="46"/>
        <v>390296.34840138466</v>
      </c>
      <c r="V105" s="1">
        <v>0.4</v>
      </c>
      <c r="W105" s="1">
        <v>1.5</v>
      </c>
      <c r="X105" s="1">
        <v>1</v>
      </c>
      <c r="Y105" s="1">
        <v>0.8</v>
      </c>
      <c r="Z105" s="1">
        <v>10</v>
      </c>
      <c r="AA105" s="36">
        <f t="shared" si="43"/>
        <v>2.4999999999999987</v>
      </c>
    </row>
    <row r="106" spans="2:27" ht="14.25" customHeight="1" x14ac:dyDescent="0.2">
      <c r="B106" s="1" t="s">
        <v>28</v>
      </c>
      <c r="C106" s="36">
        <f t="shared" si="31"/>
        <v>1</v>
      </c>
      <c r="D106" s="36">
        <f t="shared" si="32"/>
        <v>0.41666666666666669</v>
      </c>
      <c r="E106" s="36">
        <f t="shared" si="33"/>
        <v>0.25</v>
      </c>
      <c r="F106" s="1">
        <v>83</v>
      </c>
      <c r="G106" s="24">
        <f t="shared" si="48"/>
        <v>318.9314416888883</v>
      </c>
      <c r="H106" s="24">
        <f t="shared" si="47"/>
        <v>12176.133099035176</v>
      </c>
      <c r="I106" s="24">
        <f t="shared" si="47"/>
        <v>5464.1488776193855</v>
      </c>
      <c r="J106" s="24">
        <f t="shared" si="35"/>
        <v>1063.1048056296277</v>
      </c>
      <c r="K106" s="24">
        <f t="shared" si="36"/>
        <v>40587.110330117255</v>
      </c>
      <c r="L106" s="24">
        <f t="shared" si="37"/>
        <v>5464.1488776193855</v>
      </c>
      <c r="N106" s="1">
        <f t="shared" si="38"/>
        <v>83</v>
      </c>
      <c r="O106" s="24">
        <f t="shared" si="39"/>
        <v>53155.240281481383</v>
      </c>
      <c r="P106" s="24">
        <f t="shared" si="40"/>
        <v>597090.35008167627</v>
      </c>
      <c r="Q106" s="24">
        <f t="shared" si="41"/>
        <v>409811.16582145391</v>
      </c>
      <c r="R106" s="1">
        <f t="shared" si="42"/>
        <v>83</v>
      </c>
      <c r="S106" s="24">
        <f t="shared" si="44"/>
        <v>10631.048056296277</v>
      </c>
      <c r="T106" s="24">
        <f t="shared" si="45"/>
        <v>66343.37223129737</v>
      </c>
      <c r="U106" s="24">
        <f t="shared" si="46"/>
        <v>409811.16582145391</v>
      </c>
      <c r="V106" s="1">
        <v>0.4</v>
      </c>
      <c r="W106" s="1">
        <v>1.5</v>
      </c>
      <c r="X106" s="1">
        <v>1</v>
      </c>
      <c r="Y106" s="1">
        <v>0.8</v>
      </c>
      <c r="Z106" s="1">
        <v>10</v>
      </c>
      <c r="AA106" s="36">
        <f t="shared" si="43"/>
        <v>2.4999999999999991</v>
      </c>
    </row>
    <row r="107" spans="2:27" ht="14.25" customHeight="1" x14ac:dyDescent="0.2">
      <c r="B107" s="1" t="s">
        <v>28</v>
      </c>
      <c r="C107" s="36">
        <f t="shared" si="31"/>
        <v>1</v>
      </c>
      <c r="D107" s="36">
        <f t="shared" si="32"/>
        <v>0.41666666666666669</v>
      </c>
      <c r="E107" s="36">
        <f t="shared" si="33"/>
        <v>0.25</v>
      </c>
      <c r="F107" s="1">
        <v>84</v>
      </c>
      <c r="G107" s="24">
        <f t="shared" si="48"/>
        <v>334.87801377333267</v>
      </c>
      <c r="H107" s="24">
        <f t="shared" si="47"/>
        <v>12784.939753986935</v>
      </c>
      <c r="I107" s="24">
        <f t="shared" si="47"/>
        <v>5737.3563215003542</v>
      </c>
      <c r="J107" s="24">
        <f t="shared" si="35"/>
        <v>1116.260045911109</v>
      </c>
      <c r="K107" s="24">
        <f t="shared" si="36"/>
        <v>42616.465846623119</v>
      </c>
      <c r="L107" s="24">
        <f t="shared" si="37"/>
        <v>5737.3563215003542</v>
      </c>
      <c r="N107" s="1">
        <f t="shared" si="38"/>
        <v>84</v>
      </c>
      <c r="O107" s="24">
        <f t="shared" si="39"/>
        <v>55813.002295555452</v>
      </c>
      <c r="P107" s="24">
        <f t="shared" si="40"/>
        <v>602720.07296331425</v>
      </c>
      <c r="Q107" s="24">
        <f t="shared" si="41"/>
        <v>430301.72411252657</v>
      </c>
      <c r="R107" s="1">
        <f t="shared" si="42"/>
        <v>84</v>
      </c>
      <c r="S107" s="24">
        <f t="shared" si="44"/>
        <v>11162.60045911109</v>
      </c>
      <c r="T107" s="24">
        <f t="shared" si="45"/>
        <v>66968.896995923802</v>
      </c>
      <c r="U107" s="24">
        <f t="shared" si="46"/>
        <v>430301.72411252657</v>
      </c>
      <c r="V107" s="1">
        <v>0.4</v>
      </c>
      <c r="W107" s="1">
        <v>1.5</v>
      </c>
      <c r="X107" s="1">
        <v>1</v>
      </c>
      <c r="Y107" s="1">
        <v>0.8</v>
      </c>
      <c r="Z107" s="1">
        <v>10</v>
      </c>
      <c r="AA107" s="36">
        <f t="shared" si="43"/>
        <v>2.4999999999999996</v>
      </c>
    </row>
    <row r="108" spans="2:27" ht="14.25" customHeight="1" x14ac:dyDescent="0.2">
      <c r="B108" s="1" t="s">
        <v>28</v>
      </c>
      <c r="C108" s="36">
        <f t="shared" si="31"/>
        <v>1</v>
      </c>
      <c r="D108" s="36">
        <f t="shared" si="32"/>
        <v>0.41666666666666669</v>
      </c>
      <c r="E108" s="36">
        <f t="shared" si="33"/>
        <v>0.25</v>
      </c>
      <c r="F108" s="1">
        <v>85</v>
      </c>
      <c r="G108" s="24">
        <f t="shared" si="48"/>
        <v>351.62191446199932</v>
      </c>
      <c r="H108" s="24">
        <f t="shared" si="47"/>
        <v>13424.186741686282</v>
      </c>
      <c r="I108" s="24">
        <f t="shared" si="47"/>
        <v>6024.224137575372</v>
      </c>
      <c r="J108" s="24">
        <f t="shared" si="35"/>
        <v>1172.0730482066645</v>
      </c>
      <c r="K108" s="24">
        <f t="shared" si="36"/>
        <v>44747.289138954278</v>
      </c>
      <c r="L108" s="24">
        <f t="shared" si="37"/>
        <v>6024.224137575372</v>
      </c>
      <c r="N108" s="1">
        <f t="shared" si="38"/>
        <v>85</v>
      </c>
      <c r="O108" s="24">
        <f t="shared" si="39"/>
        <v>58603.652410333227</v>
      </c>
      <c r="P108" s="24">
        <f t="shared" si="40"/>
        <v>608181.30630826997</v>
      </c>
      <c r="Q108" s="24">
        <f t="shared" si="41"/>
        <v>451816.81031815289</v>
      </c>
      <c r="R108" s="1">
        <f t="shared" si="42"/>
        <v>85</v>
      </c>
      <c r="S108" s="24">
        <f t="shared" si="44"/>
        <v>11720.730482066645</v>
      </c>
      <c r="T108" s="24">
        <f t="shared" si="45"/>
        <v>67575.700700918882</v>
      </c>
      <c r="U108" s="24">
        <f t="shared" si="46"/>
        <v>451816.81031815289</v>
      </c>
      <c r="V108" s="1">
        <v>0.4</v>
      </c>
      <c r="W108" s="1">
        <v>1.5</v>
      </c>
      <c r="X108" s="1">
        <v>1</v>
      </c>
      <c r="Y108" s="1">
        <v>0.8</v>
      </c>
      <c r="Z108" s="1">
        <v>10</v>
      </c>
      <c r="AA108" s="36">
        <f t="shared" si="43"/>
        <v>2.4999999999999991</v>
      </c>
    </row>
    <row r="109" spans="2:27" ht="14.25" customHeight="1" x14ac:dyDescent="0.2">
      <c r="B109" s="1" t="s">
        <v>28</v>
      </c>
      <c r="C109" s="36">
        <f t="shared" si="31"/>
        <v>1</v>
      </c>
      <c r="D109" s="36">
        <f t="shared" si="32"/>
        <v>0.41666666666666669</v>
      </c>
      <c r="E109" s="36">
        <f t="shared" si="33"/>
        <v>0.25</v>
      </c>
      <c r="F109" s="1">
        <v>86</v>
      </c>
      <c r="G109" s="24">
        <f t="shared" si="48"/>
        <v>369.20301018509929</v>
      </c>
      <c r="H109" s="24">
        <f t="shared" si="47"/>
        <v>14095.396078770595</v>
      </c>
      <c r="I109" s="24">
        <f t="shared" si="47"/>
        <v>6325.4353444541402</v>
      </c>
      <c r="J109" s="24">
        <f t="shared" si="35"/>
        <v>1230.6767006169978</v>
      </c>
      <c r="K109" s="24">
        <f t="shared" si="36"/>
        <v>46984.653595901982</v>
      </c>
      <c r="L109" s="24">
        <f t="shared" si="37"/>
        <v>6325.4353444541402</v>
      </c>
      <c r="N109" s="1">
        <f t="shared" si="38"/>
        <v>86</v>
      </c>
      <c r="O109" s="24">
        <f t="shared" si="39"/>
        <v>61533.835030849892</v>
      </c>
      <c r="P109" s="24">
        <f t="shared" si="40"/>
        <v>613475.29312603921</v>
      </c>
      <c r="Q109" s="24">
        <f t="shared" si="41"/>
        <v>474407.65083406051</v>
      </c>
      <c r="R109" s="1">
        <f t="shared" si="42"/>
        <v>86</v>
      </c>
      <c r="S109" s="24">
        <f t="shared" si="44"/>
        <v>12306.767006169979</v>
      </c>
      <c r="T109" s="24">
        <f t="shared" si="45"/>
        <v>68163.921458448807</v>
      </c>
      <c r="U109" s="24">
        <f t="shared" si="46"/>
        <v>474407.65083406051</v>
      </c>
      <c r="V109" s="1">
        <v>0.4</v>
      </c>
      <c r="W109" s="1">
        <v>1.5</v>
      </c>
      <c r="X109" s="1">
        <v>1</v>
      </c>
      <c r="Y109" s="1">
        <v>0.8</v>
      </c>
      <c r="Z109" s="1">
        <v>10</v>
      </c>
      <c r="AA109" s="36">
        <f t="shared" si="43"/>
        <v>2.4999999999999996</v>
      </c>
    </row>
    <row r="110" spans="2:27" ht="14.25" customHeight="1" x14ac:dyDescent="0.2">
      <c r="B110" s="1" t="s">
        <v>28</v>
      </c>
      <c r="C110" s="36">
        <f t="shared" si="31"/>
        <v>1</v>
      </c>
      <c r="D110" s="36">
        <f t="shared" si="32"/>
        <v>0.41666666666666669</v>
      </c>
      <c r="E110" s="36">
        <f t="shared" si="33"/>
        <v>0.25</v>
      </c>
      <c r="F110" s="1">
        <v>87</v>
      </c>
      <c r="G110" s="24">
        <f t="shared" si="48"/>
        <v>387.66316069435419</v>
      </c>
      <c r="H110" s="24">
        <f t="shared" si="47"/>
        <v>14800.165882709123</v>
      </c>
      <c r="I110" s="24">
        <f t="shared" si="47"/>
        <v>6641.7071116768466</v>
      </c>
      <c r="J110" s="24">
        <f t="shared" si="35"/>
        <v>1292.2105356478473</v>
      </c>
      <c r="K110" s="24">
        <f t="shared" si="36"/>
        <v>49333.886275697078</v>
      </c>
      <c r="L110" s="24">
        <f t="shared" si="37"/>
        <v>6641.7071116768466</v>
      </c>
      <c r="N110" s="1">
        <f t="shared" si="38"/>
        <v>87</v>
      </c>
      <c r="O110" s="24">
        <f t="shared" si="39"/>
        <v>64610.526782392371</v>
      </c>
      <c r="P110" s="24">
        <f t="shared" si="40"/>
        <v>618603.58722775232</v>
      </c>
      <c r="Q110" s="24">
        <f t="shared" si="41"/>
        <v>498128.03337576351</v>
      </c>
      <c r="R110" s="1">
        <f t="shared" si="42"/>
        <v>87</v>
      </c>
      <c r="S110" s="24">
        <f t="shared" si="44"/>
        <v>12922.105356478474</v>
      </c>
      <c r="T110" s="24">
        <f t="shared" si="45"/>
        <v>68733.731914194708</v>
      </c>
      <c r="U110" s="24">
        <f t="shared" si="46"/>
        <v>498128.03337576351</v>
      </c>
      <c r="V110" s="1">
        <v>0.4</v>
      </c>
      <c r="W110" s="1">
        <v>1.5</v>
      </c>
      <c r="X110" s="1">
        <v>1</v>
      </c>
      <c r="Y110" s="1">
        <v>0.8</v>
      </c>
      <c r="Z110" s="1">
        <v>10</v>
      </c>
      <c r="AA110" s="36">
        <f t="shared" si="43"/>
        <v>2.4999999999999996</v>
      </c>
    </row>
    <row r="111" spans="2:27" ht="14.25" customHeight="1" x14ac:dyDescent="0.2">
      <c r="B111" s="1" t="s">
        <v>28</v>
      </c>
      <c r="C111" s="36">
        <f t="shared" si="31"/>
        <v>1</v>
      </c>
      <c r="D111" s="36">
        <f t="shared" si="32"/>
        <v>0.41666666666666669</v>
      </c>
      <c r="E111" s="36">
        <f t="shared" si="33"/>
        <v>0.25</v>
      </c>
      <c r="F111" s="1">
        <v>88</v>
      </c>
      <c r="G111" s="24">
        <f t="shared" si="48"/>
        <v>407.04631872907203</v>
      </c>
      <c r="H111" s="24">
        <f t="shared" si="47"/>
        <v>15540.174176844585</v>
      </c>
      <c r="I111" s="24">
        <f t="shared" si="47"/>
        <v>6973.7924672606905</v>
      </c>
      <c r="J111" s="24">
        <f t="shared" si="35"/>
        <v>1356.8210624302401</v>
      </c>
      <c r="K111" s="24">
        <f t="shared" si="36"/>
        <v>51800.58058948195</v>
      </c>
      <c r="L111" s="24">
        <f t="shared" si="37"/>
        <v>6973.7924672606905</v>
      </c>
      <c r="N111" s="1">
        <f t="shared" si="38"/>
        <v>88</v>
      </c>
      <c r="O111" s="24">
        <f t="shared" si="39"/>
        <v>67841.053121511999</v>
      </c>
      <c r="P111" s="24">
        <f t="shared" si="40"/>
        <v>623568.02861680288</v>
      </c>
      <c r="Q111" s="24">
        <f t="shared" si="41"/>
        <v>523034.43504455179</v>
      </c>
      <c r="R111" s="1">
        <f t="shared" si="42"/>
        <v>88</v>
      </c>
      <c r="S111" s="24">
        <f t="shared" si="44"/>
        <v>13568.210624302399</v>
      </c>
      <c r="T111" s="24">
        <f t="shared" si="45"/>
        <v>69285.336512978101</v>
      </c>
      <c r="U111" s="24">
        <f t="shared" si="46"/>
        <v>523034.43504455179</v>
      </c>
      <c r="V111" s="1">
        <v>0.4</v>
      </c>
      <c r="W111" s="1">
        <v>1.5</v>
      </c>
      <c r="X111" s="1">
        <v>1</v>
      </c>
      <c r="Y111" s="1">
        <v>0.8</v>
      </c>
      <c r="Z111" s="1">
        <v>10</v>
      </c>
      <c r="AA111" s="36">
        <f t="shared" si="43"/>
        <v>2.4999999999999996</v>
      </c>
    </row>
    <row r="112" spans="2:27" ht="14.25" customHeight="1" x14ac:dyDescent="0.2">
      <c r="B112" s="1" t="s">
        <v>28</v>
      </c>
      <c r="C112" s="36">
        <f t="shared" si="31"/>
        <v>1</v>
      </c>
      <c r="D112" s="36">
        <f t="shared" si="32"/>
        <v>0.41666666666666669</v>
      </c>
      <c r="E112" s="36">
        <f t="shared" si="33"/>
        <v>0.25</v>
      </c>
      <c r="F112" s="1">
        <v>89</v>
      </c>
      <c r="G112" s="24">
        <f t="shared" si="48"/>
        <v>427.39863466552555</v>
      </c>
      <c r="H112" s="24">
        <f t="shared" si="47"/>
        <v>16317.182885686811</v>
      </c>
      <c r="I112" s="24">
        <f t="shared" si="47"/>
        <v>7322.4820906237237</v>
      </c>
      <c r="J112" s="24">
        <f t="shared" si="35"/>
        <v>1424.6621155517519</v>
      </c>
      <c r="K112" s="24">
        <f t="shared" si="36"/>
        <v>54390.609618956034</v>
      </c>
      <c r="L112" s="24">
        <f t="shared" si="37"/>
        <v>7322.4820906237237</v>
      </c>
      <c r="N112" s="1">
        <f t="shared" si="38"/>
        <v>89</v>
      </c>
      <c r="O112" s="24">
        <f t="shared" si="39"/>
        <v>71233.105777587611</v>
      </c>
      <c r="P112" s="24">
        <f t="shared" si="40"/>
        <v>628370.71904764627</v>
      </c>
      <c r="Q112" s="24">
        <f t="shared" si="41"/>
        <v>549186.15679677925</v>
      </c>
      <c r="R112" s="1">
        <f t="shared" si="42"/>
        <v>89</v>
      </c>
      <c r="S112" s="24">
        <f t="shared" si="44"/>
        <v>14246.621155517521</v>
      </c>
      <c r="T112" s="24">
        <f t="shared" si="45"/>
        <v>69818.968783071803</v>
      </c>
      <c r="U112" s="24">
        <f t="shared" si="46"/>
        <v>549186.15679677925</v>
      </c>
      <c r="V112" s="1">
        <v>0.4</v>
      </c>
      <c r="W112" s="1">
        <v>1.5</v>
      </c>
      <c r="X112" s="1">
        <v>1</v>
      </c>
      <c r="Y112" s="1">
        <v>0.8</v>
      </c>
      <c r="Z112" s="1">
        <v>10</v>
      </c>
      <c r="AA112" s="36">
        <f t="shared" si="43"/>
        <v>2.4999999999999987</v>
      </c>
    </row>
    <row r="113" spans="2:27" ht="14.25" customHeight="1" x14ac:dyDescent="0.2">
      <c r="B113" s="1" t="s">
        <v>28</v>
      </c>
      <c r="C113" s="36">
        <f t="shared" si="31"/>
        <v>1</v>
      </c>
      <c r="D113" s="36">
        <f t="shared" si="32"/>
        <v>0.41666666666666669</v>
      </c>
      <c r="E113" s="36">
        <f t="shared" si="33"/>
        <v>0.25</v>
      </c>
      <c r="F113" s="1">
        <v>90</v>
      </c>
      <c r="G113" s="24">
        <f t="shared" si="48"/>
        <v>448.76856639880185</v>
      </c>
      <c r="H113" s="24">
        <f t="shared" si="47"/>
        <v>17133.042029971151</v>
      </c>
      <c r="I113" s="24">
        <f t="shared" si="47"/>
        <v>7688.6061951549109</v>
      </c>
      <c r="J113" s="24">
        <f t="shared" si="35"/>
        <v>1495.8952213293396</v>
      </c>
      <c r="K113" s="24">
        <f t="shared" si="36"/>
        <v>57110.140099903838</v>
      </c>
      <c r="L113" s="24">
        <f t="shared" si="37"/>
        <v>7688.6061951549109</v>
      </c>
      <c r="N113" s="1">
        <f t="shared" si="38"/>
        <v>90</v>
      </c>
      <c r="O113" s="24">
        <f t="shared" si="39"/>
        <v>74794.761066466992</v>
      </c>
      <c r="P113" s="24">
        <f t="shared" si="40"/>
        <v>633013.9979277103</v>
      </c>
      <c r="Q113" s="24">
        <f t="shared" si="41"/>
        <v>576645.46463661827</v>
      </c>
      <c r="R113" s="1">
        <f t="shared" si="42"/>
        <v>90</v>
      </c>
      <c r="S113" s="24">
        <f t="shared" si="44"/>
        <v>14958.952213293398</v>
      </c>
      <c r="T113" s="24">
        <f t="shared" si="45"/>
        <v>70334.888658634474</v>
      </c>
      <c r="U113" s="24">
        <f t="shared" si="46"/>
        <v>576645.46463661827</v>
      </c>
      <c r="V113" s="1">
        <v>0.4</v>
      </c>
      <c r="W113" s="1">
        <v>1.5</v>
      </c>
      <c r="X113" s="1">
        <v>1</v>
      </c>
      <c r="Y113" s="1">
        <v>0.8</v>
      </c>
      <c r="Z113" s="1">
        <v>10</v>
      </c>
      <c r="AA113" s="36">
        <f t="shared" si="43"/>
        <v>2.4999999999999991</v>
      </c>
    </row>
    <row r="114" spans="2:27" ht="14.25" customHeight="1" x14ac:dyDescent="0.2">
      <c r="B114" s="1" t="s">
        <v>28</v>
      </c>
      <c r="C114" s="36">
        <f t="shared" si="31"/>
        <v>1</v>
      </c>
      <c r="D114" s="36">
        <f t="shared" si="32"/>
        <v>0.41666666666666669</v>
      </c>
      <c r="E114" s="36">
        <f t="shared" si="33"/>
        <v>0.25</v>
      </c>
      <c r="F114" s="1">
        <v>91</v>
      </c>
      <c r="G114" s="24">
        <f t="shared" si="48"/>
        <v>471.20699471874195</v>
      </c>
      <c r="H114" s="24">
        <f t="shared" si="47"/>
        <v>17989.694131469711</v>
      </c>
      <c r="I114" s="24">
        <f t="shared" si="47"/>
        <v>8073.0365049126558</v>
      </c>
      <c r="J114" s="24">
        <f t="shared" si="35"/>
        <v>1570.6899823958065</v>
      </c>
      <c r="K114" s="24">
        <f t="shared" si="36"/>
        <v>59965.647104899035</v>
      </c>
      <c r="L114" s="24">
        <f t="shared" si="37"/>
        <v>8073.0365049126558</v>
      </c>
      <c r="N114" s="1">
        <f t="shared" si="38"/>
        <v>91</v>
      </c>
      <c r="O114" s="24">
        <f t="shared" si="39"/>
        <v>78534.499119790329</v>
      </c>
      <c r="P114" s="24">
        <f t="shared" si="40"/>
        <v>637500.41871711973</v>
      </c>
      <c r="Q114" s="24">
        <f t="shared" si="41"/>
        <v>605477.73786844919</v>
      </c>
      <c r="R114" s="1">
        <f t="shared" si="42"/>
        <v>91</v>
      </c>
      <c r="S114" s="24">
        <f t="shared" si="44"/>
        <v>15706.899823958065</v>
      </c>
      <c r="T114" s="24">
        <f t="shared" si="45"/>
        <v>70833.379857457752</v>
      </c>
      <c r="U114" s="24">
        <f t="shared" si="46"/>
        <v>605477.73786844919</v>
      </c>
      <c r="V114" s="1">
        <v>0.4</v>
      </c>
      <c r="W114" s="1">
        <v>1.5</v>
      </c>
      <c r="X114" s="1">
        <v>1</v>
      </c>
      <c r="Y114" s="1">
        <v>0.8</v>
      </c>
      <c r="Z114" s="1">
        <v>10</v>
      </c>
      <c r="AA114" s="36">
        <f t="shared" si="43"/>
        <v>2.4999999999999991</v>
      </c>
    </row>
    <row r="115" spans="2:27" ht="14.25" customHeight="1" x14ac:dyDescent="0.2">
      <c r="B115" s="1" t="s">
        <v>28</v>
      </c>
      <c r="C115" s="36">
        <f t="shared" si="31"/>
        <v>1</v>
      </c>
      <c r="D115" s="36">
        <f t="shared" si="32"/>
        <v>0.41666666666666669</v>
      </c>
      <c r="E115" s="36">
        <f t="shared" si="33"/>
        <v>0.25</v>
      </c>
      <c r="F115" s="1">
        <v>92</v>
      </c>
      <c r="G115" s="24">
        <f t="shared" si="48"/>
        <v>494.76734445467912</v>
      </c>
      <c r="H115" s="24">
        <f t="shared" si="47"/>
        <v>18889.178838043197</v>
      </c>
      <c r="I115" s="24">
        <f t="shared" si="47"/>
        <v>8476.6883301582911</v>
      </c>
      <c r="J115" s="24">
        <f t="shared" si="35"/>
        <v>1649.2244815155971</v>
      </c>
      <c r="K115" s="24">
        <f t="shared" si="36"/>
        <v>62963.929460143991</v>
      </c>
      <c r="L115" s="24">
        <f t="shared" si="37"/>
        <v>8476.6883301582911</v>
      </c>
      <c r="N115" s="1">
        <f t="shared" si="38"/>
        <v>92</v>
      </c>
      <c r="O115" s="24">
        <f t="shared" si="39"/>
        <v>82461.224075779857</v>
      </c>
      <c r="P115" s="24">
        <f t="shared" si="40"/>
        <v>641832.72596090881</v>
      </c>
      <c r="Q115" s="24">
        <f t="shared" si="41"/>
        <v>635751.62476187188</v>
      </c>
      <c r="R115" s="1">
        <f t="shared" si="42"/>
        <v>92</v>
      </c>
      <c r="S115" s="24">
        <f t="shared" si="44"/>
        <v>16492.244815155973</v>
      </c>
      <c r="T115" s="24">
        <f t="shared" si="45"/>
        <v>71314.747328989863</v>
      </c>
      <c r="U115" s="24">
        <f t="shared" si="46"/>
        <v>635751.62476187188</v>
      </c>
      <c r="V115" s="1">
        <v>0.4</v>
      </c>
      <c r="W115" s="1">
        <v>1.5</v>
      </c>
      <c r="X115" s="1">
        <v>1</v>
      </c>
      <c r="Y115" s="1">
        <v>0.8</v>
      </c>
      <c r="Z115" s="1">
        <v>10</v>
      </c>
      <c r="AA115" s="36">
        <f t="shared" si="43"/>
        <v>2.4999999999999991</v>
      </c>
    </row>
    <row r="116" spans="2:27" ht="14.25" customHeight="1" x14ac:dyDescent="0.2">
      <c r="B116" s="1" t="s">
        <v>28</v>
      </c>
      <c r="C116" s="36">
        <f t="shared" si="31"/>
        <v>1</v>
      </c>
      <c r="D116" s="36">
        <f t="shared" si="32"/>
        <v>0.41666666666666669</v>
      </c>
      <c r="E116" s="36">
        <f t="shared" si="33"/>
        <v>0.25</v>
      </c>
      <c r="F116" s="1">
        <v>93</v>
      </c>
      <c r="G116" s="24">
        <f t="shared" si="48"/>
        <v>519.50571167741293</v>
      </c>
      <c r="H116" s="24">
        <f t="shared" si="47"/>
        <v>19833.637779945355</v>
      </c>
      <c r="I116" s="24">
        <f t="shared" si="47"/>
        <v>8900.5227466662036</v>
      </c>
      <c r="J116" s="24">
        <f t="shared" si="35"/>
        <v>1731.6857055913765</v>
      </c>
      <c r="K116" s="24">
        <f t="shared" si="36"/>
        <v>66112.125933151183</v>
      </c>
      <c r="L116" s="24">
        <f t="shared" si="37"/>
        <v>8900.5227466662036</v>
      </c>
      <c r="N116" s="1">
        <f t="shared" si="38"/>
        <v>93</v>
      </c>
      <c r="O116" s="24">
        <f t="shared" si="39"/>
        <v>86584.285279568838</v>
      </c>
      <c r="P116" s="24">
        <f t="shared" si="40"/>
        <v>646013.83306881692</v>
      </c>
      <c r="Q116" s="24">
        <f t="shared" si="41"/>
        <v>667539.20599996531</v>
      </c>
      <c r="R116" s="1">
        <f t="shared" si="42"/>
        <v>93</v>
      </c>
      <c r="S116" s="24">
        <f t="shared" si="44"/>
        <v>17316.857055913766</v>
      </c>
      <c r="T116" s="24">
        <f t="shared" si="45"/>
        <v>71779.314785424096</v>
      </c>
      <c r="U116" s="24">
        <f t="shared" si="46"/>
        <v>667539.20599996531</v>
      </c>
      <c r="V116" s="1">
        <v>0.4</v>
      </c>
      <c r="W116" s="1">
        <v>1.5</v>
      </c>
      <c r="X116" s="1">
        <v>1</v>
      </c>
      <c r="Y116" s="1">
        <v>0.8</v>
      </c>
      <c r="Z116" s="1">
        <v>10</v>
      </c>
      <c r="AA116" s="36">
        <f t="shared" si="43"/>
        <v>2.4999999999999987</v>
      </c>
    </row>
    <row r="117" spans="2:27" ht="14.25" customHeight="1" x14ac:dyDescent="0.2">
      <c r="B117" s="1" t="s">
        <v>28</v>
      </c>
      <c r="C117" s="36">
        <f t="shared" si="31"/>
        <v>1</v>
      </c>
      <c r="D117" s="36">
        <f t="shared" si="32"/>
        <v>0.41666666666666669</v>
      </c>
      <c r="E117" s="36">
        <f t="shared" si="33"/>
        <v>0.25</v>
      </c>
      <c r="F117" s="1">
        <v>94</v>
      </c>
      <c r="G117" s="24">
        <f t="shared" si="48"/>
        <v>545.48099726128373</v>
      </c>
      <c r="H117" s="24">
        <f t="shared" si="47"/>
        <v>20825.319668942626</v>
      </c>
      <c r="I117" s="24">
        <f t="shared" si="47"/>
        <v>9345.548883999516</v>
      </c>
      <c r="J117" s="24">
        <f t="shared" si="35"/>
        <v>1818.2699908709458</v>
      </c>
      <c r="K117" s="24">
        <f t="shared" si="36"/>
        <v>69417.732229808753</v>
      </c>
      <c r="L117" s="24">
        <f t="shared" si="37"/>
        <v>9345.548883999516</v>
      </c>
      <c r="N117" s="1">
        <f t="shared" si="38"/>
        <v>94</v>
      </c>
      <c r="O117" s="24">
        <f t="shared" si="39"/>
        <v>90913.499543547281</v>
      </c>
      <c r="P117" s="24">
        <f t="shared" si="40"/>
        <v>650046.80093893269</v>
      </c>
      <c r="Q117" s="24">
        <f t="shared" si="41"/>
        <v>700916.16629996372</v>
      </c>
      <c r="R117" s="1">
        <f t="shared" si="42"/>
        <v>94</v>
      </c>
      <c r="S117" s="24">
        <f t="shared" si="44"/>
        <v>18182.699908709455</v>
      </c>
      <c r="T117" s="24">
        <f t="shared" si="45"/>
        <v>72227.422326548083</v>
      </c>
      <c r="U117" s="24">
        <f t="shared" si="46"/>
        <v>700916.16629996372</v>
      </c>
      <c r="V117" s="1">
        <v>0.4</v>
      </c>
      <c r="W117" s="1">
        <v>1.5</v>
      </c>
      <c r="X117" s="1">
        <v>1</v>
      </c>
      <c r="Y117" s="1">
        <v>0.8</v>
      </c>
      <c r="Z117" s="1">
        <v>10</v>
      </c>
      <c r="AA117" s="36">
        <f t="shared" si="43"/>
        <v>2.4999999999999996</v>
      </c>
    </row>
    <row r="118" spans="2:27" ht="14.25" customHeight="1" x14ac:dyDescent="0.2">
      <c r="B118" s="1" t="s">
        <v>28</v>
      </c>
      <c r="C118" s="36">
        <f t="shared" si="31"/>
        <v>1</v>
      </c>
      <c r="D118" s="36">
        <f t="shared" si="32"/>
        <v>0.41666666666666669</v>
      </c>
      <c r="E118" s="36">
        <f t="shared" si="33"/>
        <v>0.25</v>
      </c>
      <c r="F118" s="1">
        <v>95</v>
      </c>
      <c r="G118" s="24">
        <f t="shared" si="48"/>
        <v>572.7550471243477</v>
      </c>
      <c r="H118" s="24">
        <f t="shared" si="47"/>
        <v>21866.585652389749</v>
      </c>
      <c r="I118" s="24">
        <f t="shared" si="47"/>
        <v>9812.8263281994878</v>
      </c>
      <c r="J118" s="24">
        <f t="shared" si="35"/>
        <v>1909.1834904144923</v>
      </c>
      <c r="K118" s="24">
        <f t="shared" si="36"/>
        <v>72888.618841299161</v>
      </c>
      <c r="L118" s="24">
        <f t="shared" si="37"/>
        <v>9812.8263281994878</v>
      </c>
      <c r="N118" s="1">
        <f t="shared" si="38"/>
        <v>95</v>
      </c>
      <c r="O118" s="24">
        <f t="shared" si="39"/>
        <v>95459.174520724613</v>
      </c>
      <c r="P118" s="24">
        <f t="shared" si="40"/>
        <v>653934.81750355184</v>
      </c>
      <c r="Q118" s="24">
        <f t="shared" si="41"/>
        <v>735961.97461496154</v>
      </c>
      <c r="R118" s="1">
        <f t="shared" si="42"/>
        <v>95</v>
      </c>
      <c r="S118" s="24">
        <f t="shared" si="44"/>
        <v>19091.834904144922</v>
      </c>
      <c r="T118" s="24">
        <f t="shared" si="45"/>
        <v>72659.424167061312</v>
      </c>
      <c r="U118" s="24">
        <f t="shared" si="46"/>
        <v>735961.97461496154</v>
      </c>
      <c r="V118" s="1">
        <v>0.4</v>
      </c>
      <c r="W118" s="1">
        <v>1.5</v>
      </c>
      <c r="X118" s="1">
        <v>1</v>
      </c>
      <c r="Y118" s="1">
        <v>0.8</v>
      </c>
      <c r="Z118" s="1">
        <v>10</v>
      </c>
      <c r="AA118" s="36">
        <f t="shared" si="43"/>
        <v>2.4999999999999996</v>
      </c>
    </row>
    <row r="119" spans="2:27" ht="14.25" customHeight="1" x14ac:dyDescent="0.2">
      <c r="B119" s="1" t="s">
        <v>28</v>
      </c>
      <c r="C119" s="36">
        <f t="shared" si="31"/>
        <v>1</v>
      </c>
      <c r="D119" s="36">
        <f t="shared" si="32"/>
        <v>0.41666666666666669</v>
      </c>
      <c r="E119" s="36">
        <f t="shared" si="33"/>
        <v>0.25</v>
      </c>
      <c r="F119" s="1">
        <v>96</v>
      </c>
      <c r="G119" s="24">
        <f t="shared" si="48"/>
        <v>601.39279948056537</v>
      </c>
      <c r="H119" s="24">
        <f t="shared" si="47"/>
        <v>22959.914935009248</v>
      </c>
      <c r="I119" s="24">
        <f t="shared" si="47"/>
        <v>10303.467644609467</v>
      </c>
      <c r="J119" s="24">
        <f t="shared" si="35"/>
        <v>2004.6426649352179</v>
      </c>
      <c r="K119" s="24">
        <f t="shared" si="36"/>
        <v>76533.049783364171</v>
      </c>
      <c r="L119" s="24">
        <f t="shared" si="37"/>
        <v>10303.467644609467</v>
      </c>
      <c r="N119" s="1">
        <f t="shared" si="38"/>
        <v>96</v>
      </c>
      <c r="O119" s="24">
        <f t="shared" si="39"/>
        <v>100232.1332467609</v>
      </c>
      <c r="P119" s="24">
        <f t="shared" si="40"/>
        <v>657681.17825878633</v>
      </c>
      <c r="Q119" s="24">
        <f t="shared" si="41"/>
        <v>772760.07334571006</v>
      </c>
      <c r="R119" s="1">
        <f t="shared" si="42"/>
        <v>96</v>
      </c>
      <c r="S119" s="24">
        <f t="shared" si="44"/>
        <v>20046.426649352179</v>
      </c>
      <c r="T119" s="24">
        <f t="shared" si="45"/>
        <v>73075.686473198482</v>
      </c>
      <c r="U119" s="24">
        <f t="shared" si="46"/>
        <v>772760.07334571006</v>
      </c>
      <c r="V119" s="1">
        <v>0.4</v>
      </c>
      <c r="W119" s="1">
        <v>1.5</v>
      </c>
      <c r="X119" s="1">
        <v>1</v>
      </c>
      <c r="Y119" s="1">
        <v>0.8</v>
      </c>
      <c r="Z119" s="1">
        <v>10</v>
      </c>
      <c r="AA119" s="36">
        <f t="shared" si="43"/>
        <v>2.4999999999999991</v>
      </c>
    </row>
    <row r="120" spans="2:27" ht="14.25" customHeight="1" x14ac:dyDescent="0.2">
      <c r="B120" s="1" t="s">
        <v>28</v>
      </c>
      <c r="C120" s="36">
        <f t="shared" si="31"/>
        <v>1</v>
      </c>
      <c r="D120" s="36">
        <f t="shared" si="32"/>
        <v>0.41666666666666669</v>
      </c>
      <c r="E120" s="36">
        <f t="shared" si="33"/>
        <v>0.25</v>
      </c>
      <c r="F120" s="1">
        <v>97</v>
      </c>
      <c r="G120" s="24">
        <f t="shared" si="48"/>
        <v>631.46243945459355</v>
      </c>
      <c r="H120" s="24">
        <f t="shared" si="48"/>
        <v>24107.910681759706</v>
      </c>
      <c r="I120" s="24">
        <f t="shared" si="48"/>
        <v>10818.641026839938</v>
      </c>
      <c r="J120" s="24">
        <f t="shared" si="35"/>
        <v>2104.8747981819788</v>
      </c>
      <c r="K120" s="24">
        <f t="shared" si="36"/>
        <v>80359.702272532362</v>
      </c>
      <c r="L120" s="24">
        <f t="shared" si="37"/>
        <v>10818.641026839938</v>
      </c>
      <c r="N120" s="1">
        <f t="shared" si="38"/>
        <v>97</v>
      </c>
      <c r="O120" s="24">
        <f t="shared" si="39"/>
        <v>105243.73990909895</v>
      </c>
      <c r="P120" s="24">
        <f t="shared" si="40"/>
        <v>661289.26782385446</v>
      </c>
      <c r="Q120" s="24">
        <f t="shared" si="41"/>
        <v>811398.07701299537</v>
      </c>
      <c r="R120" s="1">
        <f t="shared" si="42"/>
        <v>97</v>
      </c>
      <c r="S120" s="24">
        <f t="shared" si="44"/>
        <v>21048.74798181979</v>
      </c>
      <c r="T120" s="24">
        <f t="shared" si="45"/>
        <v>73476.585313761607</v>
      </c>
      <c r="U120" s="24">
        <f t="shared" si="46"/>
        <v>811398.07701299537</v>
      </c>
      <c r="V120" s="1">
        <v>0.4</v>
      </c>
      <c r="W120" s="1">
        <v>1.5</v>
      </c>
      <c r="X120" s="1">
        <v>1</v>
      </c>
      <c r="Y120" s="1">
        <v>0.8</v>
      </c>
      <c r="Z120" s="1">
        <v>10</v>
      </c>
      <c r="AA120" s="36">
        <f t="shared" si="43"/>
        <v>2.4999999999999996</v>
      </c>
    </row>
    <row r="121" spans="2:27" ht="14.25" customHeight="1" x14ac:dyDescent="0.2">
      <c r="B121" s="1" t="s">
        <v>28</v>
      </c>
      <c r="C121" s="36">
        <f t="shared" si="31"/>
        <v>1</v>
      </c>
      <c r="D121" s="36">
        <f t="shared" si="32"/>
        <v>0.41666666666666669</v>
      </c>
      <c r="E121" s="36">
        <f t="shared" si="33"/>
        <v>0.25</v>
      </c>
      <c r="F121" s="1">
        <v>98</v>
      </c>
      <c r="G121" s="24">
        <f t="shared" ref="G121:I123" si="49">G$22*$C$6^($F121-1)</f>
        <v>663.03556142732327</v>
      </c>
      <c r="H121" s="24">
        <f t="shared" si="49"/>
        <v>25313.306215847693</v>
      </c>
      <c r="I121" s="24">
        <f t="shared" si="49"/>
        <v>11359.573078181935</v>
      </c>
      <c r="J121" s="24">
        <f t="shared" si="35"/>
        <v>2210.1185380910779</v>
      </c>
      <c r="K121" s="24">
        <f t="shared" si="36"/>
        <v>84377.687386158985</v>
      </c>
      <c r="L121" s="24">
        <f t="shared" si="37"/>
        <v>11359.573078181935</v>
      </c>
      <c r="N121" s="1">
        <f t="shared" si="38"/>
        <v>98</v>
      </c>
      <c r="O121" s="24">
        <f t="shared" si="39"/>
        <v>110505.92690455391</v>
      </c>
      <c r="P121" s="24">
        <f t="shared" si="40"/>
        <v>664762.54256164539</v>
      </c>
      <c r="Q121" s="24">
        <f t="shared" si="41"/>
        <v>851967.98086364509</v>
      </c>
      <c r="R121" s="1">
        <f t="shared" si="42"/>
        <v>98</v>
      </c>
      <c r="S121" s="24">
        <f t="shared" si="44"/>
        <v>22101.185380910782</v>
      </c>
      <c r="T121" s="24">
        <f t="shared" si="45"/>
        <v>73862.504729071705</v>
      </c>
      <c r="U121" s="24">
        <f t="shared" si="46"/>
        <v>851967.98086364509</v>
      </c>
      <c r="V121" s="1">
        <v>0.4</v>
      </c>
      <c r="W121" s="1">
        <v>1.5</v>
      </c>
      <c r="X121" s="1">
        <v>1</v>
      </c>
      <c r="Y121" s="1">
        <v>0.8</v>
      </c>
      <c r="Z121" s="1">
        <v>10</v>
      </c>
      <c r="AA121" s="36">
        <f t="shared" si="43"/>
        <v>2.4999999999999991</v>
      </c>
    </row>
    <row r="122" spans="2:27" ht="14.25" customHeight="1" x14ac:dyDescent="0.2">
      <c r="B122" s="1" t="s">
        <v>28</v>
      </c>
      <c r="C122" s="36">
        <f t="shared" si="31"/>
        <v>1</v>
      </c>
      <c r="D122" s="36">
        <f t="shared" si="32"/>
        <v>0.41666666666666669</v>
      </c>
      <c r="E122" s="36">
        <f t="shared" si="33"/>
        <v>0.25</v>
      </c>
      <c r="F122" s="1">
        <v>99</v>
      </c>
      <c r="G122" s="24">
        <f>G$22*$C$6^($F122-1)</f>
        <v>696.18733949868943</v>
      </c>
      <c r="H122" s="24">
        <f t="shared" si="49"/>
        <v>26578.971526640078</v>
      </c>
      <c r="I122" s="24">
        <f t="shared" si="49"/>
        <v>11927.551732091033</v>
      </c>
      <c r="J122" s="24">
        <f t="shared" si="35"/>
        <v>2320.6244649956316</v>
      </c>
      <c r="K122" s="24">
        <f t="shared" si="36"/>
        <v>88596.571755466925</v>
      </c>
      <c r="L122" s="24">
        <f t="shared" si="37"/>
        <v>11927.551732091033</v>
      </c>
      <c r="N122" s="1">
        <f t="shared" si="38"/>
        <v>99</v>
      </c>
      <c r="O122" s="24">
        <f t="shared" si="39"/>
        <v>116031.2232497816</v>
      </c>
      <c r="P122" s="24">
        <f t="shared" si="40"/>
        <v>668104.51427912829</v>
      </c>
      <c r="Q122" s="24">
        <f t="shared" si="41"/>
        <v>894566.37990682747</v>
      </c>
      <c r="R122" s="1">
        <f t="shared" si="42"/>
        <v>99</v>
      </c>
      <c r="S122" s="24">
        <f t="shared" si="44"/>
        <v>23206.244649956319</v>
      </c>
      <c r="T122" s="24">
        <f t="shared" si="45"/>
        <v>74233.834919903136</v>
      </c>
      <c r="U122" s="24">
        <f t="shared" si="46"/>
        <v>894566.37990682747</v>
      </c>
      <c r="V122" s="1">
        <v>0.4</v>
      </c>
      <c r="W122" s="1">
        <v>1.5</v>
      </c>
      <c r="X122" s="1">
        <v>1</v>
      </c>
      <c r="Y122" s="1">
        <v>0.8</v>
      </c>
      <c r="Z122" s="1">
        <v>10</v>
      </c>
      <c r="AA122" s="36">
        <f t="shared" si="43"/>
        <v>2.4999999999999996</v>
      </c>
    </row>
    <row r="123" spans="2:27" ht="14.25" customHeight="1" x14ac:dyDescent="0.2">
      <c r="B123" s="1" t="s">
        <v>28</v>
      </c>
      <c r="C123" s="36">
        <f t="shared" si="31"/>
        <v>1</v>
      </c>
      <c r="D123" s="36">
        <f t="shared" si="32"/>
        <v>0.41666666666666669</v>
      </c>
      <c r="E123" s="36">
        <f t="shared" si="33"/>
        <v>0.25</v>
      </c>
      <c r="F123" s="1">
        <v>100</v>
      </c>
      <c r="G123" s="24">
        <f t="shared" ref="G123:I123" si="50">G$22*$C$6^($F123-1)</f>
        <v>730.99670647362404</v>
      </c>
      <c r="H123" s="24">
        <f t="shared" si="49"/>
        <v>27907.920102972086</v>
      </c>
      <c r="I123" s="24">
        <f t="shared" si="49"/>
        <v>12523.929318695586</v>
      </c>
      <c r="J123" s="24">
        <f t="shared" si="35"/>
        <v>2436.6556882454138</v>
      </c>
      <c r="K123" s="24">
        <f t="shared" si="36"/>
        <v>93026.400343240297</v>
      </c>
      <c r="L123" s="24">
        <f t="shared" si="37"/>
        <v>12523.929318695586</v>
      </c>
      <c r="N123" s="1">
        <f t="shared" si="38"/>
        <v>100</v>
      </c>
      <c r="O123" s="24">
        <f t="shared" si="39"/>
        <v>121832.7844122707</v>
      </c>
      <c r="P123" s="24">
        <f t="shared" si="40"/>
        <v>671318.73501452163</v>
      </c>
      <c r="Q123" s="24">
        <f t="shared" si="41"/>
        <v>939294.69890216889</v>
      </c>
      <c r="R123" s="1">
        <f t="shared" si="42"/>
        <v>100</v>
      </c>
      <c r="S123" s="24">
        <f t="shared" si="44"/>
        <v>24366.556882454141</v>
      </c>
      <c r="T123" s="24">
        <f t="shared" si="45"/>
        <v>74590.970557169072</v>
      </c>
      <c r="U123" s="24">
        <f t="shared" si="46"/>
        <v>939294.69890216889</v>
      </c>
      <c r="V123" s="1">
        <v>0.4</v>
      </c>
      <c r="W123" s="1">
        <v>1.5</v>
      </c>
      <c r="X123" s="1">
        <v>1</v>
      </c>
      <c r="Y123" s="1">
        <v>0.8</v>
      </c>
      <c r="Z123" s="1">
        <v>10</v>
      </c>
      <c r="AA123" s="36">
        <f t="shared" si="43"/>
        <v>2.4999999999999987</v>
      </c>
    </row>
  </sheetData>
  <mergeCells count="1">
    <mergeCell ref="S22:U2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0BE62-1FCC-4F0D-93A7-ECE30191F3A1}">
  <dimension ref="A1"/>
  <sheetViews>
    <sheetView workbookViewId="0"/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5BA36-C31A-4B8A-9799-C5C36284C0CB}">
  <dimension ref="A1"/>
  <sheetViews>
    <sheetView workbookViewId="0">
      <selection activeCell="D8" sqref="D8"/>
    </sheetView>
  </sheetViews>
  <sheetFormatPr defaultRowHeight="14.25" customHeight="1" x14ac:dyDescent="0.2"/>
  <cols>
    <col min="1" max="16384" width="9" style="1"/>
  </cols>
  <sheetData>
    <row r="1" spans="1:1" ht="14.25" customHeight="1" x14ac:dyDescent="0.2">
      <c r="A1" s="2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角色基础</vt:lpstr>
      <vt:lpstr>怪物基础</vt:lpstr>
      <vt:lpstr>角色技能</vt:lpstr>
      <vt:lpstr>怪物技能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2023-01-05T03:16:21Z</dcterms:created>
  <dcterms:modified xsi:type="dcterms:W3CDTF">2023-02-01T02:00:17Z</dcterms:modified>
</cp:coreProperties>
</file>
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4FFF5A91-BF92-48C8-9BE5-315F08560E12}" xr6:coauthVersionLast="47" xr6:coauthVersionMax="47" xr10:uidLastSave="{00000000-0000-0000-0000-000000000000}"/>
  <bookViews>
    <workbookView xWindow="28680" yWindow="-75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AA9" i="1" l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P16" i="1"/>
  <c r="Q16" i="1"/>
  <c r="F6" i="1"/>
  <c r="G6" i="1"/>
  <c r="F7" i="1"/>
  <c r="G7" i="1"/>
  <c r="G5" i="1"/>
  <c r="F5" i="1"/>
  <c r="R19" i="1" l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X37" i="1" s="1"/>
  <c r="N18" i="1"/>
  <c r="N17" i="1"/>
  <c r="N19" i="1"/>
  <c r="Z10" i="1"/>
  <c r="Z92" i="1"/>
  <c r="Z69" i="1"/>
  <c r="Z6" i="1"/>
  <c r="Y10" i="1"/>
  <c r="Z100" i="1"/>
  <c r="Z60" i="1"/>
  <c r="Z5" i="1"/>
  <c r="Z52" i="1"/>
  <c r="Z4" i="1"/>
  <c r="Z77" i="1"/>
  <c r="Y69" i="1"/>
  <c r="Y48" i="1"/>
  <c r="Z29" i="1"/>
  <c r="Z12" i="1"/>
  <c r="Z17" i="1"/>
  <c r="Z96" i="1"/>
  <c r="Z73" i="1"/>
  <c r="Z56" i="1"/>
  <c r="Z33" i="1"/>
  <c r="Z16" i="1"/>
  <c r="Z97" i="1"/>
  <c r="Z80" i="1"/>
  <c r="Z101" i="1"/>
  <c r="Z61" i="1"/>
  <c r="Z44" i="1"/>
  <c r="Z21" i="1"/>
  <c r="Z85" i="1"/>
  <c r="Z68" i="1"/>
  <c r="Z45" i="1"/>
  <c r="Z84" i="1"/>
  <c r="Z9" i="1"/>
  <c r="Z57" i="1"/>
  <c r="Z40" i="1"/>
  <c r="Z28" i="1"/>
  <c r="Z89" i="1"/>
  <c r="Z72" i="1"/>
  <c r="Z49" i="1"/>
  <c r="Z32" i="1"/>
  <c r="Y101" i="1"/>
  <c r="Y89" i="1"/>
  <c r="Z37" i="1"/>
  <c r="Z20" i="1"/>
  <c r="Y88" i="1"/>
  <c r="Z88" i="1"/>
  <c r="Z65" i="1"/>
  <c r="Z48" i="1"/>
  <c r="Z25" i="1"/>
  <c r="Y68" i="1"/>
  <c r="Y49" i="1"/>
  <c r="Z93" i="1"/>
  <c r="Z76" i="1"/>
  <c r="Z53" i="1"/>
  <c r="Z36" i="1"/>
  <c r="Z13" i="1"/>
  <c r="Z3" i="1"/>
  <c r="Y29" i="1"/>
  <c r="Z7" i="1"/>
  <c r="Z81" i="1"/>
  <c r="Z64" i="1"/>
  <c r="Z41" i="1"/>
  <c r="Z24" i="1"/>
  <c r="Y28" i="1"/>
  <c r="Y9" i="1"/>
  <c r="Y102" i="1"/>
  <c r="Y26" i="1"/>
  <c r="Y65" i="1"/>
  <c r="Y44" i="1"/>
  <c r="Y63" i="1"/>
  <c r="Y22" i="1"/>
  <c r="Y41" i="1"/>
  <c r="Y60" i="1"/>
  <c r="Y39" i="1"/>
  <c r="Y78" i="1"/>
  <c r="Y3" i="1"/>
  <c r="Y57" i="1"/>
  <c r="Y17" i="1"/>
  <c r="Y47" i="1"/>
  <c r="Y42" i="1"/>
  <c r="Y38" i="1"/>
  <c r="Y37" i="1"/>
  <c r="Y8" i="1"/>
  <c r="Y96" i="1"/>
  <c r="Y76" i="1"/>
  <c r="Y56" i="1"/>
  <c r="Y36" i="1"/>
  <c r="Y16" i="1"/>
  <c r="Y67" i="1"/>
  <c r="Y66" i="1"/>
  <c r="Y82" i="1"/>
  <c r="Y61" i="1"/>
  <c r="Y58" i="1"/>
  <c r="Y97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Z11" i="1"/>
  <c r="Y95" i="1"/>
  <c r="Y75" i="1"/>
  <c r="Y55" i="1"/>
  <c r="Y35" i="1"/>
  <c r="Y15" i="1"/>
  <c r="Y46" i="1"/>
  <c r="Y20" i="1"/>
  <c r="Y79" i="1"/>
  <c r="Y98" i="1"/>
  <c r="Y18" i="1"/>
  <c r="Y77" i="1"/>
  <c r="Y7" i="1"/>
  <c r="Y6" i="1"/>
  <c r="Y94" i="1"/>
  <c r="Y74" i="1"/>
  <c r="Y54" i="1"/>
  <c r="Y34" i="1"/>
  <c r="Y14" i="1"/>
  <c r="Y87" i="1"/>
  <c r="Y25" i="1"/>
  <c r="Y84" i="1"/>
  <c r="Y83" i="1"/>
  <c r="Y62" i="1"/>
  <c r="Y21" i="1"/>
  <c r="Y80" i="1"/>
  <c r="Y59" i="1"/>
  <c r="Y93" i="1"/>
  <c r="Y73" i="1"/>
  <c r="Y53" i="1"/>
  <c r="Y33" i="1"/>
  <c r="Y13" i="1"/>
  <c r="Y27" i="1"/>
  <c r="Y86" i="1"/>
  <c r="Y45" i="1"/>
  <c r="Y64" i="1"/>
  <c r="Y23" i="1"/>
  <c r="Y81" i="1"/>
  <c r="Y40" i="1"/>
  <c r="Y99" i="1"/>
  <c r="R16" i="1"/>
  <c r="Y4" i="1"/>
  <c r="Y92" i="1"/>
  <c r="Y72" i="1"/>
  <c r="Y52" i="1"/>
  <c r="Y32" i="1"/>
  <c r="Y12" i="1"/>
  <c r="Y85" i="1"/>
  <c r="Y24" i="1"/>
  <c r="Y43" i="1"/>
  <c r="Y100" i="1"/>
  <c r="Y19" i="1"/>
  <c r="Y5" i="1"/>
  <c r="Y91" i="1"/>
  <c r="Y71" i="1"/>
  <c r="Y51" i="1"/>
  <c r="Y31" i="1"/>
  <c r="Y11" i="1"/>
  <c r="Z8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Y90" i="1"/>
  <c r="Y70" i="1"/>
  <c r="Y50" i="1"/>
  <c r="Y30" i="1"/>
  <c r="X91" i="1" l="1"/>
  <c r="X87" i="1"/>
  <c r="X83" i="1"/>
  <c r="X17" i="1"/>
  <c r="X38" i="1"/>
  <c r="X81" i="1"/>
  <c r="X7" i="1"/>
  <c r="X86" i="1"/>
  <c r="X58" i="1"/>
  <c r="X85" i="1"/>
  <c r="X11" i="1"/>
  <c r="X22" i="1"/>
  <c r="X79" i="1"/>
  <c r="X23" i="1"/>
  <c r="X26" i="1"/>
  <c r="X90" i="1"/>
  <c r="X25" i="1"/>
  <c r="X54" i="1"/>
  <c r="X72" i="1"/>
  <c r="X48" i="1"/>
  <c r="X35" i="1"/>
  <c r="X16" i="1"/>
  <c r="X57" i="1"/>
  <c r="X46" i="1"/>
  <c r="X50" i="1"/>
  <c r="X95" i="1"/>
  <c r="X21" i="1"/>
  <c r="X9" i="1"/>
  <c r="X82" i="1"/>
  <c r="X31" i="1"/>
  <c r="X4" i="1"/>
  <c r="X62" i="1"/>
  <c r="X84" i="1"/>
  <c r="X39" i="1"/>
  <c r="X60" i="1"/>
  <c r="X94" i="1"/>
  <c r="X42" i="1"/>
  <c r="X30" i="1"/>
  <c r="X64" i="1"/>
  <c r="X10" i="1"/>
  <c r="X32" i="1"/>
  <c r="X47" i="1"/>
  <c r="X28" i="1"/>
  <c r="X93" i="1"/>
  <c r="X6" i="1"/>
  <c r="X97" i="1"/>
  <c r="X15" i="1"/>
  <c r="X61" i="1"/>
  <c r="X70" i="1"/>
  <c r="X43" i="1"/>
  <c r="X51" i="1"/>
  <c r="X40" i="1"/>
  <c r="X36" i="1"/>
  <c r="X69" i="1"/>
  <c r="X101" i="1"/>
  <c r="X73" i="1"/>
  <c r="X27" i="1"/>
  <c r="X66" i="1"/>
  <c r="X55" i="1"/>
  <c r="X56" i="1"/>
  <c r="X76" i="1"/>
  <c r="X45" i="1"/>
  <c r="X13" i="1"/>
  <c r="X49" i="1"/>
  <c r="X20" i="1"/>
  <c r="X92" i="1"/>
  <c r="X59" i="1"/>
  <c r="X80" i="1"/>
  <c r="X29" i="1"/>
  <c r="X78" i="1"/>
  <c r="X33" i="1"/>
  <c r="X74" i="1"/>
  <c r="X100" i="1"/>
  <c r="X68" i="1"/>
  <c r="X63" i="1"/>
  <c r="X96" i="1"/>
  <c r="X98" i="1"/>
  <c r="X89" i="1"/>
  <c r="X3" i="1"/>
  <c r="X19" i="1"/>
  <c r="X8" i="1"/>
  <c r="X44" i="1"/>
  <c r="X24" i="1"/>
  <c r="X67" i="1"/>
  <c r="X34" i="1"/>
  <c r="X65" i="1"/>
  <c r="X99" i="1"/>
  <c r="X41" i="1"/>
  <c r="X5" i="1"/>
  <c r="X52" i="1"/>
  <c r="X71" i="1"/>
  <c r="X18" i="1"/>
  <c r="X53" i="1"/>
  <c r="X102" i="1"/>
  <c r="X12" i="1"/>
  <c r="X14" i="1"/>
  <c r="X88" i="1"/>
  <c r="X75" i="1"/>
  <c r="X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<sst xmlns="http://schemas.openxmlformats.org/spreadsheetml/2006/main" count="130" uniqueCount="94">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</sst>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00"/>
    <numFmt numFmtId="177" formatCode="_ * #,##0_ ;_ * \-#,##0_ ;_ * &quot;-&quot;??_ ;_ @_ 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</cellXfs>
  <cellStyles count="2"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C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L30" sqref="L30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 t="s">
        <v>48</v>
      </c>
      <c r="C1" s="6" t="s">
        <v>49</v>
      </c>
      <c r="D1" s="31" t="s">
        <v>50</v>
      </c>
      <c r="E1" s="30"/>
      <c r="G1" s="2"/>
      <c r="V1" s="2" t="s">
        <v>63</v>
      </c>
      <c r="X1" s="1" t="s">
        <v>93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29" ht="14.25" customHeight="1" x14ac:dyDescent="0.2">
      <c r="E3" s="2" t="s">
        <v>0</v>
      </c>
      <c r="K3" s="2" t="s">
        <v>47</v>
      </c>
      <c r="W3" s="1">
        <v>1</v>
      </c>
      <c r="X3" s="1">
        <f t="shared" ref="X3:X34" si="0">ROUND(VLOOKUP($X$1,$E:$R,MATCH(X$2,$E$15:$R$15,0),0)*$C$6^($W3-1)*$C$13*VLOOKUP($Y$1,$B:$C,2,0),0)</f>
        <v>70</v>
      </c>
      <c r="Y3" s="1">
        <f t="shared" ref="Y3:Y34" si="1">ROUND(VLOOKUP(VLOOKUP($Z$1,$K$4:$L$10,2,0),$E$4:$G$7,3,0)*$C$5*VLOOKUP($X$1,$E:$R,MATCH("生命偏向",$E$15:$R$15,0),0)/(1+VLOOKUP($X$1,$E:$R,MATCH($Z$2,$E$15:$R$15,0),0)*$C$6^($W3-1)/$C$8)*$C$6^($W3-1)*$C$13*VLOOKUP($Y$1,$B:$C,2,0),0)</f>
        <v>2480</v>
      </c>
      <c r="Z3" s="1">
        <f t="shared" ref="Z3:Z34" si="2">ROUND(VLOOKUP($X$1,$E:$R,MATCH(Z$2,$E$15:$R$15,0),0)*$C$6^($W3-1)*$C$13*VLOOKUP($Y$1,$B:$C,2,0),0)</f>
        <v>248</v>
      </c>
      <c r="AA3" s="1">
        <f>$AA$1</f>
        <v>0.05</v>
      </c>
      <c r="AB3" s="1">
        <f>$AB$1</f>
        <v>1.5</v>
      </c>
      <c r="AC3" s="1">
        <f t="shared" ref="AC3:AC34" si="3">VLOOKUP($X$1,$E:$R,MATCH(AC$2,$E$15:$R$15,0),0)</f>
        <v>0.9</v>
      </c>
    </row>
    <row r="4" spans="2:29" ht="14.25" customHeight="1" thickBot="1" x14ac:dyDescent="0.25">
      <c r="B4" s="13" t="s">
        <v>9</v>
      </c>
      <c r="C4" s="20" t="s">
        <v>10</v>
      </c>
      <c r="E4" s="13" t="s">
        <v>5</v>
      </c>
      <c r="F4" s="13" t="s">
        <v>1</v>
      </c>
      <c r="G4" s="13" t="s">
        <v>2</v>
      </c>
      <c r="J4" s="10"/>
      <c r="K4" s="13" t="s">
        <v>47</v>
      </c>
      <c r="L4" s="14" t="s">
        <v>5</v>
      </c>
      <c r="W4" s="1">
        <v>2</v>
      </c>
      <c r="X4" s="1">
        <f t="shared" si="0"/>
        <v>74</v>
      </c>
      <c r="Y4" s="1">
        <f t="shared" si="1"/>
        <v>2602</v>
      </c>
      <c r="Z4" s="1">
        <f t="shared" si="2"/>
        <v>260</v>
      </c>
      <c r="AA4" s="1">
        <f t="shared" ref="AA4:AA67" si="4">$AA$1</f>
        <v>0.05</v>
      </c>
      <c r="AB4" s="1">
        <f t="shared" ref="AB4:AB67" si="5">$AB$1</f>
        <v>1.5</v>
      </c>
      <c r="AC4" s="1">
        <f t="shared" si="3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46</v>
      </c>
      <c r="F5" s="12">
        <f>[1]角色设定!E5</f>
        <v>5</v>
      </c>
      <c r="G5" s="12">
        <f>[1]角色设定!F5</f>
        <v>100</v>
      </c>
      <c r="J5" s="10" t="s">
        <v>29</v>
      </c>
      <c r="K5" s="3" t="s">
        <v>30</v>
      </c>
      <c r="L5" s="12" t="s">
        <v>45</v>
      </c>
      <c r="W5" s="1">
        <v>3</v>
      </c>
      <c r="X5" s="1">
        <f t="shared" si="0"/>
        <v>78</v>
      </c>
      <c r="Y5" s="1">
        <f t="shared" si="1"/>
        <v>2731</v>
      </c>
      <c r="Z5" s="1">
        <f t="shared" si="2"/>
        <v>273</v>
      </c>
      <c r="AA5" s="1">
        <f t="shared" si="4"/>
        <v>0.05</v>
      </c>
      <c r="AB5" s="1">
        <f t="shared" si="5"/>
        <v>1.5</v>
      </c>
      <c r="AC5" s="1">
        <f t="shared" si="3"/>
        <v>0.9</v>
      </c>
    </row>
    <row r="6" spans="2:29" ht="14.25" customHeight="1" x14ac:dyDescent="0.2">
      <c r="B6" s="1" t="s">
        <v>13</v>
      </c>
      <c r="C6" s="1">
        <v>1.05</v>
      </c>
      <c r="E6" s="1" t="s">
        <v>42</v>
      </c>
      <c r="F6" s="11">
        <f>[1]角色设定!E6</f>
        <v>10</v>
      </c>
      <c r="G6" s="11">
        <f>[1]角色设定!F6</f>
        <v>40</v>
      </c>
      <c r="J6" s="10" t="s">
        <v>31</v>
      </c>
      <c r="K6" s="1" t="s">
        <v>32</v>
      </c>
      <c r="L6" s="11" t="s">
        <v>45</v>
      </c>
      <c r="W6" s="1">
        <v>4</v>
      </c>
      <c r="X6" s="1">
        <f t="shared" si="0"/>
        <v>81</v>
      </c>
      <c r="Y6" s="1">
        <f t="shared" si="1"/>
        <v>2867</v>
      </c>
      <c r="Z6" s="1">
        <f t="shared" si="2"/>
        <v>287</v>
      </c>
      <c r="AA6" s="1">
        <f t="shared" si="4"/>
        <v>0.05</v>
      </c>
      <c r="AB6" s="1">
        <f t="shared" si="5"/>
        <v>1.5</v>
      </c>
      <c r="AC6" s="1">
        <f t="shared" si="3"/>
        <v>0.9</v>
      </c>
    </row>
    <row r="7" spans="2:29" ht="14.25" customHeight="1" x14ac:dyDescent="0.2">
      <c r="B7" s="1" t="s">
        <v>20</v>
      </c>
      <c r="C7" s="1">
        <v>11</v>
      </c>
      <c r="E7" s="1" t="s">
        <v>44</v>
      </c>
      <c r="F7" s="11">
        <f>[1]角色设定!E7</f>
        <v>4</v>
      </c>
      <c r="G7" s="11">
        <f>[1]角色设定!F7</f>
        <v>50</v>
      </c>
      <c r="J7" s="10" t="s">
        <v>33</v>
      </c>
      <c r="K7" s="1" t="s">
        <v>34</v>
      </c>
      <c r="L7" s="11" t="s">
        <v>41</v>
      </c>
      <c r="W7" s="1">
        <v>5</v>
      </c>
      <c r="X7" s="1">
        <f t="shared" si="0"/>
        <v>85</v>
      </c>
      <c r="Y7" s="1">
        <f t="shared" si="1"/>
        <v>3009</v>
      </c>
      <c r="Z7" s="1">
        <f t="shared" si="2"/>
        <v>301</v>
      </c>
      <c r="AA7" s="1">
        <f t="shared" si="4"/>
        <v>0.05</v>
      </c>
      <c r="AB7" s="1">
        <f t="shared" si="5"/>
        <v>1.5</v>
      </c>
      <c r="AC7" s="1">
        <f t="shared" si="3"/>
        <v>0.9</v>
      </c>
    </row>
    <row r="8" spans="2:29" ht="14.25" customHeight="1" x14ac:dyDescent="0.2">
      <c r="B8" s="1" t="s">
        <v>23</v>
      </c>
      <c r="C8" s="1">
        <v>100000</v>
      </c>
      <c r="F8" s="11"/>
      <c r="G8" s="11"/>
      <c r="J8" s="10" t="s">
        <v>35</v>
      </c>
      <c r="K8" s="1" t="s">
        <v>36</v>
      </c>
      <c r="L8" s="11" t="s">
        <v>41</v>
      </c>
      <c r="W8" s="1">
        <v>6</v>
      </c>
      <c r="X8" s="1">
        <f t="shared" si="0"/>
        <v>90</v>
      </c>
      <c r="Y8" s="1">
        <f t="shared" si="1"/>
        <v>3157</v>
      </c>
      <c r="Z8" s="1">
        <f t="shared" si="2"/>
        <v>316</v>
      </c>
      <c r="AA8" s="1">
        <f t="shared" si="4"/>
        <v>0.05</v>
      </c>
      <c r="AB8" s="1">
        <f t="shared" si="5"/>
        <v>1.5</v>
      </c>
      <c r="AC8" s="1">
        <f t="shared" si="3"/>
        <v>0.9</v>
      </c>
    </row>
    <row r="9" spans="2:29" ht="14.25" customHeight="1" x14ac:dyDescent="0.2">
      <c r="B9" s="1" t="s">
        <v>24</v>
      </c>
      <c r="C9" s="1">
        <v>0.6</v>
      </c>
      <c r="J9" s="10" t="s">
        <v>37</v>
      </c>
      <c r="K9" s="1" t="s">
        <v>38</v>
      </c>
      <c r="L9" s="11" t="s">
        <v>41</v>
      </c>
      <c r="W9" s="1">
        <v>7</v>
      </c>
      <c r="X9" s="1">
        <f t="shared" si="0"/>
        <v>94</v>
      </c>
      <c r="Y9" s="1">
        <f t="shared" si="1"/>
        <v>3314</v>
      </c>
      <c r="Z9" s="1">
        <f t="shared" si="2"/>
        <v>332</v>
      </c>
      <c r="AA9" s="1">
        <f t="shared" si="4"/>
        <v>0.05</v>
      </c>
      <c r="AB9" s="1">
        <f t="shared" si="5"/>
        <v>1.5</v>
      </c>
      <c r="AC9" s="1">
        <f t="shared" si="3"/>
        <v>0.9</v>
      </c>
    </row>
    <row r="10" spans="2:29" ht="14.25" customHeight="1" x14ac:dyDescent="0.2">
      <c r="B10" s="1" t="s">
        <v>25</v>
      </c>
      <c r="C10" s="1">
        <v>0.8</v>
      </c>
      <c r="J10" s="10" t="s">
        <v>39</v>
      </c>
      <c r="K10" s="1" t="s">
        <v>40</v>
      </c>
      <c r="L10" s="11" t="s">
        <v>43</v>
      </c>
      <c r="W10" s="1">
        <v>8</v>
      </c>
      <c r="X10" s="1">
        <f t="shared" si="0"/>
        <v>99</v>
      </c>
      <c r="Y10" s="1">
        <f t="shared" si="1"/>
        <v>3477</v>
      </c>
      <c r="Z10" s="1">
        <f t="shared" si="2"/>
        <v>348</v>
      </c>
      <c r="AA10" s="1">
        <f t="shared" si="4"/>
        <v>0.05</v>
      </c>
      <c r="AB10" s="1">
        <f t="shared" si="5"/>
        <v>1.5</v>
      </c>
      <c r="AC10" s="1">
        <f t="shared" si="3"/>
        <v>0.9</v>
      </c>
    </row>
    <row r="11" spans="2:29" ht="14.25" customHeight="1" x14ac:dyDescent="0.2">
      <c r="B11" s="1" t="s">
        <v>26</v>
      </c>
      <c r="C11" s="1">
        <v>1</v>
      </c>
      <c r="H11" s="2" t="s">
        <v>52</v>
      </c>
      <c r="W11" s="1">
        <v>9</v>
      </c>
      <c r="X11" s="1">
        <f t="shared" si="0"/>
        <v>104</v>
      </c>
      <c r="Y11" s="1">
        <f t="shared" si="1"/>
        <v>3649</v>
      </c>
      <c r="Z11" s="1">
        <f t="shared" si="2"/>
        <v>366</v>
      </c>
      <c r="AA11" s="1">
        <f t="shared" si="4"/>
        <v>0.05</v>
      </c>
      <c r="AB11" s="1">
        <f t="shared" si="5"/>
        <v>1.5</v>
      </c>
      <c r="AC11" s="1">
        <f t="shared" si="3"/>
        <v>0.9</v>
      </c>
    </row>
    <row r="12" spans="2:29" ht="14.25" customHeight="1" x14ac:dyDescent="0.2">
      <c r="B12" s="1" t="s">
        <v>27</v>
      </c>
      <c r="C12" s="1">
        <v>1.2</v>
      </c>
      <c r="H12" s="7" t="s">
        <v>16</v>
      </c>
      <c r="I12" s="32" t="s">
        <v>1</v>
      </c>
      <c r="J12" s="33"/>
      <c r="K12" s="33"/>
      <c r="L12" s="33"/>
      <c r="M12" s="33"/>
      <c r="N12" s="34"/>
      <c r="O12" s="32" t="s">
        <v>2</v>
      </c>
      <c r="P12" s="33"/>
      <c r="Q12" s="33"/>
      <c r="R12" s="34"/>
      <c r="S12" s="26"/>
      <c r="T12" s="26"/>
      <c r="U12" s="26"/>
      <c r="V12" s="26"/>
      <c r="W12" s="1">
        <v>10</v>
      </c>
      <c r="X12" s="1">
        <f t="shared" si="0"/>
        <v>109</v>
      </c>
      <c r="Y12" s="1">
        <f t="shared" si="1"/>
        <v>3829</v>
      </c>
      <c r="Z12" s="1">
        <f t="shared" si="2"/>
        <v>384</v>
      </c>
      <c r="AA12" s="1">
        <f t="shared" si="4"/>
        <v>0.05</v>
      </c>
      <c r="AB12" s="1">
        <f t="shared" si="5"/>
        <v>1.5</v>
      </c>
      <c r="AC12" s="1">
        <f t="shared" si="3"/>
        <v>0.9</v>
      </c>
    </row>
    <row r="13" spans="2:29" ht="14.25" customHeight="1" x14ac:dyDescent="0.2">
      <c r="B13" s="1" t="s">
        <v>51</v>
      </c>
      <c r="C13" s="1">
        <v>0.3</v>
      </c>
      <c r="F13" s="7"/>
      <c r="G13" s="9"/>
      <c r="H13" s="7" t="s">
        <v>77</v>
      </c>
      <c r="I13" s="16">
        <v>0.7</v>
      </c>
      <c r="J13" s="4">
        <v>0.8</v>
      </c>
      <c r="K13" s="4">
        <v>0</v>
      </c>
      <c r="L13" s="4">
        <v>1.5</v>
      </c>
      <c r="M13" s="4">
        <v>0.8</v>
      </c>
      <c r="N13" s="17"/>
      <c r="O13" s="16">
        <v>0.25</v>
      </c>
      <c r="R13" s="27"/>
      <c r="S13" s="26"/>
      <c r="T13" s="26"/>
      <c r="U13" s="26"/>
      <c r="V13" s="26"/>
      <c r="W13" s="1">
        <v>11</v>
      </c>
      <c r="X13" s="1">
        <f t="shared" si="0"/>
        <v>115</v>
      </c>
      <c r="Y13" s="1">
        <f t="shared" si="1"/>
        <v>4018</v>
      </c>
      <c r="Z13" s="1">
        <f t="shared" si="2"/>
        <v>403</v>
      </c>
      <c r="AA13" s="1">
        <f t="shared" si="4"/>
        <v>0.05</v>
      </c>
      <c r="AB13" s="1">
        <f t="shared" si="5"/>
        <v>1.5</v>
      </c>
      <c r="AC13" s="1">
        <f t="shared" si="3"/>
        <v>0.9</v>
      </c>
    </row>
    <row r="14" spans="2:29" ht="14.25" customHeight="1" x14ac:dyDescent="0.2">
      <c r="B14" s="1" t="s">
        <v>53</v>
      </c>
      <c r="C14" s="1">
        <v>0.3</v>
      </c>
      <c r="F14" s="7"/>
      <c r="H14" s="7" t="s">
        <v>76</v>
      </c>
      <c r="I14" s="16">
        <v>0.9</v>
      </c>
      <c r="J14" s="4">
        <v>1.2</v>
      </c>
      <c r="K14" s="4">
        <v>1</v>
      </c>
      <c r="L14" s="4">
        <v>5</v>
      </c>
      <c r="M14" s="4">
        <v>1.2</v>
      </c>
      <c r="N14" s="17"/>
      <c r="O14" s="16">
        <v>1</v>
      </c>
      <c r="P14" s="4"/>
      <c r="Q14" s="4"/>
      <c r="R14" s="17"/>
      <c r="S14" s="26"/>
      <c r="T14" s="26"/>
      <c r="U14" s="26"/>
      <c r="V14" s="26"/>
      <c r="W14" s="1">
        <v>12</v>
      </c>
      <c r="X14" s="1">
        <f t="shared" si="0"/>
        <v>120</v>
      </c>
      <c r="Y14" s="1">
        <f t="shared" si="1"/>
        <v>4216</v>
      </c>
      <c r="Z14" s="1">
        <f t="shared" si="2"/>
        <v>423</v>
      </c>
      <c r="AA14" s="1">
        <f t="shared" si="4"/>
        <v>0.05</v>
      </c>
      <c r="AB14" s="1">
        <f t="shared" si="5"/>
        <v>1.5</v>
      </c>
      <c r="AC14" s="1">
        <f t="shared" si="3"/>
        <v>0.9</v>
      </c>
    </row>
    <row r="15" spans="2:29" ht="14.25" customHeight="1" thickBot="1" x14ac:dyDescent="0.25">
      <c r="B15" s="1" t="s">
        <v>54</v>
      </c>
      <c r="C15" s="1">
        <v>0.25</v>
      </c>
      <c r="E15" s="13" t="s">
        <v>4</v>
      </c>
      <c r="F15" s="18" t="s">
        <v>5</v>
      </c>
      <c r="G15" s="23" t="s">
        <v>22</v>
      </c>
      <c r="H15" s="18" t="s">
        <v>17</v>
      </c>
      <c r="I15" s="19" t="s">
        <v>3</v>
      </c>
      <c r="J15" s="20" t="s">
        <v>8</v>
      </c>
      <c r="K15" s="20" t="s">
        <v>14</v>
      </c>
      <c r="L15" s="20" t="s">
        <v>15</v>
      </c>
      <c r="M15" s="20" t="s">
        <v>18</v>
      </c>
      <c r="N15" s="21" t="s">
        <v>7</v>
      </c>
      <c r="O15" s="19" t="s">
        <v>19</v>
      </c>
      <c r="P15" s="22" t="s">
        <v>6</v>
      </c>
      <c r="Q15" s="15" t="s">
        <v>21</v>
      </c>
      <c r="R15" s="21" t="s">
        <v>11</v>
      </c>
      <c r="S15" s="26" t="s">
        <v>1</v>
      </c>
      <c r="T15" s="26" t="s">
        <v>2</v>
      </c>
      <c r="U15" s="26" t="s">
        <v>81</v>
      </c>
      <c r="V15" s="26"/>
      <c r="W15" s="1">
        <v>13</v>
      </c>
      <c r="X15" s="1">
        <f t="shared" si="0"/>
        <v>126</v>
      </c>
      <c r="Y15" s="1">
        <f t="shared" si="1"/>
        <v>4424</v>
      </c>
      <c r="Z15" s="1">
        <f t="shared" si="2"/>
        <v>444</v>
      </c>
      <c r="AA15" s="1">
        <f t="shared" si="4"/>
        <v>0.05</v>
      </c>
      <c r="AB15" s="1">
        <f t="shared" si="5"/>
        <v>1.5</v>
      </c>
      <c r="AC15" s="1">
        <f t="shared" si="3"/>
        <v>0.9</v>
      </c>
    </row>
    <row r="16" spans="2:29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5">
        <v>0.75</v>
      </c>
      <c r="J16" s="25">
        <v>0.9</v>
      </c>
      <c r="K16" s="25">
        <v>0.4</v>
      </c>
      <c r="L16" s="25">
        <v>1.5</v>
      </c>
      <c r="M16" s="25">
        <v>0.9</v>
      </c>
      <c r="N16" s="8">
        <f>I16/J16/(1+K16*(L16-1))*$C$5*M16*VLOOKUP(VLOOKUP($F16,$K$4:$L$10,2,0),$E$4:$G$7,2,0)</f>
        <v>234.375</v>
      </c>
      <c r="O16" s="25">
        <v>1</v>
      </c>
      <c r="P16" s="8">
        <f>$C$7*O16*$C$5</f>
        <v>825</v>
      </c>
      <c r="Q16" s="25">
        <f>1/M16</f>
        <v>1.1111111111111112</v>
      </c>
      <c r="R16" s="8">
        <f>VLOOKUP(VLOOKUP($F16,$K$4:$L$10,2,0),$E$4:$G$7,3,0)*$C$5*Q16/(1+P16/$C$8)</f>
        <v>8265.1458798247786</v>
      </c>
      <c r="S16" s="1">
        <f>VLOOKUP(VLOOKUP($F16,$K$4:$L$10,2,0),$E$4:$G$7,2,0)</f>
        <v>5</v>
      </c>
      <c r="T16" s="1">
        <f>VLOOKUP(VLOOKUP($F16,$K$4:$L$10,2,0),$E$4:$G$7,3,0)</f>
        <v>100</v>
      </c>
      <c r="U16" s="1" t="s">
        <v>80</v>
      </c>
      <c r="W16" s="1">
        <v>14</v>
      </c>
      <c r="X16" s="1">
        <f t="shared" si="0"/>
        <v>133</v>
      </c>
      <c r="Y16" s="1">
        <f t="shared" si="1"/>
        <v>4642</v>
      </c>
      <c r="Z16" s="1">
        <f t="shared" si="2"/>
        <v>467</v>
      </c>
      <c r="AA16" s="1">
        <f t="shared" si="4"/>
        <v>0.05</v>
      </c>
      <c r="AB16" s="1">
        <f t="shared" si="5"/>
        <v>1.5</v>
      </c>
      <c r="AC16" s="1">
        <f t="shared" si="3"/>
        <v>0.9</v>
      </c>
    </row>
    <row r="17" spans="1:29" ht="14.25" customHeight="1" x14ac:dyDescent="0.2">
      <c r="A17" s="29"/>
      <c r="B17" s="29"/>
      <c r="C17" s="29"/>
      <c r="D17" s="29"/>
      <c r="E17" s="1" t="s">
        <v>65</v>
      </c>
      <c r="F17" s="1" t="s">
        <v>30</v>
      </c>
      <c r="G17" s="3" t="s">
        <v>28</v>
      </c>
      <c r="H17" s="1">
        <v>2</v>
      </c>
      <c r="I17" s="25">
        <v>0.75</v>
      </c>
      <c r="J17" s="25">
        <v>0.9</v>
      </c>
      <c r="K17" s="25">
        <v>0.4</v>
      </c>
      <c r="L17" s="25">
        <v>1.5</v>
      </c>
      <c r="M17" s="25">
        <v>1</v>
      </c>
      <c r="N17" s="8">
        <f t="shared" ref="N17:N27" si="6">I17/J17/(1+K17*(L17-1))*$C$5*M17*VLOOKUP(VLOOKUP($F17,$K$4:$L$10,2,0),$E$4:$G$7,2,0)</f>
        <v>260.41666666666663</v>
      </c>
      <c r="O17" s="25">
        <v>1</v>
      </c>
      <c r="P17" s="8">
        <f t="shared" ref="P17:P27" si="7">$C$7*O17*$C$5</f>
        <v>825</v>
      </c>
      <c r="Q17" s="25">
        <f t="shared" ref="Q17:Q27" si="8">1/M17</f>
        <v>1</v>
      </c>
      <c r="R17" s="8">
        <f t="shared" ref="R17:R27" si="9">VLOOKUP(VLOOKUP($F17,$K$4:$L$10,2,0),$E$4:$G$7,3,0)*$C$5*Q17/(1+P17/$C$8)</f>
        <v>7438.6312918423</v>
      </c>
      <c r="S17" s="1">
        <f t="shared" ref="S17:S27" si="10">VLOOKUP(VLOOKUP($F17,$K$4:$L$10,2,0),$E$4:$G$7,2,0)</f>
        <v>5</v>
      </c>
      <c r="T17" s="1">
        <f t="shared" ref="T17:T27" si="11">VLOOKUP(VLOOKUP($F17,$K$4:$L$10,2,0),$E$4:$G$7,3,0)</f>
        <v>100</v>
      </c>
      <c r="U17" s="1" t="s">
        <v>82</v>
      </c>
      <c r="W17" s="1">
        <v>15</v>
      </c>
      <c r="X17" s="1">
        <f t="shared" si="0"/>
        <v>139</v>
      </c>
      <c r="Y17" s="1">
        <f t="shared" si="1"/>
        <v>4870</v>
      </c>
      <c r="Z17" s="1">
        <f t="shared" si="2"/>
        <v>490</v>
      </c>
      <c r="AA17" s="1">
        <f t="shared" si="4"/>
        <v>0.05</v>
      </c>
      <c r="AB17" s="1">
        <f t="shared" si="5"/>
        <v>1.5</v>
      </c>
      <c r="AC17" s="1">
        <f t="shared" si="3"/>
        <v>0.9</v>
      </c>
    </row>
    <row r="18" spans="1:29" ht="14.25" customHeight="1" x14ac:dyDescent="0.2">
      <c r="A18" s="29"/>
      <c r="B18" s="29"/>
      <c r="C18" s="29"/>
      <c r="D18" s="29"/>
      <c r="E18" s="1" t="s">
        <v>66</v>
      </c>
      <c r="F18" s="1" t="s">
        <v>32</v>
      </c>
      <c r="G18" s="3" t="s">
        <v>28</v>
      </c>
      <c r="H18" s="3">
        <v>3</v>
      </c>
      <c r="I18" s="25">
        <v>0.751</v>
      </c>
      <c r="J18" s="25">
        <v>0.95</v>
      </c>
      <c r="K18" s="25">
        <v>0.4</v>
      </c>
      <c r="L18" s="25">
        <v>1.5</v>
      </c>
      <c r="M18" s="25">
        <v>1.1000000000000001</v>
      </c>
      <c r="N18" s="8">
        <f t="shared" si="6"/>
        <v>271.74342105263162</v>
      </c>
      <c r="O18" s="25">
        <v>0.82</v>
      </c>
      <c r="P18" s="8">
        <f t="shared" si="7"/>
        <v>676.5</v>
      </c>
      <c r="Q18" s="25">
        <f t="shared" si="8"/>
        <v>0.90909090909090906</v>
      </c>
      <c r="R18" s="8">
        <f t="shared" si="9"/>
        <v>6772.3667570702382</v>
      </c>
      <c r="S18" s="1">
        <f t="shared" si="10"/>
        <v>5</v>
      </c>
      <c r="T18" s="1">
        <f t="shared" si="11"/>
        <v>100</v>
      </c>
      <c r="U18" s="1" t="s">
        <v>83</v>
      </c>
      <c r="W18" s="1">
        <v>16</v>
      </c>
      <c r="X18" s="1">
        <f t="shared" si="0"/>
        <v>146</v>
      </c>
      <c r="Y18" s="1">
        <f t="shared" si="1"/>
        <v>5110</v>
      </c>
      <c r="Z18" s="1">
        <f t="shared" si="2"/>
        <v>515</v>
      </c>
      <c r="AA18" s="1">
        <f t="shared" si="4"/>
        <v>0.05</v>
      </c>
      <c r="AB18" s="1">
        <f t="shared" si="5"/>
        <v>1.5</v>
      </c>
      <c r="AC18" s="1">
        <f t="shared" si="3"/>
        <v>0.9</v>
      </c>
    </row>
    <row r="19" spans="1:29" ht="14.25" customHeight="1" x14ac:dyDescent="0.2">
      <c r="A19" s="29"/>
      <c r="B19" s="29"/>
      <c r="C19" s="29"/>
      <c r="D19" s="29"/>
      <c r="E19" s="1" t="s">
        <v>67</v>
      </c>
      <c r="F19" s="1" t="s">
        <v>32</v>
      </c>
      <c r="G19" s="3" t="s">
        <v>28</v>
      </c>
      <c r="H19" s="1">
        <v>4</v>
      </c>
      <c r="I19" s="25">
        <v>0.751</v>
      </c>
      <c r="J19" s="25">
        <v>0.95</v>
      </c>
      <c r="K19" s="25">
        <v>0.4</v>
      </c>
      <c r="L19" s="25">
        <v>1.5</v>
      </c>
      <c r="M19" s="25">
        <v>1.2</v>
      </c>
      <c r="N19" s="8">
        <f t="shared" si="6"/>
        <v>296.44736842105266</v>
      </c>
      <c r="O19" s="25">
        <v>0.82</v>
      </c>
      <c r="P19" s="8">
        <f t="shared" si="7"/>
        <v>676.5</v>
      </c>
      <c r="Q19" s="25">
        <f t="shared" si="8"/>
        <v>0.83333333333333337</v>
      </c>
      <c r="R19" s="8">
        <f t="shared" si="9"/>
        <v>6208.002860647719</v>
      </c>
      <c r="S19" s="1">
        <f t="shared" si="10"/>
        <v>5</v>
      </c>
      <c r="T19" s="1">
        <f t="shared" si="11"/>
        <v>100</v>
      </c>
      <c r="U19" s="1" t="s">
        <v>84</v>
      </c>
      <c r="W19" s="1">
        <v>17</v>
      </c>
      <c r="X19" s="1">
        <f t="shared" si="0"/>
        <v>153</v>
      </c>
      <c r="Y19" s="1">
        <f t="shared" si="1"/>
        <v>5361</v>
      </c>
      <c r="Z19" s="1">
        <f t="shared" si="2"/>
        <v>540</v>
      </c>
      <c r="AA19" s="1">
        <f t="shared" si="4"/>
        <v>0.05</v>
      </c>
      <c r="AB19" s="1">
        <f t="shared" si="5"/>
        <v>1.5</v>
      </c>
      <c r="AC19" s="1">
        <f t="shared" si="3"/>
        <v>0.9</v>
      </c>
    </row>
    <row r="20" spans="1:29" ht="14.25" customHeight="1" x14ac:dyDescent="0.2">
      <c r="A20" s="29"/>
      <c r="B20" s="29"/>
      <c r="C20" s="29"/>
      <c r="D20" s="29"/>
      <c r="E20" s="1" t="s">
        <v>68</v>
      </c>
      <c r="F20" s="1" t="s">
        <v>34</v>
      </c>
      <c r="G20" s="3" t="s">
        <v>28</v>
      </c>
      <c r="H20" s="3">
        <v>5</v>
      </c>
      <c r="I20" s="25">
        <v>0.8</v>
      </c>
      <c r="J20" s="25">
        <v>1</v>
      </c>
      <c r="K20" s="25">
        <v>0.4</v>
      </c>
      <c r="L20" s="25">
        <v>1.5</v>
      </c>
      <c r="M20" s="25">
        <v>1.05</v>
      </c>
      <c r="N20" s="8">
        <f t="shared" si="6"/>
        <v>525.00000000000011</v>
      </c>
      <c r="O20" s="25">
        <v>0.45</v>
      </c>
      <c r="P20" s="8">
        <f t="shared" si="7"/>
        <v>371.25</v>
      </c>
      <c r="Q20" s="25">
        <f t="shared" si="8"/>
        <v>0.95238095238095233</v>
      </c>
      <c r="R20" s="8">
        <f t="shared" si="9"/>
        <v>2846.5749476497072</v>
      </c>
      <c r="S20" s="1">
        <f t="shared" si="10"/>
        <v>10</v>
      </c>
      <c r="T20" s="1">
        <f t="shared" si="11"/>
        <v>40</v>
      </c>
      <c r="U20" s="1" t="s">
        <v>85</v>
      </c>
      <c r="W20" s="1">
        <v>18</v>
      </c>
      <c r="X20" s="1">
        <f t="shared" si="0"/>
        <v>161</v>
      </c>
      <c r="Y20" s="1">
        <f t="shared" si="1"/>
        <v>5624</v>
      </c>
      <c r="Z20" s="1">
        <f t="shared" si="2"/>
        <v>567</v>
      </c>
      <c r="AA20" s="1">
        <f t="shared" si="4"/>
        <v>0.05</v>
      </c>
      <c r="AB20" s="1">
        <f t="shared" si="5"/>
        <v>1.5</v>
      </c>
      <c r="AC20" s="1">
        <f t="shared" si="3"/>
        <v>0.9</v>
      </c>
    </row>
    <row r="21" spans="1:29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5">
        <v>0.8</v>
      </c>
      <c r="J21" s="25">
        <v>1</v>
      </c>
      <c r="K21" s="25">
        <v>0.4</v>
      </c>
      <c r="L21" s="25">
        <v>1.5</v>
      </c>
      <c r="M21" s="25">
        <v>1</v>
      </c>
      <c r="N21" s="8">
        <f t="shared" si="6"/>
        <v>500.00000000000006</v>
      </c>
      <c r="O21" s="25">
        <v>0.45</v>
      </c>
      <c r="P21" s="8">
        <f t="shared" si="7"/>
        <v>371.25</v>
      </c>
      <c r="Q21" s="25">
        <f t="shared" si="8"/>
        <v>1</v>
      </c>
      <c r="R21" s="8">
        <f t="shared" si="9"/>
        <v>2988.9036950321929</v>
      </c>
      <c r="S21" s="1">
        <f t="shared" si="10"/>
        <v>10</v>
      </c>
      <c r="T21" s="1">
        <f t="shared" si="11"/>
        <v>40</v>
      </c>
      <c r="U21" s="1" t="s">
        <v>86</v>
      </c>
      <c r="W21" s="1">
        <v>19</v>
      </c>
      <c r="X21" s="1">
        <f t="shared" si="0"/>
        <v>169</v>
      </c>
      <c r="Y21" s="1">
        <f t="shared" si="1"/>
        <v>5899</v>
      </c>
      <c r="Z21" s="1">
        <f t="shared" si="2"/>
        <v>596</v>
      </c>
      <c r="AA21" s="1">
        <f t="shared" si="4"/>
        <v>0.05</v>
      </c>
      <c r="AB21" s="1">
        <f t="shared" si="5"/>
        <v>1.5</v>
      </c>
      <c r="AC21" s="1">
        <f t="shared" si="3"/>
        <v>0.9</v>
      </c>
    </row>
    <row r="22" spans="1:29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5">
        <v>0.80500000000000005</v>
      </c>
      <c r="J22" s="25">
        <v>1.1000000000000001</v>
      </c>
      <c r="K22" s="25">
        <v>0.4</v>
      </c>
      <c r="L22" s="25">
        <v>1.5</v>
      </c>
      <c r="M22" s="25">
        <v>0.96</v>
      </c>
      <c r="N22" s="8">
        <f t="shared" si="6"/>
        <v>439.09090909090912</v>
      </c>
      <c r="O22" s="25">
        <v>0.41</v>
      </c>
      <c r="P22" s="8">
        <f t="shared" si="7"/>
        <v>338.25</v>
      </c>
      <c r="Q22" s="25">
        <f t="shared" si="8"/>
        <v>1.0416666666666667</v>
      </c>
      <c r="R22" s="8">
        <f t="shared" si="9"/>
        <v>3114.465321051543</v>
      </c>
      <c r="S22" s="1">
        <f t="shared" si="10"/>
        <v>10</v>
      </c>
      <c r="T22" s="1">
        <f t="shared" si="11"/>
        <v>40</v>
      </c>
      <c r="U22" s="1" t="s">
        <v>87</v>
      </c>
      <c r="W22" s="1">
        <v>20</v>
      </c>
      <c r="X22" s="1">
        <f t="shared" si="0"/>
        <v>178</v>
      </c>
      <c r="Y22" s="1">
        <f t="shared" si="1"/>
        <v>6188</v>
      </c>
      <c r="Z22" s="1">
        <f t="shared" si="2"/>
        <v>625</v>
      </c>
      <c r="AA22" s="1">
        <f t="shared" si="4"/>
        <v>0.05</v>
      </c>
      <c r="AB22" s="1">
        <f t="shared" si="5"/>
        <v>1.5</v>
      </c>
      <c r="AC22" s="1">
        <f t="shared" si="3"/>
        <v>0.9</v>
      </c>
    </row>
    <row r="23" spans="1:29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5">
        <v>0.80500000000000005</v>
      </c>
      <c r="J23" s="25">
        <v>1.1000000000000001</v>
      </c>
      <c r="K23" s="25">
        <v>0.4</v>
      </c>
      <c r="L23" s="25">
        <v>1.5</v>
      </c>
      <c r="M23" s="25">
        <v>0.98</v>
      </c>
      <c r="N23" s="8">
        <f t="shared" si="6"/>
        <v>448.23863636363637</v>
      </c>
      <c r="O23" s="25">
        <v>0.41</v>
      </c>
      <c r="P23" s="8">
        <f t="shared" si="7"/>
        <v>338.25</v>
      </c>
      <c r="Q23" s="25">
        <f t="shared" si="8"/>
        <v>1.0204081632653061</v>
      </c>
      <c r="R23" s="8">
        <f t="shared" si="9"/>
        <v>3050.9048042953891</v>
      </c>
      <c r="S23" s="1">
        <f t="shared" si="10"/>
        <v>10</v>
      </c>
      <c r="T23" s="1">
        <f t="shared" si="11"/>
        <v>40</v>
      </c>
      <c r="U23" s="1" t="s">
        <v>88</v>
      </c>
      <c r="W23" s="1">
        <v>21</v>
      </c>
      <c r="X23" s="1">
        <f t="shared" si="0"/>
        <v>187</v>
      </c>
      <c r="Y23" s="1">
        <f t="shared" si="1"/>
        <v>6491</v>
      </c>
      <c r="Z23" s="1">
        <f t="shared" si="2"/>
        <v>657</v>
      </c>
      <c r="AA23" s="1">
        <f t="shared" si="4"/>
        <v>0.05</v>
      </c>
      <c r="AB23" s="1">
        <f t="shared" si="5"/>
        <v>1.5</v>
      </c>
      <c r="AC23" s="1">
        <f t="shared" si="3"/>
        <v>0.9</v>
      </c>
    </row>
    <row r="24" spans="1:29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5">
        <v>0.77400000000000002</v>
      </c>
      <c r="J24" s="25">
        <v>1.2</v>
      </c>
      <c r="K24" s="25">
        <v>0.4</v>
      </c>
      <c r="L24" s="25">
        <v>1.5</v>
      </c>
      <c r="M24" s="25">
        <v>0.94</v>
      </c>
      <c r="N24" s="8">
        <f t="shared" si="6"/>
        <v>378.93750000000006</v>
      </c>
      <c r="O24" s="25">
        <v>0.64</v>
      </c>
      <c r="P24" s="8">
        <f t="shared" si="7"/>
        <v>528</v>
      </c>
      <c r="Q24" s="25">
        <f t="shared" si="8"/>
        <v>1.0638297872340425</v>
      </c>
      <c r="R24" s="8">
        <f t="shared" si="9"/>
        <v>3174.7268041760781</v>
      </c>
      <c r="S24" s="1">
        <f t="shared" si="10"/>
        <v>10</v>
      </c>
      <c r="T24" s="1">
        <f t="shared" si="11"/>
        <v>40</v>
      </c>
      <c r="U24" s="1" t="s">
        <v>89</v>
      </c>
      <c r="W24" s="1">
        <v>22</v>
      </c>
      <c r="X24" s="1">
        <f t="shared" si="0"/>
        <v>196</v>
      </c>
      <c r="Y24" s="1">
        <f t="shared" si="1"/>
        <v>6808</v>
      </c>
      <c r="Z24" s="1">
        <f t="shared" si="2"/>
        <v>690</v>
      </c>
      <c r="AA24" s="1">
        <f t="shared" si="4"/>
        <v>0.05</v>
      </c>
      <c r="AB24" s="1">
        <f t="shared" si="5"/>
        <v>1.5</v>
      </c>
      <c r="AC24" s="1">
        <f t="shared" si="3"/>
        <v>0.9</v>
      </c>
    </row>
    <row r="25" spans="1:29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5">
        <v>0.77400000000000002</v>
      </c>
      <c r="J25" s="25">
        <v>1.2</v>
      </c>
      <c r="K25" s="25">
        <v>0.4</v>
      </c>
      <c r="L25" s="25">
        <v>1.5</v>
      </c>
      <c r="M25" s="25">
        <v>0.9</v>
      </c>
      <c r="N25" s="8">
        <f t="shared" si="6"/>
        <v>362.81250000000006</v>
      </c>
      <c r="O25" s="25">
        <v>0.64</v>
      </c>
      <c r="P25" s="8">
        <f t="shared" si="7"/>
        <v>528</v>
      </c>
      <c r="Q25" s="25">
        <f t="shared" si="8"/>
        <v>1.1111111111111112</v>
      </c>
      <c r="R25" s="8">
        <f t="shared" si="9"/>
        <v>3315.8257732505708</v>
      </c>
      <c r="S25" s="1">
        <f t="shared" si="10"/>
        <v>10</v>
      </c>
      <c r="T25" s="1">
        <f t="shared" si="11"/>
        <v>40</v>
      </c>
      <c r="U25" s="1" t="s">
        <v>90</v>
      </c>
      <c r="W25" s="1">
        <v>23</v>
      </c>
      <c r="X25" s="1">
        <f t="shared" si="0"/>
        <v>206</v>
      </c>
      <c r="Y25" s="1">
        <f t="shared" si="1"/>
        <v>7141</v>
      </c>
      <c r="Z25" s="1">
        <f t="shared" si="2"/>
        <v>724</v>
      </c>
      <c r="AA25" s="1">
        <f t="shared" si="4"/>
        <v>0.05</v>
      </c>
      <c r="AB25" s="1">
        <f t="shared" si="5"/>
        <v>1.5</v>
      </c>
      <c r="AC25" s="1">
        <f t="shared" si="3"/>
        <v>0.9</v>
      </c>
    </row>
    <row r="26" spans="1:29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5">
        <v>0.79800000000000004</v>
      </c>
      <c r="J26" s="25">
        <v>0.9</v>
      </c>
      <c r="K26" s="25">
        <v>0.4</v>
      </c>
      <c r="L26" s="25">
        <v>1.5</v>
      </c>
      <c r="M26" s="25">
        <v>0.9</v>
      </c>
      <c r="N26" s="8">
        <f t="shared" si="6"/>
        <v>199.50000000000003</v>
      </c>
      <c r="O26" s="25">
        <v>0.25</v>
      </c>
      <c r="P26" s="8">
        <f t="shared" si="7"/>
        <v>206.25</v>
      </c>
      <c r="Q26" s="25">
        <f t="shared" si="8"/>
        <v>1.1111111111111112</v>
      </c>
      <c r="R26" s="8">
        <f t="shared" si="9"/>
        <v>4158.0906047942781</v>
      </c>
      <c r="S26" s="1">
        <f t="shared" si="10"/>
        <v>4</v>
      </c>
      <c r="T26" s="1">
        <f t="shared" si="11"/>
        <v>50</v>
      </c>
      <c r="U26" s="1" t="s">
        <v>91</v>
      </c>
      <c r="W26" s="1">
        <v>24</v>
      </c>
      <c r="X26" s="1">
        <f t="shared" si="0"/>
        <v>216</v>
      </c>
      <c r="Y26" s="1">
        <f t="shared" si="1"/>
        <v>7489</v>
      </c>
      <c r="Z26" s="1">
        <f t="shared" si="2"/>
        <v>760</v>
      </c>
      <c r="AA26" s="1">
        <f t="shared" si="4"/>
        <v>0.05</v>
      </c>
      <c r="AB26" s="1">
        <f t="shared" si="5"/>
        <v>1.5</v>
      </c>
      <c r="AC26" s="1">
        <f t="shared" si="3"/>
        <v>0.9</v>
      </c>
    </row>
    <row r="27" spans="1:29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5">
        <v>0.79800000000000004</v>
      </c>
      <c r="J27" s="25">
        <v>0.9</v>
      </c>
      <c r="K27" s="25">
        <v>0.4</v>
      </c>
      <c r="L27" s="25">
        <v>1.5</v>
      </c>
      <c r="M27" s="25">
        <v>1</v>
      </c>
      <c r="N27" s="8">
        <f t="shared" si="6"/>
        <v>221.66666666666669</v>
      </c>
      <c r="O27" s="25">
        <v>0.25</v>
      </c>
      <c r="P27" s="8">
        <f t="shared" si="7"/>
        <v>206.25</v>
      </c>
      <c r="Q27" s="25">
        <f t="shared" si="8"/>
        <v>1</v>
      </c>
      <c r="R27" s="8">
        <f t="shared" si="9"/>
        <v>3742.2815443148502</v>
      </c>
      <c r="S27" s="1">
        <f t="shared" si="10"/>
        <v>4</v>
      </c>
      <c r="T27" s="1">
        <f t="shared" si="11"/>
        <v>50</v>
      </c>
      <c r="U27" s="1" t="s">
        <v>92</v>
      </c>
      <c r="W27" s="1">
        <v>25</v>
      </c>
      <c r="X27" s="1">
        <f t="shared" si="0"/>
        <v>227</v>
      </c>
      <c r="Y27" s="1">
        <f t="shared" si="1"/>
        <v>7854</v>
      </c>
      <c r="Z27" s="1">
        <f t="shared" si="2"/>
        <v>798</v>
      </c>
      <c r="AA27" s="1">
        <f t="shared" si="4"/>
        <v>0.05</v>
      </c>
      <c r="AB27" s="1">
        <f t="shared" si="5"/>
        <v>1.5</v>
      </c>
      <c r="AC27" s="1">
        <f t="shared" si="3"/>
        <v>0.9</v>
      </c>
    </row>
    <row r="28" spans="1:29" ht="14.25" customHeight="1" x14ac:dyDescent="0.2">
      <c r="D28" s="28" t="s">
        <v>79</v>
      </c>
      <c r="W28" s="1">
        <v>26</v>
      </c>
      <c r="X28" s="1">
        <f t="shared" si="0"/>
        <v>238</v>
      </c>
      <c r="Y28" s="1">
        <f t="shared" si="1"/>
        <v>8236</v>
      </c>
      <c r="Z28" s="1">
        <f t="shared" si="2"/>
        <v>838</v>
      </c>
      <c r="AA28" s="1">
        <f t="shared" si="4"/>
        <v>0.05</v>
      </c>
      <c r="AB28" s="1">
        <f t="shared" si="5"/>
        <v>1.5</v>
      </c>
      <c r="AC28" s="1">
        <f t="shared" si="3"/>
        <v>0.9</v>
      </c>
    </row>
    <row r="29" spans="1:29" ht="14.25" customHeight="1" x14ac:dyDescent="0.2">
      <c r="W29" s="1">
        <v>27</v>
      </c>
      <c r="X29" s="1">
        <f t="shared" si="0"/>
        <v>250</v>
      </c>
      <c r="Y29" s="1">
        <f t="shared" si="1"/>
        <v>8636</v>
      </c>
      <c r="Z29" s="1">
        <f t="shared" si="2"/>
        <v>880</v>
      </c>
      <c r="AA29" s="1">
        <f t="shared" si="4"/>
        <v>0.05</v>
      </c>
      <c r="AB29" s="1">
        <f t="shared" si="5"/>
        <v>1.5</v>
      </c>
      <c r="AC29" s="1">
        <f t="shared" si="3"/>
        <v>0.9</v>
      </c>
    </row>
    <row r="30" spans="1:29" ht="14.25" customHeight="1" x14ac:dyDescent="0.2">
      <c r="O30" s="24"/>
      <c r="W30" s="1">
        <v>28</v>
      </c>
      <c r="X30" s="1">
        <f t="shared" si="0"/>
        <v>263</v>
      </c>
      <c r="Y30" s="1">
        <f t="shared" si="1"/>
        <v>9055</v>
      </c>
      <c r="Z30" s="1">
        <f t="shared" si="2"/>
        <v>924</v>
      </c>
      <c r="AA30" s="1">
        <f t="shared" si="4"/>
        <v>0.05</v>
      </c>
      <c r="AB30" s="1">
        <f t="shared" si="5"/>
        <v>1.5</v>
      </c>
      <c r="AC30" s="1">
        <f t="shared" si="3"/>
        <v>0.9</v>
      </c>
    </row>
    <row r="31" spans="1:29" ht="14.25" customHeight="1" x14ac:dyDescent="0.2">
      <c r="O31" s="24"/>
      <c r="W31" s="1">
        <v>29</v>
      </c>
      <c r="X31" s="1">
        <f t="shared" si="0"/>
        <v>276</v>
      </c>
      <c r="Y31" s="1">
        <f t="shared" si="1"/>
        <v>9493</v>
      </c>
      <c r="Z31" s="1">
        <f t="shared" si="2"/>
        <v>970</v>
      </c>
      <c r="AA31" s="1">
        <f t="shared" si="4"/>
        <v>0.05</v>
      </c>
      <c r="AB31" s="1">
        <f t="shared" si="5"/>
        <v>1.5</v>
      </c>
      <c r="AC31" s="1">
        <f t="shared" si="3"/>
        <v>0.9</v>
      </c>
    </row>
    <row r="32" spans="1:29" ht="14.25" customHeight="1" x14ac:dyDescent="0.2">
      <c r="O32" s="24"/>
      <c r="W32" s="1">
        <v>30</v>
      </c>
      <c r="X32" s="1">
        <f t="shared" si="0"/>
        <v>289</v>
      </c>
      <c r="Y32" s="1">
        <f t="shared" si="1"/>
        <v>9952</v>
      </c>
      <c r="Z32" s="1">
        <f t="shared" si="2"/>
        <v>1019</v>
      </c>
      <c r="AA32" s="1">
        <f t="shared" si="4"/>
        <v>0.05</v>
      </c>
      <c r="AB32" s="1">
        <f t="shared" si="5"/>
        <v>1.5</v>
      </c>
      <c r="AC32" s="1">
        <f t="shared" si="3"/>
        <v>0.9</v>
      </c>
    </row>
    <row r="33" spans="2:29" ht="14.25" customHeight="1" x14ac:dyDescent="0.2">
      <c r="B33" s="29"/>
      <c r="O33" s="24"/>
      <c r="W33" s="1">
        <v>31</v>
      </c>
      <c r="X33" s="1">
        <f t="shared" si="0"/>
        <v>304</v>
      </c>
      <c r="Y33" s="1">
        <f t="shared" si="1"/>
        <v>10433</v>
      </c>
      <c r="Z33" s="1">
        <f t="shared" si="2"/>
        <v>1070</v>
      </c>
      <c r="AA33" s="1">
        <f t="shared" si="4"/>
        <v>0.05</v>
      </c>
      <c r="AB33" s="1">
        <f t="shared" si="5"/>
        <v>1.5</v>
      </c>
      <c r="AC33" s="1">
        <f t="shared" si="3"/>
        <v>0.9</v>
      </c>
    </row>
    <row r="34" spans="2:29" ht="14.25" customHeight="1" x14ac:dyDescent="0.2">
      <c r="O34" s="24"/>
      <c r="W34" s="1">
        <v>32</v>
      </c>
      <c r="X34" s="1">
        <f t="shared" si="0"/>
        <v>319</v>
      </c>
      <c r="Y34" s="1">
        <f t="shared" si="1"/>
        <v>10936</v>
      </c>
      <c r="Z34" s="1">
        <f t="shared" si="2"/>
        <v>1123</v>
      </c>
      <c r="AA34" s="1">
        <f t="shared" si="4"/>
        <v>0.05</v>
      </c>
      <c r="AB34" s="1">
        <f t="shared" si="5"/>
        <v>1.5</v>
      </c>
      <c r="AC34" s="1">
        <f t="shared" si="3"/>
        <v>0.9</v>
      </c>
    </row>
    <row r="35" spans="2:29" ht="14.25" customHeight="1" x14ac:dyDescent="0.2">
      <c r="O35" s="24"/>
      <c r="W35" s="1">
        <v>33</v>
      </c>
      <c r="X35" s="1">
        <f t="shared" ref="X35:X66" si="12">ROUND(VLOOKUP($X$1,$E:$R,MATCH(X$2,$E$15:$R$15,0),0)*$C$6^($W35-1)*$C$13*VLOOKUP($Y$1,$B:$C,2,0),0)</f>
        <v>335</v>
      </c>
      <c r="Y35" s="1">
        <f t="shared" ref="Y35:Y66" si="13">ROUND(VLOOKUP(VLOOKUP($Z$1,$K$4:$L$10,2,0),$E$4:$G$7,3,0)*$C$5*VLOOKUP($X$1,$E:$R,MATCH("生命偏向",$E$15:$R$15,0),0)/(1+VLOOKUP($X$1,$E:$R,MATCH($Z$2,$E$15:$R$15,0),0)*$C$6^($W35-1)/$C$8)*$C$6^($W35-1)*$C$13*VLOOKUP($Y$1,$B:$C,2,0),0)</f>
        <v>11462</v>
      </c>
      <c r="Z35" s="1">
        <f t="shared" ref="Z35:Z66" si="14">ROUND(VLOOKUP($X$1,$E:$R,MATCH(Z$2,$E$15:$R$15,0),0)*$C$6^($W35-1)*$C$13*VLOOKUP($Y$1,$B:$C,2,0),0)</f>
        <v>1179</v>
      </c>
      <c r="AA35" s="1">
        <f t="shared" si="4"/>
        <v>0.05</v>
      </c>
      <c r="AB35" s="1">
        <f t="shared" si="5"/>
        <v>1.5</v>
      </c>
      <c r="AC35" s="1">
        <f t="shared" ref="AC35:AC66" si="15">VLOOKUP($X$1,$E:$R,MATCH(AC$2,$E$15:$R$15,0),0)</f>
        <v>0.9</v>
      </c>
    </row>
    <row r="36" spans="2:29" ht="14.25" customHeight="1" x14ac:dyDescent="0.2">
      <c r="O36" s="24"/>
      <c r="W36" s="1">
        <v>34</v>
      </c>
      <c r="X36" s="1">
        <f t="shared" si="12"/>
        <v>352</v>
      </c>
      <c r="Y36" s="1">
        <f t="shared" si="13"/>
        <v>12012</v>
      </c>
      <c r="Z36" s="1">
        <f t="shared" si="14"/>
        <v>1238</v>
      </c>
      <c r="AA36" s="1">
        <f t="shared" si="4"/>
        <v>0.05</v>
      </c>
      <c r="AB36" s="1">
        <f t="shared" si="5"/>
        <v>1.5</v>
      </c>
      <c r="AC36" s="1">
        <f t="shared" si="15"/>
        <v>0.9</v>
      </c>
    </row>
    <row r="37" spans="2:29" ht="14.25" customHeight="1" x14ac:dyDescent="0.2">
      <c r="O37" s="24"/>
      <c r="W37" s="1">
        <v>35</v>
      </c>
      <c r="X37" s="1">
        <f t="shared" si="12"/>
        <v>369</v>
      </c>
      <c r="Y37" s="1">
        <f t="shared" si="13"/>
        <v>12588</v>
      </c>
      <c r="Z37" s="1">
        <f t="shared" si="14"/>
        <v>1300</v>
      </c>
      <c r="AA37" s="1">
        <f t="shared" si="4"/>
        <v>0.05</v>
      </c>
      <c r="AB37" s="1">
        <f t="shared" si="5"/>
        <v>1.5</v>
      </c>
      <c r="AC37" s="1">
        <f t="shared" si="15"/>
        <v>0.9</v>
      </c>
    </row>
    <row r="38" spans="2:29" ht="14.25" customHeight="1" x14ac:dyDescent="0.2">
      <c r="O38" s="24"/>
      <c r="W38" s="1">
        <v>36</v>
      </c>
      <c r="X38" s="1">
        <f t="shared" si="12"/>
        <v>388</v>
      </c>
      <c r="Y38" s="1">
        <f t="shared" si="13"/>
        <v>13190</v>
      </c>
      <c r="Z38" s="1">
        <f t="shared" si="14"/>
        <v>1365</v>
      </c>
      <c r="AA38" s="1">
        <f t="shared" si="4"/>
        <v>0.05</v>
      </c>
      <c r="AB38" s="1">
        <f t="shared" si="5"/>
        <v>1.5</v>
      </c>
      <c r="AC38" s="1">
        <f t="shared" si="15"/>
        <v>0.9</v>
      </c>
    </row>
    <row r="39" spans="2:29" ht="14.25" customHeight="1" x14ac:dyDescent="0.2">
      <c r="O39" s="24"/>
      <c r="W39" s="1">
        <v>37</v>
      </c>
      <c r="X39" s="1">
        <f t="shared" si="12"/>
        <v>407</v>
      </c>
      <c r="Y39" s="1">
        <f t="shared" si="13"/>
        <v>13819</v>
      </c>
      <c r="Z39" s="1">
        <f t="shared" si="14"/>
        <v>1433</v>
      </c>
      <c r="AA39" s="1">
        <f t="shared" si="4"/>
        <v>0.05</v>
      </c>
      <c r="AB39" s="1">
        <f t="shared" si="5"/>
        <v>1.5</v>
      </c>
      <c r="AC39" s="1">
        <f t="shared" si="15"/>
        <v>0.9</v>
      </c>
    </row>
    <row r="40" spans="2:29" ht="14.25" customHeight="1" x14ac:dyDescent="0.2">
      <c r="O40" s="24"/>
      <c r="W40" s="1">
        <v>38</v>
      </c>
      <c r="X40" s="1">
        <f t="shared" si="12"/>
        <v>428</v>
      </c>
      <c r="Y40" s="1">
        <f t="shared" si="13"/>
        <v>14477</v>
      </c>
      <c r="Z40" s="1">
        <f t="shared" si="14"/>
        <v>1505</v>
      </c>
      <c r="AA40" s="1">
        <f t="shared" si="4"/>
        <v>0.05</v>
      </c>
      <c r="AB40" s="1">
        <f t="shared" si="5"/>
        <v>1.5</v>
      </c>
      <c r="AC40" s="1">
        <f t="shared" si="15"/>
        <v>0.9</v>
      </c>
    </row>
    <row r="41" spans="2:29" ht="14.25" customHeight="1" x14ac:dyDescent="0.2">
      <c r="O41" s="24"/>
      <c r="W41" s="1">
        <v>39</v>
      </c>
      <c r="X41" s="1">
        <f t="shared" si="12"/>
        <v>449</v>
      </c>
      <c r="Y41" s="1">
        <f t="shared" si="13"/>
        <v>15165</v>
      </c>
      <c r="Z41" s="1">
        <f t="shared" si="14"/>
        <v>1580</v>
      </c>
      <c r="AA41" s="1">
        <f t="shared" si="4"/>
        <v>0.05</v>
      </c>
      <c r="AB41" s="1">
        <f t="shared" si="5"/>
        <v>1.5</v>
      </c>
      <c r="AC41" s="1">
        <f t="shared" si="15"/>
        <v>0.9</v>
      </c>
    </row>
    <row r="42" spans="2:29" ht="14.25" customHeight="1" x14ac:dyDescent="0.2">
      <c r="W42" s="1">
        <v>40</v>
      </c>
      <c r="X42" s="1">
        <f t="shared" si="12"/>
        <v>471</v>
      </c>
      <c r="Y42" s="1">
        <f t="shared" si="13"/>
        <v>15883</v>
      </c>
      <c r="Z42" s="1">
        <f t="shared" si="14"/>
        <v>1659</v>
      </c>
      <c r="AA42" s="1">
        <f t="shared" si="4"/>
        <v>0.05</v>
      </c>
      <c r="AB42" s="1">
        <f t="shared" si="5"/>
        <v>1.5</v>
      </c>
      <c r="AC42" s="1">
        <f t="shared" si="15"/>
        <v>0.9</v>
      </c>
    </row>
    <row r="43" spans="2:29" ht="14.25" customHeight="1" x14ac:dyDescent="0.2">
      <c r="W43" s="1">
        <v>41</v>
      </c>
      <c r="X43" s="1">
        <f t="shared" si="12"/>
        <v>495</v>
      </c>
      <c r="Y43" s="1">
        <f t="shared" si="13"/>
        <v>16634</v>
      </c>
      <c r="Z43" s="1">
        <f t="shared" si="14"/>
        <v>1742</v>
      </c>
      <c r="AA43" s="1">
        <f t="shared" si="4"/>
        <v>0.05</v>
      </c>
      <c r="AB43" s="1">
        <f t="shared" si="5"/>
        <v>1.5</v>
      </c>
      <c r="AC43" s="1">
        <f t="shared" si="15"/>
        <v>0.9</v>
      </c>
    </row>
    <row r="44" spans="2:29" ht="14.25" customHeight="1" x14ac:dyDescent="0.2">
      <c r="W44" s="1">
        <v>42</v>
      </c>
      <c r="X44" s="1">
        <f t="shared" si="12"/>
        <v>520</v>
      </c>
      <c r="Y44" s="1">
        <f t="shared" si="13"/>
        <v>17418</v>
      </c>
      <c r="Z44" s="1">
        <f t="shared" si="14"/>
        <v>1830</v>
      </c>
      <c r="AA44" s="1">
        <f t="shared" si="4"/>
        <v>0.05</v>
      </c>
      <c r="AB44" s="1">
        <f t="shared" si="5"/>
        <v>1.5</v>
      </c>
      <c r="AC44" s="1">
        <f t="shared" si="15"/>
        <v>0.9</v>
      </c>
    </row>
    <row r="45" spans="2:29" ht="14.25" customHeight="1" x14ac:dyDescent="0.2">
      <c r="W45" s="1">
        <v>43</v>
      </c>
      <c r="X45" s="1">
        <f t="shared" si="12"/>
        <v>546</v>
      </c>
      <c r="Y45" s="1">
        <f t="shared" si="13"/>
        <v>18236</v>
      </c>
      <c r="Z45" s="1">
        <f t="shared" si="14"/>
        <v>1921</v>
      </c>
      <c r="AA45" s="1">
        <f t="shared" si="4"/>
        <v>0.05</v>
      </c>
      <c r="AB45" s="1">
        <f t="shared" si="5"/>
        <v>1.5</v>
      </c>
      <c r="AC45" s="1">
        <f t="shared" si="15"/>
        <v>0.9</v>
      </c>
    </row>
    <row r="46" spans="2:29" ht="14.25" customHeight="1" x14ac:dyDescent="0.2">
      <c r="W46" s="1">
        <v>44</v>
      </c>
      <c r="X46" s="1">
        <f t="shared" si="12"/>
        <v>573</v>
      </c>
      <c r="Y46" s="1">
        <f t="shared" si="13"/>
        <v>19091</v>
      </c>
      <c r="Z46" s="1">
        <f t="shared" si="14"/>
        <v>2017</v>
      </c>
      <c r="AA46" s="1">
        <f t="shared" si="4"/>
        <v>0.05</v>
      </c>
      <c r="AB46" s="1">
        <f t="shared" si="5"/>
        <v>1.5</v>
      </c>
      <c r="AC46" s="1">
        <f t="shared" si="15"/>
        <v>0.9</v>
      </c>
    </row>
    <row r="47" spans="2:29" ht="14.25" customHeight="1" x14ac:dyDescent="0.2">
      <c r="W47" s="1">
        <v>45</v>
      </c>
      <c r="X47" s="1">
        <f t="shared" si="12"/>
        <v>602</v>
      </c>
      <c r="Y47" s="1">
        <f t="shared" si="13"/>
        <v>19982</v>
      </c>
      <c r="Z47" s="1">
        <f t="shared" si="14"/>
        <v>2118</v>
      </c>
      <c r="AA47" s="1">
        <f t="shared" si="4"/>
        <v>0.05</v>
      </c>
      <c r="AB47" s="1">
        <f t="shared" si="5"/>
        <v>1.5</v>
      </c>
      <c r="AC47" s="1">
        <f t="shared" si="15"/>
        <v>0.9</v>
      </c>
    </row>
    <row r="48" spans="2:29" ht="14.25" customHeight="1" x14ac:dyDescent="0.2">
      <c r="W48" s="1">
        <v>46</v>
      </c>
      <c r="X48" s="1">
        <f t="shared" si="12"/>
        <v>632</v>
      </c>
      <c r="Y48" s="1">
        <f t="shared" si="13"/>
        <v>20912</v>
      </c>
      <c r="Z48" s="1">
        <f t="shared" si="14"/>
        <v>2224</v>
      </c>
      <c r="AA48" s="1">
        <f t="shared" si="4"/>
        <v>0.05</v>
      </c>
      <c r="AB48" s="1">
        <f t="shared" si="5"/>
        <v>1.5</v>
      </c>
      <c r="AC48" s="1">
        <f t="shared" si="15"/>
        <v>0.9</v>
      </c>
    </row>
    <row r="49" spans="23:29" ht="14.25" customHeight="1" x14ac:dyDescent="0.2">
      <c r="W49" s="1">
        <v>47</v>
      </c>
      <c r="X49" s="1">
        <f t="shared" si="12"/>
        <v>663</v>
      </c>
      <c r="Y49" s="1">
        <f t="shared" si="13"/>
        <v>21882</v>
      </c>
      <c r="Z49" s="1">
        <f t="shared" si="14"/>
        <v>2335</v>
      </c>
      <c r="AA49" s="1">
        <f t="shared" si="4"/>
        <v>0.05</v>
      </c>
      <c r="AB49" s="1">
        <f t="shared" si="5"/>
        <v>1.5</v>
      </c>
      <c r="AC49" s="1">
        <f t="shared" si="15"/>
        <v>0.9</v>
      </c>
    </row>
    <row r="50" spans="23:29" ht="14.25" customHeight="1" x14ac:dyDescent="0.2">
      <c r="W50" s="1">
        <v>48</v>
      </c>
      <c r="X50" s="1">
        <f t="shared" si="12"/>
        <v>697</v>
      </c>
      <c r="Y50" s="1">
        <f t="shared" si="13"/>
        <v>22894</v>
      </c>
      <c r="Z50" s="1">
        <f t="shared" si="14"/>
        <v>2452</v>
      </c>
      <c r="AA50" s="1">
        <f t="shared" si="4"/>
        <v>0.05</v>
      </c>
      <c r="AB50" s="1">
        <f t="shared" si="5"/>
        <v>1.5</v>
      </c>
      <c r="AC50" s="1">
        <f t="shared" si="15"/>
        <v>0.9</v>
      </c>
    </row>
    <row r="51" spans="23:29" ht="14.25" customHeight="1" x14ac:dyDescent="0.2">
      <c r="W51" s="1">
        <v>49</v>
      </c>
      <c r="X51" s="1">
        <f t="shared" si="12"/>
        <v>731</v>
      </c>
      <c r="Y51" s="1">
        <f t="shared" si="13"/>
        <v>23948</v>
      </c>
      <c r="Z51" s="1">
        <f t="shared" si="14"/>
        <v>2574</v>
      </c>
      <c r="AA51" s="1">
        <f t="shared" si="4"/>
        <v>0.05</v>
      </c>
      <c r="AB51" s="1">
        <f t="shared" si="5"/>
        <v>1.5</v>
      </c>
      <c r="AC51" s="1">
        <f t="shared" si="15"/>
        <v>0.9</v>
      </c>
    </row>
    <row r="52" spans="23:29" ht="14.25" customHeight="1" x14ac:dyDescent="0.2">
      <c r="W52" s="1">
        <v>50</v>
      </c>
      <c r="X52" s="1">
        <f t="shared" si="12"/>
        <v>768</v>
      </c>
      <c r="Y52" s="1">
        <f t="shared" si="13"/>
        <v>25047</v>
      </c>
      <c r="Z52" s="1">
        <f t="shared" si="14"/>
        <v>2703</v>
      </c>
      <c r="AA52" s="1">
        <f t="shared" si="4"/>
        <v>0.05</v>
      </c>
      <c r="AB52" s="1">
        <f t="shared" si="5"/>
        <v>1.5</v>
      </c>
      <c r="AC52" s="1">
        <f t="shared" si="15"/>
        <v>0.9</v>
      </c>
    </row>
    <row r="53" spans="23:29" ht="14.25" customHeight="1" x14ac:dyDescent="0.2">
      <c r="W53" s="1">
        <v>51</v>
      </c>
      <c r="X53" s="1">
        <f t="shared" si="12"/>
        <v>806</v>
      </c>
      <c r="Y53" s="1">
        <f t="shared" si="13"/>
        <v>26191</v>
      </c>
      <c r="Z53" s="1">
        <f t="shared" si="14"/>
        <v>2838</v>
      </c>
      <c r="AA53" s="1">
        <f t="shared" si="4"/>
        <v>0.05</v>
      </c>
      <c r="AB53" s="1">
        <f t="shared" si="5"/>
        <v>1.5</v>
      </c>
      <c r="AC53" s="1">
        <f t="shared" si="15"/>
        <v>0.9</v>
      </c>
    </row>
    <row r="54" spans="23:29" ht="14.25" customHeight="1" x14ac:dyDescent="0.2">
      <c r="W54" s="1">
        <v>52</v>
      </c>
      <c r="X54" s="1">
        <f t="shared" si="12"/>
        <v>847</v>
      </c>
      <c r="Y54" s="1">
        <f t="shared" si="13"/>
        <v>27382</v>
      </c>
      <c r="Z54" s="1">
        <f t="shared" si="14"/>
        <v>2980</v>
      </c>
      <c r="AA54" s="1">
        <f t="shared" si="4"/>
        <v>0.05</v>
      </c>
      <c r="AB54" s="1">
        <f t="shared" si="5"/>
        <v>1.5</v>
      </c>
      <c r="AC54" s="1">
        <f t="shared" si="15"/>
        <v>0.9</v>
      </c>
    </row>
    <row r="55" spans="23:29" ht="14.25" customHeight="1" x14ac:dyDescent="0.2">
      <c r="W55" s="1">
        <v>53</v>
      </c>
      <c r="X55" s="1">
        <f t="shared" si="12"/>
        <v>889</v>
      </c>
      <c r="Y55" s="1">
        <f t="shared" si="13"/>
        <v>28622</v>
      </c>
      <c r="Z55" s="1">
        <f t="shared" si="14"/>
        <v>3129</v>
      </c>
      <c r="AA55" s="1">
        <f t="shared" si="4"/>
        <v>0.05</v>
      </c>
      <c r="AB55" s="1">
        <f t="shared" si="5"/>
        <v>1.5</v>
      </c>
      <c r="AC55" s="1">
        <f t="shared" si="15"/>
        <v>0.9</v>
      </c>
    </row>
    <row r="56" spans="23:29" ht="14.25" customHeight="1" x14ac:dyDescent="0.2">
      <c r="W56" s="1">
        <v>54</v>
      </c>
      <c r="X56" s="1">
        <f t="shared" si="12"/>
        <v>933</v>
      </c>
      <c r="Y56" s="1">
        <f t="shared" si="13"/>
        <v>29912</v>
      </c>
      <c r="Z56" s="1">
        <f t="shared" si="14"/>
        <v>3286</v>
      </c>
      <c r="AA56" s="1">
        <f t="shared" si="4"/>
        <v>0.05</v>
      </c>
      <c r="AB56" s="1">
        <f t="shared" si="5"/>
        <v>1.5</v>
      </c>
      <c r="AC56" s="1">
        <f t="shared" si="15"/>
        <v>0.9</v>
      </c>
    </row>
    <row r="57" spans="23:29" ht="14.25" customHeight="1" x14ac:dyDescent="0.2">
      <c r="W57" s="1">
        <v>55</v>
      </c>
      <c r="X57" s="1">
        <f t="shared" si="12"/>
        <v>980</v>
      </c>
      <c r="Y57" s="1">
        <f t="shared" si="13"/>
        <v>31253</v>
      </c>
      <c r="Z57" s="1">
        <f t="shared" si="14"/>
        <v>3450</v>
      </c>
      <c r="AA57" s="1">
        <f t="shared" si="4"/>
        <v>0.05</v>
      </c>
      <c r="AB57" s="1">
        <f t="shared" si="5"/>
        <v>1.5</v>
      </c>
      <c r="AC57" s="1">
        <f t="shared" si="15"/>
        <v>0.9</v>
      </c>
    </row>
    <row r="58" spans="23:29" ht="14.25" customHeight="1" x14ac:dyDescent="0.2">
      <c r="W58" s="1">
        <v>56</v>
      </c>
      <c r="X58" s="1">
        <f t="shared" si="12"/>
        <v>1029</v>
      </c>
      <c r="Y58" s="1">
        <f t="shared" si="13"/>
        <v>32647</v>
      </c>
      <c r="Z58" s="1">
        <f t="shared" si="14"/>
        <v>3622</v>
      </c>
      <c r="AA58" s="1">
        <f t="shared" si="4"/>
        <v>0.05</v>
      </c>
      <c r="AB58" s="1">
        <f t="shared" si="5"/>
        <v>1.5</v>
      </c>
      <c r="AC58" s="1">
        <f t="shared" si="15"/>
        <v>0.9</v>
      </c>
    </row>
    <row r="59" spans="23:29" ht="14.25" customHeight="1" x14ac:dyDescent="0.2">
      <c r="W59" s="1">
        <v>57</v>
      </c>
      <c r="X59" s="1">
        <f t="shared" si="12"/>
        <v>1081</v>
      </c>
      <c r="Y59" s="1">
        <f t="shared" si="13"/>
        <v>34096</v>
      </c>
      <c r="Z59" s="1">
        <f t="shared" si="14"/>
        <v>3803</v>
      </c>
      <c r="AA59" s="1">
        <f t="shared" si="4"/>
        <v>0.05</v>
      </c>
      <c r="AB59" s="1">
        <f t="shared" si="5"/>
        <v>1.5</v>
      </c>
      <c r="AC59" s="1">
        <f t="shared" si="15"/>
        <v>0.9</v>
      </c>
    </row>
    <row r="60" spans="23:29" ht="14.25" customHeight="1" x14ac:dyDescent="0.2">
      <c r="W60" s="1">
        <v>58</v>
      </c>
      <c r="X60" s="1">
        <f t="shared" si="12"/>
        <v>1135</v>
      </c>
      <c r="Y60" s="1">
        <f t="shared" si="13"/>
        <v>35600</v>
      </c>
      <c r="Z60" s="1">
        <f t="shared" si="14"/>
        <v>3994</v>
      </c>
      <c r="AA60" s="1">
        <f t="shared" si="4"/>
        <v>0.05</v>
      </c>
      <c r="AB60" s="1">
        <f t="shared" si="5"/>
        <v>1.5</v>
      </c>
      <c r="AC60" s="1">
        <f t="shared" si="15"/>
        <v>0.9</v>
      </c>
    </row>
    <row r="61" spans="23:29" ht="14.25" customHeight="1" x14ac:dyDescent="0.2">
      <c r="W61" s="1">
        <v>59</v>
      </c>
      <c r="X61" s="1">
        <f t="shared" si="12"/>
        <v>1191</v>
      </c>
      <c r="Y61" s="1">
        <f t="shared" si="13"/>
        <v>37162</v>
      </c>
      <c r="Z61" s="1">
        <f t="shared" si="14"/>
        <v>4193</v>
      </c>
      <c r="AA61" s="1">
        <f t="shared" si="4"/>
        <v>0.05</v>
      </c>
      <c r="AB61" s="1">
        <f t="shared" si="5"/>
        <v>1.5</v>
      </c>
      <c r="AC61" s="1">
        <f t="shared" si="15"/>
        <v>0.9</v>
      </c>
    </row>
    <row r="62" spans="23:29" ht="14.25" customHeight="1" x14ac:dyDescent="0.2">
      <c r="W62" s="1">
        <v>60</v>
      </c>
      <c r="X62" s="1">
        <f t="shared" si="12"/>
        <v>1251</v>
      </c>
      <c r="Y62" s="1">
        <f t="shared" si="13"/>
        <v>38782</v>
      </c>
      <c r="Z62" s="1">
        <f t="shared" si="14"/>
        <v>4403</v>
      </c>
      <c r="AA62" s="1">
        <f t="shared" si="4"/>
        <v>0.05</v>
      </c>
      <c r="AB62" s="1">
        <f t="shared" si="5"/>
        <v>1.5</v>
      </c>
      <c r="AC62" s="1">
        <f t="shared" si="15"/>
        <v>0.9</v>
      </c>
    </row>
    <row r="63" spans="23:29" ht="14.25" customHeight="1" x14ac:dyDescent="0.2">
      <c r="W63" s="1">
        <v>61</v>
      </c>
      <c r="X63" s="1">
        <f t="shared" si="12"/>
        <v>1313</v>
      </c>
      <c r="Y63" s="1">
        <f t="shared" si="13"/>
        <v>40463</v>
      </c>
      <c r="Z63" s="1">
        <f t="shared" si="14"/>
        <v>4623</v>
      </c>
      <c r="AA63" s="1">
        <f t="shared" si="4"/>
        <v>0.05</v>
      </c>
      <c r="AB63" s="1">
        <f t="shared" si="5"/>
        <v>1.5</v>
      </c>
      <c r="AC63" s="1">
        <f t="shared" si="15"/>
        <v>0.9</v>
      </c>
    </row>
    <row r="64" spans="23:29" ht="14.25" customHeight="1" x14ac:dyDescent="0.2">
      <c r="W64" s="1">
        <v>62</v>
      </c>
      <c r="X64" s="1">
        <f t="shared" si="12"/>
        <v>1379</v>
      </c>
      <c r="Y64" s="1">
        <f t="shared" si="13"/>
        <v>42204</v>
      </c>
      <c r="Z64" s="1">
        <f t="shared" si="14"/>
        <v>4854</v>
      </c>
      <c r="AA64" s="1">
        <f t="shared" si="4"/>
        <v>0.05</v>
      </c>
      <c r="AB64" s="1">
        <f t="shared" si="5"/>
        <v>1.5</v>
      </c>
      <c r="AC64" s="1">
        <f t="shared" si="15"/>
        <v>0.9</v>
      </c>
    </row>
    <row r="65" spans="23:29" ht="14.25" customHeight="1" x14ac:dyDescent="0.2">
      <c r="W65" s="1">
        <v>63</v>
      </c>
      <c r="X65" s="1">
        <f t="shared" si="12"/>
        <v>1448</v>
      </c>
      <c r="Y65" s="1">
        <f t="shared" si="13"/>
        <v>44008</v>
      </c>
      <c r="Z65" s="1">
        <f t="shared" si="14"/>
        <v>5097</v>
      </c>
      <c r="AA65" s="1">
        <f t="shared" si="4"/>
        <v>0.05</v>
      </c>
      <c r="AB65" s="1">
        <f t="shared" si="5"/>
        <v>1.5</v>
      </c>
      <c r="AC65" s="1">
        <f t="shared" si="15"/>
        <v>0.9</v>
      </c>
    </row>
    <row r="66" spans="23:29" ht="14.25" customHeight="1" x14ac:dyDescent="0.2">
      <c r="W66" s="1">
        <v>64</v>
      </c>
      <c r="X66" s="1">
        <f t="shared" si="12"/>
        <v>1520</v>
      </c>
      <c r="Y66" s="1">
        <f t="shared" si="13"/>
        <v>45875</v>
      </c>
      <c r="Z66" s="1">
        <f t="shared" si="14"/>
        <v>5352</v>
      </c>
      <c r="AA66" s="1">
        <f t="shared" si="4"/>
        <v>0.05</v>
      </c>
      <c r="AB66" s="1">
        <f t="shared" si="5"/>
        <v>1.5</v>
      </c>
      <c r="AC66" s="1">
        <f t="shared" si="15"/>
        <v>0.9</v>
      </c>
    </row>
    <row r="67" spans="23:29" ht="14.25" customHeight="1" x14ac:dyDescent="0.2">
      <c r="W67" s="1">
        <v>65</v>
      </c>
      <c r="X67" s="1">
        <f t="shared" ref="X67:X102" si="16">ROUND(VLOOKUP($X$1,$E:$R,MATCH(X$2,$E$15:$R$15,0),0)*$C$6^($W67-1)*$C$13*VLOOKUP($Y$1,$B:$C,2,0),0)</f>
        <v>1596</v>
      </c>
      <c r="Y67" s="1">
        <f t="shared" ref="Y67:Y102" si="17">ROUND(VLOOKUP(VLOOKUP($Z$1,$K$4:$L$10,2,0),$E$4:$G$7,3,0)*$C$5*VLOOKUP($X$1,$E:$R,MATCH("生命偏向",$E$15:$R$15,0),0)/(1+VLOOKUP($X$1,$E:$R,MATCH($Z$2,$E$15:$R$15,0),0)*$C$6^($W67-1)/$C$8)*$C$6^($W67-1)*$C$13*VLOOKUP($Y$1,$B:$C,2,0),0)</f>
        <v>47807</v>
      </c>
      <c r="Z67" s="1">
        <f t="shared" ref="Z67:Z102" si="18">ROUND(VLOOKUP($X$1,$E:$R,MATCH(Z$2,$E$15:$R$15,0),0)*$C$6^($W67-1)*$C$13*VLOOKUP($Y$1,$B:$C,2,0),0)</f>
        <v>5619</v>
      </c>
      <c r="AA67" s="1">
        <f t="shared" si="4"/>
        <v>0.05</v>
      </c>
      <c r="AB67" s="1">
        <f t="shared" si="5"/>
        <v>1.5</v>
      </c>
      <c r="AC67" s="1">
        <f t="shared" ref="AC67:AC102" si="19">VLOOKUP($X$1,$E:$R,MATCH(AC$2,$E$15:$R$15,0),0)</f>
        <v>0.9</v>
      </c>
    </row>
    <row r="68" spans="23:29" ht="14.25" customHeight="1" x14ac:dyDescent="0.2">
      <c r="W68" s="1">
        <v>66</v>
      </c>
      <c r="X68" s="1">
        <f t="shared" si="16"/>
        <v>1676</v>
      </c>
      <c r="Y68" s="1">
        <f t="shared" si="17"/>
        <v>49804</v>
      </c>
      <c r="Z68" s="1">
        <f t="shared" si="18"/>
        <v>5900</v>
      </c>
      <c r="AA68" s="1">
        <f t="shared" ref="AA68:AA102" si="20">$AA$1</f>
        <v>0.05</v>
      </c>
      <c r="AB68" s="1">
        <f t="shared" ref="AB68:AB102" si="21">$AB$1</f>
        <v>1.5</v>
      </c>
      <c r="AC68" s="1">
        <f t="shared" si="19"/>
        <v>0.9</v>
      </c>
    </row>
    <row r="69" spans="23:29" ht="14.25" customHeight="1" x14ac:dyDescent="0.2">
      <c r="W69" s="1">
        <v>67</v>
      </c>
      <c r="X69" s="1">
        <f t="shared" si="16"/>
        <v>1760</v>
      </c>
      <c r="Y69" s="1">
        <f t="shared" si="17"/>
        <v>51868</v>
      </c>
      <c r="Z69" s="1">
        <f t="shared" si="18"/>
        <v>6195</v>
      </c>
      <c r="AA69" s="1">
        <f t="shared" si="20"/>
        <v>0.05</v>
      </c>
      <c r="AB69" s="1">
        <f t="shared" si="21"/>
        <v>1.5</v>
      </c>
      <c r="AC69" s="1">
        <f t="shared" si="19"/>
        <v>0.9</v>
      </c>
    </row>
    <row r="70" spans="23:29" ht="14.25" customHeight="1" x14ac:dyDescent="0.2">
      <c r="W70" s="1">
        <v>68</v>
      </c>
      <c r="X70" s="1">
        <f t="shared" si="16"/>
        <v>1848</v>
      </c>
      <c r="Y70" s="1">
        <f t="shared" si="17"/>
        <v>54000</v>
      </c>
      <c r="Z70" s="1">
        <f t="shared" si="18"/>
        <v>6505</v>
      </c>
      <c r="AA70" s="1">
        <f t="shared" si="20"/>
        <v>0.05</v>
      </c>
      <c r="AB70" s="1">
        <f t="shared" si="21"/>
        <v>1.5</v>
      </c>
      <c r="AC70" s="1">
        <f t="shared" si="19"/>
        <v>0.9</v>
      </c>
    </row>
    <row r="71" spans="23:29" ht="14.25" customHeight="1" x14ac:dyDescent="0.2">
      <c r="W71" s="1">
        <v>69</v>
      </c>
      <c r="X71" s="1">
        <f t="shared" si="16"/>
        <v>1940</v>
      </c>
      <c r="Y71" s="1">
        <f t="shared" si="17"/>
        <v>56199</v>
      </c>
      <c r="Z71" s="1">
        <f t="shared" si="18"/>
        <v>6830</v>
      </c>
      <c r="AA71" s="1">
        <f t="shared" si="20"/>
        <v>0.05</v>
      </c>
      <c r="AB71" s="1">
        <f t="shared" si="21"/>
        <v>1.5</v>
      </c>
      <c r="AC71" s="1">
        <f t="shared" si="19"/>
        <v>0.9</v>
      </c>
    </row>
    <row r="72" spans="23:29" ht="14.25" customHeight="1" x14ac:dyDescent="0.2">
      <c r="W72" s="1">
        <v>70</v>
      </c>
      <c r="X72" s="1">
        <f t="shared" si="16"/>
        <v>2037</v>
      </c>
      <c r="Y72" s="1">
        <f t="shared" si="17"/>
        <v>58467</v>
      </c>
      <c r="Z72" s="1">
        <f t="shared" si="18"/>
        <v>7172</v>
      </c>
      <c r="AA72" s="1">
        <f t="shared" si="20"/>
        <v>0.05</v>
      </c>
      <c r="AB72" s="1">
        <f t="shared" si="21"/>
        <v>1.5</v>
      </c>
      <c r="AC72" s="1">
        <f t="shared" si="19"/>
        <v>0.9</v>
      </c>
    </row>
    <row r="73" spans="23:29" ht="14.25" customHeight="1" x14ac:dyDescent="0.2">
      <c r="W73" s="1">
        <v>71</v>
      </c>
      <c r="X73" s="1">
        <f t="shared" si="16"/>
        <v>2139</v>
      </c>
      <c r="Y73" s="1">
        <f t="shared" si="17"/>
        <v>60803</v>
      </c>
      <c r="Z73" s="1">
        <f t="shared" si="18"/>
        <v>7531</v>
      </c>
      <c r="AA73" s="1">
        <f t="shared" si="20"/>
        <v>0.05</v>
      </c>
      <c r="AB73" s="1">
        <f t="shared" si="21"/>
        <v>1.5</v>
      </c>
      <c r="AC73" s="1">
        <f t="shared" si="19"/>
        <v>0.9</v>
      </c>
    </row>
    <row r="74" spans="23:29" ht="14.25" customHeight="1" x14ac:dyDescent="0.2">
      <c r="W74" s="1">
        <v>72</v>
      </c>
      <c r="X74" s="1">
        <f t="shared" si="16"/>
        <v>2246</v>
      </c>
      <c r="Y74" s="1">
        <f t="shared" si="17"/>
        <v>63209</v>
      </c>
      <c r="Z74" s="1">
        <f t="shared" si="18"/>
        <v>7907</v>
      </c>
      <c r="AA74" s="1">
        <f t="shared" si="20"/>
        <v>0.05</v>
      </c>
      <c r="AB74" s="1">
        <f t="shared" si="21"/>
        <v>1.5</v>
      </c>
      <c r="AC74" s="1">
        <f t="shared" si="19"/>
        <v>0.9</v>
      </c>
    </row>
    <row r="75" spans="23:29" ht="14.25" customHeight="1" x14ac:dyDescent="0.2">
      <c r="W75" s="1">
        <v>73</v>
      </c>
      <c r="X75" s="1">
        <f t="shared" si="16"/>
        <v>2359</v>
      </c>
      <c r="Y75" s="1">
        <f t="shared" si="17"/>
        <v>65685</v>
      </c>
      <c r="Z75" s="1">
        <f t="shared" si="18"/>
        <v>8302</v>
      </c>
      <c r="AA75" s="1">
        <f t="shared" si="20"/>
        <v>0.05</v>
      </c>
      <c r="AB75" s="1">
        <f t="shared" si="21"/>
        <v>1.5</v>
      </c>
      <c r="AC75" s="1">
        <f t="shared" si="19"/>
        <v>0.9</v>
      </c>
    </row>
    <row r="76" spans="23:29" ht="14.25" customHeight="1" x14ac:dyDescent="0.2">
      <c r="W76" s="1">
        <v>74</v>
      </c>
      <c r="X76" s="1">
        <f t="shared" si="16"/>
        <v>2477</v>
      </c>
      <c r="Y76" s="1">
        <f t="shared" si="17"/>
        <v>68230</v>
      </c>
      <c r="Z76" s="1">
        <f t="shared" si="18"/>
        <v>8718</v>
      </c>
      <c r="AA76" s="1">
        <f t="shared" si="20"/>
        <v>0.05</v>
      </c>
      <c r="AB76" s="1">
        <f t="shared" si="21"/>
        <v>1.5</v>
      </c>
      <c r="AC76" s="1">
        <f t="shared" si="19"/>
        <v>0.9</v>
      </c>
    </row>
    <row r="77" spans="23:29" ht="14.25" customHeight="1" x14ac:dyDescent="0.2">
      <c r="W77" s="1">
        <v>75</v>
      </c>
      <c r="X77" s="1">
        <f t="shared" si="16"/>
        <v>2600</v>
      </c>
      <c r="Y77" s="1">
        <f t="shared" si="17"/>
        <v>70843</v>
      </c>
      <c r="Z77" s="1">
        <f t="shared" si="18"/>
        <v>9153</v>
      </c>
      <c r="AA77" s="1">
        <f t="shared" si="20"/>
        <v>0.05</v>
      </c>
      <c r="AB77" s="1">
        <f t="shared" si="21"/>
        <v>1.5</v>
      </c>
      <c r="AC77" s="1">
        <f t="shared" si="19"/>
        <v>0.9</v>
      </c>
    </row>
    <row r="78" spans="23:29" ht="14.25" customHeight="1" x14ac:dyDescent="0.2">
      <c r="W78" s="1">
        <v>76</v>
      </c>
      <c r="X78" s="1">
        <f t="shared" si="16"/>
        <v>2730</v>
      </c>
      <c r="Y78" s="1">
        <f t="shared" si="17"/>
        <v>73526</v>
      </c>
      <c r="Z78" s="1">
        <f t="shared" si="18"/>
        <v>9611</v>
      </c>
      <c r="AA78" s="1">
        <f t="shared" si="20"/>
        <v>0.05</v>
      </c>
      <c r="AB78" s="1">
        <f t="shared" si="21"/>
        <v>1.5</v>
      </c>
      <c r="AC78" s="1">
        <f t="shared" si="19"/>
        <v>0.9</v>
      </c>
    </row>
    <row r="79" spans="23:29" ht="14.25" customHeight="1" x14ac:dyDescent="0.2">
      <c r="W79" s="1">
        <v>77</v>
      </c>
      <c r="X79" s="1">
        <f t="shared" si="16"/>
        <v>2867</v>
      </c>
      <c r="Y79" s="1">
        <f t="shared" si="17"/>
        <v>76277</v>
      </c>
      <c r="Z79" s="1">
        <f t="shared" si="18"/>
        <v>10092</v>
      </c>
      <c r="AA79" s="1">
        <f t="shared" si="20"/>
        <v>0.05</v>
      </c>
      <c r="AB79" s="1">
        <f t="shared" si="21"/>
        <v>1.5</v>
      </c>
      <c r="AC79" s="1">
        <f t="shared" si="19"/>
        <v>0.9</v>
      </c>
    </row>
    <row r="80" spans="23:29" ht="14.25" customHeight="1" x14ac:dyDescent="0.2">
      <c r="W80" s="1">
        <v>78</v>
      </c>
      <c r="X80" s="1">
        <f t="shared" si="16"/>
        <v>3010</v>
      </c>
      <c r="Y80" s="1">
        <f t="shared" si="17"/>
        <v>79095</v>
      </c>
      <c r="Z80" s="1">
        <f t="shared" si="18"/>
        <v>10596</v>
      </c>
      <c r="AA80" s="1">
        <f t="shared" si="20"/>
        <v>0.05</v>
      </c>
      <c r="AB80" s="1">
        <f t="shared" si="21"/>
        <v>1.5</v>
      </c>
      <c r="AC80" s="1">
        <f t="shared" si="19"/>
        <v>0.9</v>
      </c>
    </row>
    <row r="81" spans="23:29" ht="14.25" customHeight="1" x14ac:dyDescent="0.2">
      <c r="W81" s="1">
        <v>79</v>
      </c>
      <c r="X81" s="1">
        <f t="shared" si="16"/>
        <v>3161</v>
      </c>
      <c r="Y81" s="1">
        <f t="shared" si="17"/>
        <v>81980</v>
      </c>
      <c r="Z81" s="1">
        <f t="shared" si="18"/>
        <v>11126</v>
      </c>
      <c r="AA81" s="1">
        <f t="shared" si="20"/>
        <v>0.05</v>
      </c>
      <c r="AB81" s="1">
        <f t="shared" si="21"/>
        <v>1.5</v>
      </c>
      <c r="AC81" s="1">
        <f t="shared" si="19"/>
        <v>0.9</v>
      </c>
    </row>
    <row r="82" spans="23:29" ht="14.25" customHeight="1" x14ac:dyDescent="0.2">
      <c r="W82" s="1">
        <v>80</v>
      </c>
      <c r="X82" s="1">
        <f t="shared" si="16"/>
        <v>3319</v>
      </c>
      <c r="Y82" s="1">
        <f t="shared" si="17"/>
        <v>84931</v>
      </c>
      <c r="Z82" s="1">
        <f t="shared" si="18"/>
        <v>11682</v>
      </c>
      <c r="AA82" s="1">
        <f t="shared" si="20"/>
        <v>0.05</v>
      </c>
      <c r="AB82" s="1">
        <f t="shared" si="21"/>
        <v>1.5</v>
      </c>
      <c r="AC82" s="1">
        <f t="shared" si="19"/>
        <v>0.9</v>
      </c>
    </row>
    <row r="83" spans="23:29" ht="14.25" customHeight="1" x14ac:dyDescent="0.2">
      <c r="W83" s="1">
        <v>81</v>
      </c>
      <c r="X83" s="1">
        <f t="shared" si="16"/>
        <v>3485</v>
      </c>
      <c r="Y83" s="1">
        <f t="shared" si="17"/>
        <v>87945</v>
      </c>
      <c r="Z83" s="1">
        <f t="shared" si="18"/>
        <v>12266</v>
      </c>
      <c r="AA83" s="1">
        <f t="shared" si="20"/>
        <v>0.05</v>
      </c>
      <c r="AB83" s="1">
        <f t="shared" si="21"/>
        <v>1.5</v>
      </c>
      <c r="AC83" s="1">
        <f t="shared" si="19"/>
        <v>0.9</v>
      </c>
    </row>
    <row r="84" spans="23:29" ht="14.25" customHeight="1" x14ac:dyDescent="0.2">
      <c r="W84" s="1">
        <v>82</v>
      </c>
      <c r="X84" s="1">
        <f t="shared" si="16"/>
        <v>3659</v>
      </c>
      <c r="Y84" s="1">
        <f t="shared" si="17"/>
        <v>91021</v>
      </c>
      <c r="Z84" s="1">
        <f t="shared" si="18"/>
        <v>12880</v>
      </c>
      <c r="AA84" s="1">
        <f t="shared" si="20"/>
        <v>0.05</v>
      </c>
      <c r="AB84" s="1">
        <f t="shared" si="21"/>
        <v>1.5</v>
      </c>
      <c r="AC84" s="1">
        <f t="shared" si="19"/>
        <v>0.9</v>
      </c>
    </row>
    <row r="85" spans="23:29" ht="14.25" customHeight="1" x14ac:dyDescent="0.2">
      <c r="W85" s="1">
        <v>83</v>
      </c>
      <c r="X85" s="1">
        <f t="shared" si="16"/>
        <v>3842</v>
      </c>
      <c r="Y85" s="1">
        <f t="shared" si="17"/>
        <v>94158</v>
      </c>
      <c r="Z85" s="1">
        <f t="shared" si="18"/>
        <v>13524</v>
      </c>
      <c r="AA85" s="1">
        <f t="shared" si="20"/>
        <v>0.05</v>
      </c>
      <c r="AB85" s="1">
        <f t="shared" si="21"/>
        <v>1.5</v>
      </c>
      <c r="AC85" s="1">
        <f t="shared" si="19"/>
        <v>0.9</v>
      </c>
    </row>
    <row r="86" spans="23:29" ht="14.25" customHeight="1" x14ac:dyDescent="0.2">
      <c r="W86" s="1">
        <v>84</v>
      </c>
      <c r="X86" s="1">
        <f t="shared" si="16"/>
        <v>4034</v>
      </c>
      <c r="Y86" s="1">
        <f t="shared" si="17"/>
        <v>97353</v>
      </c>
      <c r="Z86" s="1">
        <f t="shared" si="18"/>
        <v>14200</v>
      </c>
      <c r="AA86" s="1">
        <f t="shared" si="20"/>
        <v>0.05</v>
      </c>
      <c r="AB86" s="1">
        <f t="shared" si="21"/>
        <v>1.5</v>
      </c>
      <c r="AC86" s="1">
        <f t="shared" si="19"/>
        <v>0.9</v>
      </c>
    </row>
    <row r="87" spans="23:29" ht="14.25" customHeight="1" x14ac:dyDescent="0.2">
      <c r="W87" s="1">
        <v>85</v>
      </c>
      <c r="X87" s="1">
        <f t="shared" si="16"/>
        <v>4236</v>
      </c>
      <c r="Y87" s="1">
        <f t="shared" si="17"/>
        <v>100605</v>
      </c>
      <c r="Z87" s="1">
        <f t="shared" si="18"/>
        <v>14910</v>
      </c>
      <c r="AA87" s="1">
        <f t="shared" si="20"/>
        <v>0.05</v>
      </c>
      <c r="AB87" s="1">
        <f t="shared" si="21"/>
        <v>1.5</v>
      </c>
      <c r="AC87" s="1">
        <f t="shared" si="19"/>
        <v>0.9</v>
      </c>
    </row>
    <row r="88" spans="23:29" ht="14.25" customHeight="1" x14ac:dyDescent="0.2">
      <c r="W88" s="1">
        <v>86</v>
      </c>
      <c r="X88" s="1">
        <f t="shared" si="16"/>
        <v>4448</v>
      </c>
      <c r="Y88" s="1">
        <f t="shared" si="17"/>
        <v>103910</v>
      </c>
      <c r="Z88" s="1">
        <f t="shared" si="18"/>
        <v>15655</v>
      </c>
      <c r="AA88" s="1">
        <f t="shared" si="20"/>
        <v>0.05</v>
      </c>
      <c r="AB88" s="1">
        <f t="shared" si="21"/>
        <v>1.5</v>
      </c>
      <c r="AC88" s="1">
        <f t="shared" si="19"/>
        <v>0.9</v>
      </c>
    </row>
    <row r="89" spans="23:29" ht="14.25" customHeight="1" x14ac:dyDescent="0.2">
      <c r="W89" s="1">
        <v>87</v>
      </c>
      <c r="X89" s="1">
        <f t="shared" si="16"/>
        <v>4670</v>
      </c>
      <c r="Y89" s="1">
        <f t="shared" si="17"/>
        <v>107267</v>
      </c>
      <c r="Z89" s="1">
        <f t="shared" si="18"/>
        <v>16438</v>
      </c>
      <c r="AA89" s="1">
        <f t="shared" si="20"/>
        <v>0.05</v>
      </c>
      <c r="AB89" s="1">
        <f t="shared" si="21"/>
        <v>1.5</v>
      </c>
      <c r="AC89" s="1">
        <f t="shared" si="19"/>
        <v>0.9</v>
      </c>
    </row>
    <row r="90" spans="23:29" ht="14.25" customHeight="1" x14ac:dyDescent="0.2">
      <c r="W90" s="1">
        <v>88</v>
      </c>
      <c r="X90" s="1">
        <f t="shared" si="16"/>
        <v>4903</v>
      </c>
      <c r="Y90" s="1">
        <f t="shared" si="17"/>
        <v>110671</v>
      </c>
      <c r="Z90" s="1">
        <f t="shared" si="18"/>
        <v>17260</v>
      </c>
      <c r="AA90" s="1">
        <f t="shared" si="20"/>
        <v>0.05</v>
      </c>
      <c r="AB90" s="1">
        <f t="shared" si="21"/>
        <v>1.5</v>
      </c>
      <c r="AC90" s="1">
        <f t="shared" si="19"/>
        <v>0.9</v>
      </c>
    </row>
    <row r="91" spans="23:29" ht="14.25" customHeight="1" x14ac:dyDescent="0.2">
      <c r="W91" s="1">
        <v>89</v>
      </c>
      <c r="X91" s="1">
        <f t="shared" si="16"/>
        <v>5149</v>
      </c>
      <c r="Y91" s="1">
        <f t="shared" si="17"/>
        <v>114121</v>
      </c>
      <c r="Z91" s="1">
        <f t="shared" si="18"/>
        <v>18123</v>
      </c>
      <c r="AA91" s="1">
        <f t="shared" si="20"/>
        <v>0.05</v>
      </c>
      <c r="AB91" s="1">
        <f t="shared" si="21"/>
        <v>1.5</v>
      </c>
      <c r="AC91" s="1">
        <f t="shared" si="19"/>
        <v>0.9</v>
      </c>
    </row>
    <row r="92" spans="23:29" ht="14.25" customHeight="1" x14ac:dyDescent="0.2">
      <c r="W92" s="1">
        <v>90</v>
      </c>
      <c r="X92" s="1">
        <f t="shared" si="16"/>
        <v>5406</v>
      </c>
      <c r="Y92" s="1">
        <f t="shared" si="17"/>
        <v>117612</v>
      </c>
      <c r="Z92" s="1">
        <f t="shared" si="18"/>
        <v>19029</v>
      </c>
      <c r="AA92" s="1">
        <f t="shared" si="20"/>
        <v>0.05</v>
      </c>
      <c r="AB92" s="1">
        <f t="shared" si="21"/>
        <v>1.5</v>
      </c>
      <c r="AC92" s="1">
        <f t="shared" si="19"/>
        <v>0.9</v>
      </c>
    </row>
    <row r="93" spans="23:29" ht="14.25" customHeight="1" x14ac:dyDescent="0.2">
      <c r="W93" s="1">
        <v>91</v>
      </c>
      <c r="X93" s="1">
        <f t="shared" si="16"/>
        <v>5676</v>
      </c>
      <c r="Y93" s="1">
        <f t="shared" si="17"/>
        <v>121142</v>
      </c>
      <c r="Z93" s="1">
        <f t="shared" si="18"/>
        <v>19981</v>
      </c>
      <c r="AA93" s="1">
        <f t="shared" si="20"/>
        <v>0.05</v>
      </c>
      <c r="AB93" s="1">
        <f t="shared" si="21"/>
        <v>1.5</v>
      </c>
      <c r="AC93" s="1">
        <f t="shared" si="19"/>
        <v>0.9</v>
      </c>
    </row>
    <row r="94" spans="23:29" ht="14.25" customHeight="1" x14ac:dyDescent="0.2">
      <c r="W94" s="1">
        <v>92</v>
      </c>
      <c r="X94" s="1">
        <f t="shared" si="16"/>
        <v>5960</v>
      </c>
      <c r="Y94" s="1">
        <f t="shared" si="17"/>
        <v>124707</v>
      </c>
      <c r="Z94" s="1">
        <f t="shared" si="18"/>
        <v>20980</v>
      </c>
      <c r="AA94" s="1">
        <f t="shared" si="20"/>
        <v>0.05</v>
      </c>
      <c r="AB94" s="1">
        <f t="shared" si="21"/>
        <v>1.5</v>
      </c>
      <c r="AC94" s="1">
        <f t="shared" si="19"/>
        <v>0.9</v>
      </c>
    </row>
    <row r="95" spans="23:29" ht="14.25" customHeight="1" x14ac:dyDescent="0.2">
      <c r="W95" s="1">
        <v>93</v>
      </c>
      <c r="X95" s="1">
        <f t="shared" si="16"/>
        <v>6258</v>
      </c>
      <c r="Y95" s="1">
        <f t="shared" si="17"/>
        <v>128302</v>
      </c>
      <c r="Z95" s="1">
        <f t="shared" si="18"/>
        <v>22029</v>
      </c>
      <c r="AA95" s="1">
        <f t="shared" si="20"/>
        <v>0.05</v>
      </c>
      <c r="AB95" s="1">
        <f t="shared" si="21"/>
        <v>1.5</v>
      </c>
      <c r="AC95" s="1">
        <f t="shared" si="19"/>
        <v>0.9</v>
      </c>
    </row>
    <row r="96" spans="23:29" ht="14.25" customHeight="1" x14ac:dyDescent="0.2">
      <c r="W96" s="1">
        <v>94</v>
      </c>
      <c r="X96" s="1">
        <f t="shared" si="16"/>
        <v>6571</v>
      </c>
      <c r="Y96" s="1">
        <f t="shared" si="17"/>
        <v>131924</v>
      </c>
      <c r="Z96" s="1">
        <f t="shared" si="18"/>
        <v>23130</v>
      </c>
      <c r="AA96" s="1">
        <f t="shared" si="20"/>
        <v>0.05</v>
      </c>
      <c r="AB96" s="1">
        <f t="shared" si="21"/>
        <v>1.5</v>
      </c>
      <c r="AC96" s="1">
        <f t="shared" si="19"/>
        <v>0.9</v>
      </c>
    </row>
    <row r="97" spans="23:29" ht="14.25" customHeight="1" x14ac:dyDescent="0.2">
      <c r="W97" s="1">
        <v>95</v>
      </c>
      <c r="X97" s="1">
        <f t="shared" si="16"/>
        <v>6900</v>
      </c>
      <c r="Y97" s="1">
        <f t="shared" si="17"/>
        <v>135569</v>
      </c>
      <c r="Z97" s="1">
        <f t="shared" si="18"/>
        <v>24287</v>
      </c>
      <c r="AA97" s="1">
        <f t="shared" si="20"/>
        <v>0.05</v>
      </c>
      <c r="AB97" s="1">
        <f t="shared" si="21"/>
        <v>1.5</v>
      </c>
      <c r="AC97" s="1">
        <f t="shared" si="19"/>
        <v>0.9</v>
      </c>
    </row>
    <row r="98" spans="23:29" ht="14.25" customHeight="1" x14ac:dyDescent="0.2">
      <c r="W98" s="1">
        <v>96</v>
      </c>
      <c r="X98" s="1">
        <f t="shared" si="16"/>
        <v>7245</v>
      </c>
      <c r="Y98" s="1">
        <f t="shared" si="17"/>
        <v>139233</v>
      </c>
      <c r="Z98" s="1">
        <f t="shared" si="18"/>
        <v>25501</v>
      </c>
      <c r="AA98" s="1">
        <f t="shared" si="20"/>
        <v>0.05</v>
      </c>
      <c r="AB98" s="1">
        <f t="shared" si="21"/>
        <v>1.5</v>
      </c>
      <c r="AC98" s="1">
        <f t="shared" si="19"/>
        <v>0.9</v>
      </c>
    </row>
    <row r="99" spans="23:29" ht="14.25" customHeight="1" x14ac:dyDescent="0.2">
      <c r="W99" s="1">
        <v>97</v>
      </c>
      <c r="X99" s="1">
        <f t="shared" si="16"/>
        <v>7607</v>
      </c>
      <c r="Y99" s="1">
        <f t="shared" si="17"/>
        <v>142912</v>
      </c>
      <c r="Z99" s="1">
        <f t="shared" si="18"/>
        <v>26776</v>
      </c>
      <c r="AA99" s="1">
        <f t="shared" si="20"/>
        <v>0.05</v>
      </c>
      <c r="AB99" s="1">
        <f t="shared" si="21"/>
        <v>1.5</v>
      </c>
      <c r="AC99" s="1">
        <f t="shared" si="19"/>
        <v>0.9</v>
      </c>
    </row>
    <row r="100" spans="23:29" ht="14.25" customHeight="1" x14ac:dyDescent="0.2">
      <c r="W100" s="1">
        <v>98</v>
      </c>
      <c r="X100" s="1">
        <f t="shared" si="16"/>
        <v>7987</v>
      </c>
      <c r="Y100" s="1">
        <f t="shared" si="17"/>
        <v>146601</v>
      </c>
      <c r="Z100" s="1">
        <f t="shared" si="18"/>
        <v>28115</v>
      </c>
      <c r="AA100" s="1">
        <f t="shared" si="20"/>
        <v>0.05</v>
      </c>
      <c r="AB100" s="1">
        <f t="shared" si="21"/>
        <v>1.5</v>
      </c>
      <c r="AC100" s="1">
        <f t="shared" si="19"/>
        <v>0.9</v>
      </c>
    </row>
    <row r="101" spans="23:29" ht="14.25" customHeight="1" x14ac:dyDescent="0.2">
      <c r="W101" s="1">
        <v>99</v>
      </c>
      <c r="X101" s="1">
        <f t="shared" si="16"/>
        <v>8387</v>
      </c>
      <c r="Y101" s="1">
        <f t="shared" si="17"/>
        <v>150295</v>
      </c>
      <c r="Z101" s="1">
        <f t="shared" si="18"/>
        <v>29521</v>
      </c>
      <c r="AA101" s="1">
        <f t="shared" si="20"/>
        <v>0.05</v>
      </c>
      <c r="AB101" s="1">
        <f t="shared" si="21"/>
        <v>1.5</v>
      </c>
      <c r="AC101" s="1">
        <f t="shared" si="19"/>
        <v>0.9</v>
      </c>
    </row>
    <row r="102" spans="23:29" ht="14.25" customHeight="1" x14ac:dyDescent="0.2">
      <c r="W102" s="1">
        <v>100</v>
      </c>
      <c r="X102" s="1">
        <f t="shared" si="16"/>
        <v>8806</v>
      </c>
      <c r="Y102" s="1">
        <f t="shared" si="17"/>
        <v>153991</v>
      </c>
      <c r="Z102" s="1">
        <f t="shared" si="18"/>
        <v>30997</v>
      </c>
      <c r="AA102" s="1">
        <f t="shared" si="20"/>
        <v>0.05</v>
      </c>
      <c r="AB102" s="1">
        <f t="shared" si="21"/>
        <v>1.5</v>
      </c>
      <c r="AC102" s="1">
        <f t="shared" si="19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9 Y10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H19" sqref="H1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2023-01-29T10:54:50Z</dcterms:modified>
</cp:coreProperties>
</file>
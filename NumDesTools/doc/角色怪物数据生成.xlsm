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F1A9D595-11C8-450B-96F8-898BAA958B56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8" i="1" l="1"/>
  <c r="V69" i="1"/>
  <c r="X9" i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W52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W60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W69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W77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W92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W100" i="1"/>
  <c r="X100" i="1"/>
  <c r="Y100" i="1"/>
  <c r="Z100" i="1"/>
  <c r="X101" i="1"/>
  <c r="Y101" i="1"/>
  <c r="Z101" i="1"/>
  <c r="X102" i="1"/>
  <c r="Y102" i="1"/>
  <c r="Z102" i="1"/>
  <c r="Y4" i="1"/>
  <c r="Y5" i="1"/>
  <c r="Y6" i="1"/>
  <c r="Y7" i="1"/>
  <c r="Y8" i="1"/>
  <c r="Y3" i="1"/>
  <c r="X4" i="1"/>
  <c r="Z4" i="1"/>
  <c r="X5" i="1"/>
  <c r="Z5" i="1"/>
  <c r="X6" i="1"/>
  <c r="Z6" i="1"/>
  <c r="X7" i="1"/>
  <c r="Z7" i="1"/>
  <c r="X8" i="1"/>
  <c r="Z8" i="1"/>
  <c r="Z3" i="1"/>
  <c r="X3" i="1"/>
  <c r="W1" i="1"/>
  <c r="V10" i="1" s="1"/>
  <c r="V1" i="1"/>
  <c r="W10" i="1" s="1"/>
  <c r="W4" i="1"/>
  <c r="W5" i="1"/>
  <c r="W6" i="1"/>
  <c r="P16" i="1"/>
  <c r="Q16" i="1"/>
  <c r="F6" i="1"/>
  <c r="G6" i="1"/>
  <c r="F7" i="1"/>
  <c r="G7" i="1"/>
  <c r="G5" i="1"/>
  <c r="F5" i="1"/>
  <c r="N16" i="1" s="1"/>
  <c r="W29" i="1" l="1"/>
  <c r="W12" i="1"/>
  <c r="W17" i="1"/>
  <c r="W96" i="1"/>
  <c r="W73" i="1"/>
  <c r="W56" i="1"/>
  <c r="W33" i="1"/>
  <c r="W16" i="1"/>
  <c r="W97" i="1"/>
  <c r="W80" i="1"/>
  <c r="W101" i="1"/>
  <c r="W61" i="1"/>
  <c r="W44" i="1"/>
  <c r="W21" i="1"/>
  <c r="W85" i="1"/>
  <c r="W68" i="1"/>
  <c r="W45" i="1"/>
  <c r="W84" i="1"/>
  <c r="W9" i="1"/>
  <c r="W57" i="1"/>
  <c r="W40" i="1"/>
  <c r="W28" i="1"/>
  <c r="W89" i="1"/>
  <c r="W72" i="1"/>
  <c r="W49" i="1"/>
  <c r="W32" i="1"/>
  <c r="V101" i="1"/>
  <c r="V89" i="1"/>
  <c r="W37" i="1"/>
  <c r="W20" i="1"/>
  <c r="V88" i="1"/>
  <c r="W88" i="1"/>
  <c r="W65" i="1"/>
  <c r="W48" i="1"/>
  <c r="W25" i="1"/>
  <c r="V68" i="1"/>
  <c r="V49" i="1"/>
  <c r="W93" i="1"/>
  <c r="W76" i="1"/>
  <c r="W53" i="1"/>
  <c r="W36" i="1"/>
  <c r="W13" i="1"/>
  <c r="W3" i="1"/>
  <c r="V29" i="1"/>
  <c r="W7" i="1"/>
  <c r="W81" i="1"/>
  <c r="W64" i="1"/>
  <c r="W41" i="1"/>
  <c r="W24" i="1"/>
  <c r="V28" i="1"/>
  <c r="U3" i="1"/>
  <c r="U33" i="1"/>
  <c r="U49" i="1"/>
  <c r="U73" i="1"/>
  <c r="U97" i="1"/>
  <c r="U10" i="1"/>
  <c r="U30" i="1"/>
  <c r="U50" i="1"/>
  <c r="U62" i="1"/>
  <c r="U82" i="1"/>
  <c r="U25" i="1"/>
  <c r="U41" i="1"/>
  <c r="U61" i="1"/>
  <c r="U85" i="1"/>
  <c r="U58" i="1"/>
  <c r="U86" i="1"/>
  <c r="U7" i="1"/>
  <c r="U37" i="1"/>
  <c r="U53" i="1"/>
  <c r="U65" i="1"/>
  <c r="U89" i="1"/>
  <c r="U78" i="1"/>
  <c r="U13" i="1"/>
  <c r="U101" i="1"/>
  <c r="U6" i="1"/>
  <c r="U14" i="1"/>
  <c r="U42" i="1"/>
  <c r="U46" i="1"/>
  <c r="U54" i="1"/>
  <c r="U74" i="1"/>
  <c r="U90" i="1"/>
  <c r="U9" i="1"/>
  <c r="U21" i="1"/>
  <c r="U81" i="1"/>
  <c r="U22" i="1"/>
  <c r="U38" i="1"/>
  <c r="U17" i="1"/>
  <c r="U77" i="1"/>
  <c r="U18" i="1"/>
  <c r="U34" i="1"/>
  <c r="U98" i="1"/>
  <c r="U29" i="1"/>
  <c r="U45" i="1"/>
  <c r="U69" i="1"/>
  <c r="U93" i="1"/>
  <c r="U66" i="1"/>
  <c r="U94" i="1"/>
  <c r="U57" i="1"/>
  <c r="U4" i="1"/>
  <c r="U5" i="1"/>
  <c r="U26" i="1"/>
  <c r="U70" i="1"/>
  <c r="U102" i="1"/>
  <c r="V9" i="1"/>
  <c r="V102" i="1"/>
  <c r="V26" i="1"/>
  <c r="V65" i="1"/>
  <c r="V44" i="1"/>
  <c r="V63" i="1"/>
  <c r="V22" i="1"/>
  <c r="V41" i="1"/>
  <c r="V60" i="1"/>
  <c r="U76" i="1"/>
  <c r="U36" i="1"/>
  <c r="V39" i="1"/>
  <c r="V78" i="1"/>
  <c r="V3" i="1"/>
  <c r="V57" i="1"/>
  <c r="V17" i="1"/>
  <c r="V47" i="1"/>
  <c r="V42" i="1"/>
  <c r="U64" i="1"/>
  <c r="U20" i="1"/>
  <c r="V38" i="1"/>
  <c r="V37" i="1"/>
  <c r="V8" i="1"/>
  <c r="V96" i="1"/>
  <c r="V76" i="1"/>
  <c r="V56" i="1"/>
  <c r="V36" i="1"/>
  <c r="V16" i="1"/>
  <c r="V67" i="1"/>
  <c r="V66" i="1"/>
  <c r="V82" i="1"/>
  <c r="V61" i="1"/>
  <c r="U100" i="1"/>
  <c r="U60" i="1"/>
  <c r="U16" i="1"/>
  <c r="V58" i="1"/>
  <c r="V97" i="1"/>
  <c r="W99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5" i="1"/>
  <c r="W11" i="1"/>
  <c r="V95" i="1"/>
  <c r="V75" i="1"/>
  <c r="V55" i="1"/>
  <c r="V35" i="1"/>
  <c r="V15" i="1"/>
  <c r="V46" i="1"/>
  <c r="V20" i="1"/>
  <c r="U96" i="1"/>
  <c r="U80" i="1"/>
  <c r="U56" i="1"/>
  <c r="U40" i="1"/>
  <c r="U28" i="1"/>
  <c r="V79" i="1"/>
  <c r="V98" i="1"/>
  <c r="V18" i="1"/>
  <c r="V77" i="1"/>
  <c r="V7" i="1"/>
  <c r="V6" i="1"/>
  <c r="U99" i="1"/>
  <c r="U95" i="1"/>
  <c r="U91" i="1"/>
  <c r="U87" i="1"/>
  <c r="U83" i="1"/>
  <c r="U79" i="1"/>
  <c r="U75" i="1"/>
  <c r="U71" i="1"/>
  <c r="U67" i="1"/>
  <c r="U63" i="1"/>
  <c r="U59" i="1"/>
  <c r="U55" i="1"/>
  <c r="U51" i="1"/>
  <c r="U47" i="1"/>
  <c r="U43" i="1"/>
  <c r="U39" i="1"/>
  <c r="U35" i="1"/>
  <c r="U31" i="1"/>
  <c r="U27" i="1"/>
  <c r="U23" i="1"/>
  <c r="U19" i="1"/>
  <c r="U15" i="1"/>
  <c r="U11" i="1"/>
  <c r="V94" i="1"/>
  <c r="V74" i="1"/>
  <c r="V54" i="1"/>
  <c r="V34" i="1"/>
  <c r="V14" i="1"/>
  <c r="V87" i="1"/>
  <c r="V25" i="1"/>
  <c r="V84" i="1"/>
  <c r="V83" i="1"/>
  <c r="V62" i="1"/>
  <c r="V21" i="1"/>
  <c r="V80" i="1"/>
  <c r="U84" i="1"/>
  <c r="U48" i="1"/>
  <c r="V59" i="1"/>
  <c r="V93" i="1"/>
  <c r="V73" i="1"/>
  <c r="V53" i="1"/>
  <c r="V33" i="1"/>
  <c r="V13" i="1"/>
  <c r="V27" i="1"/>
  <c r="V86" i="1"/>
  <c r="V45" i="1"/>
  <c r="V64" i="1"/>
  <c r="V23" i="1"/>
  <c r="V81" i="1"/>
  <c r="V40" i="1"/>
  <c r="U92" i="1"/>
  <c r="U68" i="1"/>
  <c r="U44" i="1"/>
  <c r="U32" i="1"/>
  <c r="V99" i="1"/>
  <c r="R16" i="1"/>
  <c r="V4" i="1"/>
  <c r="V92" i="1"/>
  <c r="V72" i="1"/>
  <c r="V52" i="1"/>
  <c r="V32" i="1"/>
  <c r="V12" i="1"/>
  <c r="V85" i="1"/>
  <c r="V24" i="1"/>
  <c r="V43" i="1"/>
  <c r="V100" i="1"/>
  <c r="U88" i="1"/>
  <c r="U52" i="1"/>
  <c r="U24" i="1"/>
  <c r="V19" i="1"/>
  <c r="V5" i="1"/>
  <c r="V91" i="1"/>
  <c r="V71" i="1"/>
  <c r="V51" i="1"/>
  <c r="V31" i="1"/>
  <c r="V11" i="1"/>
  <c r="U72" i="1"/>
  <c r="U12" i="1"/>
  <c r="U8" i="1"/>
  <c r="W8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V90" i="1"/>
  <c r="V70" i="1"/>
  <c r="V50" i="1"/>
  <c r="V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<sst xmlns="http://schemas.openxmlformats.org/spreadsheetml/2006/main" count="85" uniqueCount="72">
  <si>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</si>
  <si>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</si>
  <si>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</si>
  <si>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</si>
  <si>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</si>
  <si>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</si>
  <si>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饼干1</t>
    <phoneticPr fontId="1" type="noConversion"/>
  </si>
  <si>
    <t>防御</t>
    <phoneticPr fontId="1" type="noConversion"/>
  </si>
  <si>
    <t>防御力</t>
    <phoneticPr fontId="1" type="noConversion"/>
  </si>
  <si>
    <t>参数范围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</si>
  <si>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</si>
  <si>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</si>
  <si>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</si>
  <si>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</si>
  <si>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</si>
  <si>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</si>
  <si>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</si>
  <si>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</si>
  <si>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</si>
  <si>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0.8-1.2</t>
    <phoneticPr fontId="1" type="noConversion"/>
  </si>
  <si>
    <t>0.7-0.9</t>
    <phoneticPr fontId="1" type="noConversion"/>
  </si>
  <si>
    <t>0-1</t>
    <phoneticPr fontId="1" type="noConversion"/>
  </si>
  <si>
    <t>1.5-5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</si>
  <si>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</si>
  <si>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</si>
  <si>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</si>
  <si>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</si>
  <si>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</si>
  <si>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</si>
  <si>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</si>
  <si>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</si>
  <si>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</si>
  <si>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</si>
  <si>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</si>
  <si>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</si>
  <si>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</si>
  <si>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</si>
  <si>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</si>
  <si>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</si>
  <si>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</si>
  <si>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</si>
  <si>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</si>
  <si>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</si>
  <si>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</si>
  <si>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</si>
  <si>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</si>
  <si>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</si>
  <si>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</si>
  <si>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</si>
  <si>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</si>
  <si>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</si>
  <si>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</si>
  <si>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</si>
  <si>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</si>
  <si>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</si>
  <si>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</si>
  <si>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</si>
  <si>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</si>
  <si>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</si>
  <si>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</si>
  <si>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</si>
  <si>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</si>
  <si>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</si>
  <si>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0.8-1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</si>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</sst>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dimension ref="B1:Z102"/>
  <sheetViews>
    <sheetView tabSelected="1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L21" sqref="L21"/>
    </sheetView>
  </sheetViews>
  <sheetFormatPr defaultRowHeight="14.25" customHeight="1" x14ac:dyDescent="0.2"/>
  <cols>
    <col min="1" max="16384" width="9" style="1"/>
  </cols>
  <sheetData>
    <row r="1" spans="2:26" ht="14.25" customHeight="1" x14ac:dyDescent="0.2">
      <c r="B1" s="5"/>
      <c r="C1" s="2" t="s">
        <v>55</v>
      </c>
      <c r="D1" s="6"/>
      <c r="E1" s="2" t="s">
        <v>56</v>
      </c>
      <c r="F1" s="8"/>
      <c r="G1" s="2" t="s">
        <v>57</v>
      </c>
      <c r="T1" s="2" t="s">
        <v>71</v>
      </c>
      <c r="U1" s="1" t="s">
        <v>6</v>
      </c>
      <c r="V1" s="1" t="str">
        <f>VLOOKUP($U1,$E:$G,3,0)</f>
        <v>SSR</v>
      </c>
      <c r="W1" s="1" t="str">
        <f>VLOOKUP($U1,$E:$G,2,0)</f>
        <v>防御</v>
      </c>
      <c r="X1" s="1">
        <v>0.05</v>
      </c>
      <c r="Y1" s="1">
        <v>1.5</v>
      </c>
    </row>
    <row r="2" spans="2:26" ht="14.25" customHeight="1" x14ac:dyDescent="0.2">
      <c r="T2" s="1" t="s">
        <v>70</v>
      </c>
      <c r="U2" s="1" t="s">
        <v>64</v>
      </c>
      <c r="V2" s="1" t="s">
        <v>65</v>
      </c>
      <c r="W2" s="1" t="s">
        <v>66</v>
      </c>
      <c r="X2" s="1" t="s">
        <v>67</v>
      </c>
      <c r="Y2" s="1" t="s">
        <v>68</v>
      </c>
      <c r="Z2" s="1" t="s">
        <v>69</v>
      </c>
    </row>
    <row r="3" spans="2:26" ht="14.25" customHeight="1" x14ac:dyDescent="0.2">
      <c r="E3" s="2" t="s">
        <v>0</v>
      </c>
      <c r="K3" s="2" t="s">
        <v>54</v>
      </c>
      <c r="T3" s="1">
        <v>1</v>
      </c>
      <c r="U3" s="1">
        <f t="shared" ref="U3:U34" si="0">ROUND(VLOOKUP($U$1,$E:$R,MATCH(U$2,$E$15:$R$15,0),0)*$C$6^($T3-1)*$C$13*VLOOKUP($V$1,$B:$C,2,0),0)</f>
        <v>70</v>
      </c>
      <c r="V3" s="1">
        <f t="shared" ref="V3:V34" si="1">ROUND(VLOOKUP(VLOOKUP($W$1,$K$4:$L$10,2,0),$E$4:$G$7,3,0)*$C$5*VLOOKUP($U$1,$E:$R,MATCH("生命偏向",$E$15:$R$15,0),0)/(1+VLOOKUP($U$1,$E:$R,MATCH($W$2,$E$15:$R$15,0),0)*$C$6^($T3-1)/$C$8)*$C$6^($T3-1)*$C$13*VLOOKUP($V$1,$B:$C,2,0),0)</f>
        <v>2480</v>
      </c>
      <c r="W3" s="1">
        <f t="shared" ref="W3:W34" si="2">ROUND(VLOOKUP($U$1,$E:$R,MATCH(W$2,$E$15:$R$15,0),0)*$C$6^($T3-1)*$C$13*VLOOKUP($V$1,$B:$C,2,0),0)</f>
        <v>248</v>
      </c>
      <c r="X3" s="1">
        <f>$X$1</f>
        <v>0.05</v>
      </c>
      <c r="Y3" s="1">
        <f>$Y$1</f>
        <v>1.5</v>
      </c>
      <c r="Z3" s="1">
        <f t="shared" ref="Z3:Z34" si="3">VLOOKUP($U$1,$E:$R,MATCH(Z$2,$E$15:$R$15,0),0)</f>
        <v>0.9</v>
      </c>
    </row>
    <row r="4" spans="2:26" ht="14.25" customHeight="1" thickBot="1" x14ac:dyDescent="0.25">
      <c r="B4" s="15" t="s">
        <v>12</v>
      </c>
      <c r="C4" s="22" t="s">
        <v>13</v>
      </c>
      <c r="E4" s="15" t="s">
        <v>5</v>
      </c>
      <c r="F4" s="15" t="s">
        <v>1</v>
      </c>
      <c r="G4" s="15" t="s">
        <v>2</v>
      </c>
      <c r="J4" s="11"/>
      <c r="K4" s="15" t="s">
        <v>54</v>
      </c>
      <c r="L4" s="16" t="s">
        <v>5</v>
      </c>
      <c r="T4" s="1">
        <v>2</v>
      </c>
      <c r="U4" s="1">
        <f t="shared" si="0"/>
        <v>74</v>
      </c>
      <c r="V4" s="1">
        <f t="shared" si="1"/>
        <v>2602</v>
      </c>
      <c r="W4" s="1">
        <f t="shared" si="2"/>
        <v>260</v>
      </c>
      <c r="X4" s="1">
        <f t="shared" ref="X4:X67" si="4">$X$1</f>
        <v>0.05</v>
      </c>
      <c r="Y4" s="1">
        <f t="shared" ref="Y4:Y67" si="5">$Y$1</f>
        <v>1.5</v>
      </c>
      <c r="Z4" s="1">
        <f t="shared" si="3"/>
        <v>0.9</v>
      </c>
    </row>
    <row r="5" spans="2:26" ht="14.25" customHeight="1" x14ac:dyDescent="0.2">
      <c r="B5" s="3" t="s">
        <v>15</v>
      </c>
      <c r="C5" s="3">
        <v>75</v>
      </c>
      <c r="D5" s="3"/>
      <c r="E5" s="3" t="s">
        <v>53</v>
      </c>
      <c r="F5" s="14">
        <f>[1]角色设定!E5</f>
        <v>5</v>
      </c>
      <c r="G5" s="14">
        <f>[1]角色设定!F5</f>
        <v>100</v>
      </c>
      <c r="J5" s="11" t="s">
        <v>36</v>
      </c>
      <c r="K5" s="3" t="s">
        <v>37</v>
      </c>
      <c r="L5" s="14" t="s">
        <v>52</v>
      </c>
      <c r="T5" s="1">
        <v>3</v>
      </c>
      <c r="U5" s="1">
        <f t="shared" si="0"/>
        <v>78</v>
      </c>
      <c r="V5" s="1">
        <f t="shared" si="1"/>
        <v>2731</v>
      </c>
      <c r="W5" s="1">
        <f t="shared" si="2"/>
        <v>273</v>
      </c>
      <c r="X5" s="1">
        <f t="shared" si="4"/>
        <v>0.05</v>
      </c>
      <c r="Y5" s="1">
        <f t="shared" si="5"/>
        <v>1.5</v>
      </c>
      <c r="Z5" s="1">
        <f t="shared" si="3"/>
        <v>0.9</v>
      </c>
    </row>
    <row r="6" spans="2:26" ht="14.25" customHeight="1" x14ac:dyDescent="0.2">
      <c r="B6" s="1" t="s">
        <v>16</v>
      </c>
      <c r="C6" s="1">
        <v>1.05</v>
      </c>
      <c r="E6" s="1" t="s">
        <v>49</v>
      </c>
      <c r="F6" s="12">
        <f>[1]角色设定!E6</f>
        <v>10</v>
      </c>
      <c r="G6" s="12">
        <f>[1]角色设定!F6</f>
        <v>40</v>
      </c>
      <c r="J6" s="11" t="s">
        <v>38</v>
      </c>
      <c r="K6" s="1" t="s">
        <v>39</v>
      </c>
      <c r="L6" s="12" t="s">
        <v>52</v>
      </c>
      <c r="T6" s="1">
        <v>4</v>
      </c>
      <c r="U6" s="1">
        <f t="shared" si="0"/>
        <v>81</v>
      </c>
      <c r="V6" s="1">
        <f t="shared" si="1"/>
        <v>2867</v>
      </c>
      <c r="W6" s="1">
        <f t="shared" si="2"/>
        <v>287</v>
      </c>
      <c r="X6" s="1">
        <f t="shared" si="4"/>
        <v>0.05</v>
      </c>
      <c r="Y6" s="1">
        <f t="shared" si="5"/>
        <v>1.5</v>
      </c>
      <c r="Z6" s="1">
        <f t="shared" si="3"/>
        <v>0.9</v>
      </c>
    </row>
    <row r="7" spans="2:26" ht="14.25" customHeight="1" x14ac:dyDescent="0.2">
      <c r="B7" s="1" t="s">
        <v>27</v>
      </c>
      <c r="C7" s="1">
        <v>11</v>
      </c>
      <c r="E7" s="1" t="s">
        <v>51</v>
      </c>
      <c r="F7" s="12">
        <f>[1]角色设定!E7</f>
        <v>4</v>
      </c>
      <c r="G7" s="12">
        <f>[1]角色设定!F7</f>
        <v>50</v>
      </c>
      <c r="J7" s="11" t="s">
        <v>40</v>
      </c>
      <c r="K7" s="1" t="s">
        <v>41</v>
      </c>
      <c r="L7" s="12" t="s">
        <v>48</v>
      </c>
      <c r="T7" s="1">
        <v>5</v>
      </c>
      <c r="U7" s="1">
        <f t="shared" si="0"/>
        <v>85</v>
      </c>
      <c r="V7" s="1">
        <f t="shared" si="1"/>
        <v>3009</v>
      </c>
      <c r="W7" s="1">
        <f t="shared" si="2"/>
        <v>301</v>
      </c>
      <c r="X7" s="1">
        <f t="shared" si="4"/>
        <v>0.05</v>
      </c>
      <c r="Y7" s="1">
        <f t="shared" si="5"/>
        <v>1.5</v>
      </c>
      <c r="Z7" s="1">
        <f t="shared" si="3"/>
        <v>0.9</v>
      </c>
    </row>
    <row r="8" spans="2:26" ht="14.25" customHeight="1" x14ac:dyDescent="0.2">
      <c r="B8" s="1" t="s">
        <v>30</v>
      </c>
      <c r="C8" s="1">
        <v>100000</v>
      </c>
      <c r="F8" s="12"/>
      <c r="G8" s="12"/>
      <c r="J8" s="11" t="s">
        <v>42</v>
      </c>
      <c r="K8" s="1" t="s">
        <v>43</v>
      </c>
      <c r="L8" s="12" t="s">
        <v>48</v>
      </c>
      <c r="T8" s="1">
        <v>6</v>
      </c>
      <c r="U8" s="1">
        <f t="shared" si="0"/>
        <v>90</v>
      </c>
      <c r="V8" s="1">
        <f t="shared" si="1"/>
        <v>3157</v>
      </c>
      <c r="W8" s="1">
        <f t="shared" si="2"/>
        <v>316</v>
      </c>
      <c r="X8" s="1">
        <f t="shared" si="4"/>
        <v>0.05</v>
      </c>
      <c r="Y8" s="1">
        <f t="shared" si="5"/>
        <v>1.5</v>
      </c>
      <c r="Z8" s="1">
        <f t="shared" si="3"/>
        <v>0.9</v>
      </c>
    </row>
    <row r="9" spans="2:26" ht="14.25" customHeight="1" x14ac:dyDescent="0.2">
      <c r="B9" s="1" t="s">
        <v>31</v>
      </c>
      <c r="C9" s="1">
        <v>0.6</v>
      </c>
      <c r="J9" s="11" t="s">
        <v>44</v>
      </c>
      <c r="K9" s="1" t="s">
        <v>45</v>
      </c>
      <c r="L9" s="12" t="s">
        <v>48</v>
      </c>
      <c r="T9" s="1">
        <v>7</v>
      </c>
      <c r="U9" s="1">
        <f t="shared" si="0"/>
        <v>94</v>
      </c>
      <c r="V9" s="1">
        <f t="shared" si="1"/>
        <v>3314</v>
      </c>
      <c r="W9" s="1">
        <f t="shared" si="2"/>
        <v>332</v>
      </c>
      <c r="X9" s="1">
        <f t="shared" si="4"/>
        <v>0.05</v>
      </c>
      <c r="Y9" s="1">
        <f t="shared" si="5"/>
        <v>1.5</v>
      </c>
      <c r="Z9" s="1">
        <f t="shared" si="3"/>
        <v>0.9</v>
      </c>
    </row>
    <row r="10" spans="2:26" ht="14.25" customHeight="1" x14ac:dyDescent="0.2">
      <c r="B10" s="1" t="s">
        <v>32</v>
      </c>
      <c r="C10" s="1">
        <v>0.8</v>
      </c>
      <c r="J10" s="11" t="s">
        <v>46</v>
      </c>
      <c r="K10" s="1" t="s">
        <v>47</v>
      </c>
      <c r="L10" s="12" t="s">
        <v>50</v>
      </c>
      <c r="T10" s="1">
        <v>8</v>
      </c>
      <c r="U10" s="1">
        <f t="shared" si="0"/>
        <v>99</v>
      </c>
      <c r="V10" s="1">
        <f t="shared" si="1"/>
        <v>3477</v>
      </c>
      <c r="W10" s="1">
        <f t="shared" si="2"/>
        <v>348</v>
      </c>
      <c r="X10" s="1">
        <f t="shared" si="4"/>
        <v>0.05</v>
      </c>
      <c r="Y10" s="1">
        <f t="shared" si="5"/>
        <v>1.5</v>
      </c>
      <c r="Z10" s="1">
        <f t="shared" si="3"/>
        <v>0.9</v>
      </c>
    </row>
    <row r="11" spans="2:26" ht="14.25" customHeight="1" x14ac:dyDescent="0.2">
      <c r="B11" s="1" t="s">
        <v>33</v>
      </c>
      <c r="C11" s="1">
        <v>1</v>
      </c>
      <c r="T11" s="1">
        <v>9</v>
      </c>
      <c r="U11" s="1">
        <f t="shared" si="0"/>
        <v>104</v>
      </c>
      <c r="V11" s="1">
        <f t="shared" si="1"/>
        <v>3649</v>
      </c>
      <c r="W11" s="1">
        <f t="shared" si="2"/>
        <v>366</v>
      </c>
      <c r="X11" s="1">
        <f t="shared" si="4"/>
        <v>0.05</v>
      </c>
      <c r="Y11" s="1">
        <f t="shared" si="5"/>
        <v>1.5</v>
      </c>
      <c r="Z11" s="1">
        <f t="shared" si="3"/>
        <v>0.9</v>
      </c>
    </row>
    <row r="12" spans="2:26" ht="14.25" customHeight="1" x14ac:dyDescent="0.2">
      <c r="B12" s="1" t="s">
        <v>34</v>
      </c>
      <c r="C12" s="1">
        <v>1.2</v>
      </c>
      <c r="H12" s="2" t="s">
        <v>59</v>
      </c>
      <c r="T12" s="1">
        <v>10</v>
      </c>
      <c r="U12" s="1">
        <f t="shared" si="0"/>
        <v>109</v>
      </c>
      <c r="V12" s="1">
        <f t="shared" si="1"/>
        <v>3829</v>
      </c>
      <c r="W12" s="1">
        <f t="shared" si="2"/>
        <v>384</v>
      </c>
      <c r="X12" s="1">
        <f t="shared" si="4"/>
        <v>0.05</v>
      </c>
      <c r="Y12" s="1">
        <f t="shared" si="5"/>
        <v>1.5</v>
      </c>
      <c r="Z12" s="1">
        <f t="shared" si="3"/>
        <v>0.9</v>
      </c>
    </row>
    <row r="13" spans="2:26" ht="14.25" customHeight="1" x14ac:dyDescent="0.2">
      <c r="B13" s="1" t="s">
        <v>58</v>
      </c>
      <c r="C13" s="1">
        <v>0.3</v>
      </c>
      <c r="F13" s="7"/>
      <c r="G13" s="10"/>
      <c r="H13" s="7" t="s">
        <v>23</v>
      </c>
      <c r="I13" s="26" t="s">
        <v>1</v>
      </c>
      <c r="J13" s="27"/>
      <c r="K13" s="27"/>
      <c r="L13" s="27"/>
      <c r="M13" s="27"/>
      <c r="N13" s="28"/>
      <c r="O13" s="26" t="s">
        <v>2</v>
      </c>
      <c r="P13" s="27"/>
      <c r="Q13" s="27"/>
      <c r="R13" s="28"/>
      <c r="T13" s="1">
        <v>11</v>
      </c>
      <c r="U13" s="1">
        <f t="shared" si="0"/>
        <v>115</v>
      </c>
      <c r="V13" s="1">
        <f t="shared" si="1"/>
        <v>4018</v>
      </c>
      <c r="W13" s="1">
        <f t="shared" si="2"/>
        <v>403</v>
      </c>
      <c r="X13" s="1">
        <f t="shared" si="4"/>
        <v>0.05</v>
      </c>
      <c r="Y13" s="1">
        <f t="shared" si="5"/>
        <v>1.5</v>
      </c>
      <c r="Z13" s="1">
        <f t="shared" si="3"/>
        <v>0.9</v>
      </c>
    </row>
    <row r="14" spans="2:26" ht="14.25" customHeight="1" x14ac:dyDescent="0.2">
      <c r="B14" s="1" t="s">
        <v>60</v>
      </c>
      <c r="C14" s="1">
        <v>0.3</v>
      </c>
      <c r="F14" s="7"/>
      <c r="H14" s="7" t="s">
        <v>9</v>
      </c>
      <c r="I14" s="18" t="s">
        <v>20</v>
      </c>
      <c r="J14" s="4" t="s">
        <v>19</v>
      </c>
      <c r="K14" s="4" t="s">
        <v>21</v>
      </c>
      <c r="L14" s="4" t="s">
        <v>22</v>
      </c>
      <c r="M14" s="4" t="s">
        <v>19</v>
      </c>
      <c r="N14" s="19"/>
      <c r="O14" s="18" t="s">
        <v>63</v>
      </c>
      <c r="P14" s="4"/>
      <c r="Q14" s="4"/>
      <c r="R14" s="19"/>
      <c r="T14" s="1">
        <v>12</v>
      </c>
      <c r="U14" s="1">
        <f t="shared" si="0"/>
        <v>120</v>
      </c>
      <c r="V14" s="1">
        <f t="shared" si="1"/>
        <v>4216</v>
      </c>
      <c r="W14" s="1">
        <f t="shared" si="2"/>
        <v>423</v>
      </c>
      <c r="X14" s="1">
        <f t="shared" si="4"/>
        <v>0.05</v>
      </c>
      <c r="Y14" s="1">
        <f t="shared" si="5"/>
        <v>1.5</v>
      </c>
      <c r="Z14" s="1">
        <f t="shared" si="3"/>
        <v>0.9</v>
      </c>
    </row>
    <row r="15" spans="2:26" ht="14.25" customHeight="1" thickBot="1" x14ac:dyDescent="0.25">
      <c r="B15" s="1" t="s">
        <v>61</v>
      </c>
      <c r="C15" s="1">
        <v>0.25</v>
      </c>
      <c r="E15" s="15" t="s">
        <v>4</v>
      </c>
      <c r="F15" s="20" t="s">
        <v>5</v>
      </c>
      <c r="G15" s="25" t="s">
        <v>29</v>
      </c>
      <c r="H15" s="20" t="s">
        <v>24</v>
      </c>
      <c r="I15" s="21" t="s">
        <v>3</v>
      </c>
      <c r="J15" s="22" t="s">
        <v>11</v>
      </c>
      <c r="K15" s="22" t="s">
        <v>17</v>
      </c>
      <c r="L15" s="22" t="s">
        <v>18</v>
      </c>
      <c r="M15" s="22" t="s">
        <v>25</v>
      </c>
      <c r="N15" s="23" t="s">
        <v>10</v>
      </c>
      <c r="O15" s="21" t="s">
        <v>26</v>
      </c>
      <c r="P15" s="24" t="s">
        <v>8</v>
      </c>
      <c r="Q15" s="17" t="s">
        <v>28</v>
      </c>
      <c r="R15" s="23" t="s">
        <v>14</v>
      </c>
      <c r="T15" s="1">
        <v>13</v>
      </c>
      <c r="U15" s="1">
        <f t="shared" si="0"/>
        <v>126</v>
      </c>
      <c r="V15" s="1">
        <f t="shared" si="1"/>
        <v>4424</v>
      </c>
      <c r="W15" s="1">
        <f t="shared" si="2"/>
        <v>444</v>
      </c>
      <c r="X15" s="1">
        <f t="shared" si="4"/>
        <v>0.05</v>
      </c>
      <c r="Y15" s="1">
        <f t="shared" si="5"/>
        <v>1.5</v>
      </c>
      <c r="Z15" s="1">
        <f t="shared" si="3"/>
        <v>0.9</v>
      </c>
    </row>
    <row r="16" spans="2:26" ht="14.25" customHeight="1" x14ac:dyDescent="0.2">
      <c r="B16" s="1" t="s">
        <v>62</v>
      </c>
      <c r="C16" s="1">
        <v>0.15</v>
      </c>
      <c r="E16" s="3" t="s">
        <v>6</v>
      </c>
      <c r="F16" s="3" t="s">
        <v>7</v>
      </c>
      <c r="G16" s="3" t="s">
        <v>35</v>
      </c>
      <c r="H16" s="3">
        <v>1</v>
      </c>
      <c r="I16" s="3">
        <v>0.75</v>
      </c>
      <c r="J16" s="3">
        <v>0.9</v>
      </c>
      <c r="K16" s="3">
        <v>0.4</v>
      </c>
      <c r="L16" s="3">
        <v>1.5</v>
      </c>
      <c r="M16" s="3">
        <v>0.9</v>
      </c>
      <c r="N16" s="9">
        <f>I16/J16/(1+K16*(L16-1))*$C$5*M16*VLOOKUP(VLOOKUP($F16,$K$4:$L$10,2,0),$E$4:$G$7,2,0)</f>
        <v>234.375</v>
      </c>
      <c r="O16" s="3">
        <v>1</v>
      </c>
      <c r="P16" s="9">
        <f>$C$7*O16*$C$5</f>
        <v>825</v>
      </c>
      <c r="Q16" s="9">
        <f>1/M16</f>
        <v>1.1111111111111112</v>
      </c>
      <c r="R16" s="9">
        <f>VLOOKUP(VLOOKUP($F16,$K$4:$L$10,2,0),$E$4:$G$7,3,0)*$C$5*Q16/(1+P16/$C$8)</f>
        <v>8265.1458798247786</v>
      </c>
      <c r="T16" s="1">
        <v>14</v>
      </c>
      <c r="U16" s="1">
        <f t="shared" si="0"/>
        <v>133</v>
      </c>
      <c r="V16" s="1">
        <f t="shared" si="1"/>
        <v>4642</v>
      </c>
      <c r="W16" s="1">
        <f t="shared" si="2"/>
        <v>467</v>
      </c>
      <c r="X16" s="1">
        <f t="shared" si="4"/>
        <v>0.05</v>
      </c>
      <c r="Y16" s="1">
        <f t="shared" si="5"/>
        <v>1.5</v>
      </c>
      <c r="Z16" s="1">
        <f t="shared" si="3"/>
        <v>0.9</v>
      </c>
    </row>
    <row r="17" spans="2:26" ht="14.25" customHeight="1" x14ac:dyDescent="0.2">
      <c r="H17" s="1">
        <v>2</v>
      </c>
      <c r="T17" s="1">
        <v>15</v>
      </c>
      <c r="U17" s="1">
        <f t="shared" si="0"/>
        <v>139</v>
      </c>
      <c r="V17" s="1">
        <f t="shared" si="1"/>
        <v>4870</v>
      </c>
      <c r="W17" s="1">
        <f t="shared" si="2"/>
        <v>490</v>
      </c>
      <c r="X17" s="1">
        <f t="shared" si="4"/>
        <v>0.05</v>
      </c>
      <c r="Y17" s="1">
        <f t="shared" si="5"/>
        <v>1.5</v>
      </c>
      <c r="Z17" s="1">
        <f t="shared" si="3"/>
        <v>0.9</v>
      </c>
    </row>
    <row r="18" spans="2:26" ht="14.25" customHeight="1" x14ac:dyDescent="0.2">
      <c r="B18" s="13"/>
      <c r="C18" s="13"/>
      <c r="D18" s="13"/>
      <c r="G18" s="3"/>
      <c r="H18" s="3">
        <v>3</v>
      </c>
      <c r="T18" s="1">
        <v>16</v>
      </c>
      <c r="U18" s="1">
        <f t="shared" si="0"/>
        <v>146</v>
      </c>
      <c r="V18" s="1">
        <f t="shared" si="1"/>
        <v>5110</v>
      </c>
      <c r="W18" s="1">
        <f t="shared" si="2"/>
        <v>515</v>
      </c>
      <c r="X18" s="1">
        <f t="shared" si="4"/>
        <v>0.05</v>
      </c>
      <c r="Y18" s="1">
        <f t="shared" si="5"/>
        <v>1.5</v>
      </c>
      <c r="Z18" s="1">
        <f t="shared" si="3"/>
        <v>0.9</v>
      </c>
    </row>
    <row r="19" spans="2:26" ht="14.25" customHeight="1" x14ac:dyDescent="0.2">
      <c r="B19" s="3"/>
      <c r="C19" s="3"/>
      <c r="D19" s="3"/>
      <c r="H19" s="1">
        <v>4</v>
      </c>
      <c r="T19" s="1">
        <v>17</v>
      </c>
      <c r="U19" s="1">
        <f t="shared" si="0"/>
        <v>153</v>
      </c>
      <c r="V19" s="1">
        <f t="shared" si="1"/>
        <v>5361</v>
      </c>
      <c r="W19" s="1">
        <f t="shared" si="2"/>
        <v>540</v>
      </c>
      <c r="X19" s="1">
        <f t="shared" si="4"/>
        <v>0.05</v>
      </c>
      <c r="Y19" s="1">
        <f t="shared" si="5"/>
        <v>1.5</v>
      </c>
      <c r="Z19" s="1">
        <f t="shared" si="3"/>
        <v>0.9</v>
      </c>
    </row>
    <row r="20" spans="2:26" ht="14.25" customHeight="1" x14ac:dyDescent="0.2">
      <c r="G20" s="3"/>
      <c r="H20" s="3">
        <v>5</v>
      </c>
      <c r="T20" s="1">
        <v>18</v>
      </c>
      <c r="U20" s="1">
        <f t="shared" si="0"/>
        <v>161</v>
      </c>
      <c r="V20" s="1">
        <f t="shared" si="1"/>
        <v>5624</v>
      </c>
      <c r="W20" s="1">
        <f t="shared" si="2"/>
        <v>567</v>
      </c>
      <c r="X20" s="1">
        <f t="shared" si="4"/>
        <v>0.05</v>
      </c>
      <c r="Y20" s="1">
        <f t="shared" si="5"/>
        <v>1.5</v>
      </c>
      <c r="Z20" s="1">
        <f t="shared" si="3"/>
        <v>0.9</v>
      </c>
    </row>
    <row r="21" spans="2:26" ht="14.25" customHeight="1" x14ac:dyDescent="0.2">
      <c r="H21" s="1">
        <v>6</v>
      </c>
      <c r="T21" s="1">
        <v>19</v>
      </c>
      <c r="U21" s="1">
        <f t="shared" si="0"/>
        <v>169</v>
      </c>
      <c r="V21" s="1">
        <f t="shared" si="1"/>
        <v>5899</v>
      </c>
      <c r="W21" s="1">
        <f t="shared" si="2"/>
        <v>596</v>
      </c>
      <c r="X21" s="1">
        <f t="shared" si="4"/>
        <v>0.05</v>
      </c>
      <c r="Y21" s="1">
        <f t="shared" si="5"/>
        <v>1.5</v>
      </c>
      <c r="Z21" s="1">
        <f t="shared" si="3"/>
        <v>0.9</v>
      </c>
    </row>
    <row r="22" spans="2:26" ht="14.25" customHeight="1" x14ac:dyDescent="0.2">
      <c r="G22" s="3"/>
      <c r="H22" s="3">
        <v>7</v>
      </c>
      <c r="T22" s="1">
        <v>20</v>
      </c>
      <c r="U22" s="1">
        <f t="shared" si="0"/>
        <v>178</v>
      </c>
      <c r="V22" s="1">
        <f t="shared" si="1"/>
        <v>6188</v>
      </c>
      <c r="W22" s="1">
        <f t="shared" si="2"/>
        <v>625</v>
      </c>
      <c r="X22" s="1">
        <f t="shared" si="4"/>
        <v>0.05</v>
      </c>
      <c r="Y22" s="1">
        <f t="shared" si="5"/>
        <v>1.5</v>
      </c>
      <c r="Z22" s="1">
        <f t="shared" si="3"/>
        <v>0.9</v>
      </c>
    </row>
    <row r="23" spans="2:26" ht="14.25" customHeight="1" x14ac:dyDescent="0.2">
      <c r="H23" s="1">
        <v>8</v>
      </c>
      <c r="T23" s="1">
        <v>21</v>
      </c>
      <c r="U23" s="1">
        <f t="shared" si="0"/>
        <v>187</v>
      </c>
      <c r="V23" s="1">
        <f t="shared" si="1"/>
        <v>6491</v>
      </c>
      <c r="W23" s="1">
        <f t="shared" si="2"/>
        <v>657</v>
      </c>
      <c r="X23" s="1">
        <f t="shared" si="4"/>
        <v>0.05</v>
      </c>
      <c r="Y23" s="1">
        <f t="shared" si="5"/>
        <v>1.5</v>
      </c>
      <c r="Z23" s="1">
        <f t="shared" si="3"/>
        <v>0.9</v>
      </c>
    </row>
    <row r="24" spans="2:26" ht="14.25" customHeight="1" x14ac:dyDescent="0.2">
      <c r="G24" s="3"/>
      <c r="H24" s="3">
        <v>9</v>
      </c>
      <c r="T24" s="1">
        <v>22</v>
      </c>
      <c r="U24" s="1">
        <f t="shared" si="0"/>
        <v>196</v>
      </c>
      <c r="V24" s="1">
        <f t="shared" si="1"/>
        <v>6808</v>
      </c>
      <c r="W24" s="1">
        <f t="shared" si="2"/>
        <v>690</v>
      </c>
      <c r="X24" s="1">
        <f t="shared" si="4"/>
        <v>0.05</v>
      </c>
      <c r="Y24" s="1">
        <f t="shared" si="5"/>
        <v>1.5</v>
      </c>
      <c r="Z24" s="1">
        <f t="shared" si="3"/>
        <v>0.9</v>
      </c>
    </row>
    <row r="25" spans="2:26" ht="14.25" customHeight="1" x14ac:dyDescent="0.2">
      <c r="H25" s="1">
        <v>10</v>
      </c>
      <c r="T25" s="1">
        <v>23</v>
      </c>
      <c r="U25" s="1">
        <f t="shared" si="0"/>
        <v>206</v>
      </c>
      <c r="V25" s="1">
        <f t="shared" si="1"/>
        <v>7141</v>
      </c>
      <c r="W25" s="1">
        <f t="shared" si="2"/>
        <v>724</v>
      </c>
      <c r="X25" s="1">
        <f t="shared" si="4"/>
        <v>0.05</v>
      </c>
      <c r="Y25" s="1">
        <f t="shared" si="5"/>
        <v>1.5</v>
      </c>
      <c r="Z25" s="1">
        <f t="shared" si="3"/>
        <v>0.9</v>
      </c>
    </row>
    <row r="26" spans="2:26" ht="14.25" customHeight="1" x14ac:dyDescent="0.2">
      <c r="G26" s="3"/>
      <c r="H26" s="3">
        <v>11</v>
      </c>
      <c r="T26" s="1">
        <v>24</v>
      </c>
      <c r="U26" s="1">
        <f t="shared" si="0"/>
        <v>216</v>
      </c>
      <c r="V26" s="1">
        <f t="shared" si="1"/>
        <v>7489</v>
      </c>
      <c r="W26" s="1">
        <f t="shared" si="2"/>
        <v>760</v>
      </c>
      <c r="X26" s="1">
        <f t="shared" si="4"/>
        <v>0.05</v>
      </c>
      <c r="Y26" s="1">
        <f t="shared" si="5"/>
        <v>1.5</v>
      </c>
      <c r="Z26" s="1">
        <f t="shared" si="3"/>
        <v>0.9</v>
      </c>
    </row>
    <row r="27" spans="2:26" ht="14.25" customHeight="1" x14ac:dyDescent="0.2">
      <c r="H27" s="1">
        <v>12</v>
      </c>
      <c r="T27" s="1">
        <v>25</v>
      </c>
      <c r="U27" s="1">
        <f t="shared" si="0"/>
        <v>227</v>
      </c>
      <c r="V27" s="1">
        <f t="shared" si="1"/>
        <v>7854</v>
      </c>
      <c r="W27" s="1">
        <f t="shared" si="2"/>
        <v>798</v>
      </c>
      <c r="X27" s="1">
        <f t="shared" si="4"/>
        <v>0.05</v>
      </c>
      <c r="Y27" s="1">
        <f t="shared" si="5"/>
        <v>1.5</v>
      </c>
      <c r="Z27" s="1">
        <f t="shared" si="3"/>
        <v>0.9</v>
      </c>
    </row>
    <row r="28" spans="2:26" ht="14.25" customHeight="1" x14ac:dyDescent="0.2">
      <c r="T28" s="1">
        <v>26</v>
      </c>
      <c r="U28" s="1">
        <f t="shared" si="0"/>
        <v>238</v>
      </c>
      <c r="V28" s="1">
        <f t="shared" si="1"/>
        <v>8236</v>
      </c>
      <c r="W28" s="1">
        <f t="shared" si="2"/>
        <v>838</v>
      </c>
      <c r="X28" s="1">
        <f t="shared" si="4"/>
        <v>0.05</v>
      </c>
      <c r="Y28" s="1">
        <f t="shared" si="5"/>
        <v>1.5</v>
      </c>
      <c r="Z28" s="1">
        <f t="shared" si="3"/>
        <v>0.9</v>
      </c>
    </row>
    <row r="29" spans="2:26" ht="14.25" customHeight="1" x14ac:dyDescent="0.2">
      <c r="T29" s="1">
        <v>27</v>
      </c>
      <c r="U29" s="1">
        <f t="shared" si="0"/>
        <v>250</v>
      </c>
      <c r="V29" s="1">
        <f t="shared" si="1"/>
        <v>8636</v>
      </c>
      <c r="W29" s="1">
        <f t="shared" si="2"/>
        <v>880</v>
      </c>
      <c r="X29" s="1">
        <f t="shared" si="4"/>
        <v>0.05</v>
      </c>
      <c r="Y29" s="1">
        <f t="shared" si="5"/>
        <v>1.5</v>
      </c>
      <c r="Z29" s="1">
        <f t="shared" si="3"/>
        <v>0.9</v>
      </c>
    </row>
    <row r="30" spans="2:26" ht="14.25" customHeight="1" x14ac:dyDescent="0.2">
      <c r="T30" s="1">
        <v>28</v>
      </c>
      <c r="U30" s="1">
        <f t="shared" si="0"/>
        <v>263</v>
      </c>
      <c r="V30" s="1">
        <f t="shared" si="1"/>
        <v>9055</v>
      </c>
      <c r="W30" s="1">
        <f t="shared" si="2"/>
        <v>924</v>
      </c>
      <c r="X30" s="1">
        <f t="shared" si="4"/>
        <v>0.05</v>
      </c>
      <c r="Y30" s="1">
        <f t="shared" si="5"/>
        <v>1.5</v>
      </c>
      <c r="Z30" s="1">
        <f t="shared" si="3"/>
        <v>0.9</v>
      </c>
    </row>
    <row r="31" spans="2:26" ht="14.25" customHeight="1" x14ac:dyDescent="0.2">
      <c r="T31" s="1">
        <v>29</v>
      </c>
      <c r="U31" s="1">
        <f t="shared" si="0"/>
        <v>276</v>
      </c>
      <c r="V31" s="1">
        <f t="shared" si="1"/>
        <v>9493</v>
      </c>
      <c r="W31" s="1">
        <f t="shared" si="2"/>
        <v>970</v>
      </c>
      <c r="X31" s="1">
        <f t="shared" si="4"/>
        <v>0.05</v>
      </c>
      <c r="Y31" s="1">
        <f t="shared" si="5"/>
        <v>1.5</v>
      </c>
      <c r="Z31" s="1">
        <f t="shared" si="3"/>
        <v>0.9</v>
      </c>
    </row>
    <row r="32" spans="2:26" ht="14.25" customHeight="1" x14ac:dyDescent="0.2">
      <c r="T32" s="1">
        <v>30</v>
      </c>
      <c r="U32" s="1">
        <f t="shared" si="0"/>
        <v>289</v>
      </c>
      <c r="V32" s="1">
        <f t="shared" si="1"/>
        <v>9952</v>
      </c>
      <c r="W32" s="1">
        <f t="shared" si="2"/>
        <v>1019</v>
      </c>
      <c r="X32" s="1">
        <f t="shared" si="4"/>
        <v>0.05</v>
      </c>
      <c r="Y32" s="1">
        <f t="shared" si="5"/>
        <v>1.5</v>
      </c>
      <c r="Z32" s="1">
        <f t="shared" si="3"/>
        <v>0.9</v>
      </c>
    </row>
    <row r="33" spans="20:26" ht="14.25" customHeight="1" x14ac:dyDescent="0.2">
      <c r="T33" s="1">
        <v>31</v>
      </c>
      <c r="U33" s="1">
        <f t="shared" si="0"/>
        <v>304</v>
      </c>
      <c r="V33" s="1">
        <f t="shared" si="1"/>
        <v>10433</v>
      </c>
      <c r="W33" s="1">
        <f t="shared" si="2"/>
        <v>1070</v>
      </c>
      <c r="X33" s="1">
        <f t="shared" si="4"/>
        <v>0.05</v>
      </c>
      <c r="Y33" s="1">
        <f t="shared" si="5"/>
        <v>1.5</v>
      </c>
      <c r="Z33" s="1">
        <f t="shared" si="3"/>
        <v>0.9</v>
      </c>
    </row>
    <row r="34" spans="20:26" ht="14.25" customHeight="1" x14ac:dyDescent="0.2">
      <c r="T34" s="1">
        <v>32</v>
      </c>
      <c r="U34" s="1">
        <f t="shared" si="0"/>
        <v>319</v>
      </c>
      <c r="V34" s="1">
        <f t="shared" si="1"/>
        <v>10936</v>
      </c>
      <c r="W34" s="1">
        <f t="shared" si="2"/>
        <v>1123</v>
      </c>
      <c r="X34" s="1">
        <f t="shared" si="4"/>
        <v>0.05</v>
      </c>
      <c r="Y34" s="1">
        <f t="shared" si="5"/>
        <v>1.5</v>
      </c>
      <c r="Z34" s="1">
        <f t="shared" si="3"/>
        <v>0.9</v>
      </c>
    </row>
    <row r="35" spans="20:26" ht="14.25" customHeight="1" x14ac:dyDescent="0.2">
      <c r="T35" s="1">
        <v>33</v>
      </c>
      <c r="U35" s="1">
        <f t="shared" ref="U35:U66" si="6">ROUND(VLOOKUP($U$1,$E:$R,MATCH(U$2,$E$15:$R$15,0),0)*$C$6^($T35-1)*$C$13*VLOOKUP($V$1,$B:$C,2,0),0)</f>
        <v>335</v>
      </c>
      <c r="V35" s="1">
        <f t="shared" ref="V35:V66" si="7">ROUND(VLOOKUP(VLOOKUP($W$1,$K$4:$L$10,2,0),$E$4:$G$7,3,0)*$C$5*VLOOKUP($U$1,$E:$R,MATCH("生命偏向",$E$15:$R$15,0),0)/(1+VLOOKUP($U$1,$E:$R,MATCH($W$2,$E$15:$R$15,0),0)*$C$6^($T35-1)/$C$8)*$C$6^($T35-1)*$C$13*VLOOKUP($V$1,$B:$C,2,0),0)</f>
        <v>11462</v>
      </c>
      <c r="W35" s="1">
        <f t="shared" ref="W35:W66" si="8">ROUND(VLOOKUP($U$1,$E:$R,MATCH(W$2,$E$15:$R$15,0),0)*$C$6^($T35-1)*$C$13*VLOOKUP($V$1,$B:$C,2,0),0)</f>
        <v>1179</v>
      </c>
      <c r="X35" s="1">
        <f t="shared" si="4"/>
        <v>0.05</v>
      </c>
      <c r="Y35" s="1">
        <f t="shared" si="5"/>
        <v>1.5</v>
      </c>
      <c r="Z35" s="1">
        <f t="shared" ref="Z35:Z66" si="9">VLOOKUP($U$1,$E:$R,MATCH(Z$2,$E$15:$R$15,0),0)</f>
        <v>0.9</v>
      </c>
    </row>
    <row r="36" spans="20:26" ht="14.25" customHeight="1" x14ac:dyDescent="0.2">
      <c r="T36" s="1">
        <v>34</v>
      </c>
      <c r="U36" s="1">
        <f t="shared" si="6"/>
        <v>352</v>
      </c>
      <c r="V36" s="1">
        <f t="shared" si="7"/>
        <v>12012</v>
      </c>
      <c r="W36" s="1">
        <f t="shared" si="8"/>
        <v>1238</v>
      </c>
      <c r="X36" s="1">
        <f t="shared" si="4"/>
        <v>0.05</v>
      </c>
      <c r="Y36" s="1">
        <f t="shared" si="5"/>
        <v>1.5</v>
      </c>
      <c r="Z36" s="1">
        <f t="shared" si="9"/>
        <v>0.9</v>
      </c>
    </row>
    <row r="37" spans="20:26" ht="14.25" customHeight="1" x14ac:dyDescent="0.2">
      <c r="T37" s="1">
        <v>35</v>
      </c>
      <c r="U37" s="1">
        <f t="shared" si="6"/>
        <v>369</v>
      </c>
      <c r="V37" s="1">
        <f t="shared" si="7"/>
        <v>12588</v>
      </c>
      <c r="W37" s="1">
        <f t="shared" si="8"/>
        <v>1300</v>
      </c>
      <c r="X37" s="1">
        <f t="shared" si="4"/>
        <v>0.05</v>
      </c>
      <c r="Y37" s="1">
        <f t="shared" si="5"/>
        <v>1.5</v>
      </c>
      <c r="Z37" s="1">
        <f t="shared" si="9"/>
        <v>0.9</v>
      </c>
    </row>
    <row r="38" spans="20:26" ht="14.25" customHeight="1" x14ac:dyDescent="0.2">
      <c r="T38" s="1">
        <v>36</v>
      </c>
      <c r="U38" s="1">
        <f t="shared" si="6"/>
        <v>388</v>
      </c>
      <c r="V38" s="1">
        <f t="shared" si="7"/>
        <v>13190</v>
      </c>
      <c r="W38" s="1">
        <f t="shared" si="8"/>
        <v>1365</v>
      </c>
      <c r="X38" s="1">
        <f t="shared" si="4"/>
        <v>0.05</v>
      </c>
      <c r="Y38" s="1">
        <f t="shared" si="5"/>
        <v>1.5</v>
      </c>
      <c r="Z38" s="1">
        <f t="shared" si="9"/>
        <v>0.9</v>
      </c>
    </row>
    <row r="39" spans="20:26" ht="14.25" customHeight="1" x14ac:dyDescent="0.2">
      <c r="T39" s="1">
        <v>37</v>
      </c>
      <c r="U39" s="1">
        <f t="shared" si="6"/>
        <v>407</v>
      </c>
      <c r="V39" s="1">
        <f t="shared" si="7"/>
        <v>13819</v>
      </c>
      <c r="W39" s="1">
        <f t="shared" si="8"/>
        <v>1433</v>
      </c>
      <c r="X39" s="1">
        <f t="shared" si="4"/>
        <v>0.05</v>
      </c>
      <c r="Y39" s="1">
        <f t="shared" si="5"/>
        <v>1.5</v>
      </c>
      <c r="Z39" s="1">
        <f t="shared" si="9"/>
        <v>0.9</v>
      </c>
    </row>
    <row r="40" spans="20:26" ht="14.25" customHeight="1" x14ac:dyDescent="0.2">
      <c r="T40" s="1">
        <v>38</v>
      </c>
      <c r="U40" s="1">
        <f t="shared" si="6"/>
        <v>428</v>
      </c>
      <c r="V40" s="1">
        <f t="shared" si="7"/>
        <v>14477</v>
      </c>
      <c r="W40" s="1">
        <f t="shared" si="8"/>
        <v>1505</v>
      </c>
      <c r="X40" s="1">
        <f t="shared" si="4"/>
        <v>0.05</v>
      </c>
      <c r="Y40" s="1">
        <f t="shared" si="5"/>
        <v>1.5</v>
      </c>
      <c r="Z40" s="1">
        <f t="shared" si="9"/>
        <v>0.9</v>
      </c>
    </row>
    <row r="41" spans="20:26" ht="14.25" customHeight="1" x14ac:dyDescent="0.2">
      <c r="T41" s="1">
        <v>39</v>
      </c>
      <c r="U41" s="1">
        <f t="shared" si="6"/>
        <v>449</v>
      </c>
      <c r="V41" s="1">
        <f t="shared" si="7"/>
        <v>15165</v>
      </c>
      <c r="W41" s="1">
        <f t="shared" si="8"/>
        <v>1580</v>
      </c>
      <c r="X41" s="1">
        <f t="shared" si="4"/>
        <v>0.05</v>
      </c>
      <c r="Y41" s="1">
        <f t="shared" si="5"/>
        <v>1.5</v>
      </c>
      <c r="Z41" s="1">
        <f t="shared" si="9"/>
        <v>0.9</v>
      </c>
    </row>
    <row r="42" spans="20:26" ht="14.25" customHeight="1" x14ac:dyDescent="0.2">
      <c r="T42" s="1">
        <v>40</v>
      </c>
      <c r="U42" s="1">
        <f t="shared" si="6"/>
        <v>471</v>
      </c>
      <c r="V42" s="1">
        <f t="shared" si="7"/>
        <v>15883</v>
      </c>
      <c r="W42" s="1">
        <f t="shared" si="8"/>
        <v>1659</v>
      </c>
      <c r="X42" s="1">
        <f t="shared" si="4"/>
        <v>0.05</v>
      </c>
      <c r="Y42" s="1">
        <f t="shared" si="5"/>
        <v>1.5</v>
      </c>
      <c r="Z42" s="1">
        <f t="shared" si="9"/>
        <v>0.9</v>
      </c>
    </row>
    <row r="43" spans="20:26" ht="14.25" customHeight="1" x14ac:dyDescent="0.2">
      <c r="T43" s="1">
        <v>41</v>
      </c>
      <c r="U43" s="1">
        <f t="shared" si="6"/>
        <v>495</v>
      </c>
      <c r="V43" s="1">
        <f t="shared" si="7"/>
        <v>16634</v>
      </c>
      <c r="W43" s="1">
        <f t="shared" si="8"/>
        <v>1742</v>
      </c>
      <c r="X43" s="1">
        <f t="shared" si="4"/>
        <v>0.05</v>
      </c>
      <c r="Y43" s="1">
        <f t="shared" si="5"/>
        <v>1.5</v>
      </c>
      <c r="Z43" s="1">
        <f t="shared" si="9"/>
        <v>0.9</v>
      </c>
    </row>
    <row r="44" spans="20:26" ht="14.25" customHeight="1" x14ac:dyDescent="0.2">
      <c r="T44" s="1">
        <v>42</v>
      </c>
      <c r="U44" s="1">
        <f t="shared" si="6"/>
        <v>520</v>
      </c>
      <c r="V44" s="1">
        <f t="shared" si="7"/>
        <v>17418</v>
      </c>
      <c r="W44" s="1">
        <f t="shared" si="8"/>
        <v>1830</v>
      </c>
      <c r="X44" s="1">
        <f t="shared" si="4"/>
        <v>0.05</v>
      </c>
      <c r="Y44" s="1">
        <f t="shared" si="5"/>
        <v>1.5</v>
      </c>
      <c r="Z44" s="1">
        <f t="shared" si="9"/>
        <v>0.9</v>
      </c>
    </row>
    <row r="45" spans="20:26" ht="14.25" customHeight="1" x14ac:dyDescent="0.2">
      <c r="T45" s="1">
        <v>43</v>
      </c>
      <c r="U45" s="1">
        <f t="shared" si="6"/>
        <v>546</v>
      </c>
      <c r="V45" s="1">
        <f t="shared" si="7"/>
        <v>18236</v>
      </c>
      <c r="W45" s="1">
        <f t="shared" si="8"/>
        <v>1921</v>
      </c>
      <c r="X45" s="1">
        <f t="shared" si="4"/>
        <v>0.05</v>
      </c>
      <c r="Y45" s="1">
        <f t="shared" si="5"/>
        <v>1.5</v>
      </c>
      <c r="Z45" s="1">
        <f t="shared" si="9"/>
        <v>0.9</v>
      </c>
    </row>
    <row r="46" spans="20:26" ht="14.25" customHeight="1" x14ac:dyDescent="0.2">
      <c r="T46" s="1">
        <v>44</v>
      </c>
      <c r="U46" s="1">
        <f t="shared" si="6"/>
        <v>573</v>
      </c>
      <c r="V46" s="1">
        <f t="shared" si="7"/>
        <v>19091</v>
      </c>
      <c r="W46" s="1">
        <f t="shared" si="8"/>
        <v>2017</v>
      </c>
      <c r="X46" s="1">
        <f t="shared" si="4"/>
        <v>0.05</v>
      </c>
      <c r="Y46" s="1">
        <f t="shared" si="5"/>
        <v>1.5</v>
      </c>
      <c r="Z46" s="1">
        <f t="shared" si="9"/>
        <v>0.9</v>
      </c>
    </row>
    <row r="47" spans="20:26" ht="14.25" customHeight="1" x14ac:dyDescent="0.2">
      <c r="T47" s="1">
        <v>45</v>
      </c>
      <c r="U47" s="1">
        <f t="shared" si="6"/>
        <v>602</v>
      </c>
      <c r="V47" s="1">
        <f t="shared" si="7"/>
        <v>19982</v>
      </c>
      <c r="W47" s="1">
        <f t="shared" si="8"/>
        <v>2118</v>
      </c>
      <c r="X47" s="1">
        <f t="shared" si="4"/>
        <v>0.05</v>
      </c>
      <c r="Y47" s="1">
        <f t="shared" si="5"/>
        <v>1.5</v>
      </c>
      <c r="Z47" s="1">
        <f t="shared" si="9"/>
        <v>0.9</v>
      </c>
    </row>
    <row r="48" spans="20:26" ht="14.25" customHeight="1" x14ac:dyDescent="0.2">
      <c r="T48" s="1">
        <v>46</v>
      </c>
      <c r="U48" s="1">
        <f t="shared" si="6"/>
        <v>632</v>
      </c>
      <c r="V48" s="1">
        <f t="shared" si="7"/>
        <v>20912</v>
      </c>
      <c r="W48" s="1">
        <f t="shared" si="8"/>
        <v>2224</v>
      </c>
      <c r="X48" s="1">
        <f t="shared" si="4"/>
        <v>0.05</v>
      </c>
      <c r="Y48" s="1">
        <f t="shared" si="5"/>
        <v>1.5</v>
      </c>
      <c r="Z48" s="1">
        <f t="shared" si="9"/>
        <v>0.9</v>
      </c>
    </row>
    <row r="49" spans="20:26" ht="14.25" customHeight="1" x14ac:dyDescent="0.2">
      <c r="T49" s="1">
        <v>47</v>
      </c>
      <c r="U49" s="1">
        <f t="shared" si="6"/>
        <v>663</v>
      </c>
      <c r="V49" s="1">
        <f t="shared" si="7"/>
        <v>21882</v>
      </c>
      <c r="W49" s="1">
        <f t="shared" si="8"/>
        <v>2335</v>
      </c>
      <c r="X49" s="1">
        <f t="shared" si="4"/>
        <v>0.05</v>
      </c>
      <c r="Y49" s="1">
        <f t="shared" si="5"/>
        <v>1.5</v>
      </c>
      <c r="Z49" s="1">
        <f t="shared" si="9"/>
        <v>0.9</v>
      </c>
    </row>
    <row r="50" spans="20:26" ht="14.25" customHeight="1" x14ac:dyDescent="0.2">
      <c r="T50" s="1">
        <v>48</v>
      </c>
      <c r="U50" s="1">
        <f t="shared" si="6"/>
        <v>697</v>
      </c>
      <c r="V50" s="1">
        <f t="shared" si="7"/>
        <v>22894</v>
      </c>
      <c r="W50" s="1">
        <f t="shared" si="8"/>
        <v>2452</v>
      </c>
      <c r="X50" s="1">
        <f t="shared" si="4"/>
        <v>0.05</v>
      </c>
      <c r="Y50" s="1">
        <f t="shared" si="5"/>
        <v>1.5</v>
      </c>
      <c r="Z50" s="1">
        <f t="shared" si="9"/>
        <v>0.9</v>
      </c>
    </row>
    <row r="51" spans="20:26" ht="14.25" customHeight="1" x14ac:dyDescent="0.2">
      <c r="T51" s="1">
        <v>49</v>
      </c>
      <c r="U51" s="1">
        <f t="shared" si="6"/>
        <v>731</v>
      </c>
      <c r="V51" s="1">
        <f t="shared" si="7"/>
        <v>23948</v>
      </c>
      <c r="W51" s="1">
        <f t="shared" si="8"/>
        <v>2574</v>
      </c>
      <c r="X51" s="1">
        <f t="shared" si="4"/>
        <v>0.05</v>
      </c>
      <c r="Y51" s="1">
        <f t="shared" si="5"/>
        <v>1.5</v>
      </c>
      <c r="Z51" s="1">
        <f t="shared" si="9"/>
        <v>0.9</v>
      </c>
    </row>
    <row r="52" spans="20:26" ht="14.25" customHeight="1" x14ac:dyDescent="0.2">
      <c r="T52" s="1">
        <v>50</v>
      </c>
      <c r="U52" s="1">
        <f t="shared" si="6"/>
        <v>768</v>
      </c>
      <c r="V52" s="1">
        <f t="shared" si="7"/>
        <v>25047</v>
      </c>
      <c r="W52" s="1">
        <f t="shared" si="8"/>
        <v>2703</v>
      </c>
      <c r="X52" s="1">
        <f t="shared" si="4"/>
        <v>0.05</v>
      </c>
      <c r="Y52" s="1">
        <f t="shared" si="5"/>
        <v>1.5</v>
      </c>
      <c r="Z52" s="1">
        <f t="shared" si="9"/>
        <v>0.9</v>
      </c>
    </row>
    <row r="53" spans="20:26" ht="14.25" customHeight="1" x14ac:dyDescent="0.2">
      <c r="T53" s="1">
        <v>51</v>
      </c>
      <c r="U53" s="1">
        <f t="shared" si="6"/>
        <v>806</v>
      </c>
      <c r="V53" s="1">
        <f t="shared" si="7"/>
        <v>26191</v>
      </c>
      <c r="W53" s="1">
        <f t="shared" si="8"/>
        <v>2838</v>
      </c>
      <c r="X53" s="1">
        <f t="shared" si="4"/>
        <v>0.05</v>
      </c>
      <c r="Y53" s="1">
        <f t="shared" si="5"/>
        <v>1.5</v>
      </c>
      <c r="Z53" s="1">
        <f t="shared" si="9"/>
        <v>0.9</v>
      </c>
    </row>
    <row r="54" spans="20:26" ht="14.25" customHeight="1" x14ac:dyDescent="0.2">
      <c r="T54" s="1">
        <v>52</v>
      </c>
      <c r="U54" s="1">
        <f t="shared" si="6"/>
        <v>847</v>
      </c>
      <c r="V54" s="1">
        <f t="shared" si="7"/>
        <v>27382</v>
      </c>
      <c r="W54" s="1">
        <f t="shared" si="8"/>
        <v>2980</v>
      </c>
      <c r="X54" s="1">
        <f t="shared" si="4"/>
        <v>0.05</v>
      </c>
      <c r="Y54" s="1">
        <f t="shared" si="5"/>
        <v>1.5</v>
      </c>
      <c r="Z54" s="1">
        <f t="shared" si="9"/>
        <v>0.9</v>
      </c>
    </row>
    <row r="55" spans="20:26" ht="14.25" customHeight="1" x14ac:dyDescent="0.2">
      <c r="T55" s="1">
        <v>53</v>
      </c>
      <c r="U55" s="1">
        <f t="shared" si="6"/>
        <v>889</v>
      </c>
      <c r="V55" s="1">
        <f t="shared" si="7"/>
        <v>28622</v>
      </c>
      <c r="W55" s="1">
        <f t="shared" si="8"/>
        <v>3129</v>
      </c>
      <c r="X55" s="1">
        <f t="shared" si="4"/>
        <v>0.05</v>
      </c>
      <c r="Y55" s="1">
        <f t="shared" si="5"/>
        <v>1.5</v>
      </c>
      <c r="Z55" s="1">
        <f t="shared" si="9"/>
        <v>0.9</v>
      </c>
    </row>
    <row r="56" spans="20:26" ht="14.25" customHeight="1" x14ac:dyDescent="0.2">
      <c r="T56" s="1">
        <v>54</v>
      </c>
      <c r="U56" s="1">
        <f t="shared" si="6"/>
        <v>933</v>
      </c>
      <c r="V56" s="1">
        <f t="shared" si="7"/>
        <v>29912</v>
      </c>
      <c r="W56" s="1">
        <f t="shared" si="8"/>
        <v>3286</v>
      </c>
      <c r="X56" s="1">
        <f t="shared" si="4"/>
        <v>0.05</v>
      </c>
      <c r="Y56" s="1">
        <f t="shared" si="5"/>
        <v>1.5</v>
      </c>
      <c r="Z56" s="1">
        <f t="shared" si="9"/>
        <v>0.9</v>
      </c>
    </row>
    <row r="57" spans="20:26" ht="14.25" customHeight="1" x14ac:dyDescent="0.2">
      <c r="T57" s="1">
        <v>55</v>
      </c>
      <c r="U57" s="1">
        <f t="shared" si="6"/>
        <v>980</v>
      </c>
      <c r="V57" s="1">
        <f t="shared" si="7"/>
        <v>31253</v>
      </c>
      <c r="W57" s="1">
        <f t="shared" si="8"/>
        <v>3450</v>
      </c>
      <c r="X57" s="1">
        <f t="shared" si="4"/>
        <v>0.05</v>
      </c>
      <c r="Y57" s="1">
        <f t="shared" si="5"/>
        <v>1.5</v>
      </c>
      <c r="Z57" s="1">
        <f t="shared" si="9"/>
        <v>0.9</v>
      </c>
    </row>
    <row r="58" spans="20:26" ht="14.25" customHeight="1" x14ac:dyDescent="0.2">
      <c r="T58" s="1">
        <v>56</v>
      </c>
      <c r="U58" s="1">
        <f t="shared" si="6"/>
        <v>1029</v>
      </c>
      <c r="V58" s="1">
        <f t="shared" si="7"/>
        <v>32647</v>
      </c>
      <c r="W58" s="1">
        <f t="shared" si="8"/>
        <v>3622</v>
      </c>
      <c r="X58" s="1">
        <f t="shared" si="4"/>
        <v>0.05</v>
      </c>
      <c r="Y58" s="1">
        <f t="shared" si="5"/>
        <v>1.5</v>
      </c>
      <c r="Z58" s="1">
        <f t="shared" si="9"/>
        <v>0.9</v>
      </c>
    </row>
    <row r="59" spans="20:26" ht="14.25" customHeight="1" x14ac:dyDescent="0.2">
      <c r="T59" s="1">
        <v>57</v>
      </c>
      <c r="U59" s="1">
        <f t="shared" si="6"/>
        <v>1081</v>
      </c>
      <c r="V59" s="1">
        <f t="shared" si="7"/>
        <v>34096</v>
      </c>
      <c r="W59" s="1">
        <f t="shared" si="8"/>
        <v>3803</v>
      </c>
      <c r="X59" s="1">
        <f t="shared" si="4"/>
        <v>0.05</v>
      </c>
      <c r="Y59" s="1">
        <f t="shared" si="5"/>
        <v>1.5</v>
      </c>
      <c r="Z59" s="1">
        <f t="shared" si="9"/>
        <v>0.9</v>
      </c>
    </row>
    <row r="60" spans="20:26" ht="14.25" customHeight="1" x14ac:dyDescent="0.2">
      <c r="T60" s="1">
        <v>58</v>
      </c>
      <c r="U60" s="1">
        <f t="shared" si="6"/>
        <v>1135</v>
      </c>
      <c r="V60" s="1">
        <f t="shared" si="7"/>
        <v>35600</v>
      </c>
      <c r="W60" s="1">
        <f t="shared" si="8"/>
        <v>3994</v>
      </c>
      <c r="X60" s="1">
        <f t="shared" si="4"/>
        <v>0.05</v>
      </c>
      <c r="Y60" s="1">
        <f t="shared" si="5"/>
        <v>1.5</v>
      </c>
      <c r="Z60" s="1">
        <f t="shared" si="9"/>
        <v>0.9</v>
      </c>
    </row>
    <row r="61" spans="20:26" ht="14.25" customHeight="1" x14ac:dyDescent="0.2">
      <c r="T61" s="1">
        <v>59</v>
      </c>
      <c r="U61" s="1">
        <f t="shared" si="6"/>
        <v>1191</v>
      </c>
      <c r="V61" s="1">
        <f t="shared" si="7"/>
        <v>37162</v>
      </c>
      <c r="W61" s="1">
        <f t="shared" si="8"/>
        <v>4193</v>
      </c>
      <c r="X61" s="1">
        <f t="shared" si="4"/>
        <v>0.05</v>
      </c>
      <c r="Y61" s="1">
        <f t="shared" si="5"/>
        <v>1.5</v>
      </c>
      <c r="Z61" s="1">
        <f t="shared" si="9"/>
        <v>0.9</v>
      </c>
    </row>
    <row r="62" spans="20:26" ht="14.25" customHeight="1" x14ac:dyDescent="0.2">
      <c r="T62" s="1">
        <v>60</v>
      </c>
      <c r="U62" s="1">
        <f t="shared" si="6"/>
        <v>1251</v>
      </c>
      <c r="V62" s="1">
        <f t="shared" si="7"/>
        <v>38782</v>
      </c>
      <c r="W62" s="1">
        <f t="shared" si="8"/>
        <v>4403</v>
      </c>
      <c r="X62" s="1">
        <f t="shared" si="4"/>
        <v>0.05</v>
      </c>
      <c r="Y62" s="1">
        <f t="shared" si="5"/>
        <v>1.5</v>
      </c>
      <c r="Z62" s="1">
        <f t="shared" si="9"/>
        <v>0.9</v>
      </c>
    </row>
    <row r="63" spans="20:26" ht="14.25" customHeight="1" x14ac:dyDescent="0.2">
      <c r="T63" s="1">
        <v>61</v>
      </c>
      <c r="U63" s="1">
        <f t="shared" si="6"/>
        <v>1313</v>
      </c>
      <c r="V63" s="1">
        <f t="shared" si="7"/>
        <v>40463</v>
      </c>
      <c r="W63" s="1">
        <f t="shared" si="8"/>
        <v>4623</v>
      </c>
      <c r="X63" s="1">
        <f t="shared" si="4"/>
        <v>0.05</v>
      </c>
      <c r="Y63" s="1">
        <f t="shared" si="5"/>
        <v>1.5</v>
      </c>
      <c r="Z63" s="1">
        <f t="shared" si="9"/>
        <v>0.9</v>
      </c>
    </row>
    <row r="64" spans="20:26" ht="14.25" customHeight="1" x14ac:dyDescent="0.2">
      <c r="T64" s="1">
        <v>62</v>
      </c>
      <c r="U64" s="1">
        <f t="shared" si="6"/>
        <v>1379</v>
      </c>
      <c r="V64" s="1">
        <f t="shared" si="7"/>
        <v>42204</v>
      </c>
      <c r="W64" s="1">
        <f t="shared" si="8"/>
        <v>4854</v>
      </c>
      <c r="X64" s="1">
        <f t="shared" si="4"/>
        <v>0.05</v>
      </c>
      <c r="Y64" s="1">
        <f t="shared" si="5"/>
        <v>1.5</v>
      </c>
      <c r="Z64" s="1">
        <f t="shared" si="9"/>
        <v>0.9</v>
      </c>
    </row>
    <row r="65" spans="20:26" ht="14.25" customHeight="1" x14ac:dyDescent="0.2">
      <c r="T65" s="1">
        <v>63</v>
      </c>
      <c r="U65" s="1">
        <f t="shared" si="6"/>
        <v>1448</v>
      </c>
      <c r="V65" s="1">
        <f t="shared" si="7"/>
        <v>44008</v>
      </c>
      <c r="W65" s="1">
        <f t="shared" si="8"/>
        <v>5097</v>
      </c>
      <c r="X65" s="1">
        <f t="shared" si="4"/>
        <v>0.05</v>
      </c>
      <c r="Y65" s="1">
        <f t="shared" si="5"/>
        <v>1.5</v>
      </c>
      <c r="Z65" s="1">
        <f t="shared" si="9"/>
        <v>0.9</v>
      </c>
    </row>
    <row r="66" spans="20:26" ht="14.25" customHeight="1" x14ac:dyDescent="0.2">
      <c r="T66" s="1">
        <v>64</v>
      </c>
      <c r="U66" s="1">
        <f t="shared" si="6"/>
        <v>1520</v>
      </c>
      <c r="V66" s="1">
        <f t="shared" si="7"/>
        <v>45875</v>
      </c>
      <c r="W66" s="1">
        <f t="shared" si="8"/>
        <v>5352</v>
      </c>
      <c r="X66" s="1">
        <f t="shared" si="4"/>
        <v>0.05</v>
      </c>
      <c r="Y66" s="1">
        <f t="shared" si="5"/>
        <v>1.5</v>
      </c>
      <c r="Z66" s="1">
        <f t="shared" si="9"/>
        <v>0.9</v>
      </c>
    </row>
    <row r="67" spans="20:26" ht="14.25" customHeight="1" x14ac:dyDescent="0.2">
      <c r="T67" s="1">
        <v>65</v>
      </c>
      <c r="U67" s="1">
        <f t="shared" ref="U67:U102" si="10">ROUND(VLOOKUP($U$1,$E:$R,MATCH(U$2,$E$15:$R$15,0),0)*$C$6^($T67-1)*$C$13*VLOOKUP($V$1,$B:$C,2,0),0)</f>
        <v>1596</v>
      </c>
      <c r="V67" s="1">
        <f t="shared" ref="V67:V102" si="11">ROUND(VLOOKUP(VLOOKUP($W$1,$K$4:$L$10,2,0),$E$4:$G$7,3,0)*$C$5*VLOOKUP($U$1,$E:$R,MATCH("生命偏向",$E$15:$R$15,0),0)/(1+VLOOKUP($U$1,$E:$R,MATCH($W$2,$E$15:$R$15,0),0)*$C$6^($T67-1)/$C$8)*$C$6^($T67-1)*$C$13*VLOOKUP($V$1,$B:$C,2,0),0)</f>
        <v>47807</v>
      </c>
      <c r="W67" s="1">
        <f t="shared" ref="W67:W102" si="12">ROUND(VLOOKUP($U$1,$E:$R,MATCH(W$2,$E$15:$R$15,0),0)*$C$6^($T67-1)*$C$13*VLOOKUP($V$1,$B:$C,2,0),0)</f>
        <v>5619</v>
      </c>
      <c r="X67" s="1">
        <f t="shared" si="4"/>
        <v>0.05</v>
      </c>
      <c r="Y67" s="1">
        <f t="shared" si="5"/>
        <v>1.5</v>
      </c>
      <c r="Z67" s="1">
        <f t="shared" ref="Z67:Z102" si="13">VLOOKUP($U$1,$E:$R,MATCH(Z$2,$E$15:$R$15,0),0)</f>
        <v>0.9</v>
      </c>
    </row>
    <row r="68" spans="20:26" ht="14.25" customHeight="1" x14ac:dyDescent="0.2">
      <c r="T68" s="1">
        <v>66</v>
      </c>
      <c r="U68" s="1">
        <f t="shared" si="10"/>
        <v>1676</v>
      </c>
      <c r="V68" s="1">
        <f t="shared" si="11"/>
        <v>49804</v>
      </c>
      <c r="W68" s="1">
        <f t="shared" si="12"/>
        <v>5900</v>
      </c>
      <c r="X68" s="1">
        <f t="shared" ref="X68:X102" si="14">$X$1</f>
        <v>0.05</v>
      </c>
      <c r="Y68" s="1">
        <f t="shared" ref="Y68:Y102" si="15">$Y$1</f>
        <v>1.5</v>
      </c>
      <c r="Z68" s="1">
        <f t="shared" si="13"/>
        <v>0.9</v>
      </c>
    </row>
    <row r="69" spans="20:26" ht="14.25" customHeight="1" x14ac:dyDescent="0.2">
      <c r="T69" s="1">
        <v>67</v>
      </c>
      <c r="U69" s="1">
        <f t="shared" si="10"/>
        <v>1760</v>
      </c>
      <c r="V69" s="1">
        <f t="shared" si="11"/>
        <v>51868</v>
      </c>
      <c r="W69" s="1">
        <f t="shared" si="12"/>
        <v>6195</v>
      </c>
      <c r="X69" s="1">
        <f t="shared" si="14"/>
        <v>0.05</v>
      </c>
      <c r="Y69" s="1">
        <f t="shared" si="15"/>
        <v>1.5</v>
      </c>
      <c r="Z69" s="1">
        <f t="shared" si="13"/>
        <v>0.9</v>
      </c>
    </row>
    <row r="70" spans="20:26" ht="14.25" customHeight="1" x14ac:dyDescent="0.2">
      <c r="T70" s="1">
        <v>68</v>
      </c>
      <c r="U70" s="1">
        <f t="shared" si="10"/>
        <v>1848</v>
      </c>
      <c r="V70" s="1">
        <f t="shared" si="11"/>
        <v>54000</v>
      </c>
      <c r="W70" s="1">
        <f t="shared" si="12"/>
        <v>6505</v>
      </c>
      <c r="X70" s="1">
        <f t="shared" si="14"/>
        <v>0.05</v>
      </c>
      <c r="Y70" s="1">
        <f t="shared" si="15"/>
        <v>1.5</v>
      </c>
      <c r="Z70" s="1">
        <f t="shared" si="13"/>
        <v>0.9</v>
      </c>
    </row>
    <row r="71" spans="20:26" ht="14.25" customHeight="1" x14ac:dyDescent="0.2">
      <c r="T71" s="1">
        <v>69</v>
      </c>
      <c r="U71" s="1">
        <f t="shared" si="10"/>
        <v>1940</v>
      </c>
      <c r="V71" s="1">
        <f t="shared" si="11"/>
        <v>56199</v>
      </c>
      <c r="W71" s="1">
        <f t="shared" si="12"/>
        <v>6830</v>
      </c>
      <c r="X71" s="1">
        <f t="shared" si="14"/>
        <v>0.05</v>
      </c>
      <c r="Y71" s="1">
        <f t="shared" si="15"/>
        <v>1.5</v>
      </c>
      <c r="Z71" s="1">
        <f t="shared" si="13"/>
        <v>0.9</v>
      </c>
    </row>
    <row r="72" spans="20:26" ht="14.25" customHeight="1" x14ac:dyDescent="0.2">
      <c r="T72" s="1">
        <v>70</v>
      </c>
      <c r="U72" s="1">
        <f t="shared" si="10"/>
        <v>2037</v>
      </c>
      <c r="V72" s="1">
        <f t="shared" si="11"/>
        <v>58467</v>
      </c>
      <c r="W72" s="1">
        <f t="shared" si="12"/>
        <v>7172</v>
      </c>
      <c r="X72" s="1">
        <f t="shared" si="14"/>
        <v>0.05</v>
      </c>
      <c r="Y72" s="1">
        <f t="shared" si="15"/>
        <v>1.5</v>
      </c>
      <c r="Z72" s="1">
        <f t="shared" si="13"/>
        <v>0.9</v>
      </c>
    </row>
    <row r="73" spans="20:26" ht="14.25" customHeight="1" x14ac:dyDescent="0.2">
      <c r="T73" s="1">
        <v>71</v>
      </c>
      <c r="U73" s="1">
        <f t="shared" si="10"/>
        <v>2139</v>
      </c>
      <c r="V73" s="1">
        <f t="shared" si="11"/>
        <v>60803</v>
      </c>
      <c r="W73" s="1">
        <f t="shared" si="12"/>
        <v>7531</v>
      </c>
      <c r="X73" s="1">
        <f t="shared" si="14"/>
        <v>0.05</v>
      </c>
      <c r="Y73" s="1">
        <f t="shared" si="15"/>
        <v>1.5</v>
      </c>
      <c r="Z73" s="1">
        <f t="shared" si="13"/>
        <v>0.9</v>
      </c>
    </row>
    <row r="74" spans="20:26" ht="14.25" customHeight="1" x14ac:dyDescent="0.2">
      <c r="T74" s="1">
        <v>72</v>
      </c>
      <c r="U74" s="1">
        <f t="shared" si="10"/>
        <v>2246</v>
      </c>
      <c r="V74" s="1">
        <f t="shared" si="11"/>
        <v>63209</v>
      </c>
      <c r="W74" s="1">
        <f t="shared" si="12"/>
        <v>7907</v>
      </c>
      <c r="X74" s="1">
        <f t="shared" si="14"/>
        <v>0.05</v>
      </c>
      <c r="Y74" s="1">
        <f t="shared" si="15"/>
        <v>1.5</v>
      </c>
      <c r="Z74" s="1">
        <f t="shared" si="13"/>
        <v>0.9</v>
      </c>
    </row>
    <row r="75" spans="20:26" ht="14.25" customHeight="1" x14ac:dyDescent="0.2">
      <c r="T75" s="1">
        <v>73</v>
      </c>
      <c r="U75" s="1">
        <f t="shared" si="10"/>
        <v>2359</v>
      </c>
      <c r="V75" s="1">
        <f t="shared" si="11"/>
        <v>65685</v>
      </c>
      <c r="W75" s="1">
        <f t="shared" si="12"/>
        <v>8302</v>
      </c>
      <c r="X75" s="1">
        <f t="shared" si="14"/>
        <v>0.05</v>
      </c>
      <c r="Y75" s="1">
        <f t="shared" si="15"/>
        <v>1.5</v>
      </c>
      <c r="Z75" s="1">
        <f t="shared" si="13"/>
        <v>0.9</v>
      </c>
    </row>
    <row r="76" spans="20:26" ht="14.25" customHeight="1" x14ac:dyDescent="0.2">
      <c r="T76" s="1">
        <v>74</v>
      </c>
      <c r="U76" s="1">
        <f t="shared" si="10"/>
        <v>2477</v>
      </c>
      <c r="V76" s="1">
        <f t="shared" si="11"/>
        <v>68230</v>
      </c>
      <c r="W76" s="1">
        <f t="shared" si="12"/>
        <v>8718</v>
      </c>
      <c r="X76" s="1">
        <f t="shared" si="14"/>
        <v>0.05</v>
      </c>
      <c r="Y76" s="1">
        <f t="shared" si="15"/>
        <v>1.5</v>
      </c>
      <c r="Z76" s="1">
        <f t="shared" si="13"/>
        <v>0.9</v>
      </c>
    </row>
    <row r="77" spans="20:26" ht="14.25" customHeight="1" x14ac:dyDescent="0.2">
      <c r="T77" s="1">
        <v>75</v>
      </c>
      <c r="U77" s="1">
        <f t="shared" si="10"/>
        <v>2600</v>
      </c>
      <c r="V77" s="1">
        <f t="shared" si="11"/>
        <v>70843</v>
      </c>
      <c r="W77" s="1">
        <f t="shared" si="12"/>
        <v>9153</v>
      </c>
      <c r="X77" s="1">
        <f t="shared" si="14"/>
        <v>0.05</v>
      </c>
      <c r="Y77" s="1">
        <f t="shared" si="15"/>
        <v>1.5</v>
      </c>
      <c r="Z77" s="1">
        <f t="shared" si="13"/>
        <v>0.9</v>
      </c>
    </row>
    <row r="78" spans="20:26" ht="14.25" customHeight="1" x14ac:dyDescent="0.2">
      <c r="T78" s="1">
        <v>76</v>
      </c>
      <c r="U78" s="1">
        <f t="shared" si="10"/>
        <v>2730</v>
      </c>
      <c r="V78" s="1">
        <f t="shared" si="11"/>
        <v>73526</v>
      </c>
      <c r="W78" s="1">
        <f t="shared" si="12"/>
        <v>9611</v>
      </c>
      <c r="X78" s="1">
        <f t="shared" si="14"/>
        <v>0.05</v>
      </c>
      <c r="Y78" s="1">
        <f t="shared" si="15"/>
        <v>1.5</v>
      </c>
      <c r="Z78" s="1">
        <f t="shared" si="13"/>
        <v>0.9</v>
      </c>
    </row>
    <row r="79" spans="20:26" ht="14.25" customHeight="1" x14ac:dyDescent="0.2">
      <c r="T79" s="1">
        <v>77</v>
      </c>
      <c r="U79" s="1">
        <f t="shared" si="10"/>
        <v>2867</v>
      </c>
      <c r="V79" s="1">
        <f t="shared" si="11"/>
        <v>76277</v>
      </c>
      <c r="W79" s="1">
        <f t="shared" si="12"/>
        <v>10092</v>
      </c>
      <c r="X79" s="1">
        <f t="shared" si="14"/>
        <v>0.05</v>
      </c>
      <c r="Y79" s="1">
        <f t="shared" si="15"/>
        <v>1.5</v>
      </c>
      <c r="Z79" s="1">
        <f t="shared" si="13"/>
        <v>0.9</v>
      </c>
    </row>
    <row r="80" spans="20:26" ht="14.25" customHeight="1" x14ac:dyDescent="0.2">
      <c r="T80" s="1">
        <v>78</v>
      </c>
      <c r="U80" s="1">
        <f t="shared" si="10"/>
        <v>3010</v>
      </c>
      <c r="V80" s="1">
        <f t="shared" si="11"/>
        <v>79095</v>
      </c>
      <c r="W80" s="1">
        <f t="shared" si="12"/>
        <v>10596</v>
      </c>
      <c r="X80" s="1">
        <f t="shared" si="14"/>
        <v>0.05</v>
      </c>
      <c r="Y80" s="1">
        <f t="shared" si="15"/>
        <v>1.5</v>
      </c>
      <c r="Z80" s="1">
        <f t="shared" si="13"/>
        <v>0.9</v>
      </c>
    </row>
    <row r="81" spans="20:26" ht="14.25" customHeight="1" x14ac:dyDescent="0.2">
      <c r="T81" s="1">
        <v>79</v>
      </c>
      <c r="U81" s="1">
        <f t="shared" si="10"/>
        <v>3161</v>
      </c>
      <c r="V81" s="1">
        <f t="shared" si="11"/>
        <v>81980</v>
      </c>
      <c r="W81" s="1">
        <f t="shared" si="12"/>
        <v>11126</v>
      </c>
      <c r="X81" s="1">
        <f t="shared" si="14"/>
        <v>0.05</v>
      </c>
      <c r="Y81" s="1">
        <f t="shared" si="15"/>
        <v>1.5</v>
      </c>
      <c r="Z81" s="1">
        <f t="shared" si="13"/>
        <v>0.9</v>
      </c>
    </row>
    <row r="82" spans="20:26" ht="14.25" customHeight="1" x14ac:dyDescent="0.2">
      <c r="T82" s="1">
        <v>80</v>
      </c>
      <c r="U82" s="1">
        <f t="shared" si="10"/>
        <v>3319</v>
      </c>
      <c r="V82" s="1">
        <f t="shared" si="11"/>
        <v>84931</v>
      </c>
      <c r="W82" s="1">
        <f t="shared" si="12"/>
        <v>11682</v>
      </c>
      <c r="X82" s="1">
        <f t="shared" si="14"/>
        <v>0.05</v>
      </c>
      <c r="Y82" s="1">
        <f t="shared" si="15"/>
        <v>1.5</v>
      </c>
      <c r="Z82" s="1">
        <f t="shared" si="13"/>
        <v>0.9</v>
      </c>
    </row>
    <row r="83" spans="20:26" ht="14.25" customHeight="1" x14ac:dyDescent="0.2">
      <c r="T83" s="1">
        <v>81</v>
      </c>
      <c r="U83" s="1">
        <f t="shared" si="10"/>
        <v>3485</v>
      </c>
      <c r="V83" s="1">
        <f t="shared" si="11"/>
        <v>87945</v>
      </c>
      <c r="W83" s="1">
        <f t="shared" si="12"/>
        <v>12266</v>
      </c>
      <c r="X83" s="1">
        <f t="shared" si="14"/>
        <v>0.05</v>
      </c>
      <c r="Y83" s="1">
        <f t="shared" si="15"/>
        <v>1.5</v>
      </c>
      <c r="Z83" s="1">
        <f t="shared" si="13"/>
        <v>0.9</v>
      </c>
    </row>
    <row r="84" spans="20:26" ht="14.25" customHeight="1" x14ac:dyDescent="0.2">
      <c r="T84" s="1">
        <v>82</v>
      </c>
      <c r="U84" s="1">
        <f t="shared" si="10"/>
        <v>3659</v>
      </c>
      <c r="V84" s="1">
        <f t="shared" si="11"/>
        <v>91021</v>
      </c>
      <c r="W84" s="1">
        <f t="shared" si="12"/>
        <v>12880</v>
      </c>
      <c r="X84" s="1">
        <f t="shared" si="14"/>
        <v>0.05</v>
      </c>
      <c r="Y84" s="1">
        <f t="shared" si="15"/>
        <v>1.5</v>
      </c>
      <c r="Z84" s="1">
        <f t="shared" si="13"/>
        <v>0.9</v>
      </c>
    </row>
    <row r="85" spans="20:26" ht="14.25" customHeight="1" x14ac:dyDescent="0.2">
      <c r="T85" s="1">
        <v>83</v>
      </c>
      <c r="U85" s="1">
        <f t="shared" si="10"/>
        <v>3842</v>
      </c>
      <c r="V85" s="1">
        <f t="shared" si="11"/>
        <v>94158</v>
      </c>
      <c r="W85" s="1">
        <f t="shared" si="12"/>
        <v>13524</v>
      </c>
      <c r="X85" s="1">
        <f t="shared" si="14"/>
        <v>0.05</v>
      </c>
      <c r="Y85" s="1">
        <f t="shared" si="15"/>
        <v>1.5</v>
      </c>
      <c r="Z85" s="1">
        <f t="shared" si="13"/>
        <v>0.9</v>
      </c>
    </row>
    <row r="86" spans="20:26" ht="14.25" customHeight="1" x14ac:dyDescent="0.2">
      <c r="T86" s="1">
        <v>84</v>
      </c>
      <c r="U86" s="1">
        <f t="shared" si="10"/>
        <v>4034</v>
      </c>
      <c r="V86" s="1">
        <f t="shared" si="11"/>
        <v>97353</v>
      </c>
      <c r="W86" s="1">
        <f t="shared" si="12"/>
        <v>14200</v>
      </c>
      <c r="X86" s="1">
        <f t="shared" si="14"/>
        <v>0.05</v>
      </c>
      <c r="Y86" s="1">
        <f t="shared" si="15"/>
        <v>1.5</v>
      </c>
      <c r="Z86" s="1">
        <f t="shared" si="13"/>
        <v>0.9</v>
      </c>
    </row>
    <row r="87" spans="20:26" ht="14.25" customHeight="1" x14ac:dyDescent="0.2">
      <c r="T87" s="1">
        <v>85</v>
      </c>
      <c r="U87" s="1">
        <f t="shared" si="10"/>
        <v>4236</v>
      </c>
      <c r="V87" s="1">
        <f t="shared" si="11"/>
        <v>100605</v>
      </c>
      <c r="W87" s="1">
        <f t="shared" si="12"/>
        <v>14910</v>
      </c>
      <c r="X87" s="1">
        <f t="shared" si="14"/>
        <v>0.05</v>
      </c>
      <c r="Y87" s="1">
        <f t="shared" si="15"/>
        <v>1.5</v>
      </c>
      <c r="Z87" s="1">
        <f t="shared" si="13"/>
        <v>0.9</v>
      </c>
    </row>
    <row r="88" spans="20:26" ht="14.25" customHeight="1" x14ac:dyDescent="0.2">
      <c r="T88" s="1">
        <v>86</v>
      </c>
      <c r="U88" s="1">
        <f t="shared" si="10"/>
        <v>4448</v>
      </c>
      <c r="V88" s="1">
        <f t="shared" si="11"/>
        <v>103910</v>
      </c>
      <c r="W88" s="1">
        <f t="shared" si="12"/>
        <v>15655</v>
      </c>
      <c r="X88" s="1">
        <f t="shared" si="14"/>
        <v>0.05</v>
      </c>
      <c r="Y88" s="1">
        <f t="shared" si="15"/>
        <v>1.5</v>
      </c>
      <c r="Z88" s="1">
        <f t="shared" si="13"/>
        <v>0.9</v>
      </c>
    </row>
    <row r="89" spans="20:26" ht="14.25" customHeight="1" x14ac:dyDescent="0.2">
      <c r="T89" s="1">
        <v>87</v>
      </c>
      <c r="U89" s="1">
        <f t="shared" si="10"/>
        <v>4670</v>
      </c>
      <c r="V89" s="1">
        <f t="shared" si="11"/>
        <v>107267</v>
      </c>
      <c r="W89" s="1">
        <f t="shared" si="12"/>
        <v>16438</v>
      </c>
      <c r="X89" s="1">
        <f t="shared" si="14"/>
        <v>0.05</v>
      </c>
      <c r="Y89" s="1">
        <f t="shared" si="15"/>
        <v>1.5</v>
      </c>
      <c r="Z89" s="1">
        <f t="shared" si="13"/>
        <v>0.9</v>
      </c>
    </row>
    <row r="90" spans="20:26" ht="14.25" customHeight="1" x14ac:dyDescent="0.2">
      <c r="T90" s="1">
        <v>88</v>
      </c>
      <c r="U90" s="1">
        <f t="shared" si="10"/>
        <v>4903</v>
      </c>
      <c r="V90" s="1">
        <f t="shared" si="11"/>
        <v>110671</v>
      </c>
      <c r="W90" s="1">
        <f t="shared" si="12"/>
        <v>17260</v>
      </c>
      <c r="X90" s="1">
        <f t="shared" si="14"/>
        <v>0.05</v>
      </c>
      <c r="Y90" s="1">
        <f t="shared" si="15"/>
        <v>1.5</v>
      </c>
      <c r="Z90" s="1">
        <f t="shared" si="13"/>
        <v>0.9</v>
      </c>
    </row>
    <row r="91" spans="20:26" ht="14.25" customHeight="1" x14ac:dyDescent="0.2">
      <c r="T91" s="1">
        <v>89</v>
      </c>
      <c r="U91" s="1">
        <f t="shared" si="10"/>
        <v>5149</v>
      </c>
      <c r="V91" s="1">
        <f t="shared" si="11"/>
        <v>114121</v>
      </c>
      <c r="W91" s="1">
        <f t="shared" si="12"/>
        <v>18123</v>
      </c>
      <c r="X91" s="1">
        <f t="shared" si="14"/>
        <v>0.05</v>
      </c>
      <c r="Y91" s="1">
        <f t="shared" si="15"/>
        <v>1.5</v>
      </c>
      <c r="Z91" s="1">
        <f t="shared" si="13"/>
        <v>0.9</v>
      </c>
    </row>
    <row r="92" spans="20:26" ht="14.25" customHeight="1" x14ac:dyDescent="0.2">
      <c r="T92" s="1">
        <v>90</v>
      </c>
      <c r="U92" s="1">
        <f t="shared" si="10"/>
        <v>5406</v>
      </c>
      <c r="V92" s="1">
        <f t="shared" si="11"/>
        <v>117612</v>
      </c>
      <c r="W92" s="1">
        <f t="shared" si="12"/>
        <v>19029</v>
      </c>
      <c r="X92" s="1">
        <f t="shared" si="14"/>
        <v>0.05</v>
      </c>
      <c r="Y92" s="1">
        <f t="shared" si="15"/>
        <v>1.5</v>
      </c>
      <c r="Z92" s="1">
        <f t="shared" si="13"/>
        <v>0.9</v>
      </c>
    </row>
    <row r="93" spans="20:26" ht="14.25" customHeight="1" x14ac:dyDescent="0.2">
      <c r="T93" s="1">
        <v>91</v>
      </c>
      <c r="U93" s="1">
        <f t="shared" si="10"/>
        <v>5676</v>
      </c>
      <c r="V93" s="1">
        <f t="shared" si="11"/>
        <v>121142</v>
      </c>
      <c r="W93" s="1">
        <f t="shared" si="12"/>
        <v>19981</v>
      </c>
      <c r="X93" s="1">
        <f t="shared" si="14"/>
        <v>0.05</v>
      </c>
      <c r="Y93" s="1">
        <f t="shared" si="15"/>
        <v>1.5</v>
      </c>
      <c r="Z93" s="1">
        <f t="shared" si="13"/>
        <v>0.9</v>
      </c>
    </row>
    <row r="94" spans="20:26" ht="14.25" customHeight="1" x14ac:dyDescent="0.2">
      <c r="T94" s="1">
        <v>92</v>
      </c>
      <c r="U94" s="1">
        <f t="shared" si="10"/>
        <v>5960</v>
      </c>
      <c r="V94" s="1">
        <f t="shared" si="11"/>
        <v>124707</v>
      </c>
      <c r="W94" s="1">
        <f t="shared" si="12"/>
        <v>20980</v>
      </c>
      <c r="X94" s="1">
        <f t="shared" si="14"/>
        <v>0.05</v>
      </c>
      <c r="Y94" s="1">
        <f t="shared" si="15"/>
        <v>1.5</v>
      </c>
      <c r="Z94" s="1">
        <f t="shared" si="13"/>
        <v>0.9</v>
      </c>
    </row>
    <row r="95" spans="20:26" ht="14.25" customHeight="1" x14ac:dyDescent="0.2">
      <c r="T95" s="1">
        <v>93</v>
      </c>
      <c r="U95" s="1">
        <f t="shared" si="10"/>
        <v>6258</v>
      </c>
      <c r="V95" s="1">
        <f t="shared" si="11"/>
        <v>128302</v>
      </c>
      <c r="W95" s="1">
        <f t="shared" si="12"/>
        <v>22029</v>
      </c>
      <c r="X95" s="1">
        <f t="shared" si="14"/>
        <v>0.05</v>
      </c>
      <c r="Y95" s="1">
        <f t="shared" si="15"/>
        <v>1.5</v>
      </c>
      <c r="Z95" s="1">
        <f t="shared" si="13"/>
        <v>0.9</v>
      </c>
    </row>
    <row r="96" spans="20:26" ht="14.25" customHeight="1" x14ac:dyDescent="0.2">
      <c r="T96" s="1">
        <v>94</v>
      </c>
      <c r="U96" s="1">
        <f t="shared" si="10"/>
        <v>6571</v>
      </c>
      <c r="V96" s="1">
        <f t="shared" si="11"/>
        <v>131924</v>
      </c>
      <c r="W96" s="1">
        <f t="shared" si="12"/>
        <v>23130</v>
      </c>
      <c r="X96" s="1">
        <f t="shared" si="14"/>
        <v>0.05</v>
      </c>
      <c r="Y96" s="1">
        <f t="shared" si="15"/>
        <v>1.5</v>
      </c>
      <c r="Z96" s="1">
        <f t="shared" si="13"/>
        <v>0.9</v>
      </c>
    </row>
    <row r="97" spans="20:26" ht="14.25" customHeight="1" x14ac:dyDescent="0.2">
      <c r="T97" s="1">
        <v>95</v>
      </c>
      <c r="U97" s="1">
        <f t="shared" si="10"/>
        <v>6900</v>
      </c>
      <c r="V97" s="1">
        <f t="shared" si="11"/>
        <v>135569</v>
      </c>
      <c r="W97" s="1">
        <f t="shared" si="12"/>
        <v>24287</v>
      </c>
      <c r="X97" s="1">
        <f t="shared" si="14"/>
        <v>0.05</v>
      </c>
      <c r="Y97" s="1">
        <f t="shared" si="15"/>
        <v>1.5</v>
      </c>
      <c r="Z97" s="1">
        <f t="shared" si="13"/>
        <v>0.9</v>
      </c>
    </row>
    <row r="98" spans="20:26" ht="14.25" customHeight="1" x14ac:dyDescent="0.2">
      <c r="T98" s="1">
        <v>96</v>
      </c>
      <c r="U98" s="1">
        <f t="shared" si="10"/>
        <v>7245</v>
      </c>
      <c r="V98" s="1">
        <f t="shared" si="11"/>
        <v>139233</v>
      </c>
      <c r="W98" s="1">
        <f t="shared" si="12"/>
        <v>25501</v>
      </c>
      <c r="X98" s="1">
        <f t="shared" si="14"/>
        <v>0.05</v>
      </c>
      <c r="Y98" s="1">
        <f t="shared" si="15"/>
        <v>1.5</v>
      </c>
      <c r="Z98" s="1">
        <f t="shared" si="13"/>
        <v>0.9</v>
      </c>
    </row>
    <row r="99" spans="20:26" ht="14.25" customHeight="1" x14ac:dyDescent="0.2">
      <c r="T99" s="1">
        <v>97</v>
      </c>
      <c r="U99" s="1">
        <f t="shared" si="10"/>
        <v>7607</v>
      </c>
      <c r="V99" s="1">
        <f t="shared" si="11"/>
        <v>142912</v>
      </c>
      <c r="W99" s="1">
        <f t="shared" si="12"/>
        <v>26776</v>
      </c>
      <c r="X99" s="1">
        <f t="shared" si="14"/>
        <v>0.05</v>
      </c>
      <c r="Y99" s="1">
        <f t="shared" si="15"/>
        <v>1.5</v>
      </c>
      <c r="Z99" s="1">
        <f t="shared" si="13"/>
        <v>0.9</v>
      </c>
    </row>
    <row r="100" spans="20:26" ht="14.25" customHeight="1" x14ac:dyDescent="0.2">
      <c r="T100" s="1">
        <v>98</v>
      </c>
      <c r="U100" s="1">
        <f t="shared" si="10"/>
        <v>7987</v>
      </c>
      <c r="V100" s="1">
        <f t="shared" si="11"/>
        <v>146601</v>
      </c>
      <c r="W100" s="1">
        <f t="shared" si="12"/>
        <v>28115</v>
      </c>
      <c r="X100" s="1">
        <f t="shared" si="14"/>
        <v>0.05</v>
      </c>
      <c r="Y100" s="1">
        <f t="shared" si="15"/>
        <v>1.5</v>
      </c>
      <c r="Z100" s="1">
        <f t="shared" si="13"/>
        <v>0.9</v>
      </c>
    </row>
    <row r="101" spans="20:26" ht="14.25" customHeight="1" x14ac:dyDescent="0.2">
      <c r="T101" s="1">
        <v>99</v>
      </c>
      <c r="U101" s="1">
        <f t="shared" si="10"/>
        <v>8387</v>
      </c>
      <c r="V101" s="1">
        <f t="shared" si="11"/>
        <v>150295</v>
      </c>
      <c r="W101" s="1">
        <f t="shared" si="12"/>
        <v>29521</v>
      </c>
      <c r="X101" s="1">
        <f t="shared" si="14"/>
        <v>0.05</v>
      </c>
      <c r="Y101" s="1">
        <f t="shared" si="15"/>
        <v>1.5</v>
      </c>
      <c r="Z101" s="1">
        <f t="shared" si="13"/>
        <v>0.9</v>
      </c>
    </row>
    <row r="102" spans="20:26" ht="14.25" customHeight="1" x14ac:dyDescent="0.2">
      <c r="T102" s="1">
        <v>100</v>
      </c>
      <c r="U102" s="1">
        <f t="shared" si="10"/>
        <v>8806</v>
      </c>
      <c r="V102" s="1">
        <f t="shared" si="11"/>
        <v>153991</v>
      </c>
      <c r="W102" s="1">
        <f t="shared" si="12"/>
        <v>30997</v>
      </c>
      <c r="X102" s="1">
        <f t="shared" si="14"/>
        <v>0.05</v>
      </c>
      <c r="Y102" s="1">
        <f t="shared" si="15"/>
        <v>1.5</v>
      </c>
      <c r="Z102" s="1">
        <f t="shared" si="13"/>
        <v>0.9</v>
      </c>
    </row>
  </sheetData>
  <mergeCells count="2">
    <mergeCell ref="I13:N13"/>
    <mergeCell ref="O13:R13"/>
  </mergeCells>
  <phoneticPr fontId="1" type="noConversion"/>
  <pageMargins left="0.7" right="0.7" top="0.75" bottom="0.75" header="0.3" footer="0.3"/>
  <pageSetup paperSize="9" orientation="portrait" r:id="rId1"/>
  <ignoredErrors>
    <ignoredError sqref="V3:V9 V10:V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E9" sqref="E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2023-01-09T08:18:42Z</dcterms:modified>
</cp:coreProperties>
</file>
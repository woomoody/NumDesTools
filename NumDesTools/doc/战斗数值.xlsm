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087C57C9-CBE4-4E3B-842A-CAC9AB229963}" xr6:coauthVersionLast="47" xr6:coauthVersionMax="47" xr10:uidLastSave="{00000000-0000-0000-0000-000000000000}"/>
  <bookViews>
    <workbookView xWindow="28680" yWindow="-75" windowWidth="29040" windowHeight="15720" activeTab="9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0" i="4" l="1"/>
  <c r="E41" i="1"/>
  <c r="E42" i="1"/>
  <c r="E43" i="1"/>
  <c r="T6" i="8"/>
  <c r="T7" i="8"/>
  <c r="T8" i="8"/>
  <c r="T9" i="8"/>
  <c r="T10" i="8"/>
  <c r="T5" i="8"/>
  <c r="H25" i="3"/>
  <c r="H26" i="3"/>
  <c r="H24" i="3"/>
  <c r="E24" i="3"/>
  <c r="R21" i="3"/>
  <c r="H23" i="3"/>
  <c r="I15" i="8"/>
  <c r="I16" i="8"/>
  <c r="I17" i="8"/>
  <c r="I18" i="8"/>
  <c r="I19" i="8"/>
  <c r="I14" i="8"/>
  <c r="N5" i="8"/>
  <c r="E23" i="3"/>
  <c r="H16" i="4"/>
  <c r="I26" i="4"/>
  <c r="Y10" i="4"/>
  <c r="H5" i="5"/>
  <c r="F5" i="5"/>
  <c r="F6" i="5"/>
  <c r="G6" i="5" s="1"/>
  <c r="F7" i="5"/>
  <c r="F8" i="5"/>
  <c r="G8" i="5" s="1"/>
  <c r="G7" i="5" l="1"/>
  <c r="D34" i="9"/>
  <c r="J34" i="9"/>
  <c r="F361" i="11"/>
  <c r="G361" i="11"/>
  <c r="G383" i="11" s="1"/>
  <c r="E361" i="11"/>
  <c r="E377" i="11" s="1"/>
  <c r="E290" i="11"/>
  <c r="F248" i="11"/>
  <c r="G248" i="11"/>
  <c r="G262" i="11" s="1"/>
  <c r="E248" i="11"/>
  <c r="E256" i="11" s="1"/>
  <c r="J354" i="11"/>
  <c r="J241" i="11"/>
  <c r="J242" i="11" s="1"/>
  <c r="G135" i="11"/>
  <c r="G137" i="11" s="1"/>
  <c r="P137" i="11" s="1"/>
  <c r="AA137" i="11" s="1"/>
  <c r="F135" i="11"/>
  <c r="E135" i="11"/>
  <c r="E142" i="11" s="1"/>
  <c r="E24" i="11"/>
  <c r="E134" i="11"/>
  <c r="J128" i="11"/>
  <c r="J129" i="11" s="1"/>
  <c r="J15" i="11"/>
  <c r="J16" i="11" s="1"/>
  <c r="J17" i="11" s="1"/>
  <c r="J18" i="11" s="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AE339" i="11"/>
  <c r="AD339" i="11"/>
  <c r="AC339" i="11"/>
  <c r="AB339" i="11"/>
  <c r="AE338" i="11"/>
  <c r="AD338" i="11"/>
  <c r="AC338" i="11"/>
  <c r="AB338" i="11"/>
  <c r="AE337" i="11"/>
  <c r="AD337" i="11"/>
  <c r="AC337" i="11"/>
  <c r="AB337" i="1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AE331" i="11"/>
  <c r="AD331" i="11"/>
  <c r="AC331" i="11"/>
  <c r="AB331" i="1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AE299" i="11"/>
  <c r="AD299" i="11"/>
  <c r="AC299" i="11"/>
  <c r="AB299" i="11"/>
  <c r="AE298" i="11"/>
  <c r="AD298" i="11"/>
  <c r="AC298" i="11"/>
  <c r="AB298" i="11"/>
  <c r="AE297" i="11"/>
  <c r="AD297" i="11"/>
  <c r="AC297" i="11"/>
  <c r="AB297" i="1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AE291" i="11"/>
  <c r="AD291" i="11"/>
  <c r="AC291" i="11"/>
  <c r="AB291" i="1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AE259" i="11"/>
  <c r="AD259" i="11"/>
  <c r="AC259" i="11"/>
  <c r="AB259" i="11"/>
  <c r="AE258" i="11"/>
  <c r="AD258" i="11"/>
  <c r="AC258" i="11"/>
  <c r="AB258" i="11"/>
  <c r="AE257" i="11"/>
  <c r="AD257" i="11"/>
  <c r="AC257" i="11"/>
  <c r="AB257" i="1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O54" i="9" s="1"/>
  <c r="AC73" i="11"/>
  <c r="P56" i="9" s="1"/>
  <c r="AD73" i="11"/>
  <c r="Q54" i="9" s="1"/>
  <c r="AE73" i="11"/>
  <c r="S53" i="9" s="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P22" i="11"/>
  <c r="K21" i="11"/>
  <c r="G26" i="11"/>
  <c r="G27" i="11"/>
  <c r="G28" i="11"/>
  <c r="P28" i="11" s="1"/>
  <c r="G29" i="11"/>
  <c r="P29" i="11" s="1"/>
  <c r="G30" i="11"/>
  <c r="P30" i="11" s="1"/>
  <c r="G31" i="11"/>
  <c r="P31" i="11" s="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G38" i="11"/>
  <c r="G39" i="11"/>
  <c r="G40" i="11"/>
  <c r="G41" i="11"/>
  <c r="G42" i="11"/>
  <c r="G43" i="11"/>
  <c r="G44" i="11"/>
  <c r="G45" i="11"/>
  <c r="G46" i="11"/>
  <c r="G47" i="1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G58" i="11"/>
  <c r="G59" i="11"/>
  <c r="G60" i="11"/>
  <c r="G61" i="11"/>
  <c r="G62" i="11"/>
  <c r="G63" i="11"/>
  <c r="G64" i="11"/>
  <c r="G65" i="11"/>
  <c r="G66" i="11"/>
  <c r="G67" i="1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G78" i="11"/>
  <c r="G79" i="11"/>
  <c r="G80" i="11"/>
  <c r="G81" i="11"/>
  <c r="G82" i="11"/>
  <c r="G83" i="11"/>
  <c r="G84" i="11"/>
  <c r="G85" i="11"/>
  <c r="P85" i="11" s="1"/>
  <c r="G86" i="11"/>
  <c r="G87" i="1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G118" i="11"/>
  <c r="G119" i="11"/>
  <c r="G120" i="11"/>
  <c r="G121" i="11"/>
  <c r="G122" i="11"/>
  <c r="G123" i="11"/>
  <c r="G25" i="11"/>
  <c r="G24" i="11"/>
  <c r="F22" i="11"/>
  <c r="G22" i="11"/>
  <c r="E22" i="11"/>
  <c r="E25" i="3"/>
  <c r="G23" i="3"/>
  <c r="E7" i="11"/>
  <c r="F7" i="11"/>
  <c r="F130" i="11" s="1"/>
  <c r="G7" i="11"/>
  <c r="E8" i="11"/>
  <c r="F8" i="11"/>
  <c r="F15" i="11" s="1"/>
  <c r="G8" i="11"/>
  <c r="E9" i="11"/>
  <c r="F9" i="11"/>
  <c r="F356" i="11" s="1"/>
  <c r="G9" i="11"/>
  <c r="G131" i="11" s="1"/>
  <c r="E10" i="11"/>
  <c r="E18" i="11" s="1"/>
  <c r="F10" i="11"/>
  <c r="F357" i="11" s="1"/>
  <c r="G10" i="11"/>
  <c r="G244" i="11" s="1"/>
  <c r="F6" i="11"/>
  <c r="F14" i="11" s="1"/>
  <c r="G6" i="11"/>
  <c r="E6" i="11"/>
  <c r="F25" i="3"/>
  <c r="F24" i="3"/>
  <c r="F23" i="3"/>
  <c r="E291" i="11" l="1"/>
  <c r="E341" i="11"/>
  <c r="E266" i="11"/>
  <c r="E274" i="11"/>
  <c r="E333" i="11"/>
  <c r="E332" i="11"/>
  <c r="E259" i="11"/>
  <c r="E331" i="11"/>
  <c r="E251" i="11"/>
  <c r="E319" i="11"/>
  <c r="E315" i="11"/>
  <c r="E346" i="11"/>
  <c r="E320" i="11"/>
  <c r="E314" i="11"/>
  <c r="E436" i="11"/>
  <c r="E307" i="11"/>
  <c r="G435" i="11"/>
  <c r="P435" i="11" s="1"/>
  <c r="AA435" i="11" s="1"/>
  <c r="E306" i="11"/>
  <c r="E391" i="11"/>
  <c r="E302" i="11"/>
  <c r="E275" i="11"/>
  <c r="E273" i="11"/>
  <c r="E261" i="11"/>
  <c r="E301" i="11"/>
  <c r="E288" i="11"/>
  <c r="E279" i="11"/>
  <c r="E347" i="11"/>
  <c r="E292" i="11"/>
  <c r="G345" i="11"/>
  <c r="G287" i="11"/>
  <c r="P287" i="11" s="1"/>
  <c r="AA287" i="11" s="1"/>
  <c r="G259" i="11"/>
  <c r="G314" i="11"/>
  <c r="G341" i="11"/>
  <c r="P341" i="11" s="1"/>
  <c r="AA341" i="11" s="1"/>
  <c r="G278" i="11"/>
  <c r="G316" i="11"/>
  <c r="P316" i="11" s="1"/>
  <c r="AA316" i="11" s="1"/>
  <c r="G343" i="11"/>
  <c r="P343" i="11" s="1"/>
  <c r="AA343" i="11" s="1"/>
  <c r="G307" i="11"/>
  <c r="P307" i="11" s="1"/>
  <c r="AA307" i="11" s="1"/>
  <c r="G277" i="11"/>
  <c r="P277" i="11" s="1"/>
  <c r="AA277" i="11" s="1"/>
  <c r="E452" i="11"/>
  <c r="G319" i="11"/>
  <c r="P319" i="11" s="1"/>
  <c r="AA319" i="11" s="1"/>
  <c r="G317" i="11"/>
  <c r="P317" i="11" s="1"/>
  <c r="AA317" i="11" s="1"/>
  <c r="G340" i="11"/>
  <c r="G276" i="11"/>
  <c r="P276" i="11" s="1"/>
  <c r="AA276" i="11" s="1"/>
  <c r="G421" i="11"/>
  <c r="G333" i="11"/>
  <c r="P333" i="11" s="1"/>
  <c r="AA333" i="11" s="1"/>
  <c r="G306" i="11"/>
  <c r="P306" i="11" s="1"/>
  <c r="AA306" i="11" s="1"/>
  <c r="G275" i="11"/>
  <c r="P275" i="11" s="1"/>
  <c r="AA275" i="11" s="1"/>
  <c r="G332" i="11"/>
  <c r="P332" i="11" s="1"/>
  <c r="AA332" i="11" s="1"/>
  <c r="G305" i="11"/>
  <c r="G407" i="11"/>
  <c r="P407" i="11" s="1"/>
  <c r="AA407" i="11" s="1"/>
  <c r="G331" i="11"/>
  <c r="P331" i="11" s="1"/>
  <c r="AA331" i="11" s="1"/>
  <c r="E375" i="11"/>
  <c r="G300" i="11"/>
  <c r="P300" i="11" s="1"/>
  <c r="AA300" i="11" s="1"/>
  <c r="G374" i="11"/>
  <c r="P374" i="11" s="1"/>
  <c r="AA374" i="11" s="1"/>
  <c r="G258" i="11"/>
  <c r="P258" i="11" s="1"/>
  <c r="AA258" i="11" s="1"/>
  <c r="G273" i="11"/>
  <c r="P273" i="11" s="1"/>
  <c r="AA273" i="11" s="1"/>
  <c r="E329" i="11"/>
  <c r="E300" i="11"/>
  <c r="G265" i="11"/>
  <c r="P265" i="11" s="1"/>
  <c r="AA265" i="11" s="1"/>
  <c r="G260" i="11"/>
  <c r="P260" i="11" s="1"/>
  <c r="AA260" i="11" s="1"/>
  <c r="G288" i="11"/>
  <c r="P288" i="11" s="1"/>
  <c r="AA288" i="11" s="1"/>
  <c r="G328" i="11"/>
  <c r="P328" i="11" s="1"/>
  <c r="AA328" i="11" s="1"/>
  <c r="E293" i="11"/>
  <c r="E262" i="11"/>
  <c r="G291" i="11"/>
  <c r="P291" i="11" s="1"/>
  <c r="AA291" i="11" s="1"/>
  <c r="G347" i="11"/>
  <c r="P347" i="11" s="1"/>
  <c r="AA347" i="11" s="1"/>
  <c r="G318" i="11"/>
  <c r="P318" i="11" s="1"/>
  <c r="G346" i="11"/>
  <c r="P346" i="11" s="1"/>
  <c r="AA346" i="11" s="1"/>
  <c r="E328" i="11"/>
  <c r="G292" i="11"/>
  <c r="G261" i="11"/>
  <c r="E421" i="11"/>
  <c r="G420" i="11"/>
  <c r="G434" i="11"/>
  <c r="P434" i="11" s="1"/>
  <c r="AA434" i="11" s="1"/>
  <c r="E194" i="11"/>
  <c r="G447" i="11"/>
  <c r="P447" i="11" s="1"/>
  <c r="AA447" i="11" s="1"/>
  <c r="G348" i="11"/>
  <c r="P348" i="11" s="1"/>
  <c r="AA348" i="11" s="1"/>
  <c r="G334" i="11"/>
  <c r="P334" i="11" s="1"/>
  <c r="AA334" i="11" s="1"/>
  <c r="E321" i="11"/>
  <c r="G308" i="11"/>
  <c r="P308" i="11" s="1"/>
  <c r="AA308" i="11" s="1"/>
  <c r="E294" i="11"/>
  <c r="E280" i="11"/>
  <c r="E267" i="11"/>
  <c r="G252" i="11"/>
  <c r="P252" i="11" s="1"/>
  <c r="AA252" i="11" s="1"/>
  <c r="G453" i="11"/>
  <c r="P453" i="11" s="1"/>
  <c r="AA453" i="11" s="1"/>
  <c r="G438" i="11"/>
  <c r="P438" i="11" s="1"/>
  <c r="AA438" i="11" s="1"/>
  <c r="G422" i="11"/>
  <c r="P422" i="11" s="1"/>
  <c r="AA422" i="11" s="1"/>
  <c r="G408" i="11"/>
  <c r="P408" i="11" s="1"/>
  <c r="AA408" i="11" s="1"/>
  <c r="E393" i="11"/>
  <c r="E376" i="11"/>
  <c r="E407" i="11"/>
  <c r="E374" i="11"/>
  <c r="E420" i="11"/>
  <c r="E370" i="11"/>
  <c r="E461" i="11"/>
  <c r="E348" i="11"/>
  <c r="E334" i="11"/>
  <c r="G320" i="11"/>
  <c r="P320" i="11" s="1"/>
  <c r="AA320" i="11" s="1"/>
  <c r="E308" i="11"/>
  <c r="G293" i="11"/>
  <c r="P293" i="11" s="1"/>
  <c r="AA293" i="11" s="1"/>
  <c r="G279" i="11"/>
  <c r="P279" i="11" s="1"/>
  <c r="AA279" i="11" s="1"/>
  <c r="G266" i="11"/>
  <c r="P266" i="11" s="1"/>
  <c r="AA266" i="11" s="1"/>
  <c r="E252" i="11"/>
  <c r="E453" i="11"/>
  <c r="G436" i="11"/>
  <c r="P436" i="11" s="1"/>
  <c r="AA436" i="11" s="1"/>
  <c r="E422" i="11"/>
  <c r="E408" i="11"/>
  <c r="E392" i="11"/>
  <c r="G375" i="11"/>
  <c r="P375" i="11" s="1"/>
  <c r="AA375" i="11" s="1"/>
  <c r="E390" i="11"/>
  <c r="G389" i="11"/>
  <c r="P389" i="11" s="1"/>
  <c r="AA389" i="11" s="1"/>
  <c r="G373" i="11"/>
  <c r="P373" i="11" s="1"/>
  <c r="AA373" i="11" s="1"/>
  <c r="G363" i="11"/>
  <c r="P363" i="11" s="1"/>
  <c r="AA363" i="11" s="1"/>
  <c r="E449" i="11"/>
  <c r="E434" i="11"/>
  <c r="G418" i="11"/>
  <c r="P418" i="11" s="1"/>
  <c r="AA418" i="11" s="1"/>
  <c r="G402" i="11"/>
  <c r="P402" i="11" s="1"/>
  <c r="AA402" i="11" s="1"/>
  <c r="G388" i="11"/>
  <c r="P388" i="11" s="1"/>
  <c r="AA388" i="11" s="1"/>
  <c r="E373" i="11"/>
  <c r="E215" i="11"/>
  <c r="G462" i="11"/>
  <c r="P462" i="11" s="1"/>
  <c r="AA462" i="11" s="1"/>
  <c r="G448" i="11"/>
  <c r="P448" i="11" s="1"/>
  <c r="AA448" i="11" s="1"/>
  <c r="G433" i="11"/>
  <c r="P433" i="11" s="1"/>
  <c r="AA433" i="11" s="1"/>
  <c r="G416" i="11"/>
  <c r="P416" i="11" s="1"/>
  <c r="AA416" i="11" s="1"/>
  <c r="E402" i="11"/>
  <c r="E388" i="11"/>
  <c r="E372" i="11"/>
  <c r="G214" i="11"/>
  <c r="P214" i="11" s="1"/>
  <c r="AA214" i="11" s="1"/>
  <c r="E342" i="11"/>
  <c r="E330" i="11"/>
  <c r="G315" i="11"/>
  <c r="P315" i="11" s="1"/>
  <c r="AA315" i="11" s="1"/>
  <c r="G301" i="11"/>
  <c r="E289" i="11"/>
  <c r="G274" i="11"/>
  <c r="P274" i="11" s="1"/>
  <c r="AA274" i="11" s="1"/>
  <c r="E260" i="11"/>
  <c r="E462" i="11"/>
  <c r="E448" i="11"/>
  <c r="E433" i="11"/>
  <c r="E416" i="11"/>
  <c r="G401" i="11"/>
  <c r="P401" i="11" s="1"/>
  <c r="AA401" i="11" s="1"/>
  <c r="G387" i="11"/>
  <c r="P387" i="11" s="1"/>
  <c r="AA387" i="11" s="1"/>
  <c r="E371" i="11"/>
  <c r="G449" i="11"/>
  <c r="P449" i="11" s="1"/>
  <c r="AA449" i="11" s="1"/>
  <c r="E431" i="11"/>
  <c r="E383" i="11"/>
  <c r="G144" i="11"/>
  <c r="P144" i="11" s="1"/>
  <c r="AA144" i="11" s="1"/>
  <c r="E340" i="11"/>
  <c r="G327" i="11"/>
  <c r="P327" i="11" s="1"/>
  <c r="AA327" i="11" s="1"/>
  <c r="G313" i="11"/>
  <c r="P313" i="11" s="1"/>
  <c r="AA313" i="11" s="1"/>
  <c r="G299" i="11"/>
  <c r="P299" i="11" s="1"/>
  <c r="AA299" i="11" s="1"/>
  <c r="E287" i="11"/>
  <c r="G272" i="11"/>
  <c r="G257" i="11"/>
  <c r="P257" i="11" s="1"/>
  <c r="AA257" i="11" s="1"/>
  <c r="E460" i="11"/>
  <c r="E446" i="11"/>
  <c r="G429" i="11"/>
  <c r="P429" i="11" s="1"/>
  <c r="AA429" i="11" s="1"/>
  <c r="E414" i="11"/>
  <c r="G398" i="11"/>
  <c r="P398" i="11" s="1"/>
  <c r="AA398" i="11" s="1"/>
  <c r="G382" i="11"/>
  <c r="P382" i="11" s="1"/>
  <c r="AA382" i="11" s="1"/>
  <c r="G368" i="11"/>
  <c r="P368" i="11" s="1"/>
  <c r="AA368" i="11" s="1"/>
  <c r="E387" i="11"/>
  <c r="G369" i="11"/>
  <c r="P369" i="11" s="1"/>
  <c r="AA369" i="11" s="1"/>
  <c r="E145" i="11"/>
  <c r="G460" i="11"/>
  <c r="P460" i="11" s="1"/>
  <c r="AA460" i="11" s="1"/>
  <c r="G446" i="11"/>
  <c r="P446" i="11" s="1"/>
  <c r="AA446" i="11" s="1"/>
  <c r="E430" i="11"/>
  <c r="G414" i="11"/>
  <c r="P414" i="11" s="1"/>
  <c r="AA414" i="11" s="1"/>
  <c r="E369" i="11"/>
  <c r="G339" i="11"/>
  <c r="P339" i="11" s="1"/>
  <c r="AA339" i="11" s="1"/>
  <c r="E327" i="11"/>
  <c r="E313" i="11"/>
  <c r="E299" i="11"/>
  <c r="G286" i="11"/>
  <c r="P286" i="11" s="1"/>
  <c r="AA286" i="11" s="1"/>
  <c r="E272" i="11"/>
  <c r="G256" i="11"/>
  <c r="P256" i="11" s="1"/>
  <c r="AA256" i="11" s="1"/>
  <c r="G458" i="11"/>
  <c r="P458" i="11" s="1"/>
  <c r="AA458" i="11" s="1"/>
  <c r="E443" i="11"/>
  <c r="E429" i="11"/>
  <c r="G413" i="11"/>
  <c r="P413" i="11" s="1"/>
  <c r="AA413" i="11" s="1"/>
  <c r="G396" i="11"/>
  <c r="P396" i="11" s="1"/>
  <c r="AA396" i="11" s="1"/>
  <c r="E382" i="11"/>
  <c r="E368" i="11"/>
  <c r="G461" i="11"/>
  <c r="P461" i="11" s="1"/>
  <c r="AA461" i="11" s="1"/>
  <c r="E415" i="11"/>
  <c r="E400" i="11"/>
  <c r="E339" i="11"/>
  <c r="G326" i="11"/>
  <c r="P326" i="11" s="1"/>
  <c r="AA326" i="11" s="1"/>
  <c r="G312" i="11"/>
  <c r="P312" i="11" s="1"/>
  <c r="AA312" i="11" s="1"/>
  <c r="G298" i="11"/>
  <c r="P298" i="11" s="1"/>
  <c r="AA298" i="11" s="1"/>
  <c r="E286" i="11"/>
  <c r="E271" i="11"/>
  <c r="G255" i="11"/>
  <c r="P255" i="11" s="1"/>
  <c r="AA255" i="11" s="1"/>
  <c r="G456" i="11"/>
  <c r="P456" i="11" s="1"/>
  <c r="AA456" i="11" s="1"/>
  <c r="G442" i="11"/>
  <c r="P442" i="11" s="1"/>
  <c r="AA442" i="11" s="1"/>
  <c r="G428" i="11"/>
  <c r="P428" i="11" s="1"/>
  <c r="AA428" i="11" s="1"/>
  <c r="E413" i="11"/>
  <c r="E396" i="11"/>
  <c r="G381" i="11"/>
  <c r="P381" i="11" s="1"/>
  <c r="AA381" i="11" s="1"/>
  <c r="G367" i="11"/>
  <c r="P367" i="11" s="1"/>
  <c r="AA367" i="11" s="1"/>
  <c r="G386" i="11"/>
  <c r="P386" i="11" s="1"/>
  <c r="AA386" i="11" s="1"/>
  <c r="G338" i="11"/>
  <c r="P338" i="11" s="1"/>
  <c r="AA338" i="11" s="1"/>
  <c r="E326" i="11"/>
  <c r="E312" i="11"/>
  <c r="G297" i="11"/>
  <c r="P297" i="11" s="1"/>
  <c r="AA297" i="11" s="1"/>
  <c r="G285" i="11"/>
  <c r="P285" i="11" s="1"/>
  <c r="AA285" i="11" s="1"/>
  <c r="E270" i="11"/>
  <c r="E255" i="11"/>
  <c r="E456" i="11"/>
  <c r="E442" i="11"/>
  <c r="E428" i="11"/>
  <c r="E412" i="11"/>
  <c r="G395" i="11"/>
  <c r="P395" i="11" s="1"/>
  <c r="AA395" i="11" s="1"/>
  <c r="E381" i="11"/>
  <c r="E367" i="11"/>
  <c r="E172" i="11"/>
  <c r="G337" i="11"/>
  <c r="P337" i="11" s="1"/>
  <c r="AA337" i="11" s="1"/>
  <c r="G325" i="11"/>
  <c r="P325" i="11" s="1"/>
  <c r="AA325" i="11" s="1"/>
  <c r="G311" i="11"/>
  <c r="P311" i="11" s="1"/>
  <c r="AA311" i="11" s="1"/>
  <c r="G296" i="11"/>
  <c r="P296" i="11" s="1"/>
  <c r="AA296" i="11" s="1"/>
  <c r="E282" i="11"/>
  <c r="E269" i="11"/>
  <c r="G254" i="11"/>
  <c r="P254" i="11" s="1"/>
  <c r="AA254" i="11" s="1"/>
  <c r="G455" i="11"/>
  <c r="P455" i="11" s="1"/>
  <c r="AA455" i="11" s="1"/>
  <c r="G441" i="11"/>
  <c r="P441" i="11" s="1"/>
  <c r="AA441" i="11" s="1"/>
  <c r="G427" i="11"/>
  <c r="P427" i="11" s="1"/>
  <c r="AA427" i="11" s="1"/>
  <c r="E411" i="11"/>
  <c r="E395" i="11"/>
  <c r="G380" i="11"/>
  <c r="P380" i="11" s="1"/>
  <c r="AA380" i="11" s="1"/>
  <c r="G366" i="11"/>
  <c r="P366" i="11" s="1"/>
  <c r="AA366" i="11" s="1"/>
  <c r="E451" i="11"/>
  <c r="E450" i="11"/>
  <c r="G415" i="11"/>
  <c r="P415" i="11" s="1"/>
  <c r="AA415" i="11" s="1"/>
  <c r="E447" i="11"/>
  <c r="G336" i="11"/>
  <c r="P336" i="11" s="1"/>
  <c r="AA336" i="11" s="1"/>
  <c r="G323" i="11"/>
  <c r="P323" i="11" s="1"/>
  <c r="AA323" i="11" s="1"/>
  <c r="E311" i="11"/>
  <c r="G295" i="11"/>
  <c r="P295" i="11" s="1"/>
  <c r="AA295" i="11" s="1"/>
  <c r="G281" i="11"/>
  <c r="P281" i="11" s="1"/>
  <c r="AA281" i="11" s="1"/>
  <c r="G268" i="11"/>
  <c r="P268" i="11" s="1"/>
  <c r="AA268" i="11" s="1"/>
  <c r="E254" i="11"/>
  <c r="E455" i="11"/>
  <c r="E441" i="11"/>
  <c r="E427" i="11"/>
  <c r="E410" i="11"/>
  <c r="G394" i="11"/>
  <c r="P394" i="11" s="1"/>
  <c r="AA394" i="11" s="1"/>
  <c r="E380" i="11"/>
  <c r="E435" i="11"/>
  <c r="E389" i="11"/>
  <c r="E401" i="11"/>
  <c r="G400" i="11"/>
  <c r="P400" i="11" s="1"/>
  <c r="AA400" i="11" s="1"/>
  <c r="G250" i="11"/>
  <c r="P250" i="11" s="1"/>
  <c r="AA250" i="11" s="1"/>
  <c r="G335" i="11"/>
  <c r="P335" i="11" s="1"/>
  <c r="AA335" i="11" s="1"/>
  <c r="E322" i="11"/>
  <c r="E310" i="11"/>
  <c r="E295" i="11"/>
  <c r="E281" i="11"/>
  <c r="E268" i="11"/>
  <c r="G253" i="11"/>
  <c r="P253" i="11" s="1"/>
  <c r="AA253" i="11" s="1"/>
  <c r="G454" i="11"/>
  <c r="P454" i="11" s="1"/>
  <c r="AA454" i="11" s="1"/>
  <c r="G440" i="11"/>
  <c r="P440" i="11" s="1"/>
  <c r="AA440" i="11" s="1"/>
  <c r="G426" i="11"/>
  <c r="P426" i="11" s="1"/>
  <c r="AA426" i="11" s="1"/>
  <c r="G409" i="11"/>
  <c r="P409" i="11" s="1"/>
  <c r="AA409" i="11" s="1"/>
  <c r="E394" i="11"/>
  <c r="G378" i="11"/>
  <c r="P378" i="11" s="1"/>
  <c r="AA378" i="11" s="1"/>
  <c r="G406" i="11"/>
  <c r="P406" i="11" s="1"/>
  <c r="AA406" i="11" s="1"/>
  <c r="E403" i="11"/>
  <c r="E432" i="11"/>
  <c r="E349" i="11"/>
  <c r="E335" i="11"/>
  <c r="G321" i="11"/>
  <c r="P321" i="11" s="1"/>
  <c r="AA321" i="11" s="1"/>
  <c r="E309" i="11"/>
  <c r="G294" i="11"/>
  <c r="P294" i="11" s="1"/>
  <c r="AA294" i="11" s="1"/>
  <c r="G280" i="11"/>
  <c r="P280" i="11" s="1"/>
  <c r="AA280" i="11" s="1"/>
  <c r="G267" i="11"/>
  <c r="P267" i="11" s="1"/>
  <c r="AA267" i="11" s="1"/>
  <c r="E253" i="11"/>
  <c r="E454" i="11"/>
  <c r="E440" i="11"/>
  <c r="E423" i="11"/>
  <c r="E409" i="11"/>
  <c r="G393" i="11"/>
  <c r="P393" i="11" s="1"/>
  <c r="AA393" i="11" s="1"/>
  <c r="G376" i="11"/>
  <c r="P376" i="11" s="1"/>
  <c r="AA376" i="11" s="1"/>
  <c r="E17" i="11"/>
  <c r="E15" i="11"/>
  <c r="G354" i="11"/>
  <c r="G355" i="11" s="1"/>
  <c r="G356" i="11" s="1"/>
  <c r="E241" i="11"/>
  <c r="E242" i="11" s="1"/>
  <c r="E243" i="11" s="1"/>
  <c r="E244" i="11"/>
  <c r="F241" i="11"/>
  <c r="F242" i="11"/>
  <c r="E16" i="11"/>
  <c r="F243" i="11"/>
  <c r="F131" i="11"/>
  <c r="G357" i="11"/>
  <c r="F16" i="11"/>
  <c r="F17" i="11"/>
  <c r="G128" i="11"/>
  <c r="G129" i="11" s="1"/>
  <c r="G130" i="11" s="1"/>
  <c r="F129" i="11"/>
  <c r="E14" i="11"/>
  <c r="G18" i="11"/>
  <c r="G241" i="11"/>
  <c r="G242" i="11" s="1"/>
  <c r="G243" i="11" s="1"/>
  <c r="E131" i="11"/>
  <c r="G14" i="11"/>
  <c r="G15" i="11" s="1"/>
  <c r="G16" i="11" s="1"/>
  <c r="G17" i="11" s="1"/>
  <c r="F18" i="11"/>
  <c r="E354" i="11"/>
  <c r="E355" i="11" s="1"/>
  <c r="E356" i="11" s="1"/>
  <c r="E357" i="11"/>
  <c r="F354" i="11"/>
  <c r="E128" i="11"/>
  <c r="E129" i="11" s="1"/>
  <c r="E130" i="11" s="1"/>
  <c r="F128" i="11"/>
  <c r="F355" i="11"/>
  <c r="F244" i="11"/>
  <c r="P314" i="11"/>
  <c r="AA314" i="11" s="1"/>
  <c r="P107" i="11"/>
  <c r="P87" i="11"/>
  <c r="AA87" i="11" s="1"/>
  <c r="P67" i="11"/>
  <c r="P47" i="11"/>
  <c r="AA47" i="11" s="1"/>
  <c r="P27" i="11"/>
  <c r="AA27" i="11" s="1"/>
  <c r="P345" i="11"/>
  <c r="AA345" i="11" s="1"/>
  <c r="P305" i="11"/>
  <c r="AA305" i="11" s="1"/>
  <c r="P261" i="11"/>
  <c r="AA261" i="11" s="1"/>
  <c r="P421" i="11"/>
  <c r="AA421" i="11" s="1"/>
  <c r="P106" i="11"/>
  <c r="AA106" i="11" s="1"/>
  <c r="P86" i="11"/>
  <c r="P66" i="11"/>
  <c r="AA66" i="11" s="1"/>
  <c r="P46" i="11"/>
  <c r="P26" i="11"/>
  <c r="AA26" i="11" s="1"/>
  <c r="K134" i="11"/>
  <c r="K360" i="11"/>
  <c r="P292" i="11"/>
  <c r="AA292" i="11" s="1"/>
  <c r="P301" i="11"/>
  <c r="AA301" i="11" s="1"/>
  <c r="P272" i="11"/>
  <c r="AA272" i="11" s="1"/>
  <c r="P420" i="11"/>
  <c r="AA420" i="11" s="1"/>
  <c r="P278" i="11"/>
  <c r="AA278" i="11" s="1"/>
  <c r="K247" i="11"/>
  <c r="P65" i="11"/>
  <c r="AA65" i="11" s="1"/>
  <c r="P84" i="11"/>
  <c r="P103" i="11"/>
  <c r="AA103" i="11" s="1"/>
  <c r="P62" i="11"/>
  <c r="AA62" i="11" s="1"/>
  <c r="P340" i="11"/>
  <c r="AA340" i="11" s="1"/>
  <c r="P105" i="11"/>
  <c r="AA105" i="11" s="1"/>
  <c r="P64" i="11"/>
  <c r="AA64" i="11" s="1"/>
  <c r="P43" i="11"/>
  <c r="AA43" i="11" s="1"/>
  <c r="P122" i="11"/>
  <c r="AA122" i="11" s="1"/>
  <c r="P121" i="11"/>
  <c r="AA121" i="11" s="1"/>
  <c r="P101" i="11"/>
  <c r="AA101" i="11" s="1"/>
  <c r="P81" i="11"/>
  <c r="AA81" i="11" s="1"/>
  <c r="P61" i="11"/>
  <c r="AA61" i="11" s="1"/>
  <c r="P41" i="11"/>
  <c r="AA41" i="11" s="1"/>
  <c r="P259" i="11"/>
  <c r="AA259" i="11" s="1"/>
  <c r="P383" i="11"/>
  <c r="AA383" i="11" s="1"/>
  <c r="P44" i="11"/>
  <c r="AA44" i="11" s="1"/>
  <c r="P63" i="11"/>
  <c r="AA63" i="11" s="1"/>
  <c r="P262" i="11"/>
  <c r="AA262" i="11" s="1"/>
  <c r="P24" i="11"/>
  <c r="AA24" i="11" s="1"/>
  <c r="P45" i="11"/>
  <c r="AA45" i="11" s="1"/>
  <c r="P123" i="11"/>
  <c r="AA123" i="11" s="1"/>
  <c r="P82" i="11"/>
  <c r="AA82" i="11" s="1"/>
  <c r="P100" i="11"/>
  <c r="AA100" i="11" s="1"/>
  <c r="P40" i="11"/>
  <c r="AA40" i="11" s="1"/>
  <c r="P119" i="11"/>
  <c r="AA119" i="11" s="1"/>
  <c r="P99" i="11"/>
  <c r="AA99" i="11" s="1"/>
  <c r="P79" i="11"/>
  <c r="AA79" i="11" s="1"/>
  <c r="P59" i="11"/>
  <c r="AA59" i="11" s="1"/>
  <c r="P39" i="11"/>
  <c r="AA39" i="11" s="1"/>
  <c r="P104" i="11"/>
  <c r="AA104" i="11" s="1"/>
  <c r="P83" i="11"/>
  <c r="AA83" i="11" s="1"/>
  <c r="P42" i="11"/>
  <c r="AA42" i="11" s="1"/>
  <c r="P80" i="11"/>
  <c r="AA80" i="11" s="1"/>
  <c r="P118" i="11"/>
  <c r="AA118" i="11" s="1"/>
  <c r="P98" i="11"/>
  <c r="AA98" i="11" s="1"/>
  <c r="P78" i="11"/>
  <c r="P58" i="11"/>
  <c r="AA58" i="11" s="1"/>
  <c r="P38" i="11"/>
  <c r="AA38" i="11" s="1"/>
  <c r="P25" i="11"/>
  <c r="P102" i="11"/>
  <c r="AA102" i="11" s="1"/>
  <c r="P120" i="11"/>
  <c r="AA120" i="11" s="1"/>
  <c r="P60" i="11"/>
  <c r="AA60" i="11" s="1"/>
  <c r="P117" i="11"/>
  <c r="AA117" i="11" s="1"/>
  <c r="P97" i="11"/>
  <c r="AA97" i="11" s="1"/>
  <c r="P77" i="11"/>
  <c r="AA77" i="11" s="1"/>
  <c r="P57" i="11"/>
  <c r="AA57" i="11" s="1"/>
  <c r="P37" i="11"/>
  <c r="AA37" i="11" s="1"/>
  <c r="E212" i="11"/>
  <c r="E186" i="11"/>
  <c r="G185" i="11"/>
  <c r="P185" i="11" s="1"/>
  <c r="AA185" i="11" s="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AA399" i="11" s="1"/>
  <c r="G379" i="11"/>
  <c r="P379" i="11" s="1"/>
  <c r="AA379" i="11" s="1"/>
  <c r="E141" i="11"/>
  <c r="G201" i="11"/>
  <c r="P201" i="11" s="1"/>
  <c r="AA201" i="11" s="1"/>
  <c r="E155" i="11"/>
  <c r="E345" i="11"/>
  <c r="E325" i="11"/>
  <c r="E305" i="11"/>
  <c r="E285" i="11"/>
  <c r="G271" i="11"/>
  <c r="P271" i="11" s="1"/>
  <c r="AA271" i="11" s="1"/>
  <c r="E265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G160" i="11"/>
  <c r="P160" i="11" s="1"/>
  <c r="AA160" i="11" s="1"/>
  <c r="E185" i="11"/>
  <c r="E227" i="11"/>
  <c r="E201" i="11"/>
  <c r="E179" i="11"/>
  <c r="E154" i="11"/>
  <c r="G344" i="11"/>
  <c r="P344" i="11" s="1"/>
  <c r="AA344" i="11" s="1"/>
  <c r="E338" i="11"/>
  <c r="G324" i="11"/>
  <c r="P324" i="11" s="1"/>
  <c r="AA324" i="11" s="1"/>
  <c r="E318" i="11"/>
  <c r="G304" i="11"/>
  <c r="P304" i="11" s="1"/>
  <c r="AA304" i="11" s="1"/>
  <c r="E298" i="11"/>
  <c r="G284" i="11"/>
  <c r="P284" i="11" s="1"/>
  <c r="AA284" i="11" s="1"/>
  <c r="E278" i="11"/>
  <c r="G264" i="11"/>
  <c r="P264" i="11" s="1"/>
  <c r="AA264" i="11" s="1"/>
  <c r="E258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N399" i="11" s="1"/>
  <c r="Y399" i="11" s="1"/>
  <c r="G385" i="11"/>
  <c r="P385" i="11" s="1"/>
  <c r="AA385" i="11" s="1"/>
  <c r="E379" i="11"/>
  <c r="G365" i="11"/>
  <c r="P365" i="11" s="1"/>
  <c r="AA365" i="11" s="1"/>
  <c r="G200" i="11"/>
  <c r="P200" i="11" s="1"/>
  <c r="AA200" i="11" s="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G226" i="11"/>
  <c r="P226" i="11" s="1"/>
  <c r="AA226" i="11" s="1"/>
  <c r="G153" i="11"/>
  <c r="P153" i="11" s="1"/>
  <c r="AA153" i="11" s="1"/>
  <c r="E226" i="11"/>
  <c r="E152" i="11"/>
  <c r="E250" i="11"/>
  <c r="N250" i="11" s="1"/>
  <c r="E344" i="11"/>
  <c r="G330" i="11"/>
  <c r="P330" i="11" s="1"/>
  <c r="AA330" i="11" s="1"/>
  <c r="E324" i="11"/>
  <c r="G310" i="11"/>
  <c r="P310" i="11" s="1"/>
  <c r="AA310" i="11" s="1"/>
  <c r="E304" i="11"/>
  <c r="G290" i="11"/>
  <c r="P290" i="11" s="1"/>
  <c r="AA290" i="11" s="1"/>
  <c r="E284" i="11"/>
  <c r="G270" i="11"/>
  <c r="P270" i="11" s="1"/>
  <c r="AA270" i="11" s="1"/>
  <c r="E264" i="11"/>
  <c r="G451" i="11"/>
  <c r="P451" i="11" s="1"/>
  <c r="AA451" i="11" s="1"/>
  <c r="E445" i="11"/>
  <c r="G431" i="11"/>
  <c r="P431" i="11" s="1"/>
  <c r="AA431" i="11" s="1"/>
  <c r="E425" i="11"/>
  <c r="G411" i="11"/>
  <c r="P411" i="11" s="1"/>
  <c r="AA411" i="11" s="1"/>
  <c r="E405" i="11"/>
  <c r="G391" i="11"/>
  <c r="P391" i="11" s="1"/>
  <c r="AA391" i="11" s="1"/>
  <c r="E385" i="11"/>
  <c r="G371" i="11"/>
  <c r="P371" i="11" s="1"/>
  <c r="E365" i="11"/>
  <c r="E225" i="11"/>
  <c r="E174" i="11"/>
  <c r="G146" i="11"/>
  <c r="P146" i="11" s="1"/>
  <c r="AA146" i="11" s="1"/>
  <c r="E337" i="11"/>
  <c r="E317" i="11"/>
  <c r="G303" i="11"/>
  <c r="P303" i="11" s="1"/>
  <c r="AA303" i="11" s="1"/>
  <c r="E297" i="11"/>
  <c r="G283" i="11"/>
  <c r="P283" i="11" s="1"/>
  <c r="AA283" i="11" s="1"/>
  <c r="E277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G384" i="11"/>
  <c r="P384" i="11" s="1"/>
  <c r="AA384" i="11" s="1"/>
  <c r="E378" i="11"/>
  <c r="G364" i="11"/>
  <c r="P364" i="11" s="1"/>
  <c r="AA364" i="11" s="1"/>
  <c r="E221" i="11"/>
  <c r="E199" i="11"/>
  <c r="G173" i="11"/>
  <c r="P173" i="11" s="1"/>
  <c r="AA173" i="11" s="1"/>
  <c r="E146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E235" i="11"/>
  <c r="E187" i="11"/>
  <c r="E234" i="11"/>
  <c r="G158" i="11"/>
  <c r="P158" i="11" s="1"/>
  <c r="AA158" i="11" s="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G329" i="11"/>
  <c r="P329" i="11" s="1"/>
  <c r="AA329" i="11" s="1"/>
  <c r="E323" i="11"/>
  <c r="G309" i="11"/>
  <c r="P309" i="11" s="1"/>
  <c r="AA309" i="11" s="1"/>
  <c r="E303" i="11"/>
  <c r="G289" i="11"/>
  <c r="P289" i="11" s="1"/>
  <c r="AA289" i="11" s="1"/>
  <c r="E283" i="11"/>
  <c r="G269" i="11"/>
  <c r="P269" i="11" s="1"/>
  <c r="AA269" i="11" s="1"/>
  <c r="E263" i="11"/>
  <c r="G450" i="11"/>
  <c r="P450" i="11" s="1"/>
  <c r="AA450" i="11" s="1"/>
  <c r="E444" i="11"/>
  <c r="G430" i="11"/>
  <c r="P430" i="11" s="1"/>
  <c r="AA430" i="11" s="1"/>
  <c r="E424" i="11"/>
  <c r="G410" i="11"/>
  <c r="P410" i="11" s="1"/>
  <c r="AA410" i="11" s="1"/>
  <c r="E404" i="11"/>
  <c r="G390" i="11"/>
  <c r="P390" i="11" s="1"/>
  <c r="AA390" i="11" s="1"/>
  <c r="E384" i="11"/>
  <c r="G370" i="11"/>
  <c r="P370" i="11" s="1"/>
  <c r="AA370" i="11" s="1"/>
  <c r="E364" i="11"/>
  <c r="G187" i="11"/>
  <c r="P187" i="11" s="1"/>
  <c r="AA187" i="11" s="1"/>
  <c r="E166" i="11"/>
  <c r="E159" i="11"/>
  <c r="E207" i="11"/>
  <c r="G174" i="11"/>
  <c r="P174" i="11" s="1"/>
  <c r="AA174" i="11" s="1"/>
  <c r="G217" i="11"/>
  <c r="P217" i="11" s="1"/>
  <c r="AA217" i="11" s="1"/>
  <c r="E195" i="11"/>
  <c r="G342" i="11"/>
  <c r="P342" i="11" s="1"/>
  <c r="AA342" i="11" s="1"/>
  <c r="E336" i="11"/>
  <c r="G322" i="11"/>
  <c r="P322" i="11" s="1"/>
  <c r="AA322" i="11" s="1"/>
  <c r="E316" i="11"/>
  <c r="G302" i="11"/>
  <c r="P302" i="11" s="1"/>
  <c r="AA302" i="11" s="1"/>
  <c r="E296" i="11"/>
  <c r="G282" i="11"/>
  <c r="P282" i="11" s="1"/>
  <c r="AA282" i="11" s="1"/>
  <c r="E276" i="11"/>
  <c r="N276" i="11" s="1"/>
  <c r="Y276" i="11" s="1"/>
  <c r="E363" i="11"/>
  <c r="E457" i="11"/>
  <c r="G443" i="11"/>
  <c r="P443" i="11" s="1"/>
  <c r="AA443" i="11" s="1"/>
  <c r="E437" i="11"/>
  <c r="G423" i="11"/>
  <c r="P423" i="11" s="1"/>
  <c r="AA423" i="11" s="1"/>
  <c r="E417" i="11"/>
  <c r="G403" i="11"/>
  <c r="P403" i="11" s="1"/>
  <c r="AA403" i="11" s="1"/>
  <c r="E397" i="11"/>
  <c r="G225" i="11"/>
  <c r="P225" i="11" s="1"/>
  <c r="AA225" i="11" s="1"/>
  <c r="G211" i="11"/>
  <c r="P211" i="11" s="1"/>
  <c r="AA211" i="11" s="1"/>
  <c r="G197" i="11"/>
  <c r="P197" i="11" s="1"/>
  <c r="AA197" i="11" s="1"/>
  <c r="G184" i="11"/>
  <c r="P184" i="11" s="1"/>
  <c r="AA184" i="11" s="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AA141" i="11" s="1"/>
  <c r="G154" i="11"/>
  <c r="P154" i="11" s="1"/>
  <c r="AA154" i="11" s="1"/>
  <c r="G181" i="11"/>
  <c r="P181" i="11" s="1"/>
  <c r="AA181" i="11" s="1"/>
  <c r="G167" i="11"/>
  <c r="P167" i="11" s="1"/>
  <c r="AA167" i="11" s="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G138" i="11"/>
  <c r="P138" i="11" s="1"/>
  <c r="AA138" i="11" s="1"/>
  <c r="G233" i="11"/>
  <c r="P233" i="11" s="1"/>
  <c r="AA233" i="11" s="1"/>
  <c r="E206" i="11"/>
  <c r="G178" i="11"/>
  <c r="P178" i="11" s="1"/>
  <c r="AA178" i="11" s="1"/>
  <c r="E165" i="11"/>
  <c r="N165" i="11" s="1"/>
  <c r="Y165" i="11" s="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G164" i="11"/>
  <c r="P164" i="11" s="1"/>
  <c r="AA164" i="11" s="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E205" i="11"/>
  <c r="E175" i="11"/>
  <c r="E161" i="11"/>
  <c r="E228" i="11"/>
  <c r="E208" i="11"/>
  <c r="E188" i="11"/>
  <c r="E168" i="11"/>
  <c r="E148" i="11"/>
  <c r="E167" i="11"/>
  <c r="E147" i="11"/>
  <c r="E220" i="11"/>
  <c r="E200" i="11"/>
  <c r="E180" i="11"/>
  <c r="E160" i="11"/>
  <c r="E140" i="11"/>
  <c r="E233" i="11"/>
  <c r="G219" i="11"/>
  <c r="P219" i="11" s="1"/>
  <c r="AA219" i="11" s="1"/>
  <c r="E213" i="11"/>
  <c r="G199" i="11"/>
  <c r="P199" i="11" s="1"/>
  <c r="AA199" i="11" s="1"/>
  <c r="E193" i="11"/>
  <c r="G179" i="11"/>
  <c r="P179" i="11" s="1"/>
  <c r="AA179" i="11" s="1"/>
  <c r="E173" i="11"/>
  <c r="G159" i="11"/>
  <c r="P159" i="11" s="1"/>
  <c r="AA159" i="11" s="1"/>
  <c r="E153" i="11"/>
  <c r="G139" i="11"/>
  <c r="P139" i="11" s="1"/>
  <c r="AA139" i="11" s="1"/>
  <c r="E231" i="11"/>
  <c r="E191" i="11"/>
  <c r="G230" i="11"/>
  <c r="P230" i="11" s="1"/>
  <c r="AA230" i="11" s="1"/>
  <c r="E224" i="11"/>
  <c r="G210" i="11"/>
  <c r="P210" i="11" s="1"/>
  <c r="AA210" i="11" s="1"/>
  <c r="E204" i="11"/>
  <c r="G190" i="11"/>
  <c r="P190" i="11" s="1"/>
  <c r="AA190" i="11" s="1"/>
  <c r="E184" i="11"/>
  <c r="G170" i="11"/>
  <c r="P170" i="11" s="1"/>
  <c r="AA170" i="11" s="1"/>
  <c r="E164" i="11"/>
  <c r="G150" i="11"/>
  <c r="P150" i="11" s="1"/>
  <c r="AA150" i="11" s="1"/>
  <c r="E144" i="11"/>
  <c r="G223" i="11"/>
  <c r="P223" i="11" s="1"/>
  <c r="AA223" i="11" s="1"/>
  <c r="E217" i="11"/>
  <c r="G203" i="11"/>
  <c r="P203" i="11" s="1"/>
  <c r="AA203" i="11" s="1"/>
  <c r="E197" i="11"/>
  <c r="G183" i="11"/>
  <c r="P183" i="11" s="1"/>
  <c r="AA183" i="11" s="1"/>
  <c r="E177" i="11"/>
  <c r="G163" i="11"/>
  <c r="P163" i="11" s="1"/>
  <c r="AA163" i="11" s="1"/>
  <c r="E157" i="11"/>
  <c r="G143" i="11"/>
  <c r="P143" i="11" s="1"/>
  <c r="AA143" i="11" s="1"/>
  <c r="E151" i="11"/>
  <c r="G236" i="11"/>
  <c r="P236" i="11" s="1"/>
  <c r="AA236" i="11" s="1"/>
  <c r="E230" i="11"/>
  <c r="G216" i="11"/>
  <c r="P216" i="11" s="1"/>
  <c r="AA216" i="11" s="1"/>
  <c r="E210" i="11"/>
  <c r="G196" i="11"/>
  <c r="P196" i="11" s="1"/>
  <c r="AA196" i="11" s="1"/>
  <c r="E190" i="11"/>
  <c r="G176" i="11"/>
  <c r="P176" i="11" s="1"/>
  <c r="AA176" i="11" s="1"/>
  <c r="E170" i="11"/>
  <c r="G156" i="11"/>
  <c r="P156" i="11" s="1"/>
  <c r="AA156" i="11" s="1"/>
  <c r="E150" i="11"/>
  <c r="E178" i="11"/>
  <c r="E138" i="11"/>
  <c r="G229" i="11"/>
  <c r="P229" i="11" s="1"/>
  <c r="AA229" i="11" s="1"/>
  <c r="E223" i="11"/>
  <c r="G209" i="11"/>
  <c r="P209" i="11" s="1"/>
  <c r="AA209" i="11" s="1"/>
  <c r="E203" i="11"/>
  <c r="G189" i="11"/>
  <c r="P189" i="11" s="1"/>
  <c r="AA189" i="11" s="1"/>
  <c r="E183" i="11"/>
  <c r="G169" i="11"/>
  <c r="P169" i="11" s="1"/>
  <c r="AA169" i="11" s="1"/>
  <c r="E163" i="11"/>
  <c r="G149" i="11"/>
  <c r="P149" i="11" s="1"/>
  <c r="AA149" i="11" s="1"/>
  <c r="E143" i="11"/>
  <c r="E171" i="11"/>
  <c r="E236" i="11"/>
  <c r="G222" i="11"/>
  <c r="P222" i="11" s="1"/>
  <c r="AA222" i="11" s="1"/>
  <c r="E216" i="11"/>
  <c r="G202" i="11"/>
  <c r="P202" i="11" s="1"/>
  <c r="AA202" i="11" s="1"/>
  <c r="E196" i="11"/>
  <c r="G182" i="11"/>
  <c r="P182" i="11" s="1"/>
  <c r="AA182" i="11" s="1"/>
  <c r="E176" i="11"/>
  <c r="G162" i="11"/>
  <c r="P162" i="11" s="1"/>
  <c r="AA162" i="11" s="1"/>
  <c r="E156" i="11"/>
  <c r="G142" i="11"/>
  <c r="P142" i="11" s="1"/>
  <c r="AA142" i="11" s="1"/>
  <c r="E137" i="11"/>
  <c r="E158" i="11"/>
  <c r="E211" i="11"/>
  <c r="G235" i="11"/>
  <c r="P235" i="11" s="1"/>
  <c r="AA235" i="11" s="1"/>
  <c r="E229" i="11"/>
  <c r="G215" i="11"/>
  <c r="P215" i="11" s="1"/>
  <c r="AA215" i="11" s="1"/>
  <c r="E209" i="11"/>
  <c r="G195" i="11"/>
  <c r="P195" i="11" s="1"/>
  <c r="AA195" i="11" s="1"/>
  <c r="E189" i="11"/>
  <c r="G175" i="11"/>
  <c r="P175" i="11" s="1"/>
  <c r="AA175" i="11" s="1"/>
  <c r="E169" i="11"/>
  <c r="G155" i="11"/>
  <c r="P155" i="11" s="1"/>
  <c r="AA155" i="11" s="1"/>
  <c r="E149" i="11"/>
  <c r="E218" i="11"/>
  <c r="E198" i="11"/>
  <c r="G228" i="11"/>
  <c r="P228" i="11" s="1"/>
  <c r="AA228" i="11" s="1"/>
  <c r="E222" i="11"/>
  <c r="G208" i="11"/>
  <c r="P208" i="11" s="1"/>
  <c r="AA208" i="11" s="1"/>
  <c r="E202" i="11"/>
  <c r="G188" i="11"/>
  <c r="P188" i="11" s="1"/>
  <c r="AA188" i="11" s="1"/>
  <c r="E182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J19" i="11"/>
  <c r="E21" i="11" s="1"/>
  <c r="E31" i="11"/>
  <c r="N31" i="11" s="1"/>
  <c r="Y31" i="11" s="1"/>
  <c r="E89" i="11"/>
  <c r="N89" i="11" s="1"/>
  <c r="Y89" i="11" s="1"/>
  <c r="E59" i="11"/>
  <c r="N59" i="11" s="1"/>
  <c r="Y59" i="11" s="1"/>
  <c r="N315" i="11"/>
  <c r="Y315" i="11" s="1"/>
  <c r="E107" i="11"/>
  <c r="N107" i="11" s="1"/>
  <c r="Y107" i="11" s="1"/>
  <c r="E77" i="11"/>
  <c r="N77" i="11" s="1"/>
  <c r="Y77" i="11" s="1"/>
  <c r="AA318" i="11"/>
  <c r="S59" i="9"/>
  <c r="S58" i="9"/>
  <c r="S56" i="9"/>
  <c r="S55" i="9"/>
  <c r="Q58" i="9"/>
  <c r="S60" i="9"/>
  <c r="S57" i="9"/>
  <c r="Q57" i="9"/>
  <c r="O61" i="9"/>
  <c r="S54" i="9"/>
  <c r="S61" i="9"/>
  <c r="Q61" i="9"/>
  <c r="Q60" i="9"/>
  <c r="O60" i="9"/>
  <c r="O59" i="9"/>
  <c r="O57" i="9"/>
  <c r="O56" i="9"/>
  <c r="Q56" i="9"/>
  <c r="O53" i="9"/>
  <c r="O55" i="9"/>
  <c r="AA46" i="11"/>
  <c r="AA32" i="11"/>
  <c r="AA112" i="11"/>
  <c r="AA72" i="11"/>
  <c r="AA78" i="11"/>
  <c r="AA91" i="11"/>
  <c r="AA51" i="11"/>
  <c r="AA30" i="11"/>
  <c r="AA92" i="11"/>
  <c r="AA111" i="11"/>
  <c r="AA71" i="11"/>
  <c r="AA52" i="11"/>
  <c r="AA116" i="11"/>
  <c r="AA96" i="11"/>
  <c r="AA56" i="11"/>
  <c r="AA36" i="11"/>
  <c r="AA89" i="11"/>
  <c r="AA69" i="11"/>
  <c r="AA29" i="11"/>
  <c r="AA93" i="11"/>
  <c r="AA33" i="11"/>
  <c r="AA115" i="11"/>
  <c r="AA75" i="11"/>
  <c r="AA55" i="11"/>
  <c r="AA84" i="11"/>
  <c r="AA109" i="11"/>
  <c r="AA49" i="11"/>
  <c r="P59" i="9"/>
  <c r="P55" i="9"/>
  <c r="AA86" i="11"/>
  <c r="AA76" i="11"/>
  <c r="AA31" i="11"/>
  <c r="Q59" i="9"/>
  <c r="P58" i="9"/>
  <c r="P54" i="9"/>
  <c r="O58" i="9"/>
  <c r="AA113" i="11"/>
  <c r="AA108" i="11"/>
  <c r="AA88" i="11"/>
  <c r="AA73" i="11"/>
  <c r="AA68" i="11"/>
  <c r="AA53" i="11"/>
  <c r="AA48" i="11"/>
  <c r="AA28" i="11"/>
  <c r="Q53" i="9"/>
  <c r="Q55" i="9"/>
  <c r="P53" i="9"/>
  <c r="P61" i="9"/>
  <c r="P57" i="9"/>
  <c r="AA95" i="11"/>
  <c r="AA85" i="11"/>
  <c r="AA35" i="11"/>
  <c r="AA107" i="11"/>
  <c r="AA67" i="11"/>
  <c r="P60" i="9"/>
  <c r="N61" i="2"/>
  <c r="M57" i="2"/>
  <c r="N60" i="2"/>
  <c r="M56" i="2"/>
  <c r="S59" i="2"/>
  <c r="M55" i="2"/>
  <c r="M54" i="2"/>
  <c r="M52" i="2"/>
  <c r="U59" i="2"/>
  <c r="Q64" i="2" s="1"/>
  <c r="S64" i="2" s="1"/>
  <c r="S54" i="2"/>
  <c r="S55" i="2"/>
  <c r="S56" i="2"/>
  <c r="S57" i="2"/>
  <c r="S53" i="2"/>
  <c r="F54" i="9"/>
  <c r="F55" i="9"/>
  <c r="F56" i="9"/>
  <c r="F57" i="9"/>
  <c r="F58" i="9"/>
  <c r="F59" i="9"/>
  <c r="F60" i="9"/>
  <c r="F61" i="9"/>
  <c r="E61" i="9" s="1"/>
  <c r="F46" i="9"/>
  <c r="D46" i="9" s="1"/>
  <c r="J50" i="9"/>
  <c r="K50" i="9"/>
  <c r="J43" i="9"/>
  <c r="K43" i="9"/>
  <c r="J44" i="9"/>
  <c r="K44" i="9"/>
  <c r="J45" i="9"/>
  <c r="K45" i="9"/>
  <c r="J46" i="9"/>
  <c r="P46" i="9" s="1"/>
  <c r="K46" i="9"/>
  <c r="J47" i="9"/>
  <c r="K47" i="9"/>
  <c r="J48" i="9"/>
  <c r="K48" i="9"/>
  <c r="J49" i="9"/>
  <c r="K49" i="9"/>
  <c r="K42" i="9"/>
  <c r="J42" i="9"/>
  <c r="K54" i="9"/>
  <c r="K55" i="9"/>
  <c r="K56" i="9"/>
  <c r="K57" i="9"/>
  <c r="K58" i="9"/>
  <c r="K59" i="9"/>
  <c r="K60" i="9"/>
  <c r="K61" i="9"/>
  <c r="K53" i="9"/>
  <c r="J54" i="9"/>
  <c r="J55" i="9"/>
  <c r="J56" i="9"/>
  <c r="J57" i="9"/>
  <c r="J58" i="9"/>
  <c r="J59" i="9"/>
  <c r="J60" i="9"/>
  <c r="J61" i="9"/>
  <c r="J53" i="9"/>
  <c r="C55" i="9"/>
  <c r="C44" i="9"/>
  <c r="C20" i="9"/>
  <c r="F22" i="9" s="1"/>
  <c r="D22" i="9" s="1"/>
  <c r="C21" i="9"/>
  <c r="C22" i="9"/>
  <c r="C23" i="9"/>
  <c r="C12" i="9"/>
  <c r="H61" i="9"/>
  <c r="I61" i="9" s="1"/>
  <c r="H60" i="9"/>
  <c r="I60" i="9" s="1"/>
  <c r="E60" i="9"/>
  <c r="H59" i="9"/>
  <c r="I59" i="9" s="1"/>
  <c r="E59" i="9"/>
  <c r="H58" i="9"/>
  <c r="I58" i="9" s="1"/>
  <c r="E58" i="9"/>
  <c r="H57" i="9"/>
  <c r="I57" i="9" s="1"/>
  <c r="E57" i="9"/>
  <c r="H56" i="9"/>
  <c r="I56" i="9" s="1"/>
  <c r="E56" i="9"/>
  <c r="H55" i="9"/>
  <c r="I55" i="9" s="1"/>
  <c r="E55" i="9"/>
  <c r="I54" i="9"/>
  <c r="H54" i="9"/>
  <c r="D54" i="9"/>
  <c r="E54" i="9"/>
  <c r="C54" i="9"/>
  <c r="H53" i="9"/>
  <c r="C53" i="9"/>
  <c r="C52" i="9"/>
  <c r="F53" i="9" s="1"/>
  <c r="E53" i="9" s="1"/>
  <c r="T50" i="9"/>
  <c r="S50" i="9"/>
  <c r="H50" i="9"/>
  <c r="I50" i="9" s="1"/>
  <c r="T49" i="9"/>
  <c r="S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H44" i="9"/>
  <c r="I44" i="9" s="1"/>
  <c r="T43" i="9"/>
  <c r="S43" i="9"/>
  <c r="H43" i="9"/>
  <c r="C43" i="9"/>
  <c r="T42" i="9"/>
  <c r="S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5" i="9"/>
  <c r="D25" i="9" s="1"/>
  <c r="F27" i="9"/>
  <c r="E27" i="9" s="1"/>
  <c r="F11" i="9"/>
  <c r="E11" i="9" s="1"/>
  <c r="F14" i="9"/>
  <c r="D14" i="9" s="1"/>
  <c r="F16" i="9"/>
  <c r="D16" i="9" s="1"/>
  <c r="F18" i="9"/>
  <c r="D18" i="9" s="1"/>
  <c r="E14" i="9"/>
  <c r="E18" i="9"/>
  <c r="D11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F21" i="9"/>
  <c r="D21" i="9" s="1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N459" i="11" l="1"/>
  <c r="Y459" i="11" s="1"/>
  <c r="P21" i="11"/>
  <c r="H128" i="11"/>
  <c r="K128" i="11" s="1"/>
  <c r="H17" i="11"/>
  <c r="K17" i="11" s="1"/>
  <c r="H18" i="11"/>
  <c r="K18" i="11" s="1"/>
  <c r="H16" i="11"/>
  <c r="K16" i="11" s="1"/>
  <c r="H14" i="11"/>
  <c r="K14" i="11" s="1"/>
  <c r="H15" i="11"/>
  <c r="K15" i="11" s="1"/>
  <c r="P360" i="11"/>
  <c r="AA25" i="11"/>
  <c r="P247" i="1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K19" i="11"/>
  <c r="F21" i="11" s="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L57" i="9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N24" i="11"/>
  <c r="Y24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H19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N56" i="9"/>
  <c r="N60" i="9"/>
  <c r="N57" i="9"/>
  <c r="N61" i="9"/>
  <c r="N53" i="9"/>
  <c r="N54" i="9"/>
  <c r="N58" i="9"/>
  <c r="N55" i="9"/>
  <c r="N59" i="9"/>
  <c r="F29" i="9"/>
  <c r="E29" i="9" s="1"/>
  <c r="Q65" i="2"/>
  <c r="S65" i="2" s="1"/>
  <c r="Q62" i="2"/>
  <c r="S62" i="2" s="1"/>
  <c r="Q61" i="2"/>
  <c r="S61" i="2" s="1"/>
  <c r="Q63" i="2"/>
  <c r="S63" i="2" s="1"/>
  <c r="F50" i="9"/>
  <c r="E50" i="9" s="1"/>
  <c r="F49" i="9"/>
  <c r="F44" i="9"/>
  <c r="E46" i="9"/>
  <c r="X48" i="9"/>
  <c r="F48" i="9"/>
  <c r="E48" i="9" s="1"/>
  <c r="U46" i="9"/>
  <c r="F45" i="9"/>
  <c r="D50" i="9"/>
  <c r="F47" i="9"/>
  <c r="F43" i="9"/>
  <c r="E42" i="9"/>
  <c r="D42" i="9"/>
  <c r="W46" i="9"/>
  <c r="X46" i="9"/>
  <c r="V46" i="9"/>
  <c r="V47" i="9"/>
  <c r="X47" i="9"/>
  <c r="W45" i="9"/>
  <c r="V45" i="9"/>
  <c r="X45" i="9"/>
  <c r="W47" i="9"/>
  <c r="V48" i="9"/>
  <c r="W48" i="9"/>
  <c r="Q46" i="9"/>
  <c r="O46" i="9"/>
  <c r="I53" i="9"/>
  <c r="D55" i="9"/>
  <c r="D56" i="9"/>
  <c r="D57" i="9"/>
  <c r="D58" i="9"/>
  <c r="D59" i="9"/>
  <c r="D60" i="9"/>
  <c r="D61" i="9"/>
  <c r="I43" i="9"/>
  <c r="N46" i="9"/>
  <c r="M46" i="9" s="1"/>
  <c r="D53" i="9"/>
  <c r="F15" i="9"/>
  <c r="F12" i="9"/>
  <c r="E16" i="9"/>
  <c r="F17" i="9"/>
  <c r="F13" i="9"/>
  <c r="E22" i="9"/>
  <c r="E21" i="9"/>
  <c r="E25" i="9"/>
  <c r="F28" i="9"/>
  <c r="F26" i="9"/>
  <c r="D29" i="9"/>
  <c r="D27" i="9"/>
  <c r="U25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V24" i="9"/>
  <c r="X15" i="9"/>
  <c r="V26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F10" i="4" s="1"/>
  <c r="V335" i="11" l="1"/>
  <c r="AF335" i="11" s="1"/>
  <c r="V292" i="11"/>
  <c r="AF292" i="11" s="1"/>
  <c r="V225" i="1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F134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F39" i="11"/>
  <c r="O39" i="11" s="1"/>
  <c r="Z39" i="11" s="1"/>
  <c r="V73" i="11"/>
  <c r="AF73" i="11" s="1"/>
  <c r="U61" i="9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F99" i="11"/>
  <c r="O99" i="11" s="1"/>
  <c r="Z99" i="11" s="1"/>
  <c r="F56" i="11"/>
  <c r="O56" i="11" s="1"/>
  <c r="Z56" i="11" s="1"/>
  <c r="F47" i="11"/>
  <c r="O47" i="11" s="1"/>
  <c r="Z47" i="11" s="1"/>
  <c r="F51" i="11"/>
  <c r="O51" i="11" s="1"/>
  <c r="Z51" i="11" s="1"/>
  <c r="F80" i="11"/>
  <c r="O80" i="11" s="1"/>
  <c r="Z80" i="11" s="1"/>
  <c r="V190" i="11"/>
  <c r="AF190" i="11" s="1"/>
  <c r="V150" i="11"/>
  <c r="AF150" i="11" s="1"/>
  <c r="V324" i="11"/>
  <c r="AF324" i="11" s="1"/>
  <c r="F27" i="11"/>
  <c r="O27" i="11" s="1"/>
  <c r="Z27" i="11" s="1"/>
  <c r="F120" i="11"/>
  <c r="O120" i="11" s="1"/>
  <c r="Z120" i="11" s="1"/>
  <c r="F91" i="11"/>
  <c r="O91" i="11" s="1"/>
  <c r="Z91" i="11" s="1"/>
  <c r="Y167" i="11"/>
  <c r="F45" i="11"/>
  <c r="O45" i="11" s="1"/>
  <c r="Z45" i="11" s="1"/>
  <c r="F66" i="11"/>
  <c r="O66" i="11" s="1"/>
  <c r="Z66" i="11" s="1"/>
  <c r="V445" i="11"/>
  <c r="AF445" i="11" s="1"/>
  <c r="F88" i="11"/>
  <c r="O88" i="11" s="1"/>
  <c r="Z88" i="11" s="1"/>
  <c r="V210" i="11"/>
  <c r="AF210" i="11" s="1"/>
  <c r="V206" i="11"/>
  <c r="AF206" i="11" s="1"/>
  <c r="V414" i="11"/>
  <c r="AF414" i="11" s="1"/>
  <c r="V233" i="11"/>
  <c r="AF233" i="11" s="1"/>
  <c r="F103" i="11"/>
  <c r="O103" i="11" s="1"/>
  <c r="Z103" i="11" s="1"/>
  <c r="F68" i="11"/>
  <c r="O68" i="11" s="1"/>
  <c r="Z68" i="11" s="1"/>
  <c r="V88" i="11"/>
  <c r="AF88" i="11" s="1"/>
  <c r="F100" i="11"/>
  <c r="O100" i="11" s="1"/>
  <c r="Z100" i="11" s="1"/>
  <c r="V438" i="11"/>
  <c r="AF438" i="11" s="1"/>
  <c r="F63" i="11"/>
  <c r="O63" i="11" s="1"/>
  <c r="Z63" i="11" s="1"/>
  <c r="F48" i="11"/>
  <c r="O48" i="11" s="1"/>
  <c r="Z48" i="11" s="1"/>
  <c r="V156" i="11"/>
  <c r="AF156" i="11" s="1"/>
  <c r="F58" i="11"/>
  <c r="O58" i="11" s="1"/>
  <c r="Z58" i="11" s="1"/>
  <c r="V396" i="11"/>
  <c r="AF396" i="11" s="1"/>
  <c r="F84" i="11"/>
  <c r="O84" i="11" s="1"/>
  <c r="Z84" i="11" s="1"/>
  <c r="F43" i="11"/>
  <c r="O43" i="11" s="1"/>
  <c r="Z43" i="11" s="1"/>
  <c r="V91" i="11"/>
  <c r="AF91" i="11" s="1"/>
  <c r="V346" i="11"/>
  <c r="AF346" i="11" s="1"/>
  <c r="V437" i="11"/>
  <c r="AF437" i="11" s="1"/>
  <c r="V386" i="11"/>
  <c r="AF386" i="11" s="1"/>
  <c r="V427" i="11"/>
  <c r="AF427" i="11" s="1"/>
  <c r="H243" i="11"/>
  <c r="F109" i="11"/>
  <c r="O109" i="11" s="1"/>
  <c r="Z109" i="11" s="1"/>
  <c r="F94" i="11"/>
  <c r="O94" i="11" s="1"/>
  <c r="Z94" i="11" s="1"/>
  <c r="V90" i="11"/>
  <c r="AF90" i="11" s="1"/>
  <c r="F105" i="11"/>
  <c r="O105" i="11" s="1"/>
  <c r="Z105" i="11" s="1"/>
  <c r="F108" i="11"/>
  <c r="O108" i="11" s="1"/>
  <c r="Z108" i="11" s="1"/>
  <c r="F67" i="11"/>
  <c r="O67" i="11" s="1"/>
  <c r="Z67" i="11" s="1"/>
  <c r="V336" i="11"/>
  <c r="AF336" i="11" s="1"/>
  <c r="F104" i="11"/>
  <c r="O104" i="11" s="1"/>
  <c r="Z104" i="11" s="1"/>
  <c r="V452" i="11"/>
  <c r="AF452" i="11" s="1"/>
  <c r="V146" i="11"/>
  <c r="AF146" i="11" s="1"/>
  <c r="F117" i="11"/>
  <c r="O117" i="11" s="1"/>
  <c r="Z117" i="11" s="1"/>
  <c r="F31" i="11"/>
  <c r="O31" i="11" s="1"/>
  <c r="Z31" i="11" s="1"/>
  <c r="F73" i="11"/>
  <c r="O73" i="11" s="1"/>
  <c r="Z73" i="11" s="1"/>
  <c r="M59" i="9" s="1"/>
  <c r="F113" i="11"/>
  <c r="O113" i="11" s="1"/>
  <c r="Z113" i="11" s="1"/>
  <c r="F59" i="11"/>
  <c r="O59" i="11" s="1"/>
  <c r="Z59" i="11" s="1"/>
  <c r="F69" i="11"/>
  <c r="O69" i="11" s="1"/>
  <c r="Z69" i="11" s="1"/>
  <c r="V99" i="11"/>
  <c r="AF99" i="11" s="1"/>
  <c r="V446" i="11"/>
  <c r="AF446" i="11" s="1"/>
  <c r="V317" i="11"/>
  <c r="AF317" i="11" s="1"/>
  <c r="V387" i="11"/>
  <c r="AF387" i="11" s="1"/>
  <c r="V114" i="11"/>
  <c r="AF114" i="11" s="1"/>
  <c r="F89" i="11"/>
  <c r="O89" i="11" s="1"/>
  <c r="Z89" i="11" s="1"/>
  <c r="F79" i="11"/>
  <c r="O79" i="11" s="1"/>
  <c r="Z79" i="11" s="1"/>
  <c r="F110" i="11"/>
  <c r="O110" i="11" s="1"/>
  <c r="Z110" i="11" s="1"/>
  <c r="F49" i="11"/>
  <c r="O49" i="11" s="1"/>
  <c r="Z49" i="11" s="1"/>
  <c r="F77" i="11"/>
  <c r="O77" i="11" s="1"/>
  <c r="Z77" i="11" s="1"/>
  <c r="V314" i="11"/>
  <c r="AF314" i="11" s="1"/>
  <c r="F86" i="11"/>
  <c r="O86" i="11" s="1"/>
  <c r="Z86" i="11" s="1"/>
  <c r="F98" i="11"/>
  <c r="O98" i="11" s="1"/>
  <c r="Z98" i="11" s="1"/>
  <c r="V263" i="11"/>
  <c r="AF263" i="11" s="1"/>
  <c r="V154" i="11"/>
  <c r="AF154" i="11" s="1"/>
  <c r="H244" i="11"/>
  <c r="H354" i="11"/>
  <c r="V47" i="11"/>
  <c r="AF47" i="11" s="1"/>
  <c r="F40" i="11"/>
  <c r="O40" i="11" s="1"/>
  <c r="Z40" i="11" s="1"/>
  <c r="V431" i="11"/>
  <c r="AF431" i="11" s="1"/>
  <c r="F75" i="11"/>
  <c r="O75" i="11" s="1"/>
  <c r="Z75" i="11" s="1"/>
  <c r="F25" i="11"/>
  <c r="O25" i="11" s="1"/>
  <c r="Z25" i="11" s="1"/>
  <c r="V449" i="11"/>
  <c r="AF449" i="11" s="1"/>
  <c r="V119" i="11"/>
  <c r="AF119" i="11" s="1"/>
  <c r="F33" i="11"/>
  <c r="O33" i="11" s="1"/>
  <c r="Z33" i="11" s="1"/>
  <c r="F119" i="11"/>
  <c r="O119" i="11" s="1"/>
  <c r="Z119" i="11" s="1"/>
  <c r="F70" i="11"/>
  <c r="O70" i="11" s="1"/>
  <c r="Z70" i="11" s="1"/>
  <c r="F29" i="11"/>
  <c r="O29" i="11" s="1"/>
  <c r="Z29" i="11" s="1"/>
  <c r="V392" i="11"/>
  <c r="AF392" i="11" s="1"/>
  <c r="V201" i="11"/>
  <c r="AF201" i="11" s="1"/>
  <c r="F106" i="11"/>
  <c r="O106" i="11" s="1"/>
  <c r="Z106" i="11" s="1"/>
  <c r="F55" i="11"/>
  <c r="O55" i="11" s="1"/>
  <c r="Z55" i="11" s="1"/>
  <c r="F57" i="11"/>
  <c r="O57" i="11" s="1"/>
  <c r="Z57" i="11" s="1"/>
  <c r="F114" i="11"/>
  <c r="O114" i="11" s="1"/>
  <c r="Z114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L60" i="9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F30" i="11"/>
  <c r="O30" i="11" s="1"/>
  <c r="Z30" i="11" s="1"/>
  <c r="F118" i="11"/>
  <c r="O118" i="11" s="1"/>
  <c r="Z118" i="11" s="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F46" i="11"/>
  <c r="O46" i="11" s="1"/>
  <c r="Z46" i="11" s="1"/>
  <c r="F121" i="11"/>
  <c r="O121" i="11" s="1"/>
  <c r="Z121" i="11" s="1"/>
  <c r="V102" i="11"/>
  <c r="AF102" i="11" s="1"/>
  <c r="V418" i="11"/>
  <c r="AF418" i="11" s="1"/>
  <c r="V398" i="11"/>
  <c r="AF398" i="11" s="1"/>
  <c r="V269" i="11"/>
  <c r="AF269" i="11" s="1"/>
  <c r="V338" i="11"/>
  <c r="AF338" i="11" s="1"/>
  <c r="V221" i="11"/>
  <c r="AF221" i="11" s="1"/>
  <c r="F111" i="11"/>
  <c r="O111" i="11" s="1"/>
  <c r="Z111" i="11" s="1"/>
  <c r="F24" i="11"/>
  <c r="O24" i="11" s="1"/>
  <c r="Z24" i="11" s="1"/>
  <c r="F122" i="11"/>
  <c r="O122" i="11" s="1"/>
  <c r="Z122" i="11" s="1"/>
  <c r="V390" i="11"/>
  <c r="AF390" i="11" s="1"/>
  <c r="V440" i="11"/>
  <c r="AF440" i="11" s="1"/>
  <c r="Y434" i="11"/>
  <c r="V86" i="11"/>
  <c r="AF86" i="11" s="1"/>
  <c r="V106" i="11"/>
  <c r="AF106" i="11" s="1"/>
  <c r="F71" i="11"/>
  <c r="O71" i="11" s="1"/>
  <c r="Z71" i="11" s="1"/>
  <c r="F78" i="11"/>
  <c r="O78" i="11" s="1"/>
  <c r="Z78" i="11" s="1"/>
  <c r="F82" i="11"/>
  <c r="O82" i="11" s="1"/>
  <c r="Z82" i="11" s="1"/>
  <c r="F76" i="11"/>
  <c r="O76" i="11" s="1"/>
  <c r="Z76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F85" i="11"/>
  <c r="O85" i="11" s="1"/>
  <c r="Z85" i="11" s="1"/>
  <c r="F107" i="11"/>
  <c r="O107" i="11" s="1"/>
  <c r="Z107" i="11" s="1"/>
  <c r="L54" i="9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F65" i="11"/>
  <c r="O65" i="11" s="1"/>
  <c r="Z65" i="11" s="1"/>
  <c r="F87" i="11"/>
  <c r="O87" i="11" s="1"/>
  <c r="Z87" i="11" s="1"/>
  <c r="L58" i="9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F53" i="11"/>
  <c r="O53" i="11" s="1"/>
  <c r="Z53" i="11" s="1"/>
  <c r="F90" i="11"/>
  <c r="O90" i="11" s="1"/>
  <c r="Z90" i="11" s="1"/>
  <c r="F123" i="11"/>
  <c r="O123" i="11" s="1"/>
  <c r="Z123" i="11" s="1"/>
  <c r="H355" i="11"/>
  <c r="F60" i="11"/>
  <c r="O60" i="11" s="1"/>
  <c r="Z60" i="11" s="1"/>
  <c r="V298" i="11"/>
  <c r="AF298" i="11" s="1"/>
  <c r="V455" i="11"/>
  <c r="AF455" i="11" s="1"/>
  <c r="V141" i="11"/>
  <c r="AF141" i="11" s="1"/>
  <c r="L53" i="9"/>
  <c r="V379" i="11"/>
  <c r="AF379" i="11" s="1"/>
  <c r="F44" i="11"/>
  <c r="O44" i="11" s="1"/>
  <c r="Z44" i="11" s="1"/>
  <c r="F50" i="11"/>
  <c r="O50" i="11" s="1"/>
  <c r="Z50" i="11" s="1"/>
  <c r="F83" i="11"/>
  <c r="O83" i="11" s="1"/>
  <c r="Z83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F26" i="11"/>
  <c r="O26" i="11" s="1"/>
  <c r="Z26" i="11" s="1"/>
  <c r="F112" i="11"/>
  <c r="O112" i="11" s="1"/>
  <c r="Z112" i="11" s="1"/>
  <c r="F62" i="11"/>
  <c r="O62" i="11" s="1"/>
  <c r="Z62" i="11" s="1"/>
  <c r="F38" i="11"/>
  <c r="O38" i="11" s="1"/>
  <c r="Z38" i="11" s="1"/>
  <c r="F101" i="11"/>
  <c r="O101" i="11" s="1"/>
  <c r="Z101" i="11" s="1"/>
  <c r="F96" i="11"/>
  <c r="O96" i="11" s="1"/>
  <c r="Z96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F52" i="11"/>
  <c r="O52" i="11" s="1"/>
  <c r="Z52" i="11" s="1"/>
  <c r="F92" i="11"/>
  <c r="O92" i="11" s="1"/>
  <c r="Z92" i="11" s="1"/>
  <c r="F102" i="11"/>
  <c r="O102" i="11" s="1"/>
  <c r="Z102" i="11" s="1"/>
  <c r="F42" i="11"/>
  <c r="O42" i="11" s="1"/>
  <c r="Z42" i="11" s="1"/>
  <c r="F81" i="11"/>
  <c r="O81" i="11" s="1"/>
  <c r="Z81" i="11" s="1"/>
  <c r="F28" i="11"/>
  <c r="O28" i="11" s="1"/>
  <c r="Z28" i="11" s="1"/>
  <c r="F37" i="11"/>
  <c r="O37" i="11" s="1"/>
  <c r="Z37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F72" i="11"/>
  <c r="O72" i="11" s="1"/>
  <c r="Z72" i="11" s="1"/>
  <c r="F115" i="11"/>
  <c r="O115" i="11" s="1"/>
  <c r="Z115" i="11" s="1"/>
  <c r="F61" i="11"/>
  <c r="O61" i="11" s="1"/>
  <c r="Z61" i="11" s="1"/>
  <c r="F54" i="11"/>
  <c r="O54" i="11" s="1"/>
  <c r="Z54" i="11" s="1"/>
  <c r="V32" i="11"/>
  <c r="AF32" i="11" s="1"/>
  <c r="V54" i="11"/>
  <c r="AF54" i="11" s="1"/>
  <c r="V303" i="11"/>
  <c r="AF303" i="11" s="1"/>
  <c r="V289" i="11"/>
  <c r="AF289" i="11" s="1"/>
  <c r="F95" i="11"/>
  <c r="O95" i="11" s="1"/>
  <c r="Z95" i="11" s="1"/>
  <c r="F41" i="11"/>
  <c r="O41" i="11" s="1"/>
  <c r="Z41" i="11" s="1"/>
  <c r="F34" i="11"/>
  <c r="O34" i="11" s="1"/>
  <c r="Z34" i="11" s="1"/>
  <c r="F32" i="11"/>
  <c r="O32" i="11" s="1"/>
  <c r="Z32" i="11" s="1"/>
  <c r="F36" i="11"/>
  <c r="O36" i="11" s="1"/>
  <c r="Z36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L61" i="9"/>
  <c r="V112" i="11"/>
  <c r="AF112" i="11" s="1"/>
  <c r="V80" i="11"/>
  <c r="AF80" i="11" s="1"/>
  <c r="L56" i="9"/>
  <c r="V217" i="11"/>
  <c r="AF217" i="11" s="1"/>
  <c r="V92" i="11"/>
  <c r="AF92" i="11" s="1"/>
  <c r="F93" i="11"/>
  <c r="O93" i="11" s="1"/>
  <c r="Z93" i="11" s="1"/>
  <c r="F97" i="11"/>
  <c r="O97" i="11" s="1"/>
  <c r="Z97" i="11" s="1"/>
  <c r="F116" i="11"/>
  <c r="O116" i="11" s="1"/>
  <c r="Z116" i="11" s="1"/>
  <c r="F35" i="11"/>
  <c r="O35" i="11" s="1"/>
  <c r="Z35" i="11" s="1"/>
  <c r="F64" i="11"/>
  <c r="O64" i="11" s="1"/>
  <c r="Z64" i="11" s="1"/>
  <c r="F74" i="11"/>
  <c r="O74" i="11" s="1"/>
  <c r="Z74" i="11" s="1"/>
  <c r="V433" i="11"/>
  <c r="AF433" i="11" s="1"/>
  <c r="V430" i="11"/>
  <c r="AF430" i="11" s="1"/>
  <c r="V404" i="11"/>
  <c r="AF404" i="11" s="1"/>
  <c r="V138" i="11"/>
  <c r="AF138" i="11" s="1"/>
  <c r="L55" i="9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L59" i="9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S67" i="2"/>
  <c r="D48" i="9"/>
  <c r="E44" i="9"/>
  <c r="D44" i="9"/>
  <c r="D49" i="9"/>
  <c r="E49" i="9"/>
  <c r="D43" i="9"/>
  <c r="E43" i="9"/>
  <c r="E45" i="9"/>
  <c r="D45" i="9"/>
  <c r="L46" i="9"/>
  <c r="E47" i="9"/>
  <c r="D47" i="9"/>
  <c r="D13" i="9"/>
  <c r="E13" i="9"/>
  <c r="D17" i="9"/>
  <c r="E17" i="9"/>
  <c r="E12" i="9"/>
  <c r="D12" i="9"/>
  <c r="D15" i="9"/>
  <c r="E15" i="9"/>
  <c r="D23" i="9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H23" i="2"/>
  <c r="H24" i="2"/>
  <c r="G23" i="2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E23" i="2"/>
  <c r="N6" i="8"/>
  <c r="N7" i="8"/>
  <c r="N8" i="8"/>
  <c r="N9" i="8"/>
  <c r="N10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R44" i="9" s="1"/>
  <c r="AA12" i="4"/>
  <c r="AJ12" i="4" s="1"/>
  <c r="AA13" i="4"/>
  <c r="AJ13" i="4" s="1"/>
  <c r="AA14" i="4"/>
  <c r="AJ14" i="4" s="1"/>
  <c r="R45" i="9" s="1"/>
  <c r="AA15" i="4"/>
  <c r="AJ15" i="4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O8" i="5"/>
  <c r="O14" i="5" s="1"/>
  <c r="I28" i="4"/>
  <c r="R47" i="9" l="1"/>
  <c r="F171" i="11"/>
  <c r="O171" i="11" s="1"/>
  <c r="Z171" i="11" s="1"/>
  <c r="F194" i="11"/>
  <c r="O194" i="11" s="1"/>
  <c r="Z194" i="11" s="1"/>
  <c r="F154" i="11"/>
  <c r="O154" i="11" s="1"/>
  <c r="Z154" i="11" s="1"/>
  <c r="F152" i="11"/>
  <c r="O152" i="11" s="1"/>
  <c r="Z152" i="11" s="1"/>
  <c r="F148" i="11"/>
  <c r="O148" i="11" s="1"/>
  <c r="Z148" i="11" s="1"/>
  <c r="F206" i="11"/>
  <c r="O206" i="11" s="1"/>
  <c r="Z206" i="11" s="1"/>
  <c r="F190" i="11"/>
  <c r="O190" i="11" s="1"/>
  <c r="Z190" i="11" s="1"/>
  <c r="F164" i="11"/>
  <c r="O164" i="11" s="1"/>
  <c r="Z164" i="11" s="1"/>
  <c r="F225" i="11"/>
  <c r="O225" i="11" s="1"/>
  <c r="Z225" i="11" s="1"/>
  <c r="F221" i="11"/>
  <c r="O221" i="11" s="1"/>
  <c r="Z221" i="11" s="1"/>
  <c r="F217" i="11"/>
  <c r="O217" i="11" s="1"/>
  <c r="Z217" i="11" s="1"/>
  <c r="F235" i="11"/>
  <c r="O235" i="11" s="1"/>
  <c r="Z235" i="11" s="1"/>
  <c r="F168" i="11"/>
  <c r="O168" i="11" s="1"/>
  <c r="Z168" i="11" s="1"/>
  <c r="F181" i="11"/>
  <c r="O181" i="11" s="1"/>
  <c r="Z181" i="11" s="1"/>
  <c r="F138" i="11"/>
  <c r="O138" i="11" s="1"/>
  <c r="Z138" i="11" s="1"/>
  <c r="F200" i="11"/>
  <c r="O200" i="11" s="1"/>
  <c r="Z200" i="11" s="1"/>
  <c r="F187" i="11"/>
  <c r="O187" i="11" s="1"/>
  <c r="Z187" i="11" s="1"/>
  <c r="F161" i="11"/>
  <c r="O161" i="11" s="1"/>
  <c r="Z161" i="11" s="1"/>
  <c r="F177" i="11"/>
  <c r="O177" i="11" s="1"/>
  <c r="Z177" i="11" s="1"/>
  <c r="F195" i="11"/>
  <c r="O195" i="11" s="1"/>
  <c r="Z195" i="11" s="1"/>
  <c r="F173" i="11"/>
  <c r="O173" i="11" s="1"/>
  <c r="Z173" i="11" s="1"/>
  <c r="F224" i="11"/>
  <c r="O224" i="11" s="1"/>
  <c r="Z224" i="11" s="1"/>
  <c r="F185" i="11"/>
  <c r="O185" i="11" s="1"/>
  <c r="Z185" i="11" s="1"/>
  <c r="F229" i="11"/>
  <c r="O229" i="11" s="1"/>
  <c r="Z229" i="11" s="1"/>
  <c r="F150" i="11"/>
  <c r="O150" i="11" s="1"/>
  <c r="Z150" i="11" s="1"/>
  <c r="F165" i="11"/>
  <c r="O165" i="11" s="1"/>
  <c r="Z165" i="11" s="1"/>
  <c r="F208" i="11"/>
  <c r="O208" i="11" s="1"/>
  <c r="Z208" i="11" s="1"/>
  <c r="F174" i="11"/>
  <c r="O174" i="11" s="1"/>
  <c r="Z174" i="11" s="1"/>
  <c r="F234" i="11"/>
  <c r="O234" i="11" s="1"/>
  <c r="Z234" i="11" s="1"/>
  <c r="F216" i="11"/>
  <c r="O216" i="11" s="1"/>
  <c r="Z216" i="11" s="1"/>
  <c r="F189" i="11"/>
  <c r="O189" i="11" s="1"/>
  <c r="Z189" i="11" s="1"/>
  <c r="F182" i="11"/>
  <c r="O182" i="11" s="1"/>
  <c r="Z182" i="11" s="1"/>
  <c r="F153" i="11"/>
  <c r="O153" i="11" s="1"/>
  <c r="Z153" i="11" s="1"/>
  <c r="F184" i="11"/>
  <c r="O184" i="11" s="1"/>
  <c r="Z184" i="11" s="1"/>
  <c r="F159" i="11"/>
  <c r="O159" i="11" s="1"/>
  <c r="Z159" i="11" s="1"/>
  <c r="F199" i="11"/>
  <c r="O199" i="11" s="1"/>
  <c r="Z199" i="11" s="1"/>
  <c r="F143" i="11"/>
  <c r="O143" i="11" s="1"/>
  <c r="Z143" i="11" s="1"/>
  <c r="F222" i="11"/>
  <c r="O222" i="11" s="1"/>
  <c r="Z222" i="11" s="1"/>
  <c r="F188" i="11"/>
  <c r="O188" i="11" s="1"/>
  <c r="Z188" i="11" s="1"/>
  <c r="F228" i="11"/>
  <c r="O228" i="11" s="1"/>
  <c r="Z228" i="11" s="1"/>
  <c r="F219" i="11"/>
  <c r="O219" i="11" s="1"/>
  <c r="Z219" i="11" s="1"/>
  <c r="F141" i="11"/>
  <c r="O141" i="11" s="1"/>
  <c r="Z141" i="11" s="1"/>
  <c r="F186" i="11"/>
  <c r="O186" i="11" s="1"/>
  <c r="Z186" i="11" s="1"/>
  <c r="F147" i="11"/>
  <c r="O147" i="11" s="1"/>
  <c r="Z147" i="11" s="1"/>
  <c r="F204" i="11"/>
  <c r="O204" i="11" s="1"/>
  <c r="Z204" i="11" s="1"/>
  <c r="F236" i="11"/>
  <c r="O236" i="11" s="1"/>
  <c r="Z236" i="11" s="1"/>
  <c r="F205" i="11"/>
  <c r="O205" i="11" s="1"/>
  <c r="Z205" i="11" s="1"/>
  <c r="F158" i="11"/>
  <c r="O158" i="11" s="1"/>
  <c r="Z158" i="11" s="1"/>
  <c r="F220" i="11"/>
  <c r="O220" i="11" s="1"/>
  <c r="Z220" i="11" s="1"/>
  <c r="F157" i="11"/>
  <c r="O157" i="11" s="1"/>
  <c r="Z157" i="11" s="1"/>
  <c r="F223" i="11"/>
  <c r="O223" i="11" s="1"/>
  <c r="Z223" i="11" s="1"/>
  <c r="F175" i="11"/>
  <c r="O175" i="11" s="1"/>
  <c r="Z175" i="11" s="1"/>
  <c r="F139" i="11"/>
  <c r="O139" i="11" s="1"/>
  <c r="Z139" i="11" s="1"/>
  <c r="F155" i="11"/>
  <c r="O155" i="11" s="1"/>
  <c r="Z155" i="11" s="1"/>
  <c r="F198" i="11"/>
  <c r="O198" i="11" s="1"/>
  <c r="Z198" i="11" s="1"/>
  <c r="F192" i="11"/>
  <c r="O192" i="11" s="1"/>
  <c r="Z192" i="11" s="1"/>
  <c r="F196" i="11"/>
  <c r="O196" i="11" s="1"/>
  <c r="Z196" i="11" s="1"/>
  <c r="F169" i="11"/>
  <c r="O169" i="11" s="1"/>
  <c r="Z169" i="11" s="1"/>
  <c r="F162" i="11"/>
  <c r="O162" i="11" s="1"/>
  <c r="Z162" i="11" s="1"/>
  <c r="F227" i="11"/>
  <c r="O227" i="11" s="1"/>
  <c r="Z227" i="11" s="1"/>
  <c r="F211" i="11"/>
  <c r="O211" i="11" s="1"/>
  <c r="Z211" i="11" s="1"/>
  <c r="F233" i="11"/>
  <c r="O233" i="11" s="1"/>
  <c r="Z233" i="11" s="1"/>
  <c r="F166" i="11"/>
  <c r="O166" i="11" s="1"/>
  <c r="Z166" i="11" s="1"/>
  <c r="F212" i="11"/>
  <c r="O212" i="11" s="1"/>
  <c r="Z212" i="11" s="1"/>
  <c r="F230" i="11"/>
  <c r="O230" i="11" s="1"/>
  <c r="Z230" i="11" s="1"/>
  <c r="F203" i="11"/>
  <c r="O203" i="11" s="1"/>
  <c r="Z203" i="11" s="1"/>
  <c r="F231" i="11"/>
  <c r="O231" i="11" s="1"/>
  <c r="Z231" i="11" s="1"/>
  <c r="F179" i="11"/>
  <c r="O179" i="11" s="1"/>
  <c r="Z179" i="11" s="1"/>
  <c r="F144" i="11"/>
  <c r="O144" i="11" s="1"/>
  <c r="Z144" i="11" s="1"/>
  <c r="F172" i="11"/>
  <c r="O172" i="11" s="1"/>
  <c r="Z172" i="11" s="1"/>
  <c r="F151" i="11"/>
  <c r="O151" i="11" s="1"/>
  <c r="Z151" i="11" s="1"/>
  <c r="F218" i="11"/>
  <c r="O218" i="11" s="1"/>
  <c r="Z218" i="11" s="1"/>
  <c r="F213" i="11"/>
  <c r="O213" i="11" s="1"/>
  <c r="Z213" i="11" s="1"/>
  <c r="F176" i="11"/>
  <c r="O176" i="11" s="1"/>
  <c r="Z176" i="11" s="1"/>
  <c r="F149" i="11"/>
  <c r="O149" i="11" s="1"/>
  <c r="Z149" i="11" s="1"/>
  <c r="F142" i="11"/>
  <c r="O142" i="11" s="1"/>
  <c r="Z142" i="11" s="1"/>
  <c r="F156" i="11"/>
  <c r="O156" i="11" s="1"/>
  <c r="Z156" i="11" s="1"/>
  <c r="F145" i="11"/>
  <c r="O145" i="11" s="1"/>
  <c r="Z145" i="11" s="1"/>
  <c r="F140" i="11"/>
  <c r="O140" i="11" s="1"/>
  <c r="Z140" i="11" s="1"/>
  <c r="F146" i="11"/>
  <c r="O146" i="11" s="1"/>
  <c r="Z146" i="11" s="1"/>
  <c r="F137" i="11"/>
  <c r="O135" i="11" s="1"/>
  <c r="F232" i="11"/>
  <c r="O232" i="11" s="1"/>
  <c r="Z232" i="11" s="1"/>
  <c r="F163" i="11"/>
  <c r="O163" i="11" s="1"/>
  <c r="Z163" i="11" s="1"/>
  <c r="F170" i="11"/>
  <c r="O170" i="11" s="1"/>
  <c r="Z170" i="11" s="1"/>
  <c r="F202" i="11"/>
  <c r="O202" i="11" s="1"/>
  <c r="Z202" i="11" s="1"/>
  <c r="F191" i="11"/>
  <c r="O191" i="11" s="1"/>
  <c r="Z191" i="11" s="1"/>
  <c r="F193" i="11"/>
  <c r="O193" i="11" s="1"/>
  <c r="Z193" i="11" s="1"/>
  <c r="F210" i="11"/>
  <c r="O210" i="11" s="1"/>
  <c r="Z210" i="11" s="1"/>
  <c r="F183" i="11"/>
  <c r="O183" i="11" s="1"/>
  <c r="Z183" i="11" s="1"/>
  <c r="F209" i="11"/>
  <c r="O209" i="11" s="1"/>
  <c r="Z209" i="11" s="1"/>
  <c r="F180" i="11"/>
  <c r="O180" i="11" s="1"/>
  <c r="Z180" i="11" s="1"/>
  <c r="F160" i="11"/>
  <c r="O160" i="11" s="1"/>
  <c r="Z160" i="11" s="1"/>
  <c r="F201" i="11"/>
  <c r="O201" i="11" s="1"/>
  <c r="Z201" i="11" s="1"/>
  <c r="F226" i="11"/>
  <c r="O226" i="11" s="1"/>
  <c r="Z226" i="11" s="1"/>
  <c r="F214" i="11"/>
  <c r="O214" i="11" s="1"/>
  <c r="Z214" i="11" s="1"/>
  <c r="F167" i="11"/>
  <c r="O167" i="11" s="1"/>
  <c r="Z167" i="11" s="1"/>
  <c r="F207" i="11"/>
  <c r="O207" i="11" s="1"/>
  <c r="Z207" i="11" s="1"/>
  <c r="F178" i="11"/>
  <c r="O178" i="11" s="1"/>
  <c r="Z178" i="11" s="1"/>
  <c r="F197" i="11"/>
  <c r="O197" i="11" s="1"/>
  <c r="Z197" i="11" s="1"/>
  <c r="F215" i="11"/>
  <c r="O215" i="11" s="1"/>
  <c r="Z215" i="11" s="1"/>
  <c r="R43" i="9"/>
  <c r="R42" i="9"/>
  <c r="R50" i="9"/>
  <c r="R49" i="9"/>
  <c r="H241" i="11"/>
  <c r="K241" i="11" s="1"/>
  <c r="U54" i="9"/>
  <c r="U53" i="9"/>
  <c r="U59" i="9"/>
  <c r="U58" i="9"/>
  <c r="U60" i="9"/>
  <c r="U55" i="9"/>
  <c r="V50" i="11"/>
  <c r="AF50" i="11" s="1"/>
  <c r="U57" i="9"/>
  <c r="U56" i="9"/>
  <c r="M56" i="9"/>
  <c r="V61" i="11"/>
  <c r="AF61" i="11" s="1"/>
  <c r="H240" i="11"/>
  <c r="M53" i="9"/>
  <c r="M55" i="9"/>
  <c r="V211" i="11"/>
  <c r="AF211" i="11" s="1"/>
  <c r="O22" i="11"/>
  <c r="M58" i="9"/>
  <c r="M54" i="9"/>
  <c r="H353" i="11"/>
  <c r="M61" i="9"/>
  <c r="M57" i="9"/>
  <c r="M60" i="9"/>
  <c r="H242" i="11"/>
  <c r="K242" i="11" s="1"/>
  <c r="H357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J15" i="7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R18" i="9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R29" i="9"/>
  <c r="O25" i="9"/>
  <c r="Q25" i="9"/>
  <c r="R17" i="9"/>
  <c r="P11" i="9"/>
  <c r="R21" i="9"/>
  <c r="O18" i="9"/>
  <c r="R27" i="9"/>
  <c r="R13" i="9"/>
  <c r="R22" i="9"/>
  <c r="R14" i="9"/>
  <c r="P25" i="9"/>
  <c r="R10" i="9"/>
  <c r="O11" i="9"/>
  <c r="R15" i="9"/>
  <c r="Q11" i="9"/>
  <c r="N18" i="9"/>
  <c r="M18" i="9" s="1"/>
  <c r="R28" i="9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O137" i="11" l="1"/>
  <c r="Z137" i="11" s="1"/>
  <c r="H5" i="7"/>
  <c r="K353" i="11"/>
  <c r="K357" i="11"/>
  <c r="K355" i="11"/>
  <c r="K240" i="11"/>
  <c r="K245" i="11" s="1"/>
  <c r="F247" i="11" s="1"/>
  <c r="K354" i="11"/>
  <c r="K356" i="11"/>
  <c r="H358" i="11"/>
  <c r="A52" i="9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L18" i="9"/>
  <c r="L25" i="9"/>
  <c r="L16" i="9"/>
  <c r="L11" i="9"/>
  <c r="L14" i="9"/>
  <c r="E38" i="3"/>
  <c r="Q2" i="8"/>
  <c r="R6" i="8" s="1"/>
  <c r="S6" i="8" s="1"/>
  <c r="AG11" i="4"/>
  <c r="O44" i="9" s="1"/>
  <c r="AH11" i="4"/>
  <c r="P44" i="9" s="1"/>
  <c r="AI11" i="4"/>
  <c r="Q44" i="9" s="1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AH15" i="4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O49" i="9" s="1"/>
  <c r="AH20" i="4"/>
  <c r="P49" i="9" s="1"/>
  <c r="AI20" i="4"/>
  <c r="Q49" i="9" s="1"/>
  <c r="AG21" i="4"/>
  <c r="AH21" i="4"/>
  <c r="AI21" i="4"/>
  <c r="AH10" i="4"/>
  <c r="P42" i="9" s="1"/>
  <c r="Q42" i="9"/>
  <c r="AG10" i="4"/>
  <c r="O42" i="9" s="1"/>
  <c r="AF11" i="4"/>
  <c r="Y11" i="4"/>
  <c r="Y12" i="4"/>
  <c r="Y13" i="4"/>
  <c r="Y14" i="4"/>
  <c r="Y15" i="4"/>
  <c r="Y16" i="4"/>
  <c r="Y17" i="4"/>
  <c r="Y18" i="4"/>
  <c r="Y19" i="4"/>
  <c r="Y20" i="4"/>
  <c r="Y21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P18" i="5"/>
  <c r="G21" i="2"/>
  <c r="G17" i="2"/>
  <c r="G18" i="2"/>
  <c r="G19" i="2"/>
  <c r="G20" i="2"/>
  <c r="N16" i="3"/>
  <c r="N44" i="3" s="1"/>
  <c r="E21" i="2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F293" i="11" l="1"/>
  <c r="O293" i="11" s="1"/>
  <c r="Z293" i="11" s="1"/>
  <c r="F322" i="11"/>
  <c r="O322" i="11" s="1"/>
  <c r="Z322" i="11" s="1"/>
  <c r="F342" i="11"/>
  <c r="O342" i="11" s="1"/>
  <c r="Z342" i="11" s="1"/>
  <c r="F327" i="11"/>
  <c r="O327" i="11" s="1"/>
  <c r="Z327" i="11" s="1"/>
  <c r="F261" i="11"/>
  <c r="O261" i="11" s="1"/>
  <c r="Z261" i="11" s="1"/>
  <c r="F273" i="11"/>
  <c r="O273" i="11" s="1"/>
  <c r="Z273" i="11" s="1"/>
  <c r="F302" i="11"/>
  <c r="O302" i="11" s="1"/>
  <c r="Z302" i="11" s="1"/>
  <c r="F347" i="11"/>
  <c r="O347" i="11" s="1"/>
  <c r="Z347" i="11" s="1"/>
  <c r="F260" i="11"/>
  <c r="O260" i="11" s="1"/>
  <c r="Z260" i="11" s="1"/>
  <c r="F313" i="11"/>
  <c r="O313" i="11" s="1"/>
  <c r="Z313" i="11" s="1"/>
  <c r="F333" i="11"/>
  <c r="O333" i="11" s="1"/>
  <c r="Z333" i="11" s="1"/>
  <c r="F282" i="11"/>
  <c r="O282" i="11" s="1"/>
  <c r="Z282" i="11" s="1"/>
  <c r="F314" i="11"/>
  <c r="O314" i="11" s="1"/>
  <c r="Z314" i="11" s="1"/>
  <c r="F334" i="11"/>
  <c r="O334" i="11" s="1"/>
  <c r="Z334" i="11" s="1"/>
  <c r="F266" i="11"/>
  <c r="O266" i="11" s="1"/>
  <c r="Z266" i="11" s="1"/>
  <c r="F307" i="11"/>
  <c r="O307" i="11" s="1"/>
  <c r="Z307" i="11" s="1"/>
  <c r="F253" i="11"/>
  <c r="O253" i="11" s="1"/>
  <c r="Z253" i="11" s="1"/>
  <c r="F294" i="11"/>
  <c r="O294" i="11" s="1"/>
  <c r="Z294" i="11" s="1"/>
  <c r="F262" i="11"/>
  <c r="O262" i="11" s="1"/>
  <c r="Z262" i="11" s="1"/>
  <c r="F274" i="11"/>
  <c r="O274" i="11" s="1"/>
  <c r="Z274" i="11" s="1"/>
  <c r="F306" i="11"/>
  <c r="O306" i="11" s="1"/>
  <c r="Z306" i="11" s="1"/>
  <c r="F326" i="11"/>
  <c r="O326" i="11" s="1"/>
  <c r="Z326" i="11" s="1"/>
  <c r="F346" i="11"/>
  <c r="O346" i="11" s="1"/>
  <c r="Z346" i="11" s="1"/>
  <c r="F286" i="11"/>
  <c r="O286" i="11" s="1"/>
  <c r="Z286" i="11" s="1"/>
  <c r="F315" i="11"/>
  <c r="O315" i="11" s="1"/>
  <c r="Z315" i="11" s="1"/>
  <c r="F335" i="11"/>
  <c r="O335" i="11" s="1"/>
  <c r="Z335" i="11" s="1"/>
  <c r="F254" i="11"/>
  <c r="O254" i="11" s="1"/>
  <c r="Z254" i="11" s="1"/>
  <c r="F295" i="11"/>
  <c r="O295" i="11" s="1"/>
  <c r="Z295" i="11" s="1"/>
  <c r="F275" i="11"/>
  <c r="O275" i="11" s="1"/>
  <c r="Z275" i="11" s="1"/>
  <c r="F279" i="11"/>
  <c r="O279" i="11" s="1"/>
  <c r="Z279" i="11" s="1"/>
  <c r="F320" i="11"/>
  <c r="O320" i="11" s="1"/>
  <c r="Z320" i="11" s="1"/>
  <c r="F259" i="11"/>
  <c r="O259" i="11" s="1"/>
  <c r="Z259" i="11" s="1"/>
  <c r="F300" i="11"/>
  <c r="O300" i="11" s="1"/>
  <c r="Z300" i="11" s="1"/>
  <c r="F341" i="11"/>
  <c r="O341" i="11" s="1"/>
  <c r="Z341" i="11" s="1"/>
  <c r="F301" i="11"/>
  <c r="O301" i="11" s="1"/>
  <c r="Z301" i="11" s="1"/>
  <c r="F287" i="11"/>
  <c r="O287" i="11" s="1"/>
  <c r="Z287" i="11" s="1"/>
  <c r="F340" i="11"/>
  <c r="O340" i="11" s="1"/>
  <c r="Z340" i="11" s="1"/>
  <c r="F280" i="11"/>
  <c r="O280" i="11" s="1"/>
  <c r="Z280" i="11" s="1"/>
  <c r="F321" i="11"/>
  <c r="O321" i="11" s="1"/>
  <c r="Z321" i="11" s="1"/>
  <c r="F281" i="11"/>
  <c r="O281" i="11" s="1"/>
  <c r="Z281" i="11" s="1"/>
  <c r="F255" i="11"/>
  <c r="O255" i="11" s="1"/>
  <c r="Z255" i="11" s="1"/>
  <c r="F288" i="11"/>
  <c r="O288" i="11" s="1"/>
  <c r="Z288" i="11" s="1"/>
  <c r="F319" i="11"/>
  <c r="O319" i="11" s="1"/>
  <c r="Z319" i="11" s="1"/>
  <c r="F339" i="11"/>
  <c r="O339" i="11" s="1"/>
  <c r="Z339" i="11" s="1"/>
  <c r="F268" i="11"/>
  <c r="O268" i="11" s="1"/>
  <c r="Z268" i="11" s="1"/>
  <c r="F267" i="11"/>
  <c r="O267" i="11" s="1"/>
  <c r="Z267" i="11" s="1"/>
  <c r="F308" i="11"/>
  <c r="O308" i="11" s="1"/>
  <c r="Z308" i="11" s="1"/>
  <c r="F328" i="11"/>
  <c r="O328" i="11" s="1"/>
  <c r="Z328" i="11" s="1"/>
  <c r="F348" i="11"/>
  <c r="O348" i="11" s="1"/>
  <c r="Z348" i="11" s="1"/>
  <c r="F299" i="11"/>
  <c r="O299" i="11" s="1"/>
  <c r="Z299" i="11" s="1"/>
  <c r="F272" i="11"/>
  <c r="O272" i="11" s="1"/>
  <c r="Z272" i="11" s="1"/>
  <c r="F258" i="11"/>
  <c r="O258" i="11" s="1"/>
  <c r="Z258" i="11" s="1"/>
  <c r="F330" i="11"/>
  <c r="O330" i="11" s="1"/>
  <c r="Z330" i="11" s="1"/>
  <c r="F283" i="11"/>
  <c r="O283" i="11" s="1"/>
  <c r="Z283" i="11" s="1"/>
  <c r="F265" i="11"/>
  <c r="O265" i="11" s="1"/>
  <c r="Z265" i="11" s="1"/>
  <c r="F316" i="11"/>
  <c r="O316" i="11" s="1"/>
  <c r="Z316" i="11" s="1"/>
  <c r="F329" i="11"/>
  <c r="O329" i="11" s="1"/>
  <c r="Z329" i="11" s="1"/>
  <c r="F298" i="11"/>
  <c r="O298" i="11" s="1"/>
  <c r="Z298" i="11" s="1"/>
  <c r="F251" i="11"/>
  <c r="O251" i="11" s="1"/>
  <c r="Z251" i="11" s="1"/>
  <c r="F277" i="11"/>
  <c r="O277" i="11" s="1"/>
  <c r="Z277" i="11" s="1"/>
  <c r="F264" i="11"/>
  <c r="O264" i="11" s="1"/>
  <c r="Z264" i="11" s="1"/>
  <c r="F252" i="11"/>
  <c r="O252" i="11" s="1"/>
  <c r="Z252" i="11" s="1"/>
  <c r="F271" i="11"/>
  <c r="O271" i="11" s="1"/>
  <c r="Z271" i="11" s="1"/>
  <c r="F297" i="11"/>
  <c r="O297" i="11" s="1"/>
  <c r="Z297" i="11" s="1"/>
  <c r="F263" i="11"/>
  <c r="O263" i="11" s="1"/>
  <c r="Z263" i="11" s="1"/>
  <c r="F276" i="11"/>
  <c r="O276" i="11" s="1"/>
  <c r="Z276" i="11" s="1"/>
  <c r="F289" i="11"/>
  <c r="O289" i="11" s="1"/>
  <c r="Z289" i="11" s="1"/>
  <c r="F310" i="11"/>
  <c r="O310" i="11" s="1"/>
  <c r="Z310" i="11" s="1"/>
  <c r="F256" i="11"/>
  <c r="O256" i="11" s="1"/>
  <c r="Z256" i="11" s="1"/>
  <c r="F318" i="11"/>
  <c r="O318" i="11" s="1"/>
  <c r="Z318" i="11" s="1"/>
  <c r="F304" i="11"/>
  <c r="O304" i="11" s="1"/>
  <c r="Z304" i="11" s="1"/>
  <c r="F296" i="11"/>
  <c r="O296" i="11" s="1"/>
  <c r="Z296" i="11" s="1"/>
  <c r="F309" i="11"/>
  <c r="O309" i="11" s="1"/>
  <c r="Z309" i="11" s="1"/>
  <c r="F331" i="11"/>
  <c r="O331" i="11" s="1"/>
  <c r="Z331" i="11" s="1"/>
  <c r="F344" i="11"/>
  <c r="O344" i="11" s="1"/>
  <c r="Z344" i="11" s="1"/>
  <c r="F292" i="11"/>
  <c r="O292" i="11" s="1"/>
  <c r="Z292" i="11" s="1"/>
  <c r="F312" i="11"/>
  <c r="O312" i="11" s="1"/>
  <c r="Z312" i="11" s="1"/>
  <c r="F290" i="11"/>
  <c r="O290" i="11" s="1"/>
  <c r="Z290" i="11" s="1"/>
  <c r="F285" i="11"/>
  <c r="O285" i="11" s="1"/>
  <c r="Z285" i="11" s="1"/>
  <c r="F311" i="11"/>
  <c r="O311" i="11" s="1"/>
  <c r="Z311" i="11" s="1"/>
  <c r="F337" i="11"/>
  <c r="O337" i="11" s="1"/>
  <c r="Z337" i="11" s="1"/>
  <c r="F250" i="11"/>
  <c r="F270" i="11"/>
  <c r="O270" i="11" s="1"/>
  <c r="Z270" i="11" s="1"/>
  <c r="F343" i="11"/>
  <c r="O343" i="11" s="1"/>
  <c r="Z343" i="11" s="1"/>
  <c r="F345" i="11"/>
  <c r="O345" i="11" s="1"/>
  <c r="Z345" i="11" s="1"/>
  <c r="F291" i="11"/>
  <c r="O291" i="11" s="1"/>
  <c r="Z291" i="11" s="1"/>
  <c r="F317" i="11"/>
  <c r="O317" i="11" s="1"/>
  <c r="Z317" i="11" s="1"/>
  <c r="F323" i="11"/>
  <c r="O323" i="11" s="1"/>
  <c r="Z323" i="11" s="1"/>
  <c r="F305" i="11"/>
  <c r="O305" i="11" s="1"/>
  <c r="Z305" i="11" s="1"/>
  <c r="F338" i="11"/>
  <c r="O338" i="11" s="1"/>
  <c r="Z338" i="11" s="1"/>
  <c r="F325" i="11"/>
  <c r="O325" i="11" s="1"/>
  <c r="Z325" i="11" s="1"/>
  <c r="F303" i="11"/>
  <c r="O303" i="11" s="1"/>
  <c r="Z303" i="11" s="1"/>
  <c r="F336" i="11"/>
  <c r="O336" i="11" s="1"/>
  <c r="Z336" i="11" s="1"/>
  <c r="F349" i="11"/>
  <c r="O349" i="11" s="1"/>
  <c r="Z349" i="11" s="1"/>
  <c r="F269" i="11"/>
  <c r="O269" i="11" s="1"/>
  <c r="Z269" i="11" s="1"/>
  <c r="F278" i="11"/>
  <c r="O278" i="11" s="1"/>
  <c r="Z278" i="11" s="1"/>
  <c r="F324" i="11"/>
  <c r="O324" i="11" s="1"/>
  <c r="Z324" i="11" s="1"/>
  <c r="F332" i="11"/>
  <c r="O332" i="11" s="1"/>
  <c r="Z332" i="11" s="1"/>
  <c r="F284" i="11"/>
  <c r="O284" i="11" s="1"/>
  <c r="Z284" i="11" s="1"/>
  <c r="F257" i="11"/>
  <c r="O257" i="11" s="1"/>
  <c r="Z257" i="11" s="1"/>
  <c r="O47" i="9"/>
  <c r="P47" i="9"/>
  <c r="K358" i="11"/>
  <c r="F360" i="11" s="1"/>
  <c r="O48" i="9"/>
  <c r="O27" i="9"/>
  <c r="O43" i="9"/>
  <c r="O22" i="9"/>
  <c r="I10" i="7"/>
  <c r="Q47" i="9"/>
  <c r="P43" i="9"/>
  <c r="P22" i="9"/>
  <c r="Q50" i="9"/>
  <c r="Q29" i="9"/>
  <c r="H6" i="7"/>
  <c r="P50" i="9"/>
  <c r="P29" i="9"/>
  <c r="O50" i="9"/>
  <c r="O29" i="9"/>
  <c r="H10" i="7"/>
  <c r="Q43" i="9"/>
  <c r="Q22" i="9"/>
  <c r="P48" i="9"/>
  <c r="P27" i="9"/>
  <c r="Q48" i="9"/>
  <c r="Q27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34" i="3"/>
  <c r="E35" i="3"/>
  <c r="E37" i="3" s="1"/>
  <c r="E36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8" i="1"/>
  <c r="F373" i="11" l="1"/>
  <c r="O373" i="11" s="1"/>
  <c r="Z373" i="11" s="1"/>
  <c r="F382" i="11"/>
  <c r="O382" i="11" s="1"/>
  <c r="Z382" i="11" s="1"/>
  <c r="F392" i="11"/>
  <c r="O392" i="11" s="1"/>
  <c r="Z392" i="11" s="1"/>
  <c r="F429" i="11"/>
  <c r="O429" i="11" s="1"/>
  <c r="Z429" i="11" s="1"/>
  <c r="F439" i="11"/>
  <c r="O439" i="11" s="1"/>
  <c r="Z439" i="11" s="1"/>
  <c r="F379" i="11"/>
  <c r="O379" i="11" s="1"/>
  <c r="Z379" i="11" s="1"/>
  <c r="F427" i="11"/>
  <c r="O427" i="11" s="1"/>
  <c r="Z427" i="11" s="1"/>
  <c r="F409" i="11"/>
  <c r="O409" i="11" s="1"/>
  <c r="Z409" i="11" s="1"/>
  <c r="F411" i="11"/>
  <c r="O411" i="11" s="1"/>
  <c r="Z411" i="11" s="1"/>
  <c r="F448" i="11"/>
  <c r="O448" i="11" s="1"/>
  <c r="Z448" i="11" s="1"/>
  <c r="F456" i="11"/>
  <c r="O456" i="11" s="1"/>
  <c r="Z456" i="11" s="1"/>
  <c r="F369" i="11"/>
  <c r="O369" i="11" s="1"/>
  <c r="Z369" i="11" s="1"/>
  <c r="F435" i="11"/>
  <c r="O435" i="11" s="1"/>
  <c r="Z435" i="11" s="1"/>
  <c r="F393" i="11"/>
  <c r="O393" i="11" s="1"/>
  <c r="Z393" i="11" s="1"/>
  <c r="F402" i="11"/>
  <c r="O402" i="11" s="1"/>
  <c r="Z402" i="11" s="1"/>
  <c r="F421" i="11"/>
  <c r="O421" i="11" s="1"/>
  <c r="Z421" i="11" s="1"/>
  <c r="F440" i="11"/>
  <c r="O440" i="11" s="1"/>
  <c r="Z440" i="11" s="1"/>
  <c r="F405" i="11"/>
  <c r="O405" i="11" s="1"/>
  <c r="Z405" i="11" s="1"/>
  <c r="F416" i="11"/>
  <c r="O416" i="11" s="1"/>
  <c r="Z416" i="11" s="1"/>
  <c r="F389" i="11"/>
  <c r="O389" i="11" s="1"/>
  <c r="Z389" i="11" s="1"/>
  <c r="F419" i="11"/>
  <c r="O419" i="11" s="1"/>
  <c r="Z419" i="11" s="1"/>
  <c r="F364" i="11"/>
  <c r="O364" i="11" s="1"/>
  <c r="Z364" i="11" s="1"/>
  <c r="F374" i="11"/>
  <c r="O374" i="11" s="1"/>
  <c r="Z374" i="11" s="1"/>
  <c r="F383" i="11"/>
  <c r="O383" i="11" s="1"/>
  <c r="Z383" i="11" s="1"/>
  <c r="F412" i="11"/>
  <c r="O412" i="11" s="1"/>
  <c r="Z412" i="11" s="1"/>
  <c r="F365" i="11"/>
  <c r="O365" i="11" s="1"/>
  <c r="Z365" i="11" s="1"/>
  <c r="F384" i="11"/>
  <c r="O384" i="11" s="1"/>
  <c r="Z384" i="11" s="1"/>
  <c r="F431" i="11"/>
  <c r="O431" i="11" s="1"/>
  <c r="Z431" i="11" s="1"/>
  <c r="F449" i="11"/>
  <c r="O449" i="11" s="1"/>
  <c r="Z449" i="11" s="1"/>
  <c r="F459" i="11"/>
  <c r="O459" i="11" s="1"/>
  <c r="Z459" i="11" s="1"/>
  <c r="F446" i="11"/>
  <c r="O446" i="11" s="1"/>
  <c r="Z446" i="11" s="1"/>
  <c r="F447" i="11"/>
  <c r="O447" i="11" s="1"/>
  <c r="Z447" i="11" s="1"/>
  <c r="F366" i="11"/>
  <c r="O366" i="11" s="1"/>
  <c r="Z366" i="11" s="1"/>
  <c r="F385" i="11"/>
  <c r="O385" i="11" s="1"/>
  <c r="Z385" i="11" s="1"/>
  <c r="F394" i="11"/>
  <c r="O394" i="11" s="1"/>
  <c r="Z394" i="11" s="1"/>
  <c r="F403" i="11"/>
  <c r="O403" i="11" s="1"/>
  <c r="Z403" i="11" s="1"/>
  <c r="F413" i="11"/>
  <c r="O413" i="11" s="1"/>
  <c r="Z413" i="11" s="1"/>
  <c r="F422" i="11"/>
  <c r="O422" i="11" s="1"/>
  <c r="Z422" i="11" s="1"/>
  <c r="F441" i="11"/>
  <c r="O441" i="11" s="1"/>
  <c r="Z441" i="11" s="1"/>
  <c r="F408" i="11"/>
  <c r="O408" i="11" s="1"/>
  <c r="Z408" i="11" s="1"/>
  <c r="F428" i="11"/>
  <c r="O428" i="11" s="1"/>
  <c r="Z428" i="11" s="1"/>
  <c r="F375" i="11"/>
  <c r="O375" i="11" s="1"/>
  <c r="Z375" i="11" s="1"/>
  <c r="F386" i="11"/>
  <c r="O386" i="11" s="1"/>
  <c r="Z386" i="11" s="1"/>
  <c r="F404" i="11"/>
  <c r="O404" i="11" s="1"/>
  <c r="Z404" i="11" s="1"/>
  <c r="F432" i="11"/>
  <c r="O432" i="11" s="1"/>
  <c r="Z432" i="11" s="1"/>
  <c r="F460" i="11"/>
  <c r="O460" i="11" s="1"/>
  <c r="Z460" i="11" s="1"/>
  <c r="F380" i="11"/>
  <c r="O380" i="11" s="1"/>
  <c r="Z380" i="11" s="1"/>
  <c r="F363" i="11"/>
  <c r="F381" i="11"/>
  <c r="O381" i="11" s="1"/>
  <c r="Z381" i="11" s="1"/>
  <c r="F401" i="11"/>
  <c r="O401" i="11" s="1"/>
  <c r="Z401" i="11" s="1"/>
  <c r="F367" i="11"/>
  <c r="O367" i="11" s="1"/>
  <c r="Z367" i="11" s="1"/>
  <c r="F395" i="11"/>
  <c r="O395" i="11" s="1"/>
  <c r="Z395" i="11" s="1"/>
  <c r="F406" i="11"/>
  <c r="O406" i="11" s="1"/>
  <c r="Z406" i="11" s="1"/>
  <c r="F414" i="11"/>
  <c r="O414" i="11" s="1"/>
  <c r="Z414" i="11" s="1"/>
  <c r="F423" i="11"/>
  <c r="O423" i="11" s="1"/>
  <c r="Z423" i="11" s="1"/>
  <c r="F433" i="11"/>
  <c r="O433" i="11" s="1"/>
  <c r="Z433" i="11" s="1"/>
  <c r="F442" i="11"/>
  <c r="O442" i="11" s="1"/>
  <c r="Z442" i="11" s="1"/>
  <c r="F451" i="11"/>
  <c r="O451" i="11" s="1"/>
  <c r="Z451" i="11" s="1"/>
  <c r="F453" i="11"/>
  <c r="O453" i="11" s="1"/>
  <c r="Z453" i="11" s="1"/>
  <c r="F399" i="11"/>
  <c r="O399" i="11" s="1"/>
  <c r="Z399" i="11" s="1"/>
  <c r="F376" i="11"/>
  <c r="O376" i="11" s="1"/>
  <c r="Z376" i="11" s="1"/>
  <c r="F387" i="11"/>
  <c r="O387" i="11" s="1"/>
  <c r="Z387" i="11" s="1"/>
  <c r="F424" i="11"/>
  <c r="O424" i="11" s="1"/>
  <c r="Z424" i="11" s="1"/>
  <c r="F461" i="11"/>
  <c r="O461" i="11" s="1"/>
  <c r="Z461" i="11" s="1"/>
  <c r="F368" i="11"/>
  <c r="O368" i="11" s="1"/>
  <c r="Z368" i="11" s="1"/>
  <c r="F396" i="11"/>
  <c r="O396" i="11" s="1"/>
  <c r="Z396" i="11" s="1"/>
  <c r="F407" i="11"/>
  <c r="O407" i="11" s="1"/>
  <c r="Z407" i="11" s="1"/>
  <c r="F415" i="11"/>
  <c r="O415" i="11" s="1"/>
  <c r="Z415" i="11" s="1"/>
  <c r="F426" i="11"/>
  <c r="O426" i="11" s="1"/>
  <c r="Z426" i="11" s="1"/>
  <c r="F434" i="11"/>
  <c r="O434" i="11" s="1"/>
  <c r="Z434" i="11" s="1"/>
  <c r="F443" i="11"/>
  <c r="O443" i="11" s="1"/>
  <c r="Z443" i="11" s="1"/>
  <c r="F388" i="11"/>
  <c r="O388" i="11" s="1"/>
  <c r="Z388" i="11" s="1"/>
  <c r="F400" i="11"/>
  <c r="O400" i="11" s="1"/>
  <c r="Z400" i="11" s="1"/>
  <c r="F455" i="11"/>
  <c r="O455" i="11" s="1"/>
  <c r="Z455" i="11" s="1"/>
  <c r="F420" i="11"/>
  <c r="O420" i="11" s="1"/>
  <c r="Z420" i="11" s="1"/>
  <c r="F425" i="11"/>
  <c r="O425" i="11" s="1"/>
  <c r="Z425" i="11" s="1"/>
  <c r="F452" i="11"/>
  <c r="O452" i="11" s="1"/>
  <c r="Z452" i="11" s="1"/>
  <c r="F462" i="11"/>
  <c r="O462" i="11" s="1"/>
  <c r="Z462" i="11" s="1"/>
  <c r="F444" i="11"/>
  <c r="O444" i="11" s="1"/>
  <c r="Z444" i="11" s="1"/>
  <c r="F445" i="11"/>
  <c r="O445" i="11" s="1"/>
  <c r="Z445" i="11" s="1"/>
  <c r="F454" i="11"/>
  <c r="O454" i="11" s="1"/>
  <c r="Z454" i="11" s="1"/>
  <c r="F436" i="11"/>
  <c r="O436" i="11" s="1"/>
  <c r="Z436" i="11" s="1"/>
  <c r="F371" i="11"/>
  <c r="O371" i="11" s="1"/>
  <c r="Z371" i="11" s="1"/>
  <c r="F397" i="11"/>
  <c r="O397" i="11" s="1"/>
  <c r="Z397" i="11" s="1"/>
  <c r="F438" i="11"/>
  <c r="O438" i="11" s="1"/>
  <c r="Z438" i="11" s="1"/>
  <c r="F377" i="11"/>
  <c r="O377" i="11" s="1"/>
  <c r="Z377" i="11" s="1"/>
  <c r="F457" i="11"/>
  <c r="O457" i="11" s="1"/>
  <c r="Z457" i="11" s="1"/>
  <c r="F450" i="11"/>
  <c r="O450" i="11" s="1"/>
  <c r="Z450" i="11" s="1"/>
  <c r="F372" i="11"/>
  <c r="O372" i="11" s="1"/>
  <c r="Z372" i="11" s="1"/>
  <c r="F418" i="11"/>
  <c r="O418" i="11" s="1"/>
  <c r="Z418" i="11" s="1"/>
  <c r="F390" i="11"/>
  <c r="O390" i="11" s="1"/>
  <c r="Z390" i="11" s="1"/>
  <c r="F437" i="11"/>
  <c r="O437" i="11" s="1"/>
  <c r="Z437" i="11" s="1"/>
  <c r="F458" i="11"/>
  <c r="O458" i="11" s="1"/>
  <c r="Z458" i="11" s="1"/>
  <c r="F430" i="11"/>
  <c r="O430" i="11" s="1"/>
  <c r="Z430" i="11" s="1"/>
  <c r="F370" i="11"/>
  <c r="O370" i="11" s="1"/>
  <c r="Z370" i="11" s="1"/>
  <c r="F398" i="11"/>
  <c r="O398" i="11" s="1"/>
  <c r="Z398" i="11" s="1"/>
  <c r="F417" i="11"/>
  <c r="O417" i="11" s="1"/>
  <c r="Z417" i="11" s="1"/>
  <c r="F378" i="11"/>
  <c r="O378" i="11" s="1"/>
  <c r="Z378" i="11" s="1"/>
  <c r="F410" i="11"/>
  <c r="O410" i="11" s="1"/>
  <c r="Z410" i="11" s="1"/>
  <c r="F391" i="11"/>
  <c r="O391" i="11" s="1"/>
  <c r="Z391" i="11" s="1"/>
  <c r="O250" i="11"/>
  <c r="Z250" i="11" s="1"/>
  <c r="O248" i="11"/>
  <c r="H15" i="7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F35" i="3"/>
  <c r="F38" i="3"/>
  <c r="E42" i="3" s="1"/>
  <c r="F37" i="3"/>
  <c r="F34" i="3"/>
  <c r="F36" i="3"/>
  <c r="R2" i="8"/>
  <c r="S5" i="8"/>
  <c r="M17" i="4"/>
  <c r="E39" i="1"/>
  <c r="L17" i="4"/>
  <c r="O363" i="11" l="1"/>
  <c r="Z363" i="11" s="1"/>
  <c r="O361" i="11"/>
  <c r="S5" i="7"/>
  <c r="E41" i="3"/>
  <c r="E40" i="3"/>
  <c r="N10" i="3"/>
  <c r="M10" i="3"/>
  <c r="M16" i="3" s="1"/>
  <c r="M44" i="3" s="1"/>
  <c r="M7" i="3"/>
  <c r="M13" i="3" s="1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F16" i="4" l="1"/>
  <c r="G16" i="4"/>
  <c r="P21" i="3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X10" i="4" s="1"/>
  <c r="V10" i="4" s="1"/>
  <c r="W15" i="4"/>
  <c r="W14" i="4"/>
  <c r="W12" i="4"/>
  <c r="W13" i="4"/>
  <c r="K12" i="2"/>
  <c r="G26" i="4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K19" i="8" s="1"/>
  <c r="AD10" i="4"/>
  <c r="F23" i="4"/>
  <c r="L23" i="4" s="1"/>
  <c r="H9" i="8"/>
  <c r="K18" i="8" s="1"/>
  <c r="F21" i="4"/>
  <c r="L21" i="4" s="1"/>
  <c r="H7" i="8"/>
  <c r="K16" i="8" s="1"/>
  <c r="F20" i="4"/>
  <c r="L20" i="4" s="1"/>
  <c r="H6" i="8"/>
  <c r="K15" i="8" s="1"/>
  <c r="F19" i="4"/>
  <c r="L19" i="4" s="1"/>
  <c r="G28" i="4"/>
  <c r="H5" i="8"/>
  <c r="F22" i="4"/>
  <c r="L22" i="4" s="1"/>
  <c r="H8" i="8"/>
  <c r="K17" i="8" s="1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21" i="4"/>
  <c r="AD21" i="4"/>
  <c r="E15" i="5"/>
  <c r="G30" i="4"/>
  <c r="G32" i="4"/>
  <c r="G29" i="4"/>
  <c r="F15" i="5"/>
  <c r="H26" i="4"/>
  <c r="P18" i="2"/>
  <c r="L13" i="4"/>
  <c r="I8" i="8" s="1"/>
  <c r="G17" i="8" s="1"/>
  <c r="L17" i="8" s="1"/>
  <c r="L15" i="4"/>
  <c r="I10" i="8" s="1"/>
  <c r="G19" i="8" s="1"/>
  <c r="L19" i="8" s="1"/>
  <c r="I30" i="2"/>
  <c r="L14" i="4"/>
  <c r="I9" i="8" s="1"/>
  <c r="G18" i="8" s="1"/>
  <c r="L18" i="8" s="1"/>
  <c r="L12" i="4"/>
  <c r="I7" i="8" s="1"/>
  <c r="G16" i="8" s="1"/>
  <c r="L16" i="8" s="1"/>
  <c r="L11" i="4"/>
  <c r="I6" i="8" s="1"/>
  <c r="G15" i="8" s="1"/>
  <c r="L15" i="8" s="1"/>
  <c r="O21" i="3"/>
  <c r="Q33" i="3"/>
  <c r="P34" i="3" s="1"/>
  <c r="O32" i="3"/>
  <c r="M33" i="3"/>
  <c r="K14" i="8" l="1"/>
  <c r="F14" i="8"/>
  <c r="F29" i="5"/>
  <c r="F49" i="5"/>
  <c r="F69" i="5"/>
  <c r="F89" i="5"/>
  <c r="F109" i="5"/>
  <c r="F30" i="5"/>
  <c r="F70" i="5"/>
  <c r="F90" i="5"/>
  <c r="F110" i="5"/>
  <c r="F31" i="5"/>
  <c r="F51" i="5"/>
  <c r="F71" i="5"/>
  <c r="F91" i="5"/>
  <c r="F111" i="5"/>
  <c r="F32" i="5"/>
  <c r="F52" i="5"/>
  <c r="F72" i="5"/>
  <c r="F92" i="5"/>
  <c r="F53" i="5"/>
  <c r="F73" i="5"/>
  <c r="F93" i="5"/>
  <c r="F113" i="5"/>
  <c r="F79" i="5"/>
  <c r="F100" i="5"/>
  <c r="F22" i="5"/>
  <c r="F23" i="5"/>
  <c r="F25" i="5"/>
  <c r="F106" i="5"/>
  <c r="F107" i="5"/>
  <c r="F50" i="5"/>
  <c r="F80" i="5"/>
  <c r="F42" i="5"/>
  <c r="F83" i="5"/>
  <c r="F44" i="5"/>
  <c r="F85" i="5"/>
  <c r="F108" i="5"/>
  <c r="F112" i="5"/>
  <c r="F62" i="5"/>
  <c r="F103" i="5"/>
  <c r="F64" i="5"/>
  <c r="F65" i="5"/>
  <c r="F46" i="5"/>
  <c r="F33" i="5"/>
  <c r="F82" i="5"/>
  <c r="F63" i="5"/>
  <c r="F24" i="5"/>
  <c r="F84" i="5"/>
  <c r="F105" i="5"/>
  <c r="F26" i="5"/>
  <c r="F47" i="5"/>
  <c r="F68" i="5"/>
  <c r="F34" i="5"/>
  <c r="F54" i="5"/>
  <c r="F74" i="5"/>
  <c r="F94" i="5"/>
  <c r="F114" i="5"/>
  <c r="F35" i="5"/>
  <c r="F55" i="5"/>
  <c r="F75" i="5"/>
  <c r="F95" i="5"/>
  <c r="F115" i="5"/>
  <c r="F56" i="5"/>
  <c r="F76" i="5"/>
  <c r="F96" i="5"/>
  <c r="F116" i="5"/>
  <c r="F57" i="5"/>
  <c r="F97" i="5"/>
  <c r="F117" i="5"/>
  <c r="F19" i="5"/>
  <c r="F39" i="5"/>
  <c r="F59" i="5"/>
  <c r="F99" i="5"/>
  <c r="F20" i="5"/>
  <c r="F28" i="5"/>
  <c r="F86" i="5"/>
  <c r="F36" i="5"/>
  <c r="F37" i="5"/>
  <c r="F77" i="5"/>
  <c r="F67" i="5"/>
  <c r="F38" i="5"/>
  <c r="F58" i="5"/>
  <c r="F78" i="5"/>
  <c r="F98" i="5"/>
  <c r="F18" i="5"/>
  <c r="F40" i="5"/>
  <c r="F104" i="5"/>
  <c r="F45" i="5"/>
  <c r="F48" i="5"/>
  <c r="F60" i="5"/>
  <c r="F102" i="5"/>
  <c r="F43" i="5"/>
  <c r="F66" i="5"/>
  <c r="F27" i="5"/>
  <c r="F88" i="5"/>
  <c r="F21" i="5"/>
  <c r="F41" i="5"/>
  <c r="F61" i="5"/>
  <c r="F81" i="5"/>
  <c r="F101" i="5"/>
  <c r="F87" i="5"/>
  <c r="E27" i="5"/>
  <c r="E77" i="5"/>
  <c r="E117" i="5"/>
  <c r="L28" i="9" s="1"/>
  <c r="E19" i="5"/>
  <c r="E110" i="5"/>
  <c r="E31" i="5"/>
  <c r="E52" i="5"/>
  <c r="E43" i="5"/>
  <c r="E113" i="5"/>
  <c r="E24" i="5"/>
  <c r="E34" i="5"/>
  <c r="E44" i="5"/>
  <c r="E54" i="5"/>
  <c r="E64" i="5"/>
  <c r="E74" i="5"/>
  <c r="E84" i="5"/>
  <c r="E94" i="5"/>
  <c r="E104" i="5"/>
  <c r="E114" i="5"/>
  <c r="E57" i="5"/>
  <c r="E97" i="5"/>
  <c r="E69" i="5"/>
  <c r="E70" i="5"/>
  <c r="E73" i="5"/>
  <c r="E37" i="5"/>
  <c r="E79" i="5"/>
  <c r="E50" i="5"/>
  <c r="E21" i="5"/>
  <c r="E51" i="5"/>
  <c r="E71" i="5"/>
  <c r="E81" i="5"/>
  <c r="E91" i="5"/>
  <c r="E101" i="5"/>
  <c r="E111" i="5"/>
  <c r="E62" i="5"/>
  <c r="E82" i="5"/>
  <c r="E25" i="5"/>
  <c r="E35" i="5"/>
  <c r="E45" i="5"/>
  <c r="E55" i="5"/>
  <c r="E65" i="5"/>
  <c r="E75" i="5"/>
  <c r="E85" i="5"/>
  <c r="E95" i="5"/>
  <c r="E105" i="5"/>
  <c r="E115" i="5"/>
  <c r="E47" i="5"/>
  <c r="E107" i="5"/>
  <c r="E59" i="5"/>
  <c r="E99" i="5"/>
  <c r="E80" i="5"/>
  <c r="E42" i="5"/>
  <c r="E87" i="5"/>
  <c r="E29" i="5"/>
  <c r="E60" i="5"/>
  <c r="E92" i="5"/>
  <c r="E26" i="5"/>
  <c r="E36" i="5"/>
  <c r="E46" i="5"/>
  <c r="E56" i="5"/>
  <c r="E66" i="5"/>
  <c r="E76" i="5"/>
  <c r="E86" i="5"/>
  <c r="E96" i="5"/>
  <c r="E106" i="5"/>
  <c r="E116" i="5"/>
  <c r="E67" i="5"/>
  <c r="L49" i="9" s="1"/>
  <c r="E49" i="5"/>
  <c r="E109" i="5"/>
  <c r="E40" i="5"/>
  <c r="E41" i="5"/>
  <c r="E102" i="5"/>
  <c r="E93" i="5"/>
  <c r="E28" i="5"/>
  <c r="E38" i="5"/>
  <c r="E48" i="5"/>
  <c r="E58" i="5"/>
  <c r="E68" i="5"/>
  <c r="E78" i="5"/>
  <c r="E88" i="5"/>
  <c r="E98" i="5"/>
  <c r="E108" i="5"/>
  <c r="E18" i="5"/>
  <c r="E39" i="5"/>
  <c r="E89" i="5"/>
  <c r="E30" i="5"/>
  <c r="E100" i="5"/>
  <c r="E61" i="5"/>
  <c r="E22" i="5"/>
  <c r="E72" i="5"/>
  <c r="E33" i="5"/>
  <c r="E53" i="5"/>
  <c r="E63" i="5"/>
  <c r="E103" i="5"/>
  <c r="E20" i="5"/>
  <c r="E32" i="5"/>
  <c r="E112" i="5"/>
  <c r="E23" i="5"/>
  <c r="E83" i="5"/>
  <c r="E90" i="5"/>
  <c r="F5" i="7"/>
  <c r="T18" i="5"/>
  <c r="T14" i="5" s="1"/>
  <c r="L21" i="9"/>
  <c r="F15" i="7"/>
  <c r="F6" i="7"/>
  <c r="F9" i="7"/>
  <c r="F11" i="7"/>
  <c r="F10" i="7"/>
  <c r="O22" i="3"/>
  <c r="O14" i="8"/>
  <c r="S14" i="8" s="1"/>
  <c r="P18" i="8"/>
  <c r="F17" i="8"/>
  <c r="J17" i="8" s="1"/>
  <c r="N31" i="4" s="1"/>
  <c r="O17" i="8"/>
  <c r="P16" i="8"/>
  <c r="F15" i="8"/>
  <c r="J15" i="8" s="1"/>
  <c r="N29" i="4" s="1"/>
  <c r="O15" i="8"/>
  <c r="S15" i="8" s="1"/>
  <c r="F16" i="8"/>
  <c r="J16" i="8" s="1"/>
  <c r="N30" i="4" s="1"/>
  <c r="O16" i="8"/>
  <c r="P15" i="8"/>
  <c r="P19" i="8"/>
  <c r="P17" i="8"/>
  <c r="J10" i="4"/>
  <c r="H19" i="4"/>
  <c r="M19" i="4" s="1"/>
  <c r="N19" i="4" s="1"/>
  <c r="I5" i="8"/>
  <c r="G14" i="8" s="1"/>
  <c r="F18" i="8"/>
  <c r="J18" i="8" s="1"/>
  <c r="N32" i="4" s="1"/>
  <c r="O18" i="8"/>
  <c r="F19" i="8"/>
  <c r="J19" i="8" s="1"/>
  <c r="N33" i="4" s="1"/>
  <c r="O19" i="8"/>
  <c r="S19" i="8" s="1"/>
  <c r="V49" i="9" s="1"/>
  <c r="AE19" i="4"/>
  <c r="G14" i="7" s="1"/>
  <c r="AE17" i="4"/>
  <c r="G12" i="7" s="1"/>
  <c r="AE20" i="4"/>
  <c r="V20" i="4"/>
  <c r="V12" i="4"/>
  <c r="AE12" i="4"/>
  <c r="G7" i="7" s="1"/>
  <c r="V14" i="4"/>
  <c r="AE14" i="4"/>
  <c r="AE21" i="4"/>
  <c r="V21" i="4"/>
  <c r="V18" i="4"/>
  <c r="AE18" i="4"/>
  <c r="G13" i="7" s="1"/>
  <c r="V15" i="4"/>
  <c r="AE15" i="4"/>
  <c r="V16" i="4"/>
  <c r="AE16" i="4"/>
  <c r="V11" i="4"/>
  <c r="AE11" i="4"/>
  <c r="AE10" i="4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N33" i="3"/>
  <c r="N34" i="3"/>
  <c r="S18" i="2"/>
  <c r="L42" i="9" l="1"/>
  <c r="V5" i="7"/>
  <c r="N5" i="7" s="1"/>
  <c r="L23" i="9"/>
  <c r="L44" i="9"/>
  <c r="M19" i="8"/>
  <c r="L14" i="8"/>
  <c r="M14" i="8"/>
  <c r="J14" i="8"/>
  <c r="N28" i="4" s="1"/>
  <c r="F14" i="5"/>
  <c r="V42" i="9"/>
  <c r="V44" i="9"/>
  <c r="T16" i="5"/>
  <c r="G11" i="7"/>
  <c r="G10" i="7"/>
  <c r="G9" i="7"/>
  <c r="G15" i="7"/>
  <c r="G5" i="7"/>
  <c r="G6" i="7"/>
  <c r="K8" i="10"/>
  <c r="K7" i="10"/>
  <c r="V50" i="9"/>
  <c r="V29" i="9"/>
  <c r="V43" i="9"/>
  <c r="V22" i="9"/>
  <c r="I14" i="10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W49" i="9" s="1"/>
  <c r="T15" i="8"/>
  <c r="N16" i="8"/>
  <c r="N14" i="8"/>
  <c r="R14" i="8" s="1"/>
  <c r="N23" i="3"/>
  <c r="N17" i="8"/>
  <c r="R17" i="8" s="1"/>
  <c r="N19" i="8"/>
  <c r="R19" i="8" s="1"/>
  <c r="N18" i="8"/>
  <c r="R18" i="8" s="1"/>
  <c r="Q19" i="8"/>
  <c r="Q14" i="8"/>
  <c r="P14" i="8"/>
  <c r="T14" i="8" s="1"/>
  <c r="N15" i="8"/>
  <c r="R15" i="8" s="1"/>
  <c r="N24" i="3"/>
  <c r="N22" i="4"/>
  <c r="N23" i="4"/>
  <c r="N20" i="4"/>
  <c r="O33" i="3"/>
  <c r="Q35" i="3" s="1"/>
  <c r="P23" i="3"/>
  <c r="N20" i="2"/>
  <c r="R20" i="2"/>
  <c r="P19" i="2"/>
  <c r="U19" i="8" l="1"/>
  <c r="U14" i="8"/>
  <c r="X42" i="9" s="1"/>
  <c r="U49" i="9"/>
  <c r="X44" i="9"/>
  <c r="U44" i="9"/>
  <c r="U42" i="9"/>
  <c r="K6" i="10"/>
  <c r="W23" i="9" s="1"/>
  <c r="K5" i="10"/>
  <c r="W21" i="9" s="1"/>
  <c r="L16" i="10"/>
  <c r="L15" i="10"/>
  <c r="X28" i="9" s="1"/>
  <c r="U43" i="9"/>
  <c r="U22" i="9"/>
  <c r="U50" i="9"/>
  <c r="U29" i="9"/>
  <c r="X43" i="9"/>
  <c r="X22" i="9"/>
  <c r="U48" i="9"/>
  <c r="U27" i="9"/>
  <c r="W50" i="9"/>
  <c r="W29" i="9"/>
  <c r="N18" i="4"/>
  <c r="I9" i="10"/>
  <c r="I10" i="10"/>
  <c r="U12" i="9"/>
  <c r="U23" i="9"/>
  <c r="U10" i="9"/>
  <c r="U21" i="9"/>
  <c r="U17" i="9"/>
  <c r="U28" i="9"/>
  <c r="X10" i="9"/>
  <c r="X12" i="9"/>
  <c r="X21" i="9"/>
  <c r="X23" i="9"/>
  <c r="U15" i="9"/>
  <c r="W17" i="9"/>
  <c r="W28" i="9"/>
  <c r="R16" i="8"/>
  <c r="O34" i="3"/>
  <c r="M35" i="3"/>
  <c r="N36" i="3" s="1"/>
  <c r="R33" i="3"/>
  <c r="O23" i="3"/>
  <c r="O24" i="3" s="1"/>
  <c r="P36" i="3"/>
  <c r="O20" i="2"/>
  <c r="Q20" i="2"/>
  <c r="X17" i="9" l="1"/>
  <c r="X49" i="9"/>
  <c r="W22" i="9"/>
  <c r="W42" i="9"/>
  <c r="W12" i="9"/>
  <c r="W44" i="9"/>
  <c r="W10" i="9"/>
  <c r="W43" i="9"/>
  <c r="X29" i="9"/>
  <c r="X50" i="9"/>
  <c r="U47" i="9"/>
  <c r="U45" i="9"/>
  <c r="U26" i="9"/>
  <c r="U24" i="9"/>
  <c r="U13" i="9"/>
  <c r="N35" i="3"/>
  <c r="P35" i="3"/>
  <c r="M25" i="3"/>
  <c r="R23" i="3"/>
  <c r="Q25" i="3"/>
  <c r="P26" i="3" s="1"/>
  <c r="P20" i="2"/>
  <c r="O35" i="3" l="1"/>
  <c r="O36" i="3" s="1"/>
  <c r="N26" i="3"/>
  <c r="N25" i="3"/>
  <c r="P25" i="3"/>
  <c r="S20" i="2"/>
  <c r="R22" i="2"/>
  <c r="N22" i="2"/>
  <c r="P21" i="2"/>
  <c r="M37" i="3" l="1"/>
  <c r="Q37" i="3"/>
  <c r="R35" i="3"/>
  <c r="O22" i="2"/>
  <c r="Q22" i="2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P22" i="2"/>
  <c r="R24" i="2" s="1"/>
  <c r="O37" i="3" l="1"/>
  <c r="O38" i="3" s="1"/>
  <c r="M43" i="3" s="1"/>
  <c r="N24" i="2"/>
  <c r="S22" i="2"/>
  <c r="P23" i="2"/>
  <c r="R37" i="3" l="1"/>
  <c r="R39" i="3" s="1"/>
  <c r="Q43" i="3"/>
  <c r="Q24" i="2"/>
  <c r="O24" i="2"/>
  <c r="P24" i="2" l="1"/>
  <c r="P25" i="2" l="1"/>
  <c r="N26" i="2"/>
  <c r="S24" i="2"/>
  <c r="R26" i="2"/>
  <c r="O26" i="2" l="1"/>
  <c r="Q26" i="2"/>
  <c r="P26" i="2" l="1"/>
  <c r="S26" i="2" s="1"/>
  <c r="P27" i="2" l="1"/>
  <c r="N28" i="2"/>
  <c r="R28" i="2"/>
  <c r="Q28" i="2" l="1"/>
  <c r="O28" i="2"/>
  <c r="P28" i="2" l="1"/>
  <c r="S28" i="2" s="1"/>
  <c r="R30" i="2" l="1"/>
  <c r="P29" i="2"/>
  <c r="N30" i="2"/>
  <c r="Q30" i="2" l="1"/>
  <c r="O30" i="2"/>
  <c r="P30" i="2" l="1"/>
  <c r="S30" i="2" s="1"/>
  <c r="N32" i="2" l="1"/>
  <c r="P31" i="2"/>
  <c r="R32" i="2"/>
  <c r="Q32" i="2" l="1"/>
  <c r="O32" i="2"/>
  <c r="P32" i="2" l="1"/>
  <c r="S32" i="2" s="1"/>
  <c r="P33" i="2" l="1"/>
  <c r="R34" i="2"/>
  <c r="N34" i="2"/>
  <c r="Q34" i="2" l="1"/>
  <c r="O34" i="2"/>
  <c r="P34" i="2" l="1"/>
  <c r="R36" i="2" s="1"/>
  <c r="S34" i="2" l="1"/>
  <c r="N36" i="2"/>
  <c r="P35" i="2"/>
  <c r="O25" i="3"/>
  <c r="O26" i="3" l="1"/>
  <c r="O36" i="2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P36" i="2"/>
  <c r="S36" i="2" s="1"/>
  <c r="S38" i="2" s="1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G18" i="5" s="1"/>
  <c r="G20" i="5" l="1"/>
  <c r="G40" i="5"/>
  <c r="G60" i="5"/>
  <c r="G80" i="5"/>
  <c r="G100" i="5"/>
  <c r="G28" i="5"/>
  <c r="G88" i="5"/>
  <c r="G98" i="5"/>
  <c r="G59" i="5"/>
  <c r="G27" i="5"/>
  <c r="G47" i="5"/>
  <c r="G67" i="5"/>
  <c r="G87" i="5"/>
  <c r="G107" i="5"/>
  <c r="G68" i="5"/>
  <c r="G36" i="5"/>
  <c r="G97" i="5"/>
  <c r="G32" i="5"/>
  <c r="G34" i="5"/>
  <c r="G54" i="5"/>
  <c r="G74" i="5"/>
  <c r="G94" i="5"/>
  <c r="G114" i="5"/>
  <c r="G48" i="5"/>
  <c r="G108" i="5"/>
  <c r="G71" i="5"/>
  <c r="G78" i="5"/>
  <c r="G105" i="5"/>
  <c r="G79" i="5"/>
  <c r="G46" i="5"/>
  <c r="G66" i="5"/>
  <c r="G106" i="5"/>
  <c r="G53" i="5"/>
  <c r="G113" i="5"/>
  <c r="G21" i="5"/>
  <c r="G41" i="5"/>
  <c r="G61" i="5"/>
  <c r="G81" i="5"/>
  <c r="G101" i="5"/>
  <c r="G116" i="5"/>
  <c r="G111" i="5"/>
  <c r="G38" i="5"/>
  <c r="G85" i="5"/>
  <c r="G72" i="5"/>
  <c r="G112" i="5"/>
  <c r="G33" i="5"/>
  <c r="G96" i="5"/>
  <c r="G92" i="5"/>
  <c r="G35" i="5"/>
  <c r="G55" i="5"/>
  <c r="G75" i="5"/>
  <c r="G95" i="5"/>
  <c r="G115" i="5"/>
  <c r="G29" i="5"/>
  <c r="G49" i="5"/>
  <c r="G69" i="5"/>
  <c r="G89" i="5"/>
  <c r="G109" i="5"/>
  <c r="G76" i="5"/>
  <c r="G58" i="5"/>
  <c r="G45" i="5"/>
  <c r="G99" i="5"/>
  <c r="G73" i="5"/>
  <c r="G22" i="5"/>
  <c r="G42" i="5"/>
  <c r="G62" i="5"/>
  <c r="G82" i="5"/>
  <c r="G102" i="5"/>
  <c r="G56" i="5"/>
  <c r="G65" i="5"/>
  <c r="G19" i="5"/>
  <c r="L14" i="5" s="1"/>
  <c r="G26" i="5"/>
  <c r="G23" i="5"/>
  <c r="G43" i="5"/>
  <c r="G63" i="5"/>
  <c r="G83" i="5"/>
  <c r="G103" i="5"/>
  <c r="G30" i="5"/>
  <c r="G50" i="5"/>
  <c r="G70" i="5"/>
  <c r="G90" i="5"/>
  <c r="G110" i="5"/>
  <c r="G37" i="5"/>
  <c r="G57" i="5"/>
  <c r="G77" i="5"/>
  <c r="G117" i="5"/>
  <c r="G24" i="5"/>
  <c r="G44" i="5"/>
  <c r="G64" i="5"/>
  <c r="G84" i="5"/>
  <c r="G104" i="5"/>
  <c r="G31" i="5"/>
  <c r="G51" i="5"/>
  <c r="G91" i="5"/>
  <c r="G25" i="5"/>
  <c r="G52" i="5"/>
  <c r="G39" i="5"/>
  <c r="G86" i="5"/>
  <c r="G93" i="5"/>
  <c r="G14" i="5" l="1"/>
  <c r="N18" i="5"/>
  <c r="V18" i="5"/>
  <c r="V14" i="5" s="1"/>
  <c r="X5" i="7"/>
  <c r="N21" i="9"/>
  <c r="M21" i="9" s="1"/>
  <c r="N42" i="9"/>
  <c r="M42" i="9" s="1"/>
  <c r="N44" i="9"/>
  <c r="M44" i="9" s="1"/>
  <c r="N23" i="9"/>
  <c r="M23" i="9" s="1"/>
  <c r="N49" i="9"/>
  <c r="M49" i="9" s="1"/>
  <c r="N28" i="9"/>
  <c r="M28" i="9" s="1"/>
  <c r="N14" i="5"/>
  <c r="V19" i="5"/>
  <c r="X6" i="7"/>
  <c r="M18" i="5"/>
  <c r="N19" i="5"/>
  <c r="AJ18" i="5" l="1"/>
  <c r="U18" i="5"/>
  <c r="W5" i="7"/>
  <c r="O5" i="7" s="1"/>
  <c r="P5" i="7"/>
  <c r="U19" i="5"/>
  <c r="AI19" i="5" s="1"/>
  <c r="V20" i="5"/>
  <c r="AJ20" i="5" s="1"/>
  <c r="X7" i="7"/>
  <c r="AJ19" i="5"/>
  <c r="AM19" i="5" s="1"/>
  <c r="P6" i="7"/>
  <c r="W6" i="7"/>
  <c r="O6" i="7" s="1"/>
  <c r="M19" i="5"/>
  <c r="K18" i="5" s="1"/>
  <c r="N20" i="5"/>
  <c r="U14" i="5" l="1"/>
  <c r="L5" i="7"/>
  <c r="U16" i="5"/>
  <c r="AI18" i="5"/>
  <c r="AI14" i="5" s="1"/>
  <c r="AD18" i="5"/>
  <c r="AD19" i="5"/>
  <c r="U20" i="5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19" i="5" l="1"/>
  <c r="AL21" i="5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I22" i="5" l="1"/>
  <c r="AL22" i="5" s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AL23" i="5" l="1"/>
  <c r="L10" i="7"/>
  <c r="P11" i="7"/>
  <c r="W11" i="7"/>
  <c r="O11" i="7" s="1"/>
  <c r="V25" i="5"/>
  <c r="U25" i="5" s="1"/>
  <c r="AI25" i="5" s="1"/>
  <c r="X12" i="7"/>
  <c r="U24" i="5"/>
  <c r="K22" i="5"/>
  <c r="M24" i="5"/>
  <c r="N25" i="5"/>
  <c r="AI24" i="5" l="1"/>
  <c r="AL24" i="5" s="1"/>
  <c r="L11" i="7"/>
  <c r="AL25" i="5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M26" i="5" l="1"/>
  <c r="U26" i="5"/>
  <c r="P13" i="7"/>
  <c r="W13" i="7"/>
  <c r="O13" i="7" s="1"/>
  <c r="V27" i="5"/>
  <c r="U27" i="5" s="1"/>
  <c r="AI27" i="5" s="1"/>
  <c r="X14" i="7"/>
  <c r="L12" i="7"/>
  <c r="K24" i="5"/>
  <c r="M26" i="5"/>
  <c r="N27" i="5"/>
  <c r="AI26" i="5" l="1"/>
  <c r="AL26" i="5" s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AL27" i="5" l="1"/>
  <c r="U28" i="5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X33" i="7"/>
  <c r="P32" i="7"/>
  <c r="W32" i="7"/>
  <c r="O32" i="7" s="1"/>
  <c r="AD45" i="5"/>
  <c r="K43" i="5"/>
  <c r="M45" i="5"/>
  <c r="N46" i="5"/>
  <c r="AM46" i="5" l="1"/>
  <c r="U46" i="5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M10" i="9" s="1"/>
  <c r="N26" i="9"/>
  <c r="M26" i="9" s="1"/>
  <c r="N12" i="9"/>
  <c r="M12" i="9" s="1"/>
  <c r="N17" i="9"/>
  <c r="M17" i="9" s="1"/>
  <c r="N29" i="9"/>
  <c r="M29" i="9" s="1"/>
  <c r="N27" i="9"/>
  <c r="M2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A9" i="9" l="1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AL68" i="5" l="1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V15" i="5" s="1"/>
  <c r="X104" i="7"/>
  <c r="P103" i="7"/>
  <c r="W103" i="7"/>
  <c r="O103" i="7" s="1"/>
  <c r="K114" i="5"/>
  <c r="M116" i="5"/>
  <c r="N117" i="5"/>
  <c r="U117" i="5" l="1"/>
  <c r="V13" i="5"/>
  <c r="AD116" i="5"/>
  <c r="AJ117" i="5"/>
  <c r="AM117" i="5" s="1"/>
  <c r="L103" i="7"/>
  <c r="P104" i="7"/>
  <c r="W104" i="7"/>
  <c r="O104" i="7" s="1"/>
  <c r="M117" i="5"/>
  <c r="P15" i="5"/>
  <c r="K115" i="5"/>
  <c r="N119" i="5"/>
  <c r="N121" i="5" s="1"/>
  <c r="AI117" i="5" l="1"/>
  <c r="AL117" i="5" s="1"/>
  <c r="U15" i="5"/>
  <c r="AD117" i="5"/>
  <c r="V118" i="5"/>
  <c r="L104" i="7"/>
  <c r="L4" i="7" s="1"/>
  <c r="M119" i="5"/>
  <c r="M121" i="5" s="1"/>
  <c r="N118" i="5"/>
  <c r="K116" i="5"/>
  <c r="AJ118" i="5"/>
  <c r="AM118" i="5" s="1"/>
  <c r="V6" i="7"/>
  <c r="N6" i="7" s="1"/>
  <c r="T6" i="7" s="1"/>
  <c r="T19" i="5"/>
  <c r="L21" i="5"/>
  <c r="AC18" i="5"/>
  <c r="AE18" i="5" s="1"/>
  <c r="B20" i="5"/>
  <c r="L18" i="5"/>
  <c r="AC19" i="5" l="1"/>
  <c r="AE19" i="5" s="1"/>
  <c r="AF19" i="5" s="1"/>
  <c r="T5" i="7"/>
  <c r="U5" i="7" s="1"/>
  <c r="AH19" i="5"/>
  <c r="T21" i="5"/>
  <c r="V8" i="7"/>
  <c r="N8" i="7" s="1"/>
  <c r="T8" i="7" s="1"/>
  <c r="T20" i="5"/>
  <c r="V7" i="7"/>
  <c r="N7" i="7" s="1"/>
  <c r="T7" i="7" s="1"/>
  <c r="U6" i="7" s="1"/>
  <c r="L20" i="5"/>
  <c r="L19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10" i="9" l="1"/>
  <c r="L22" i="9"/>
  <c r="L13" i="9"/>
  <c r="L12" i="9"/>
  <c r="L24" i="9"/>
  <c r="L17" i="9"/>
  <c r="L26" i="9"/>
  <c r="V54" i="7"/>
  <c r="N54" i="7" s="1"/>
  <c r="T54" i="7" s="1"/>
  <c r="U53" i="7" s="1"/>
  <c r="T67" i="5"/>
  <c r="L27" i="9"/>
  <c r="B18" i="5"/>
  <c r="L29" i="9"/>
  <c r="L67" i="5"/>
  <c r="L15" i="9"/>
  <c r="AH66" i="5"/>
  <c r="AK66" i="5" s="1"/>
  <c r="AC66" i="5"/>
  <c r="AE66" i="5" s="1"/>
  <c r="AF66" i="5" s="1"/>
  <c r="AH67" i="5" l="1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T69" i="5" l="1"/>
  <c r="V56" i="7"/>
  <c r="N56" i="7" s="1"/>
  <c r="T56" i="7" s="1"/>
  <c r="U55" i="7" s="1"/>
  <c r="L69" i="5"/>
  <c r="AC68" i="5"/>
  <c r="AE68" i="5" s="1"/>
  <c r="AF68" i="5" s="1"/>
  <c r="AH68" i="5"/>
  <c r="AK68" i="5" s="1"/>
  <c r="L48" i="9" l="1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C22" i="5" s="1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T15" i="5" s="1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0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  <comment ref="D36" authorId="0" shapeId="0" xr:uid="{83911AD7-4591-4C3E-A2C2-F509AAF6430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攻防节奏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admin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  <comment ref="K13" authorId="1" shapeId="0" xr:uid="{6797F4E7-B886-4D50-A479-EBAF695FE78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治疗对标伤害，换算攻击时，要扣除暴击影响</t>
        </r>
      </text>
    </comment>
    <comment ref="L13" authorId="1" shapeId="0" xr:uid="{E6FF2B6A-DD49-42F7-8242-CE56E1BABE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治疗对标伤害，伤害对标承伤，承伤由血和减伤构成，取各自减伤</t>
        </r>
      </text>
    </comment>
    <comment ref="M13" authorId="1" shapeId="0" xr:uid="{9C6828BF-7DEC-40F2-A778-5070B8C94FD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减伤取平均值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<sst xmlns="http://schemas.openxmlformats.org/spreadsheetml/2006/main" count="952" uniqueCount="335">
  <si>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</si>
  <si>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</si>
  <si>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</si>
  <si>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</si>
  <si>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</si>
  <si>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</si>
  <si>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</si>
  <si>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</si>
  <si>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</si>
  <si>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</si>
  <si>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</si>
  <si>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</si>
  <si>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</si>
  <si>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</si>
  <si>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</si>
  <si>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</si>
  <si>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</si>
  <si>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</si>
  <si>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</si>
  <si>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</si>
  <si>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</si>
  <si>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</si>
  <si>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</si>
  <si>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</si>
  <si>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</si>
  <si>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</si>
  <si>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</si>
  <si>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</si>
  <si>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</si>
  <si>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</si>
  <si>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</si>
  <si>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</si>
  <si>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</si>
  <si>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</si>
  <si>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</si>
  <si>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</si>
  <si>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</si>
  <si>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</si>
  <si>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</si>
  <si>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</si>
  <si>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</si>
  <si>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</si>
  <si>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</si>
  <si>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</si>
  <si>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</si>
  <si>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</si>
  <si>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</si>
  <si>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</si>
  <si>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</si>
  <si>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</si>
  <si>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</si>
  <si>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</si>
  <si>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</si>
  <si>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</si>
  <si>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</si>
  <si>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</si>
  <si>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</si>
  <si>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</si>
  <si>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</si>
  <si>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</si>
  <si>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</si>
  <si>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</si>
  <si>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</si>
  <si>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</si>
  <si>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</si>
  <si>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</si>
  <si>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</si>
  <si>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</si>
  <si>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</si>
  <si>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</si>
  <si>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</si>
  <si>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</si>
  <si>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</si>
  <si>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</si>
  <si>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</si>
  <si>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</si>
  <si>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</si>
  <si>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</si>
  <si>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</si>
  <si>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</si>
  <si>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</si>
  <si>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</si>
  <si>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</si>
  <si>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</si>
  <si>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</si>
  <si>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</si>
  <si>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</si>
  <si>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</si>
  <si>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</si>
  <si>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</si>
  <si>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</si>
  <si>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</si>
  <si>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</si>
  <si>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</si>
  <si>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</si>
  <si>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</si>
  <si>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</si>
  <si>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</si>
  <si>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</si>
  <si>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</si>
  <si>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</si>
  <si>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</si>
  <si>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</si>
  <si>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</si>
  <si>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</si>
  <si>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</si>
  <si>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</si>
  <si>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</si>
  <si>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</si>
  <si>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</si>
  <si>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</si>
  <si>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</si>
  <si>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</si>
  <si>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</si>
  <si>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</si>
  <si>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</si>
  <si>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</si>
  <si>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</si>
  <si>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</si>
  <si>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</si>
  <si>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</si>
  <si>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</si>
  <si>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</si>
  <si>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</si>
  <si>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</si>
  <si>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</si>
  <si>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</si>
  <si>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</si>
  <si>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</si>
  <si>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</si>
  <si>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</si>
  <si>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</si>
  <si>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</si>
  <si>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</si>
  <si>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</si>
  <si>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</si>
  <si>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</si>
  <si>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</si>
  <si>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</si>
  <si>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</si>
  <si>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</si>
  <si>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</si>
  <si>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</si>
  <si>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</si>
  <si>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</si>
  <si>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</si>
  <si>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</si>
  <si>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</si>
  <si>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</si>
  <si>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</si>
  <si>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</si>
  <si>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</si>
  <si>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</si>
  <si>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</si>
  <si>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</si>
  <si>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</si>
  <si>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</si>
  <si>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</si>
  <si>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</si>
  <si>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</si>
  <si>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</si>
  <si>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</si>
  <si>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</si>
  <si>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</si>
  <si>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</si>
  <si>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</si>
  <si>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</si>
  <si>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</si>
  <si>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</si>
  <si>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</si>
  <si>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</si>
  <si>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</si>
  <si>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</si>
  <si>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</si>
  <si>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</si>
  <si>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</si>
  <si>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</si>
  <si>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</si>
  <si>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</si>
  <si>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</si>
  <si>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</si>
  <si>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</si>
  <si>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</si>
  <si>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</si>
  <si>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</si>
  <si>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</si>
  <si>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</si>
  <si>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</si>
  <si>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</si>
  <si>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</si>
  <si>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</si>
  <si>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</si>
  <si>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</si>
  <si>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</si>
  <si>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</si>
  <si>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</si>
  <si>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</si>
  <si>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</si>
  <si>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</si>
  <si>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</si>
  <si>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</si>
  <si>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</si>
  <si>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</si>
  <si>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</si>
  <si>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</si>
  <si>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</si>
  <si>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</si>
  <si>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</si>
  <si>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</si>
  <si>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</si>
  <si>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</si>
  <si>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</si>
  <si>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</si>
  <si>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</si>
  <si>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</si>
  <si>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</si>
  <si>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</si>
  <si>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</si>
  <si>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</si>
  <si>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</si>
  <si>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</si>
  <si>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</si>
  <si>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</si>
  <si>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</si>
  <si>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</si>
  <si>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</si>
  <si>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</si>
  <si>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</si>
  <si>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</si>
  <si>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</si>
  <si>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</si>
  <si>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</si>
  <si>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</si>
  <si>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</si>
  <si>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</si>
  <si>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</si>
  <si>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</si>
  <si>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</si>
  <si>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</si>
  <si>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</si>
  <si>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</si>
  <si>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</si>
  <si>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</si>
  <si>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</si>
  <si>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</si>
  <si>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</si>
  <si>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</si>
  <si>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</si>
  <si>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</si>
  <si>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</si>
  <si>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</si>
  <si>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</si>
  <si>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</si>
  <si>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</si>
  <si>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</si>
  <si>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</si>
  <si>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</si>
  <si>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</si>
  <si>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</si>
  <si>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</si>
  <si>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</si>
  <si>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</si>
  <si>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</si>
  <si>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</si>
  <si>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</si>
  <si>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</si>
  <si>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</si>
  <si>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怪物2</t>
    <phoneticPr fontId="1" type="noConversion"/>
  </si>
  <si>
    <t>怪物3</t>
  </si>
  <si>
    <t>怪物4</t>
  </si>
  <si>
    <t>怪物5</t>
  </si>
  <si>
    <t>怪物6</t>
  </si>
  <si>
    <t>怪物7</t>
  </si>
  <si>
    <t>怪物8</t>
  </si>
  <si>
    <t>怪物9</t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</si>
  <si>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</si>
  <si>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</si>
  <si>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</si>
  <si>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回合数</t>
    <phoneticPr fontId="1" type="noConversion"/>
  </si>
  <si>
    <t>对方人数</t>
    <phoneticPr fontId="1" type="noConversion"/>
  </si>
  <si>
    <t>对方单体血量</t>
    <phoneticPr fontId="1" type="noConversion"/>
  </si>
  <si>
    <t>对方单人回合</t>
    <phoneticPr fontId="1" type="noConversion"/>
  </si>
  <si>
    <t>对方总回合</t>
    <phoneticPr fontId="1" type="noConversion"/>
  </si>
  <si>
    <t>对方单人攻击</t>
    <phoneticPr fontId="1" type="noConversion"/>
  </si>
  <si>
    <t>血量/攻击</t>
    <phoneticPr fontId="1" type="noConversion"/>
  </si>
  <si>
    <t>血量/对方人数</t>
    <phoneticPr fontId="1" type="noConversion"/>
  </si>
  <si>
    <t>血量/对方人数/攻击</t>
    <phoneticPr fontId="1" type="noConversion"/>
  </si>
  <si>
    <t>对方人数*（1+对方人数）/2</t>
    <phoneticPr fontId="1" type="noConversion"/>
  </si>
  <si>
    <t>怪物血量</t>
    <phoneticPr fontId="1" type="noConversion"/>
  </si>
  <si>
    <t>怪物攻击</t>
    <phoneticPr fontId="1" type="noConversion"/>
  </si>
  <si>
    <t>血量/怪物数量</t>
    <phoneticPr fontId="1" type="noConversion"/>
  </si>
  <si>
    <t>血量/(血量/对方人数/攻击*对方人数*（1+对方人数）/2)</t>
    <phoneticPr fontId="1" type="noConversion"/>
  </si>
  <si>
    <t>2*攻击/(1+怪物数量)）</t>
    <phoneticPr fontId="1" type="noConversion"/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</si>
  <si>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</si>
  <si>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</si>
  <si>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</si>
  <si>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</si>
  <si>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</si>
  <si>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</si>
  <si>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</si>
  <si>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</si>
  <si>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</si>
  <si>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</si>
  <si>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</si>
  <si>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</si>
  <si>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</si>
  <si>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</si>
  <si>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</si>
  <si>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</si>
  <si>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</si>
  <si>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</si>
  <si>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</si>
  <si>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</si>
  <si>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</si>
  <si>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</si>
  <si>
    <t>不应该分优劣属性，本身角色的特点已经设定，装备和公共升星一样独立增加数值，只是DIY的上下限分别是优势角色和劣势角色，控制好上下限即可？</t>
    <phoneticPr fontId="1" type="noConversion"/>
  </si>
  <si>
    <t>属性比例</t>
    <phoneticPr fontId="1" type="noConversion"/>
  </si>
  <si>
    <t>治疗技能强了3倍多？</t>
    <phoneticPr fontId="1" type="noConversion"/>
  </si>
  <si>
    <t>标准站位</t>
    <phoneticPr fontId="1" type="noConversion"/>
  </si>
  <si>
    <t>每列战法牧组合；牧的治疗平分到每行</t>
    <phoneticPr fontId="1" type="noConversion"/>
  </si>
  <si>
    <t>不同职业定位不同，在3个维度进行处理</t>
    <phoneticPr fontId="1" type="noConversion"/>
  </si>
  <si>
    <t>后排</t>
    <phoneticPr fontId="1" type="noConversion"/>
  </si>
  <si>
    <t>中排</t>
    <phoneticPr fontId="1" type="noConversion"/>
  </si>
  <si>
    <t>前排</t>
    <phoneticPr fontId="1" type="noConversion"/>
  </si>
  <si>
    <t>行位</t>
    <phoneticPr fontId="1" type="noConversion"/>
  </si>
  <si>
    <t>优先攻击对位（行）敌人</t>
    <phoneticPr fontId="1" type="noConversion"/>
  </si>
  <si>
    <t>标准节奏</t>
    <phoneticPr fontId="1" type="noConversion"/>
  </si>
  <si>
    <t>有限养成、轻PVP，高级属性对投，独立计算</t>
    <phoneticPr fontId="1" type="noConversion"/>
  </si>
  <si>
    <t>属性关系</t>
    <phoneticPr fontId="1" type="noConversion"/>
  </si>
  <si>
    <t>相当于多少生命上限</t>
    <phoneticPr fontId="1" type="noConversion"/>
  </si>
  <si>
    <t>相当于多少攻击力</t>
  </si>
  <si>
    <t>防御向战斗力=生命上限*（1+防御力价值）*生命上限价值+技能倍率价值*生命上限价值</t>
    <phoneticPr fontId="1" type="noConversion"/>
  </si>
  <si>
    <t>总战斗力=攻击向战斗力+防御向战斗力</t>
    <phoneticPr fontId="1" type="noConversion"/>
  </si>
  <si>
    <t>综合考虑属性的战斗价值和技能（增益、减益）的战斗价值</t>
    <phoneticPr fontId="1" type="noConversion"/>
  </si>
  <si>
    <t>更详细的角色设定在本表的拓展表：角色怪物数据生成-角色基础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</si>
</sst>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  <numFmt numFmtId="183" formatCode="0.0_ "/>
  </numFmts>
  <fonts count="1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b/>
      <i/>
      <sz val="9"/>
      <color theme="0" tint="-0.34998626667073579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4" fontId="2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9" fontId="9" fillId="0" borderId="1" xfId="1" applyFont="1" applyBorder="1" applyAlignment="1">
      <alignment horizontal="center" vertical="center" shrinkToFit="1"/>
    </xf>
    <xf numFmtId="9" fontId="9" fillId="0" borderId="1" xfId="0" applyNumberFormat="1" applyFont="1" applyBorder="1" applyAlignment="1">
      <alignment horizontal="center" vertical="center" shrinkToFit="1"/>
    </xf>
    <xf numFmtId="176" fontId="9" fillId="0" borderId="1" xfId="1" applyNumberFormat="1" applyFont="1" applyBorder="1" applyAlignment="1">
      <alignment horizontal="center" vertical="center" shrinkToFit="1"/>
    </xf>
    <xf numFmtId="10" fontId="9" fillId="0" borderId="1" xfId="0" applyNumberFormat="1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 shrinkToFit="1"/>
    </xf>
    <xf numFmtId="9" fontId="12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shrinkToFit="1"/>
    </xf>
    <xf numFmtId="9" fontId="16" fillId="0" borderId="1" xfId="1" applyFont="1" applyBorder="1" applyAlignment="1">
      <alignment horizontal="center" vertical="center" shrinkToFit="1"/>
    </xf>
    <xf numFmtId="9" fontId="12" fillId="0" borderId="1" xfId="0" applyNumberFormat="1" applyFont="1" applyBorder="1" applyAlignment="1">
      <alignment horizontal="center" vertical="center" shrinkToFit="1"/>
    </xf>
    <xf numFmtId="180" fontId="12" fillId="0" borderId="1" xfId="0" applyNumberFormat="1" applyFont="1" applyBorder="1" applyAlignment="1">
      <alignment horizontal="center" vertical="center" shrinkToFit="1"/>
    </xf>
    <xf numFmtId="179" fontId="12" fillId="0" borderId="1" xfId="0" applyNumberFormat="1" applyFont="1" applyBorder="1" applyAlignment="1">
      <alignment horizontal="center" vertical="center" shrinkToFit="1"/>
    </xf>
    <xf numFmtId="9" fontId="12" fillId="3" borderId="1" xfId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 shrinkToFit="1"/>
    </xf>
    <xf numFmtId="10" fontId="12" fillId="0" borderId="1" xfId="0" applyNumberFormat="1" applyFont="1" applyBorder="1" applyAlignment="1">
      <alignment horizontal="center" vertical="center" shrinkToFit="1"/>
    </xf>
    <xf numFmtId="0" fontId="16" fillId="4" borderId="1" xfId="0" applyFont="1" applyFill="1" applyBorder="1" applyAlignment="1">
      <alignment horizontal="center" vertical="center" shrinkToFit="1"/>
    </xf>
    <xf numFmtId="181" fontId="12" fillId="0" borderId="1" xfId="0" applyNumberFormat="1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67"/>
  <sheetViews>
    <sheetView workbookViewId="0">
      <pane xSplit="2" ySplit="8" topLeftCell="C39" activePane="bottomRight" state="frozen"/>
      <selection pane="topRight" activeCell="C1" sqref="C1"/>
      <selection pane="bottomLeft" activeCell="A9" sqref="A9"/>
      <selection pane="bottomRight" activeCell="L60" sqref="L60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107" t="s">
        <v>218</v>
      </c>
      <c r="B1" s="108"/>
    </row>
    <row r="2" spans="1:25" ht="14.25" customHeight="1" x14ac:dyDescent="0.2">
      <c r="A2" s="109"/>
      <c r="B2" s="110"/>
    </row>
    <row r="3" spans="1:25" ht="14.25" customHeight="1" x14ac:dyDescent="0.2">
      <c r="D3" s="2" t="s">
        <v>80</v>
      </c>
    </row>
    <row r="4" spans="1:25" s="3" customFormat="1" ht="14.25" customHeight="1" x14ac:dyDescent="0.2">
      <c r="C4" s="3" t="s">
        <v>23</v>
      </c>
      <c r="K4" s="3" t="s">
        <v>24</v>
      </c>
      <c r="W4" s="3" t="s">
        <v>25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18</v>
      </c>
      <c r="L5" s="1" t="s">
        <v>16</v>
      </c>
      <c r="M5" s="1" t="s">
        <v>13</v>
      </c>
      <c r="N5" s="1" t="s">
        <v>14</v>
      </c>
      <c r="O5" s="1" t="s">
        <v>5</v>
      </c>
      <c r="Q5" s="1" t="s">
        <v>18</v>
      </c>
      <c r="R5" s="1" t="s">
        <v>16</v>
      </c>
      <c r="S5" s="1" t="s">
        <v>13</v>
      </c>
      <c r="T5" s="1" t="s">
        <v>14</v>
      </c>
      <c r="U5" s="1" t="s">
        <v>5</v>
      </c>
      <c r="W5" s="3" t="s">
        <v>16</v>
      </c>
      <c r="X5" s="3" t="s">
        <v>136</v>
      </c>
      <c r="Y5" s="3" t="s">
        <v>137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122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28</v>
      </c>
      <c r="K8" s="1">
        <v>3</v>
      </c>
      <c r="L8" s="1" t="s">
        <v>123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123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82</v>
      </c>
    </row>
    <row r="10" spans="1:25" ht="14.25" customHeight="1" x14ac:dyDescent="0.2">
      <c r="D10" s="3" t="s">
        <v>16</v>
      </c>
      <c r="E10" s="3" t="s">
        <v>13</v>
      </c>
      <c r="F10" s="3" t="s">
        <v>14</v>
      </c>
      <c r="G10" s="3" t="s">
        <v>5</v>
      </c>
      <c r="K10" s="1">
        <v>5</v>
      </c>
      <c r="L10" s="1" t="s">
        <v>124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19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18</v>
      </c>
      <c r="D16" s="3" t="s">
        <v>16</v>
      </c>
      <c r="E16" s="3" t="s">
        <v>13</v>
      </c>
      <c r="F16" s="3" t="s">
        <v>14</v>
      </c>
      <c r="G16" s="3" t="s">
        <v>5</v>
      </c>
      <c r="L16" s="2" t="s">
        <v>27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22</v>
      </c>
      <c r="R17" s="1" t="s">
        <v>22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135</v>
      </c>
      <c r="H22" s="1" t="s">
        <v>15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20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21</v>
      </c>
      <c r="H30" s="9">
        <f>G17*H23*2</f>
        <v>83.333333333333343</v>
      </c>
      <c r="I30" s="23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26</v>
      </c>
      <c r="S38" s="6">
        <f>SUM(S18:S36)</f>
        <v>46.25</v>
      </c>
    </row>
    <row r="40" spans="9:19" ht="14.25" customHeight="1" x14ac:dyDescent="0.2">
      <c r="I40" s="6"/>
    </row>
    <row r="49" spans="11:21" ht="14.25" customHeight="1" x14ac:dyDescent="0.2">
      <c r="Q49" s="6"/>
      <c r="T49" s="6"/>
    </row>
    <row r="50" spans="11:21" ht="14.25" customHeight="1" x14ac:dyDescent="0.2">
      <c r="L50" s="1">
        <v>100</v>
      </c>
      <c r="M50" s="1">
        <v>10</v>
      </c>
      <c r="T50" s="6"/>
    </row>
    <row r="51" spans="11:21" ht="14.25" customHeight="1" x14ac:dyDescent="0.2">
      <c r="T51" s="6"/>
    </row>
    <row r="52" spans="11:21" ht="14.25" customHeight="1" x14ac:dyDescent="0.2">
      <c r="L52" s="1" t="s">
        <v>278</v>
      </c>
      <c r="M52" s="1">
        <f>L50/M50</f>
        <v>10</v>
      </c>
      <c r="N52" s="2" t="s">
        <v>284</v>
      </c>
    </row>
    <row r="53" spans="11:21" ht="14.25" customHeight="1" x14ac:dyDescent="0.2">
      <c r="L53" s="1" t="s">
        <v>279</v>
      </c>
      <c r="M53" s="1">
        <v>5</v>
      </c>
      <c r="N53" s="2"/>
      <c r="Q53" s="1">
        <v>5</v>
      </c>
      <c r="R53" s="1">
        <v>2</v>
      </c>
      <c r="S53" s="1">
        <f>Q53*R53</f>
        <v>10</v>
      </c>
    </row>
    <row r="54" spans="11:21" ht="14.25" customHeight="1" x14ac:dyDescent="0.2">
      <c r="L54" s="1" t="s">
        <v>280</v>
      </c>
      <c r="M54" s="1">
        <f>L50/M53</f>
        <v>20</v>
      </c>
      <c r="N54" s="2" t="s">
        <v>285</v>
      </c>
      <c r="Q54" s="1">
        <v>4</v>
      </c>
      <c r="R54" s="1">
        <v>2</v>
      </c>
      <c r="S54" s="1">
        <f t="shared" ref="S54:S57" si="3">Q54*R54</f>
        <v>8</v>
      </c>
    </row>
    <row r="55" spans="11:21" ht="14.25" customHeight="1" x14ac:dyDescent="0.2">
      <c r="L55" s="1" t="s">
        <v>281</v>
      </c>
      <c r="M55" s="1">
        <f>M54/M50</f>
        <v>2</v>
      </c>
      <c r="N55" s="2" t="s">
        <v>286</v>
      </c>
      <c r="Q55" s="1">
        <v>3</v>
      </c>
      <c r="R55" s="1">
        <v>2</v>
      </c>
      <c r="S55" s="1">
        <f t="shared" si="3"/>
        <v>6</v>
      </c>
    </row>
    <row r="56" spans="11:21" ht="14.25" customHeight="1" x14ac:dyDescent="0.2">
      <c r="L56" s="1" t="s">
        <v>282</v>
      </c>
      <c r="M56" s="1">
        <f>M53*(1+M53)/2</f>
        <v>15</v>
      </c>
      <c r="N56" s="2" t="s">
        <v>287</v>
      </c>
      <c r="Q56" s="1">
        <v>2</v>
      </c>
      <c r="R56" s="1">
        <v>2</v>
      </c>
      <c r="S56" s="1">
        <f t="shared" si="3"/>
        <v>4</v>
      </c>
    </row>
    <row r="57" spans="11:21" ht="14.25" customHeight="1" x14ac:dyDescent="0.2">
      <c r="L57" s="1" t="s">
        <v>283</v>
      </c>
      <c r="M57" s="6">
        <f>L50/(M55*M56)</f>
        <v>3.3333333333333335</v>
      </c>
      <c r="N57" s="2"/>
      <c r="Q57" s="1">
        <v>1</v>
      </c>
      <c r="R57" s="1">
        <v>2</v>
      </c>
      <c r="S57" s="1">
        <f t="shared" si="3"/>
        <v>2</v>
      </c>
    </row>
    <row r="58" spans="11:21" ht="14.25" customHeight="1" x14ac:dyDescent="0.2">
      <c r="L58" s="2" t="s">
        <v>291</v>
      </c>
    </row>
    <row r="59" spans="11:21" ht="14.25" customHeight="1" x14ac:dyDescent="0.2">
      <c r="S59" s="1">
        <f>SUM(S53:S57)</f>
        <v>30</v>
      </c>
      <c r="T59" s="6">
        <v>100</v>
      </c>
      <c r="U59" s="6">
        <f>T59/S59</f>
        <v>3.3333333333333335</v>
      </c>
    </row>
    <row r="60" spans="11:21" ht="14.25" customHeight="1" x14ac:dyDescent="0.2">
      <c r="K60" s="1" t="s">
        <v>288</v>
      </c>
      <c r="L60" s="2" t="s">
        <v>290</v>
      </c>
      <c r="N60" s="1">
        <f>L50/$M$53</f>
        <v>20</v>
      </c>
    </row>
    <row r="61" spans="11:21" ht="14.25" customHeight="1" x14ac:dyDescent="0.2">
      <c r="K61" s="1" t="s">
        <v>289</v>
      </c>
      <c r="L61" s="2" t="s">
        <v>292</v>
      </c>
      <c r="N61" s="6">
        <f>2*M50/(1+M53)</f>
        <v>3.3333333333333335</v>
      </c>
      <c r="Q61" s="1">
        <f>$U$59*Q53</f>
        <v>16.666666666666668</v>
      </c>
      <c r="S61" s="1">
        <f>Q61*R53</f>
        <v>33.333333333333336</v>
      </c>
    </row>
    <row r="62" spans="11:21" ht="14.25" customHeight="1" x14ac:dyDescent="0.2">
      <c r="Q62" s="1">
        <f>$U$59*Q54</f>
        <v>13.333333333333334</v>
      </c>
      <c r="S62" s="1">
        <f>Q62*R54</f>
        <v>26.666666666666668</v>
      </c>
    </row>
    <row r="63" spans="11:21" ht="14.25" customHeight="1" x14ac:dyDescent="0.2">
      <c r="Q63" s="1">
        <f>$U$59*Q55</f>
        <v>10</v>
      </c>
      <c r="S63" s="1">
        <f>Q63*R55</f>
        <v>20</v>
      </c>
    </row>
    <row r="64" spans="11:21" ht="14.25" customHeight="1" x14ac:dyDescent="0.2">
      <c r="Q64" s="1">
        <f>$U$59*Q56</f>
        <v>6.666666666666667</v>
      </c>
      <c r="S64" s="1">
        <f>Q64*R56</f>
        <v>13.333333333333334</v>
      </c>
    </row>
    <row r="65" spans="17:19" ht="14.25" customHeight="1" x14ac:dyDescent="0.2">
      <c r="Q65" s="1">
        <f>$U$59*Q57</f>
        <v>3.3333333333333335</v>
      </c>
      <c r="S65" s="1">
        <f>Q65*R57</f>
        <v>6.666666666666667</v>
      </c>
    </row>
    <row r="67" spans="17:19" ht="14.25" customHeight="1" x14ac:dyDescent="0.2">
      <c r="S67" s="1">
        <f>SUM(S61:S65)</f>
        <v>100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21" sqref="J21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07" t="s">
        <v>17</v>
      </c>
      <c r="B1" s="108"/>
    </row>
    <row r="2" spans="1:24" ht="14.25" customHeight="1" x14ac:dyDescent="0.2">
      <c r="A2" s="109"/>
      <c r="B2" s="110"/>
      <c r="M2" s="79"/>
      <c r="Q2" s="80"/>
    </row>
    <row r="3" spans="1:24" x14ac:dyDescent="0.2">
      <c r="D3" s="2" t="s">
        <v>319</v>
      </c>
      <c r="M3" s="79"/>
      <c r="Q3" s="80"/>
    </row>
    <row r="4" spans="1:24" s="3" customFormat="1" ht="14.25" customHeight="1" x14ac:dyDescent="0.2">
      <c r="C4" s="3" t="s">
        <v>23</v>
      </c>
      <c r="J4" s="3" t="s">
        <v>24</v>
      </c>
      <c r="K4" s="2" t="s">
        <v>325</v>
      </c>
      <c r="N4" s="87"/>
      <c r="O4" s="87"/>
      <c r="P4" s="87"/>
      <c r="V4" s="3" t="s">
        <v>25</v>
      </c>
    </row>
    <row r="5" spans="1:24" ht="14.25" customHeight="1" thickBot="1" x14ac:dyDescent="0.25">
      <c r="D5" s="1" t="s">
        <v>0</v>
      </c>
      <c r="E5" s="1" t="s">
        <v>3</v>
      </c>
      <c r="F5" s="1" t="s">
        <v>14</v>
      </c>
      <c r="J5" s="89" t="s">
        <v>324</v>
      </c>
      <c r="K5" s="89" t="s">
        <v>16</v>
      </c>
      <c r="L5" s="89" t="s">
        <v>13</v>
      </c>
      <c r="M5" s="89" t="s">
        <v>14</v>
      </c>
      <c r="N5" s="89" t="s">
        <v>5</v>
      </c>
      <c r="O5" s="3"/>
      <c r="P5" s="89" t="s">
        <v>324</v>
      </c>
      <c r="Q5" s="89" t="s">
        <v>16</v>
      </c>
      <c r="R5" s="89" t="s">
        <v>13</v>
      </c>
      <c r="S5" s="89" t="s">
        <v>14</v>
      </c>
      <c r="T5" s="89" t="s">
        <v>5</v>
      </c>
      <c r="V5" s="89" t="s">
        <v>16</v>
      </c>
      <c r="W5" s="89" t="s">
        <v>213</v>
      </c>
      <c r="X5" s="89" t="s">
        <v>214</v>
      </c>
    </row>
    <row r="6" spans="1:24" ht="14.25" customHeight="1" x14ac:dyDescent="0.2">
      <c r="D6" s="1" t="s">
        <v>1</v>
      </c>
      <c r="E6" s="1" t="s">
        <v>4</v>
      </c>
      <c r="F6" s="1" t="s">
        <v>13</v>
      </c>
      <c r="J6" s="77">
        <v>1</v>
      </c>
      <c r="K6" s="77" t="s">
        <v>3</v>
      </c>
      <c r="L6" s="77">
        <f t="shared" ref="L6:N10" si="0">VLOOKUP($K6,$D$10:$G$13,MATCH(L$5,$D$10:$G$10,0),0)</f>
        <v>5</v>
      </c>
      <c r="M6" s="77">
        <f t="shared" si="0"/>
        <v>100</v>
      </c>
      <c r="N6" s="77">
        <f t="shared" si="0"/>
        <v>2</v>
      </c>
      <c r="P6" s="77">
        <v>1</v>
      </c>
      <c r="Q6" s="77" t="s">
        <v>122</v>
      </c>
      <c r="R6" s="77">
        <f t="shared" ref="R6:T10" si="1">VLOOKUP($Q6,$D$10:$G$13,MATCH(R$5,$D$10:$G$10,0),0)</f>
        <v>5</v>
      </c>
      <c r="S6" s="77">
        <f t="shared" si="1"/>
        <v>100</v>
      </c>
      <c r="T6" s="77">
        <f t="shared" si="1"/>
        <v>2</v>
      </c>
      <c r="V6" s="90" t="s">
        <v>3</v>
      </c>
      <c r="W6" s="77">
        <v>2</v>
      </c>
      <c r="X6" s="77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123</v>
      </c>
      <c r="R7" s="1">
        <f t="shared" si="1"/>
        <v>10</v>
      </c>
      <c r="S7" s="1">
        <f t="shared" si="1"/>
        <v>40</v>
      </c>
      <c r="T7" s="1">
        <f t="shared" si="1"/>
        <v>0</v>
      </c>
      <c r="V7" s="1" t="s">
        <v>4</v>
      </c>
      <c r="W7" s="1">
        <v>1</v>
      </c>
      <c r="X7" s="12">
        <v>3</v>
      </c>
    </row>
    <row r="8" spans="1:24" ht="14.25" customHeight="1" x14ac:dyDescent="0.2">
      <c r="D8" s="2" t="s">
        <v>320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122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123</v>
      </c>
      <c r="R9" s="1">
        <f t="shared" si="1"/>
        <v>10</v>
      </c>
      <c r="S9" s="1">
        <f t="shared" si="1"/>
        <v>40</v>
      </c>
      <c r="T9" s="1">
        <f t="shared" si="1"/>
        <v>0</v>
      </c>
      <c r="V9" s="2" t="s">
        <v>82</v>
      </c>
    </row>
    <row r="10" spans="1:24" ht="14.25" customHeight="1" thickBot="1" x14ac:dyDescent="0.25">
      <c r="D10" s="89" t="s">
        <v>16</v>
      </c>
      <c r="E10" s="89" t="s">
        <v>13</v>
      </c>
      <c r="F10" s="89" t="s">
        <v>14</v>
      </c>
      <c r="G10" s="89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124</v>
      </c>
      <c r="R10" s="1">
        <f t="shared" si="1"/>
        <v>4</v>
      </c>
      <c r="S10" s="1">
        <f t="shared" si="1"/>
        <v>50</v>
      </c>
      <c r="T10" s="1">
        <f t="shared" si="1"/>
        <v>6</v>
      </c>
    </row>
    <row r="11" spans="1:24" ht="14.25" customHeight="1" x14ac:dyDescent="0.2">
      <c r="D11" s="77" t="s">
        <v>3</v>
      </c>
      <c r="E11" s="15">
        <v>5</v>
      </c>
      <c r="F11" s="15">
        <v>100</v>
      </c>
      <c r="G11" s="15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17</v>
      </c>
      <c r="S14" s="1">
        <f>SUM(S8:S$9)</f>
        <v>140</v>
      </c>
      <c r="T14" s="1">
        <f>SUM(T8:T$9)+T$10/2</f>
        <v>5</v>
      </c>
    </row>
    <row r="15" spans="1:24" s="3" customFormat="1" ht="14.25" customHeight="1" x14ac:dyDescent="0.2">
      <c r="C15" s="3" t="s">
        <v>215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9" t="s">
        <v>217</v>
      </c>
      <c r="E16" s="89" t="s">
        <v>146</v>
      </c>
      <c r="F16" s="89" t="s">
        <v>147</v>
      </c>
      <c r="G16" s="89" t="s">
        <v>124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40"/>
      <c r="D17" s="77" t="s">
        <v>122</v>
      </c>
      <c r="E17" s="77">
        <f t="shared" ref="E17:G21" si="2">VLOOKUP($D17,$D$10:$G$13,MATCH(E$16,$D$10:$G$10,0),0)</f>
        <v>5</v>
      </c>
      <c r="F17" s="77">
        <f t="shared" si="2"/>
        <v>100</v>
      </c>
      <c r="G17" s="77">
        <f t="shared" si="2"/>
        <v>2</v>
      </c>
      <c r="J17" s="3"/>
    </row>
    <row r="18" spans="3:19" ht="14.25" customHeight="1" x14ac:dyDescent="0.2">
      <c r="D18" s="1" t="s">
        <v>123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0</v>
      </c>
      <c r="P18" s="3"/>
    </row>
    <row r="19" spans="3:19" ht="14.25" customHeight="1" x14ac:dyDescent="0.2">
      <c r="D19" s="1" t="s">
        <v>122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27</v>
      </c>
      <c r="R19" s="32">
        <f>MAX(R29,R39)+R52</f>
        <v>25.277777777777779</v>
      </c>
    </row>
    <row r="20" spans="3:19" ht="14.25" customHeight="1" x14ac:dyDescent="0.2">
      <c r="D20" s="1" t="s">
        <v>123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133</v>
      </c>
      <c r="M20" s="1" t="s">
        <v>22</v>
      </c>
      <c r="Q20" s="1" t="s">
        <v>22</v>
      </c>
    </row>
    <row r="21" spans="3:19" ht="14.25" customHeight="1" x14ac:dyDescent="0.2">
      <c r="D21" s="1" t="s">
        <v>124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4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4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F18</f>
        <v>40</v>
      </c>
      <c r="G24" s="1">
        <f>G21/2</f>
        <v>3</v>
      </c>
      <c r="H24" s="6">
        <f>F18/(E24-G24)</f>
        <v>4.4444444444444446</v>
      </c>
      <c r="I24" s="9"/>
      <c r="N24" s="14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4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91" t="s">
        <v>326</v>
      </c>
      <c r="H26" s="36">
        <f>SUM(H23:H25)</f>
        <v>25.277777777777779</v>
      </c>
      <c r="N26" s="14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4">
        <f>IFERROR(VLOOKUP(Q25,Q$12:T$13,2,0),0)</f>
        <v>0</v>
      </c>
    </row>
    <row r="27" spans="3:19" ht="14.25" customHeight="1" x14ac:dyDescent="0.2">
      <c r="G27" s="3"/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thickBot="1" x14ac:dyDescent="0.25">
      <c r="C28" s="3" t="s">
        <v>318</v>
      </c>
      <c r="D28" s="89" t="s">
        <v>321</v>
      </c>
      <c r="E28" s="89" t="s">
        <v>322</v>
      </c>
      <c r="F28" s="89" t="s">
        <v>323</v>
      </c>
      <c r="M28" s="14">
        <f>IFERROR(VLOOKUP(M27,K$12:N$13,4,0),0)</f>
        <v>0</v>
      </c>
      <c r="N28" s="14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4">
        <f>IFERROR(VLOOKUP(Q27,Q$12:T$13,2,0),0)</f>
        <v>0</v>
      </c>
      <c r="Q28" s="14">
        <f>IFERROR(VLOOKUP(Q27,Q$12:T$13,4,0),0)</f>
        <v>0</v>
      </c>
    </row>
    <row r="29" spans="3:19" ht="14.25" customHeight="1" x14ac:dyDescent="0.2">
      <c r="D29" s="111" t="s">
        <v>5</v>
      </c>
      <c r="E29" s="77" t="s">
        <v>4</v>
      </c>
      <c r="F29" s="77" t="s">
        <v>3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12"/>
      <c r="E30" s="1" t="s">
        <v>4</v>
      </c>
      <c r="F30" s="1" t="s">
        <v>3</v>
      </c>
      <c r="L30" s="1" t="s">
        <v>134</v>
      </c>
      <c r="M30" s="1" t="s">
        <v>22</v>
      </c>
      <c r="N30" s="14">
        <f>IFERROR(VLOOKUP(M29,K$12:N$13,2,0),0)</f>
        <v>0</v>
      </c>
      <c r="P30" s="14">
        <f>IFERROR(VLOOKUP(Q29,Q$12:T$13,2,0),0)</f>
        <v>0</v>
      </c>
      <c r="Q30" s="1" t="s">
        <v>22</v>
      </c>
    </row>
    <row r="31" spans="3:19" ht="14.25" customHeight="1" x14ac:dyDescent="0.2">
      <c r="M31" s="1">
        <v>2</v>
      </c>
      <c r="N31" s="6">
        <f>INDEX($M$8:$M$9,MATCH(M31,$K$14:$K$15,0))/MAX((VLOOKUP(Q31,$Q$14:$T$15,2,0)-VLOOKUP(M31,$K$14:$N$15,4,0)),1)</f>
        <v>8.3333333333333339</v>
      </c>
      <c r="O31" s="10">
        <f>N31-P31</f>
        <v>0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19" ht="14.25" customHeight="1" x14ac:dyDescent="0.2">
      <c r="N32" s="14">
        <f>IFERROR(VLOOKUP(M31,K$14:N$15,2,0),0)</f>
        <v>17</v>
      </c>
      <c r="O32" s="6">
        <f>IFERROR(IF(O31&gt;0,O31/N31*INDEX($M$8:$M$9,MATCH(M31,$K$14:$K$15,0)),-O31/P31*INDEX($S$8:$S$9,MATCH(Q31,$K$14:$K$15,0))),O30)</f>
        <v>0</v>
      </c>
      <c r="P32" s="14">
        <f>IFERROR(VLOOKUP(Q31,Q$14:T$15,2,0),0)</f>
        <v>17</v>
      </c>
    </row>
    <row r="33" spans="3:18" ht="14.25" customHeight="1" x14ac:dyDescent="0.2">
      <c r="C33" s="7"/>
      <c r="E33" s="1" t="s">
        <v>13</v>
      </c>
      <c r="F33" s="3"/>
      <c r="M33" s="1">
        <f>IF($O31&gt;0,M31,M31-1)</f>
        <v>1</v>
      </c>
      <c r="N33" s="6">
        <f>IFERROR(IF(O31&gt;0,O32,INDEX($M$8:$M$9,MATCH(M33,$K$14:$K$15,0)))/MAX((VLOOKUP(Q33,$Q$14:$T$15,2,0)-VLOOKUP(M33,$K$14:$N$15,4,0)),1),0)</f>
        <v>4.4444444444444446</v>
      </c>
      <c r="O33" s="10">
        <f>N33-P33</f>
        <v>0</v>
      </c>
      <c r="P33" s="6">
        <f>IFERROR(IF(O31&lt;0,O32,INDEX($S$8:$S$9,MATCH(Q33,$K$14:$K$15,0)))/MAX((VLOOKUP(M33,$K$14:$N$15,2,0)-VLOOKUP(Q33,$Q$14:$T$15,4,0)),1),0)</f>
        <v>4.4444444444444446</v>
      </c>
      <c r="Q33" s="1">
        <f>IF($O31&lt;0,Q31,Q31-1)</f>
        <v>1</v>
      </c>
      <c r="R33" s="6">
        <f>IFERROR(IF(O33&gt;0,P33,N33),"")</f>
        <v>4.4444444444444446</v>
      </c>
    </row>
    <row r="34" spans="3:18" ht="14.25" customHeight="1" x14ac:dyDescent="0.2">
      <c r="D34" s="1" t="s">
        <v>122</v>
      </c>
      <c r="E34" s="8">
        <f>H23*E17</f>
        <v>41.666666666666671</v>
      </c>
      <c r="F34" s="5">
        <f>E34/SUM($E$34:$E$38)</f>
        <v>9.469696969696971E-2</v>
      </c>
      <c r="H34" s="6"/>
      <c r="N34" s="14">
        <f>IFERROR(VLOOKUP(M33,K$14:N$15,2,0),0)</f>
        <v>12</v>
      </c>
      <c r="O34" s="6">
        <f>IFERROR(IF(O33&gt;0,O33/N33*INDEX($M$8:$M$9,MATCH(M33,$K$14:$K$15,0)),-O33/P33*INDEX($S$8:$S$9,MATCH(Q33,$K$14:$K$15,0))),O32)</f>
        <v>0</v>
      </c>
      <c r="P34" s="14">
        <f>IFERROR(VLOOKUP(Q33,Q$14:T$15,2,0),0)</f>
        <v>12</v>
      </c>
    </row>
    <row r="35" spans="3:18" ht="14.25" customHeight="1" x14ac:dyDescent="0.2">
      <c r="D35" s="1" t="s">
        <v>123</v>
      </c>
      <c r="E35" s="8">
        <f>H24*E18+E18*H23</f>
        <v>127.77777777777779</v>
      </c>
      <c r="F35" s="5">
        <f>E35/SUM($E$34:$E$38)</f>
        <v>0.29040404040404044</v>
      </c>
      <c r="H35" s="6"/>
      <c r="M35" s="1">
        <f>IF($O33&gt;0,M33,M33-1)</f>
        <v>0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122</v>
      </c>
      <c r="E36" s="8">
        <f>E34</f>
        <v>41.666666666666671</v>
      </c>
      <c r="F36" s="5">
        <f>E36/SUM($E$34:$E$38)</f>
        <v>9.469696969696971E-2</v>
      </c>
      <c r="H36" s="6"/>
      <c r="N36" s="14">
        <f>IFERROR(VLOOKUP(M35,K$14:N$15,2,0),0)</f>
        <v>0</v>
      </c>
      <c r="O36" s="6">
        <f>IFERROR(IF(O35&gt;0,O35/N35*INDEX($M$8:$M$9,MATCH(M35,$K$14:$K$15,0)),-O35/P35*INDEX($S$8:$S$9,MATCH(Q35,$K$14:$K$15,0))),O34)</f>
        <v>0</v>
      </c>
      <c r="P36" s="14">
        <f>IFERROR(VLOOKUP(Q35,Q$14:T$15,2,0),0)</f>
        <v>0</v>
      </c>
    </row>
    <row r="37" spans="3:18" ht="14.25" customHeight="1" x14ac:dyDescent="0.2">
      <c r="D37" s="1" t="s">
        <v>123</v>
      </c>
      <c r="E37" s="8">
        <f>E35</f>
        <v>127.77777777777779</v>
      </c>
      <c r="F37" s="5">
        <f>E37/SUM($E$34:$E$38)</f>
        <v>0.29040404040404044</v>
      </c>
      <c r="H37" s="6"/>
      <c r="M37" s="1">
        <f>IF($O35&gt;0,M35,M35-1)</f>
        <v>-1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D38" s="1" t="s">
        <v>124</v>
      </c>
      <c r="E38" s="8">
        <f>E21*SUM(H23:H25)</f>
        <v>101.11111111111111</v>
      </c>
      <c r="F38" s="5">
        <f>E38/SUM($E$34:$E$38)</f>
        <v>0.22979797979797981</v>
      </c>
      <c r="H38" s="6"/>
      <c r="M38" s="14">
        <f>IFERROR(VLOOKUP(M37,K$14:N$15,4,0),0)</f>
        <v>0</v>
      </c>
      <c r="N38" s="14">
        <f>IFERROR(VLOOKUP(M37,K$14:N$15,2,0),0)</f>
        <v>0</v>
      </c>
      <c r="O38" s="6">
        <f>IFERROR(IF(O37&gt;0,O37/N37*INDEX($M$8:$M$9,MATCH(M37,$K$14:$K$15,0)),-O37/P37*INDEX($S$8:$S$9,MATCH(Q37,$K$14:$K$15,0))),O36)</f>
        <v>0</v>
      </c>
      <c r="P38" s="14">
        <f>IFERROR(VLOOKUP(Q37,Q$14:T$15,2,0),0)</f>
        <v>0</v>
      </c>
      <c r="Q38" s="14">
        <f>IFERROR(VLOOKUP(Q37,Q$14:T$15,4,0),0)</f>
        <v>0</v>
      </c>
    </row>
    <row r="39" spans="3:18" ht="14.25" customHeight="1" x14ac:dyDescent="0.2">
      <c r="H39" s="6"/>
      <c r="M39" s="1">
        <f>MAX(M37-Q37,0)</f>
        <v>0</v>
      </c>
      <c r="N39" s="6"/>
      <c r="O39" s="10"/>
      <c r="P39" s="6"/>
      <c r="Q39" s="1">
        <f>MAX(Q37-M37,0)</f>
        <v>0</v>
      </c>
      <c r="R39" s="6">
        <f>SUM(R31:R37)</f>
        <v>12.777777777777779</v>
      </c>
    </row>
    <row r="40" spans="3:18" ht="14.25" customHeight="1" x14ac:dyDescent="0.2">
      <c r="D40" s="1" t="s">
        <v>122</v>
      </c>
      <c r="E40" s="33">
        <f>F36+F34</f>
        <v>0.18939393939393942</v>
      </c>
      <c r="H40" s="6"/>
      <c r="N40" s="14">
        <f>IFERROR(VLOOKUP(M39,K$14:N$15,2,0),0)</f>
        <v>0</v>
      </c>
      <c r="P40" s="14">
        <f>IFERROR(VLOOKUP(Q39,Q$14:T$15,2,0),0)</f>
        <v>0</v>
      </c>
    </row>
    <row r="41" spans="3:18" ht="14.25" customHeight="1" x14ac:dyDescent="0.2">
      <c r="D41" s="1" t="s">
        <v>123</v>
      </c>
      <c r="E41" s="33">
        <f>F37+F35</f>
        <v>0.58080808080808088</v>
      </c>
      <c r="H41" s="6"/>
      <c r="L41" s="1" t="s">
        <v>13</v>
      </c>
      <c r="M41" s="1" t="s">
        <v>14</v>
      </c>
      <c r="N41" s="1" t="s">
        <v>5</v>
      </c>
      <c r="O41" s="10"/>
      <c r="P41" s="1" t="s">
        <v>13</v>
      </c>
      <c r="Q41" s="1" t="s">
        <v>14</v>
      </c>
      <c r="R41" s="1" t="s">
        <v>5</v>
      </c>
    </row>
    <row r="42" spans="3:18" x14ac:dyDescent="0.2">
      <c r="D42" s="1" t="s">
        <v>124</v>
      </c>
      <c r="E42" s="33">
        <f>F38</f>
        <v>0.22979797979797981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5">
        <f>IF(P42=0,0,O28)</f>
        <v>0</v>
      </c>
      <c r="R42" s="1">
        <f>Q28</f>
        <v>0</v>
      </c>
    </row>
    <row r="43" spans="3:18" x14ac:dyDescent="0.2">
      <c r="K43" s="1" t="str">
        <f>IF(K42&lt;&gt;"",IF(L43&lt;&gt;0,COUNTIF($L$42:$L$44,"&gt;0")-1,""),IF(L43&lt;&gt;0,COUNTIF($L$42:$L$44,"&gt;0"),""))</f>
        <v/>
      </c>
      <c r="L43" s="1">
        <f>N40</f>
        <v>0</v>
      </c>
      <c r="M43" s="6">
        <f>IF(L43=0,0,O38)</f>
        <v>0</v>
      </c>
      <c r="N43" s="1">
        <f>M38</f>
        <v>0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3">S16</f>
        <v>50</v>
      </c>
      <c r="R44" s="1">
        <f t="shared" si="3"/>
        <v>0</v>
      </c>
    </row>
    <row r="46" spans="3:18" x14ac:dyDescent="0.2">
      <c r="L46" s="1" t="s">
        <v>81</v>
      </c>
      <c r="M46" s="6" t="s">
        <v>22</v>
      </c>
      <c r="Q46" s="6" t="s">
        <v>22</v>
      </c>
    </row>
    <row r="47" spans="3:18" x14ac:dyDescent="0.2">
      <c r="M47" s="9">
        <f>COUNTIF(L42:L44,"&gt;0")</f>
        <v>1</v>
      </c>
      <c r="N47" s="6">
        <f>IFERROR(VLOOKUP(M47,$K$41:$R$44,3,0)/MAX((VLOOKUP(Q47,$O$41:$R$44,2,0)-VLOOKUP(M47,$K$41:$R$44,4,0)),1),0)</f>
        <v>12.5</v>
      </c>
      <c r="O47" s="10">
        <f>N47-P47</f>
        <v>0</v>
      </c>
      <c r="P47" s="6">
        <f>IFERROR(VLOOKUP(Q47,$O$41:$R$44,3,0)/MAX((VLOOKUP(M47,$K$41:$R$44,2,0)-VLOOKUP(Q47,$O$41:$R$44,4,0)),1),0)</f>
        <v>12.5</v>
      </c>
      <c r="Q47" s="9">
        <f>COUNTIF(P42:P44,"&gt;0")</f>
        <v>1</v>
      </c>
      <c r="R47" s="6">
        <f>IFERROR(IF(O47&gt;0,P47,N47),"")</f>
        <v>12.5</v>
      </c>
    </row>
    <row r="48" spans="3:18" ht="14.25" customHeight="1" x14ac:dyDescent="0.2">
      <c r="D48" s="75"/>
      <c r="N48" s="14">
        <f>IFERROR(VLOOKUP(M47,K$14:N$15,2,0),0)</f>
        <v>12</v>
      </c>
      <c r="O48" s="6">
        <f>IFERROR(IF(O47&gt;0,O47/N47*VLOOKUP(M47,$K$41:$R$44,3,0),-O47/P47*VLOOKUP(Q47,$O$41:$R$44,3,0)),O46)</f>
        <v>0</v>
      </c>
      <c r="P48" s="14">
        <f>IFERROR(VLOOKUP(Q47,Q$14:T$15,2,0),0)</f>
        <v>12</v>
      </c>
    </row>
    <row r="49" spans="4:18" ht="14.25" customHeight="1" x14ac:dyDescent="0.2">
      <c r="D49" s="75"/>
      <c r="M49" s="1">
        <f>IF($O47&gt;0,M47,M47-1)</f>
        <v>0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4:18" ht="14.25" customHeight="1" x14ac:dyDescent="0.2">
      <c r="M50" s="6"/>
      <c r="N50" s="14">
        <f>IFERROR(VLOOKUP(M49,K$14:N$15,2,0),0)</f>
        <v>0</v>
      </c>
      <c r="O50" s="6">
        <f>IFERROR(IF(O49&gt;0,O49/N49*VLOOKUP(M49,$K$41:$R$44,3,0),-O49/P49*VLOOKUP(Q49,$O$41:$R$44,3,0)),O48)</f>
        <v>0</v>
      </c>
      <c r="P50" s="14">
        <f>IFERROR(VLOOKUP(Q49,Q$14:T$15,2,0),0)</f>
        <v>0</v>
      </c>
      <c r="Q50" s="6"/>
      <c r="R50" s="6"/>
    </row>
    <row r="51" spans="4:18" ht="14.25" customHeight="1" x14ac:dyDescent="0.2">
      <c r="M51" s="1">
        <f>IF($O49&gt;0,M49,M49-1)</f>
        <v>-1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4:18" x14ac:dyDescent="0.2">
      <c r="M52" s="6"/>
      <c r="N52" s="14">
        <f>IFERROR(VLOOKUP(M51,K$14:N$15,2,0),0)</f>
        <v>0</v>
      </c>
      <c r="O52" s="6">
        <f>IFERROR(IF(O51&gt;0,O51/N51*VLOOKUP(M51,$K$41:$R$44,3,0),-O51/P51*VLOOKUP(Q51,$O$41:$R$44,3,0)),O50)</f>
        <v>0</v>
      </c>
      <c r="P52" s="14">
        <f>IFERROR(VLOOKUP(Q51,Q$14:T$15,2,0),0)</f>
        <v>0</v>
      </c>
      <c r="Q52" s="6"/>
      <c r="R52" s="6">
        <f>SUM(R47:R51)</f>
        <v>12.5</v>
      </c>
    </row>
    <row r="53" spans="4:18" x14ac:dyDescent="0.2">
      <c r="N53" s="6"/>
      <c r="O53" s="6"/>
      <c r="P53" s="6"/>
      <c r="Q53" s="6"/>
    </row>
    <row r="54" spans="4:18" x14ac:dyDescent="0.2">
      <c r="Q54" s="6"/>
      <c r="R54" s="6"/>
    </row>
    <row r="55" spans="4:18" x14ac:dyDescent="0.2">
      <c r="Q55" s="6"/>
    </row>
    <row r="57" spans="4:18" x14ac:dyDescent="0.2">
      <c r="Q57" s="6"/>
      <c r="R57" s="6"/>
    </row>
    <row r="58" spans="4:18" x14ac:dyDescent="0.2">
      <c r="Q58" s="10"/>
    </row>
    <row r="59" spans="4:18" x14ac:dyDescent="0.2">
      <c r="R59" s="6"/>
    </row>
    <row r="60" spans="4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29:D30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8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N29" sqref="N29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107" t="s">
        <v>29</v>
      </c>
      <c r="B1" s="108"/>
    </row>
    <row r="2" spans="1:17" ht="14.25" customHeight="1" x14ac:dyDescent="0.2">
      <c r="A2" s="109"/>
      <c r="B2" s="110"/>
    </row>
    <row r="3" spans="1:17" ht="14.25" customHeight="1" x14ac:dyDescent="0.2">
      <c r="C3" s="9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92" t="s">
        <v>10</v>
      </c>
    </row>
    <row r="6" spans="1:17" ht="14.25" customHeight="1" x14ac:dyDescent="0.2">
      <c r="C6" s="2" t="s">
        <v>327</v>
      </c>
    </row>
    <row r="7" spans="1:17" ht="14.25" customHeight="1" x14ac:dyDescent="0.2">
      <c r="C7" s="2"/>
    </row>
    <row r="9" spans="1:17" ht="14.25" customHeight="1" thickBot="1" x14ac:dyDescent="0.25">
      <c r="D9" s="89" t="s">
        <v>30</v>
      </c>
      <c r="E9" s="89" t="s">
        <v>41</v>
      </c>
      <c r="F9" s="89" t="s">
        <v>45</v>
      </c>
      <c r="G9" s="88" t="s">
        <v>52</v>
      </c>
      <c r="H9" s="123" t="s">
        <v>47</v>
      </c>
      <c r="I9" s="124"/>
      <c r="J9" s="124"/>
      <c r="K9" s="124"/>
      <c r="L9" s="124"/>
      <c r="M9" s="124"/>
      <c r="N9" s="124"/>
      <c r="O9" s="124"/>
      <c r="P9" s="124"/>
      <c r="Q9" s="125"/>
    </row>
    <row r="10" spans="1:17" ht="14.25" customHeight="1" x14ac:dyDescent="0.2">
      <c r="C10" s="113" t="s">
        <v>31</v>
      </c>
      <c r="D10" s="77" t="s">
        <v>32</v>
      </c>
      <c r="E10" s="77" t="s">
        <v>42</v>
      </c>
      <c r="F10" s="77" t="s">
        <v>46</v>
      </c>
      <c r="G10" s="78" t="s">
        <v>61</v>
      </c>
      <c r="H10" s="120" t="s">
        <v>48</v>
      </c>
      <c r="I10" s="121"/>
      <c r="J10" s="121"/>
      <c r="K10" s="121"/>
      <c r="L10" s="121"/>
      <c r="M10" s="121"/>
      <c r="N10" s="121"/>
      <c r="O10" s="121"/>
      <c r="P10" s="121"/>
      <c r="Q10" s="122"/>
    </row>
    <row r="11" spans="1:17" ht="14.25" customHeight="1" x14ac:dyDescent="0.2">
      <c r="C11" s="111"/>
      <c r="D11" s="1" t="s">
        <v>33</v>
      </c>
      <c r="E11" s="1" t="s">
        <v>42</v>
      </c>
      <c r="F11" s="1" t="s">
        <v>46</v>
      </c>
      <c r="G11" s="13" t="s">
        <v>61</v>
      </c>
      <c r="H11" s="126" t="s">
        <v>49</v>
      </c>
      <c r="I11" s="127"/>
      <c r="J11" s="127"/>
      <c r="K11" s="127"/>
      <c r="L11" s="127"/>
      <c r="M11" s="127"/>
      <c r="N11" s="127"/>
      <c r="O11" s="127"/>
      <c r="P11" s="127"/>
      <c r="Q11" s="128"/>
    </row>
    <row r="12" spans="1:17" ht="14.25" customHeight="1" x14ac:dyDescent="0.2">
      <c r="C12" s="111"/>
      <c r="D12" s="1" t="s">
        <v>34</v>
      </c>
      <c r="E12" s="1" t="s">
        <v>42</v>
      </c>
      <c r="F12" s="1" t="s">
        <v>46</v>
      </c>
      <c r="G12" s="13" t="s">
        <v>61</v>
      </c>
      <c r="H12" s="126" t="s">
        <v>50</v>
      </c>
      <c r="I12" s="127"/>
      <c r="J12" s="127"/>
      <c r="K12" s="127"/>
      <c r="L12" s="127"/>
      <c r="M12" s="127"/>
      <c r="N12" s="127"/>
      <c r="O12" s="127"/>
      <c r="P12" s="127"/>
      <c r="Q12" s="128"/>
    </row>
    <row r="13" spans="1:17" ht="14.25" customHeight="1" x14ac:dyDescent="0.2">
      <c r="C13" s="111"/>
      <c r="D13" s="1" t="s">
        <v>35</v>
      </c>
      <c r="E13" s="1" t="s">
        <v>42</v>
      </c>
      <c r="F13" s="1" t="s">
        <v>46</v>
      </c>
      <c r="G13" s="13" t="s">
        <v>53</v>
      </c>
      <c r="H13" s="126" t="s">
        <v>51</v>
      </c>
      <c r="I13" s="127"/>
      <c r="J13" s="127"/>
      <c r="K13" s="127"/>
      <c r="L13" s="127"/>
      <c r="M13" s="127"/>
      <c r="N13" s="127"/>
      <c r="O13" s="127"/>
      <c r="P13" s="127"/>
      <c r="Q13" s="128"/>
    </row>
    <row r="14" spans="1:17" ht="14.25" customHeight="1" x14ac:dyDescent="0.2">
      <c r="C14" s="111"/>
      <c r="D14" s="1" t="s">
        <v>55</v>
      </c>
      <c r="E14" s="1" t="s">
        <v>42</v>
      </c>
      <c r="F14" s="1" t="s">
        <v>46</v>
      </c>
      <c r="G14" s="13" t="s">
        <v>54</v>
      </c>
      <c r="H14" s="126" t="s">
        <v>56</v>
      </c>
      <c r="I14" s="127"/>
      <c r="J14" s="127"/>
      <c r="K14" s="127"/>
      <c r="L14" s="127"/>
      <c r="M14" s="127"/>
      <c r="N14" s="127"/>
      <c r="O14" s="127"/>
      <c r="P14" s="127"/>
      <c r="Q14" s="128"/>
    </row>
    <row r="15" spans="1:17" ht="14.25" customHeight="1" x14ac:dyDescent="0.2">
      <c r="C15" s="112"/>
      <c r="D15" s="1" t="s">
        <v>11</v>
      </c>
      <c r="E15" s="1" t="s">
        <v>42</v>
      </c>
      <c r="F15" s="1" t="s">
        <v>46</v>
      </c>
      <c r="G15" s="13" t="s">
        <v>57</v>
      </c>
      <c r="H15" s="126" t="s">
        <v>58</v>
      </c>
      <c r="I15" s="127"/>
      <c r="J15" s="127"/>
      <c r="K15" s="127"/>
      <c r="L15" s="127"/>
      <c r="M15" s="127"/>
      <c r="N15" s="127"/>
      <c r="O15" s="127"/>
      <c r="P15" s="127"/>
      <c r="Q15" s="128"/>
    </row>
    <row r="16" spans="1:17" ht="14.25" customHeight="1" x14ac:dyDescent="0.2">
      <c r="C16" s="113" t="s">
        <v>36</v>
      </c>
      <c r="D16" s="1" t="s">
        <v>37</v>
      </c>
      <c r="E16" s="1" t="s">
        <v>43</v>
      </c>
      <c r="F16" s="1" t="s">
        <v>46</v>
      </c>
      <c r="G16" s="13" t="s">
        <v>62</v>
      </c>
      <c r="H16" s="114" t="s">
        <v>60</v>
      </c>
      <c r="I16" s="115"/>
      <c r="J16" s="115"/>
      <c r="K16" s="115"/>
      <c r="L16" s="115"/>
      <c r="M16" s="115"/>
      <c r="N16" s="115"/>
      <c r="O16" s="115"/>
      <c r="P16" s="115"/>
      <c r="Q16" s="116"/>
    </row>
    <row r="17" spans="3:17" ht="14.25" customHeight="1" x14ac:dyDescent="0.2">
      <c r="C17" s="111"/>
      <c r="D17" s="1" t="s">
        <v>38</v>
      </c>
      <c r="E17" s="1" t="s">
        <v>43</v>
      </c>
      <c r="F17" s="1" t="s">
        <v>46</v>
      </c>
      <c r="G17" s="13" t="s">
        <v>62</v>
      </c>
      <c r="H17" s="117"/>
      <c r="I17" s="118"/>
      <c r="J17" s="118"/>
      <c r="K17" s="118"/>
      <c r="L17" s="118"/>
      <c r="M17" s="118"/>
      <c r="N17" s="118"/>
      <c r="O17" s="118"/>
      <c r="P17" s="118"/>
      <c r="Q17" s="119"/>
    </row>
    <row r="18" spans="3:17" ht="14.25" customHeight="1" x14ac:dyDescent="0.2">
      <c r="C18" s="112"/>
      <c r="D18" s="1" t="s">
        <v>39</v>
      </c>
      <c r="E18" s="1" t="s">
        <v>43</v>
      </c>
      <c r="F18" s="1" t="s">
        <v>46</v>
      </c>
      <c r="G18" s="13" t="s">
        <v>62</v>
      </c>
      <c r="H18" s="120"/>
      <c r="I18" s="121"/>
      <c r="J18" s="121"/>
      <c r="K18" s="121"/>
      <c r="L18" s="121"/>
      <c r="M18" s="121"/>
      <c r="N18" s="121"/>
      <c r="O18" s="121"/>
      <c r="P18" s="121"/>
      <c r="Q18" s="122"/>
    </row>
    <row r="19" spans="3:17" ht="14.25" customHeight="1" x14ac:dyDescent="0.2">
      <c r="C19" s="113" t="s">
        <v>40</v>
      </c>
      <c r="D19" s="1" t="s">
        <v>70</v>
      </c>
      <c r="E19" s="1" t="s">
        <v>43</v>
      </c>
      <c r="F19" s="1" t="s">
        <v>46</v>
      </c>
      <c r="G19" s="1" t="s">
        <v>63</v>
      </c>
      <c r="H19" s="114" t="s">
        <v>64</v>
      </c>
      <c r="I19" s="115"/>
      <c r="J19" s="115"/>
      <c r="K19" s="115"/>
      <c r="L19" s="115"/>
      <c r="M19" s="115"/>
      <c r="N19" s="115"/>
      <c r="O19" s="115"/>
      <c r="P19" s="115"/>
      <c r="Q19" s="116"/>
    </row>
    <row r="20" spans="3:17" ht="14.25" customHeight="1" x14ac:dyDescent="0.2">
      <c r="C20" s="111"/>
      <c r="D20" s="1" t="s">
        <v>128</v>
      </c>
      <c r="E20" s="1" t="s">
        <v>43</v>
      </c>
      <c r="F20" s="1" t="s">
        <v>46</v>
      </c>
      <c r="G20" s="1" t="s">
        <v>121</v>
      </c>
      <c r="H20" s="117"/>
      <c r="I20" s="118"/>
      <c r="J20" s="118"/>
      <c r="K20" s="118"/>
      <c r="L20" s="118"/>
      <c r="M20" s="118"/>
      <c r="N20" s="118"/>
      <c r="O20" s="118"/>
      <c r="P20" s="118"/>
      <c r="Q20" s="119"/>
    </row>
    <row r="21" spans="3:17" ht="14.25" customHeight="1" x14ac:dyDescent="0.2">
      <c r="C21" s="112"/>
      <c r="D21" s="1" t="s">
        <v>120</v>
      </c>
      <c r="E21" s="1" t="s">
        <v>43</v>
      </c>
      <c r="F21" s="1" t="s">
        <v>46</v>
      </c>
      <c r="G21" s="1" t="s">
        <v>121</v>
      </c>
      <c r="H21" s="120"/>
      <c r="I21" s="121"/>
      <c r="J21" s="121"/>
      <c r="K21" s="121"/>
      <c r="L21" s="121"/>
      <c r="M21" s="121"/>
      <c r="N21" s="121"/>
      <c r="O21" s="121"/>
      <c r="P21" s="121"/>
      <c r="Q21" s="122"/>
    </row>
    <row r="22" spans="3:17" ht="14.25" customHeight="1" x14ac:dyDescent="0.2">
      <c r="C22" s="26"/>
      <c r="H22" s="27"/>
      <c r="I22" s="28"/>
      <c r="J22" s="28"/>
      <c r="K22" s="28"/>
      <c r="L22" s="28"/>
      <c r="M22" s="28"/>
      <c r="N22" s="28"/>
      <c r="O22" s="28"/>
      <c r="P22" s="28"/>
      <c r="Q22" s="29"/>
    </row>
    <row r="23" spans="3:17" ht="14.25" customHeight="1" x14ac:dyDescent="0.2">
      <c r="D23" s="16"/>
    </row>
    <row r="24" spans="3:17" ht="14.25" customHeight="1" x14ac:dyDescent="0.2">
      <c r="C24" s="93" t="s">
        <v>328</v>
      </c>
      <c r="D24" s="2" t="s">
        <v>59</v>
      </c>
      <c r="Q24" s="16" t="s">
        <v>44</v>
      </c>
    </row>
    <row r="26" spans="3:17" s="3" customFormat="1" ht="14.25" customHeight="1" x14ac:dyDescent="0.2">
      <c r="C26" s="3" t="s">
        <v>29</v>
      </c>
      <c r="D26" s="2" t="s">
        <v>76</v>
      </c>
      <c r="L26" s="3" t="s">
        <v>16</v>
      </c>
      <c r="M26" s="3" t="s">
        <v>129</v>
      </c>
    </row>
    <row r="27" spans="3:17" ht="14.25" customHeight="1" x14ac:dyDescent="0.2">
      <c r="D27" s="3" t="s">
        <v>66</v>
      </c>
      <c r="E27" s="3" t="s">
        <v>74</v>
      </c>
      <c r="L27" s="1" t="s">
        <v>3</v>
      </c>
      <c r="M27" s="7" t="s">
        <v>130</v>
      </c>
    </row>
    <row r="28" spans="3:17" ht="14.25" customHeight="1" x14ac:dyDescent="0.2">
      <c r="D28" s="1" t="s">
        <v>12</v>
      </c>
      <c r="E28" s="7" t="s">
        <v>65</v>
      </c>
      <c r="L28" s="1" t="s">
        <v>4</v>
      </c>
      <c r="M28" s="7" t="s">
        <v>131</v>
      </c>
    </row>
    <row r="29" spans="3:17" ht="14.25" customHeight="1" x14ac:dyDescent="0.2">
      <c r="D29" s="1" t="s">
        <v>69</v>
      </c>
      <c r="E29" s="7" t="s">
        <v>67</v>
      </c>
      <c r="L29" s="1" t="s">
        <v>5</v>
      </c>
      <c r="M29" s="7" t="s">
        <v>132</v>
      </c>
    </row>
    <row r="30" spans="3:17" ht="14.25" customHeight="1" x14ac:dyDescent="0.2">
      <c r="D30" s="1" t="s">
        <v>68</v>
      </c>
      <c r="E30" s="7" t="s">
        <v>220</v>
      </c>
    </row>
    <row r="31" spans="3:17" ht="14.25" customHeight="1" x14ac:dyDescent="0.2">
      <c r="D31" s="1" t="s">
        <v>13</v>
      </c>
      <c r="E31" s="7" t="s">
        <v>71</v>
      </c>
    </row>
    <row r="32" spans="3:17" ht="14.25" customHeight="1" x14ac:dyDescent="0.2">
      <c r="D32" s="3" t="s">
        <v>72</v>
      </c>
      <c r="E32" s="7" t="s">
        <v>73</v>
      </c>
    </row>
    <row r="33" spans="3:6" ht="14.25" customHeight="1" x14ac:dyDescent="0.2">
      <c r="D33" s="3" t="s">
        <v>78</v>
      </c>
      <c r="E33" s="7" t="s">
        <v>75</v>
      </c>
    </row>
    <row r="34" spans="3:6" ht="14.25" customHeight="1" x14ac:dyDescent="0.2">
      <c r="D34" s="3" t="s">
        <v>77</v>
      </c>
      <c r="E34" s="7" t="s">
        <v>79</v>
      </c>
    </row>
    <row r="36" spans="3:6" ht="14.25" customHeight="1" x14ac:dyDescent="0.2">
      <c r="C36" s="3" t="s">
        <v>83</v>
      </c>
      <c r="D36" s="1" t="s">
        <v>125</v>
      </c>
      <c r="E36" s="1">
        <v>25</v>
      </c>
    </row>
    <row r="37" spans="3:6" ht="14.25" customHeight="1" thickBot="1" x14ac:dyDescent="0.25">
      <c r="D37" s="89" t="s">
        <v>30</v>
      </c>
      <c r="E37" s="89" t="s">
        <v>85</v>
      </c>
    </row>
    <row r="38" spans="3:6" ht="14.25" customHeight="1" x14ac:dyDescent="0.2">
      <c r="D38" s="77" t="s">
        <v>32</v>
      </c>
      <c r="E38" s="77">
        <f>E40*E36</f>
        <v>25</v>
      </c>
    </row>
    <row r="39" spans="3:6" ht="14.25" customHeight="1" x14ac:dyDescent="0.2">
      <c r="D39" s="1" t="s">
        <v>33</v>
      </c>
      <c r="E39" s="30">
        <f>1/100000</f>
        <v>1.0000000000000001E-5</v>
      </c>
      <c r="F39" s="7" t="s">
        <v>329</v>
      </c>
    </row>
    <row r="40" spans="3:6" ht="14.25" customHeight="1" x14ac:dyDescent="0.2">
      <c r="D40" s="1" t="s">
        <v>34</v>
      </c>
      <c r="E40" s="17">
        <v>1</v>
      </c>
    </row>
    <row r="41" spans="3:6" ht="14.25" customHeight="1" x14ac:dyDescent="0.2">
      <c r="D41" s="1" t="s">
        <v>35</v>
      </c>
      <c r="E41" s="4">
        <f>0.5*0.01</f>
        <v>5.0000000000000001E-3</v>
      </c>
      <c r="F41" s="7" t="s">
        <v>330</v>
      </c>
    </row>
    <row r="42" spans="3:6" ht="14.25" customHeight="1" x14ac:dyDescent="0.2">
      <c r="D42" s="1" t="s">
        <v>84</v>
      </c>
      <c r="E42" s="5">
        <f>0.75*0.01</f>
        <v>7.4999999999999997E-3</v>
      </c>
      <c r="F42" s="7" t="s">
        <v>330</v>
      </c>
    </row>
    <row r="43" spans="3:6" ht="14.25" customHeight="1" x14ac:dyDescent="0.2">
      <c r="D43" s="1" t="s">
        <v>11</v>
      </c>
      <c r="E43" s="5">
        <f>0.67*0.01</f>
        <v>6.7000000000000002E-3</v>
      </c>
      <c r="F43" s="7" t="s">
        <v>330</v>
      </c>
    </row>
    <row r="44" spans="3:6" ht="14.25" customHeight="1" x14ac:dyDescent="0.2">
      <c r="E44" s="5"/>
      <c r="F44" s="7"/>
    </row>
    <row r="45" spans="3:6" ht="14.25" customHeight="1" x14ac:dyDescent="0.2">
      <c r="D45" s="2" t="s">
        <v>333</v>
      </c>
    </row>
    <row r="46" spans="3:6" ht="14.25" customHeight="1" x14ac:dyDescent="0.2">
      <c r="D46" s="7" t="s">
        <v>127</v>
      </c>
    </row>
    <row r="47" spans="3:6" ht="14.25" customHeight="1" x14ac:dyDescent="0.2">
      <c r="D47" s="7" t="s">
        <v>331</v>
      </c>
    </row>
    <row r="48" spans="3:6" ht="14.25" customHeight="1" x14ac:dyDescent="0.2">
      <c r="D48" s="7" t="s">
        <v>332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S24" sqref="S24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36" width="9" style="68"/>
    <col min="37" max="16384" width="9" style="1"/>
  </cols>
  <sheetData>
    <row r="1" spans="1:36" ht="14.25" customHeight="1" x14ac:dyDescent="0.2">
      <c r="A1" s="107" t="s">
        <v>86</v>
      </c>
      <c r="B1" s="108"/>
    </row>
    <row r="2" spans="1:36" ht="14.25" customHeight="1" x14ac:dyDescent="0.2">
      <c r="A2" s="109"/>
      <c r="B2" s="110"/>
      <c r="C2" s="2" t="s">
        <v>334</v>
      </c>
      <c r="D2" s="2"/>
    </row>
    <row r="3" spans="1:36" ht="14.25" customHeight="1" x14ac:dyDescent="0.2">
      <c r="C3" s="3" t="s">
        <v>112</v>
      </c>
    </row>
    <row r="4" spans="1:36" s="3" customFormat="1" ht="14.25" customHeight="1" x14ac:dyDescent="0.2">
      <c r="D4" s="3" t="s">
        <v>88</v>
      </c>
      <c r="E4" s="3" t="s">
        <v>13</v>
      </c>
      <c r="F4" s="3" t="s">
        <v>14</v>
      </c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109</v>
      </c>
      <c r="Q8" s="96" t="s">
        <v>149</v>
      </c>
      <c r="AB8" s="96" t="s">
        <v>138</v>
      </c>
    </row>
    <row r="9" spans="1:36" s="3" customFormat="1" ht="14.25" customHeight="1" x14ac:dyDescent="0.2">
      <c r="D9" s="3" t="s">
        <v>87</v>
      </c>
      <c r="E9" s="3" t="s">
        <v>88</v>
      </c>
      <c r="F9" s="3" t="s">
        <v>13</v>
      </c>
      <c r="G9" s="3" t="s">
        <v>14</v>
      </c>
      <c r="I9" s="24" t="s">
        <v>90</v>
      </c>
      <c r="J9" s="3" t="s">
        <v>91</v>
      </c>
      <c r="K9" s="3" t="s">
        <v>92</v>
      </c>
      <c r="L9" s="3" t="s">
        <v>93</v>
      </c>
      <c r="M9" s="24" t="s">
        <v>158</v>
      </c>
      <c r="Q9" s="96"/>
      <c r="R9" s="96" t="s">
        <v>150</v>
      </c>
      <c r="S9" s="96" t="s">
        <v>87</v>
      </c>
      <c r="T9" s="96" t="s">
        <v>157</v>
      </c>
      <c r="U9" s="97" t="s">
        <v>90</v>
      </c>
      <c r="V9" s="96" t="s">
        <v>91</v>
      </c>
      <c r="W9" s="96" t="s">
        <v>92</v>
      </c>
      <c r="X9" s="96" t="s">
        <v>93</v>
      </c>
      <c r="Y9" s="96" t="s">
        <v>157</v>
      </c>
      <c r="Z9" s="97" t="s">
        <v>33</v>
      </c>
      <c r="AA9" s="105" t="s">
        <v>168</v>
      </c>
      <c r="AB9" s="96"/>
      <c r="AC9" s="96" t="s">
        <v>144</v>
      </c>
      <c r="AD9" s="96" t="s">
        <v>146</v>
      </c>
      <c r="AE9" s="96" t="s">
        <v>147</v>
      </c>
      <c r="AF9" s="96" t="s">
        <v>139</v>
      </c>
      <c r="AG9" s="96" t="s">
        <v>140</v>
      </c>
      <c r="AH9" s="96" t="s">
        <v>141</v>
      </c>
      <c r="AI9" s="96" t="s">
        <v>142</v>
      </c>
      <c r="AJ9" s="96" t="s">
        <v>167</v>
      </c>
    </row>
    <row r="10" spans="1:36" ht="14.25" customHeight="1" x14ac:dyDescent="0.2">
      <c r="C10" s="18" t="s">
        <v>98</v>
      </c>
      <c r="D10" s="1" t="s">
        <v>68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68" t="s">
        <v>246</v>
      </c>
      <c r="S10" s="68" t="s">
        <v>151</v>
      </c>
      <c r="T10" s="68" t="str">
        <f>MIN(VLOOKUP(S10,$D$9:$M$15,6,0),VLOOKUP(S10,$D$9:$M$15,10,0))&amp;"~"&amp;MAX(VLOOKUP(S10,$D$9:$M$15,6,0),VLOOKUP(S10,$D$9:$M$15,10,0))</f>
        <v>0.9~1</v>
      </c>
      <c r="U10" s="94">
        <v>0.9</v>
      </c>
      <c r="V10" s="94">
        <f>X10/VLOOKUP(S10,$D$9:$L$15,4,0)</f>
        <v>1.1111111111111112</v>
      </c>
      <c r="W10" s="94">
        <f>VLOOKUP(S10,$D$9:$L$15,3,0)*U10</f>
        <v>4.5</v>
      </c>
      <c r="X10" s="94">
        <f>VLOOKUP(S10,$D$9:$L$15,5,0)/W10</f>
        <v>111.11111111111111</v>
      </c>
      <c r="Y10" s="94" t="str">
        <f>MIN(VLOOKUP(S10,$D$18:$O$24,4,0),VLOOKUP(S10,$D$18:$O$24,12,0))&amp;"~"&amp;MAX(VLOOKUP(S10,$D$18:$O$24,4,0),VLOOKUP(S10,$D$18:$O$24,12,0))</f>
        <v>7.6~11</v>
      </c>
      <c r="Z10" s="94">
        <v>11</v>
      </c>
      <c r="AA10" s="68">
        <f>VLOOKUP(S10,$D$27:$M$33,MATCH(AA$9,$D$27:$M$27,0),0)</f>
        <v>0.75</v>
      </c>
      <c r="AB10" s="68" t="str">
        <f>R10</f>
        <v>饼干1</v>
      </c>
      <c r="AC10" s="68" t="str">
        <f>VLOOKUP($S10,$D$27:$L$33,MATCH(AC$9,$D$27:$L$27,0),0)</f>
        <v>承伤</v>
      </c>
      <c r="AD10" s="106">
        <f>W10/INDEX($G$26:$L$26,MATCH(AD$9,$G$27:$L$27,0))</f>
        <v>0.45</v>
      </c>
      <c r="AE10" s="106">
        <f>X10/INDEX($G$26:$L$26,MATCH(AE$9,$G$27:$L$27,0))</f>
        <v>1.1111111111111112</v>
      </c>
      <c r="AF10" s="106">
        <f>Z10/INDEX($G$26:$L$26,MATCH(AF$9,$G$27:$L$27,0))</f>
        <v>1</v>
      </c>
      <c r="AG10" s="106">
        <f>VLOOKUP($S10,$D$18:$O$24,MATCH(AG$9,$D$18:$O$18,0),0)/INDEX($G$26:$L$26,MATCH(AG$9,$G$27:$L$27,0))</f>
        <v>1</v>
      </c>
      <c r="AH10" s="106">
        <f t="shared" ref="AH10:AI21" si="1">VLOOKUP($S10,$D$18:$O$24,MATCH(AH$9,$D$18:$O$18,0),0)/INDEX($G$26:$L$26,MATCH(AH$9,$G$27:$L$27,0))</f>
        <v>1</v>
      </c>
      <c r="AI10" s="106">
        <f>VLOOKUP($S10,$D$18:$O$24,MATCH(AI$9,$D$18:$O$18,0),0)/INDEX($G$26:$L$26,MATCH(AI$9,$G$27:$L$27,0))</f>
        <v>0.9</v>
      </c>
      <c r="AJ10" s="68">
        <f>AA10</f>
        <v>0.75</v>
      </c>
    </row>
    <row r="11" spans="1:36" ht="14.25" customHeight="1" x14ac:dyDescent="0.2">
      <c r="C11" s="18" t="s">
        <v>99</v>
      </c>
      <c r="D11" s="1" t="s">
        <v>89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68" t="s">
        <v>247</v>
      </c>
      <c r="S11" s="68" t="s">
        <v>151</v>
      </c>
      <c r="T11" s="68" t="str">
        <f t="shared" ref="T11:T21" si="2">MIN(VLOOKUP(S11,$D$9:$M$15,6,0),VLOOKUP(S11,$D$9:$M$15,10,0))&amp;"~"&amp;MAX(VLOOKUP(S11,$D$9:$M$15,6,0),VLOOKUP(S11,$D$9:$M$15,10,0))</f>
        <v>0.9~1</v>
      </c>
      <c r="U11" s="94">
        <v>1</v>
      </c>
      <c r="V11" s="94">
        <f t="shared" ref="V11:V21" si="3">X11/VLOOKUP(S11,$D$9:$L$15,4,0)</f>
        <v>1</v>
      </c>
      <c r="W11" s="94">
        <f t="shared" ref="W11:W21" si="4">VLOOKUP(S11,$D$9:$L$15,3,0)*U11</f>
        <v>5</v>
      </c>
      <c r="X11" s="94">
        <f t="shared" ref="X11:X21" si="5">VLOOKUP(S11,$D$9:$L$15,5,0)/W11</f>
        <v>100</v>
      </c>
      <c r="Y11" s="94" t="str">
        <f t="shared" ref="Y11:Y21" si="6">MIN(VLOOKUP(S11,$D$18:$O$24,4,0),VLOOKUP(S11,$D$18:$O$24,12,0))&amp;"~"&amp;MAX(VLOOKUP(S11,$D$18:$O$24,4,0),VLOOKUP(S11,$D$18:$O$24,12,0))</f>
        <v>7.6~11</v>
      </c>
      <c r="Z11" s="94">
        <v>11</v>
      </c>
      <c r="AA11" s="68">
        <f t="shared" ref="AA11:AA21" si="7">VLOOKUP(S11,$D$27:$M$33,MATCH(AA$9,$D$27:$M$27,0),0)</f>
        <v>0.75</v>
      </c>
      <c r="AB11" s="68" t="str">
        <f t="shared" ref="AB11:AB21" si="8">R11</f>
        <v>饼干2</v>
      </c>
      <c r="AC11" s="68" t="str">
        <f t="shared" ref="AC11:AC21" si="9">VLOOKUP($S11,$D$27:$L$33,MATCH(AC$9,$D$27:$L$27,0),0)</f>
        <v>承伤</v>
      </c>
      <c r="AD11" s="106">
        <f t="shared" ref="AD11:AD21" si="10">W11/INDEX($G$26:$L$26,MATCH(AD$9,$G$27:$L$27,0))</f>
        <v>0.5</v>
      </c>
      <c r="AE11" s="106">
        <f t="shared" ref="AE11:AE21" si="11">X11/INDEX($G$26:$L$26,MATCH(AE$9,$G$27:$L$27,0))</f>
        <v>1</v>
      </c>
      <c r="AF11" s="106">
        <f t="shared" ref="AF11:AF21" si="12">Z11/INDEX($G$26:$L$26,MATCH(AF$9,$G$27:$L$27,0))</f>
        <v>1</v>
      </c>
      <c r="AG11" s="106">
        <f t="shared" ref="AG11:AG21" si="13">VLOOKUP($S11,$D$18:$O$24,MATCH(AG$9,$D$18:$O$18,0),0)/INDEX($G$26:$L$26,MATCH(AG$9,$G$27:$L$27,0))</f>
        <v>1</v>
      </c>
      <c r="AH11" s="106">
        <f t="shared" si="1"/>
        <v>1</v>
      </c>
      <c r="AI11" s="106">
        <f t="shared" si="1"/>
        <v>0.9</v>
      </c>
      <c r="AJ11" s="68">
        <f t="shared" ref="AJ11:AJ21" si="14">AA11</f>
        <v>0.75</v>
      </c>
    </row>
    <row r="12" spans="1:36" ht="14.25" customHeight="1" x14ac:dyDescent="0.2">
      <c r="C12" s="18" t="s">
        <v>100</v>
      </c>
      <c r="D12" s="1" t="s">
        <v>94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68" t="s">
        <v>248</v>
      </c>
      <c r="S12" s="68" t="s">
        <v>152</v>
      </c>
      <c r="T12" s="68" t="str">
        <f t="shared" si="2"/>
        <v>1~1.2</v>
      </c>
      <c r="U12" s="94">
        <v>1.1000000000000001</v>
      </c>
      <c r="V12" s="94">
        <f t="shared" si="3"/>
        <v>0.90909090909090906</v>
      </c>
      <c r="W12" s="94">
        <f t="shared" si="4"/>
        <v>5.5</v>
      </c>
      <c r="X12" s="94">
        <f t="shared" si="5"/>
        <v>90.909090909090907</v>
      </c>
      <c r="Y12" s="94" t="str">
        <f t="shared" si="6"/>
        <v>5~9</v>
      </c>
      <c r="Z12" s="94">
        <v>9</v>
      </c>
      <c r="AA12" s="68">
        <f t="shared" si="7"/>
        <v>0.751</v>
      </c>
      <c r="AB12" s="68" t="str">
        <f t="shared" si="8"/>
        <v>饼干3</v>
      </c>
      <c r="AC12" s="68" t="str">
        <f t="shared" si="9"/>
        <v>伤害</v>
      </c>
      <c r="AD12" s="106">
        <f t="shared" si="10"/>
        <v>0.55000000000000004</v>
      </c>
      <c r="AE12" s="106">
        <f t="shared" si="11"/>
        <v>0.90909090909090906</v>
      </c>
      <c r="AF12" s="106">
        <f t="shared" si="12"/>
        <v>0.81818181818181823</v>
      </c>
      <c r="AG12" s="106">
        <f t="shared" si="13"/>
        <v>1</v>
      </c>
      <c r="AH12" s="106">
        <f t="shared" si="1"/>
        <v>1</v>
      </c>
      <c r="AI12" s="106">
        <f t="shared" si="1"/>
        <v>0.95</v>
      </c>
      <c r="AJ12" s="68">
        <f t="shared" si="14"/>
        <v>0.751</v>
      </c>
    </row>
    <row r="13" spans="1:36" ht="14.25" customHeight="1" x14ac:dyDescent="0.2">
      <c r="C13" s="18" t="s">
        <v>101</v>
      </c>
      <c r="D13" s="1" t="s">
        <v>95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68" t="s">
        <v>249</v>
      </c>
      <c r="S13" s="68" t="s">
        <v>152</v>
      </c>
      <c r="T13" s="68" t="str">
        <f t="shared" si="2"/>
        <v>1~1.2</v>
      </c>
      <c r="U13" s="94">
        <v>1.2</v>
      </c>
      <c r="V13" s="94">
        <f t="shared" si="3"/>
        <v>0.83333333333333326</v>
      </c>
      <c r="W13" s="94">
        <f t="shared" si="4"/>
        <v>6</v>
      </c>
      <c r="X13" s="94">
        <f t="shared" si="5"/>
        <v>83.333333333333329</v>
      </c>
      <c r="Y13" s="94" t="str">
        <f t="shared" si="6"/>
        <v>5~9</v>
      </c>
      <c r="Z13" s="94">
        <v>9</v>
      </c>
      <c r="AA13" s="68">
        <f t="shared" si="7"/>
        <v>0.751</v>
      </c>
      <c r="AB13" s="68" t="str">
        <f t="shared" si="8"/>
        <v>饼干4</v>
      </c>
      <c r="AC13" s="68" t="str">
        <f t="shared" si="9"/>
        <v>伤害</v>
      </c>
      <c r="AD13" s="106">
        <f t="shared" si="10"/>
        <v>0.6</v>
      </c>
      <c r="AE13" s="106">
        <f t="shared" si="11"/>
        <v>0.83333333333333326</v>
      </c>
      <c r="AF13" s="106">
        <f t="shared" si="12"/>
        <v>0.81818181818181823</v>
      </c>
      <c r="AG13" s="106">
        <f t="shared" si="13"/>
        <v>1</v>
      </c>
      <c r="AH13" s="106">
        <f t="shared" si="1"/>
        <v>1</v>
      </c>
      <c r="AI13" s="106">
        <f t="shared" si="1"/>
        <v>0.95</v>
      </c>
      <c r="AJ13" s="68">
        <f t="shared" si="14"/>
        <v>0.751</v>
      </c>
    </row>
    <row r="14" spans="1:36" ht="14.25" customHeight="1" x14ac:dyDescent="0.2">
      <c r="C14" s="18" t="s">
        <v>102</v>
      </c>
      <c r="D14" s="1" t="s">
        <v>96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68" t="s">
        <v>250</v>
      </c>
      <c r="S14" s="68" t="s">
        <v>153</v>
      </c>
      <c r="T14" s="68" t="str">
        <f t="shared" si="2"/>
        <v>1~1.05</v>
      </c>
      <c r="U14" s="94">
        <v>1.05</v>
      </c>
      <c r="V14" s="94">
        <f t="shared" si="3"/>
        <v>0.95238095238095233</v>
      </c>
      <c r="W14" s="94">
        <f t="shared" si="4"/>
        <v>10.5</v>
      </c>
      <c r="X14" s="94">
        <f t="shared" si="5"/>
        <v>38.095238095238095</v>
      </c>
      <c r="Y14" s="94" t="str">
        <f t="shared" si="6"/>
        <v>3~5</v>
      </c>
      <c r="Z14" s="94">
        <v>5</v>
      </c>
      <c r="AA14" s="68">
        <f t="shared" si="7"/>
        <v>0.8</v>
      </c>
      <c r="AB14" s="68" t="str">
        <f t="shared" si="8"/>
        <v>饼干5</v>
      </c>
      <c r="AC14" s="68" t="str">
        <f t="shared" si="9"/>
        <v>伤害</v>
      </c>
      <c r="AD14" s="106">
        <f t="shared" si="10"/>
        <v>1.05</v>
      </c>
      <c r="AE14" s="106">
        <f t="shared" si="11"/>
        <v>0.38095238095238093</v>
      </c>
      <c r="AF14" s="106">
        <f t="shared" si="12"/>
        <v>0.45454545454545453</v>
      </c>
      <c r="AG14" s="106">
        <f t="shared" si="13"/>
        <v>1</v>
      </c>
      <c r="AH14" s="106">
        <f t="shared" si="1"/>
        <v>1</v>
      </c>
      <c r="AI14" s="106">
        <f t="shared" si="1"/>
        <v>1</v>
      </c>
      <c r="AJ14" s="68">
        <f t="shared" si="14"/>
        <v>0.8</v>
      </c>
    </row>
    <row r="15" spans="1:36" ht="14.25" customHeight="1" x14ac:dyDescent="0.2">
      <c r="C15" s="18" t="s">
        <v>103</v>
      </c>
      <c r="D15" s="1" t="s">
        <v>97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68" t="s">
        <v>251</v>
      </c>
      <c r="S15" s="68" t="s">
        <v>153</v>
      </c>
      <c r="T15" s="68" t="str">
        <f t="shared" si="2"/>
        <v>1~1.05</v>
      </c>
      <c r="U15" s="94">
        <v>1</v>
      </c>
      <c r="V15" s="94">
        <f t="shared" si="3"/>
        <v>1</v>
      </c>
      <c r="W15" s="94">
        <f t="shared" si="4"/>
        <v>10</v>
      </c>
      <c r="X15" s="94">
        <f t="shared" si="5"/>
        <v>40</v>
      </c>
      <c r="Y15" s="94" t="str">
        <f t="shared" si="6"/>
        <v>3~5</v>
      </c>
      <c r="Z15" s="94">
        <v>5</v>
      </c>
      <c r="AA15" s="68">
        <f t="shared" si="7"/>
        <v>0.8</v>
      </c>
      <c r="AB15" s="68" t="str">
        <f t="shared" si="8"/>
        <v>饼干6</v>
      </c>
      <c r="AC15" s="68" t="str">
        <f t="shared" si="9"/>
        <v>伤害</v>
      </c>
      <c r="AD15" s="106">
        <f t="shared" si="10"/>
        <v>1</v>
      </c>
      <c r="AE15" s="106">
        <f t="shared" si="11"/>
        <v>0.4</v>
      </c>
      <c r="AF15" s="106">
        <f t="shared" si="12"/>
        <v>0.45454545454545453</v>
      </c>
      <c r="AG15" s="106">
        <f t="shared" si="13"/>
        <v>1</v>
      </c>
      <c r="AH15" s="106">
        <f t="shared" si="1"/>
        <v>1</v>
      </c>
      <c r="AI15" s="106">
        <f t="shared" si="1"/>
        <v>1</v>
      </c>
      <c r="AJ15" s="68">
        <f t="shared" si="14"/>
        <v>0.8</v>
      </c>
    </row>
    <row r="16" spans="1:36" ht="14.25" customHeight="1" x14ac:dyDescent="0.2">
      <c r="C16" s="68"/>
      <c r="D16" s="68"/>
      <c r="E16" s="68"/>
      <c r="F16" s="94">
        <f>MAX(F10:F15)</f>
        <v>10</v>
      </c>
      <c r="G16" s="94">
        <f>MAX(G10:G15)</f>
        <v>100</v>
      </c>
      <c r="H16" s="94">
        <f>MAX(G19:G24)</f>
        <v>11</v>
      </c>
      <c r="I16" s="68"/>
      <c r="J16" s="68"/>
      <c r="K16" s="95"/>
      <c r="L16" s="95"/>
      <c r="M16" s="68"/>
      <c r="N16" s="68"/>
      <c r="O16" s="68"/>
      <c r="P16" s="68"/>
      <c r="R16" s="68" t="s">
        <v>252</v>
      </c>
      <c r="S16" s="68" t="s">
        <v>154</v>
      </c>
      <c r="T16" s="68" t="str">
        <f t="shared" si="2"/>
        <v>0.95~1</v>
      </c>
      <c r="U16" s="94">
        <v>0.96</v>
      </c>
      <c r="V16" s="94">
        <f t="shared" si="3"/>
        <v>1.0416666666666667</v>
      </c>
      <c r="W16" s="94">
        <f t="shared" si="4"/>
        <v>9.6</v>
      </c>
      <c r="X16" s="94">
        <f t="shared" si="5"/>
        <v>41.666666666666671</v>
      </c>
      <c r="Y16" s="94" t="str">
        <f t="shared" si="6"/>
        <v>4~5</v>
      </c>
      <c r="Z16" s="94">
        <v>4.5</v>
      </c>
      <c r="AA16" s="68">
        <f t="shared" si="7"/>
        <v>0.80500000000000005</v>
      </c>
      <c r="AB16" s="68" t="str">
        <f t="shared" si="8"/>
        <v>饼干7</v>
      </c>
      <c r="AC16" s="68" t="str">
        <f t="shared" si="9"/>
        <v>伤害</v>
      </c>
      <c r="AD16" s="106">
        <f t="shared" si="10"/>
        <v>0.96</v>
      </c>
      <c r="AE16" s="106">
        <f t="shared" si="11"/>
        <v>0.41666666666666674</v>
      </c>
      <c r="AF16" s="106">
        <f t="shared" si="12"/>
        <v>0.40909090909090912</v>
      </c>
      <c r="AG16" s="106">
        <f t="shared" si="13"/>
        <v>1</v>
      </c>
      <c r="AH16" s="106">
        <f t="shared" si="1"/>
        <v>1</v>
      </c>
      <c r="AI16" s="106">
        <f t="shared" si="1"/>
        <v>1.1000000000000001</v>
      </c>
      <c r="AJ16" s="68">
        <f t="shared" si="14"/>
        <v>0.80500000000000005</v>
      </c>
    </row>
    <row r="17" spans="3:36" ht="14.25" customHeight="1" x14ac:dyDescent="0.2">
      <c r="C17" s="96" t="s">
        <v>110</v>
      </c>
      <c r="D17" s="68"/>
      <c r="E17" s="68"/>
      <c r="F17" s="68"/>
      <c r="G17" s="94">
        <v>100000</v>
      </c>
      <c r="H17" s="94"/>
      <c r="I17" s="68"/>
      <c r="J17" s="68"/>
      <c r="K17" s="68"/>
      <c r="L17" s="68">
        <f>战斗公式!E38</f>
        <v>25</v>
      </c>
      <c r="M17" s="68">
        <f>战斗公式!E40</f>
        <v>1</v>
      </c>
      <c r="N17" s="68"/>
      <c r="O17" s="68"/>
      <c r="P17" s="68"/>
      <c r="R17" s="68" t="s">
        <v>253</v>
      </c>
      <c r="S17" s="68" t="s">
        <v>154</v>
      </c>
      <c r="T17" s="68" t="str">
        <f t="shared" si="2"/>
        <v>0.95~1</v>
      </c>
      <c r="U17" s="94">
        <v>0.98</v>
      </c>
      <c r="V17" s="94">
        <f t="shared" si="3"/>
        <v>1.0204081632653061</v>
      </c>
      <c r="W17" s="94">
        <f t="shared" si="4"/>
        <v>9.8000000000000007</v>
      </c>
      <c r="X17" s="94">
        <f t="shared" si="5"/>
        <v>40.816326530612244</v>
      </c>
      <c r="Y17" s="94" t="str">
        <f t="shared" si="6"/>
        <v>4~5</v>
      </c>
      <c r="Z17" s="94">
        <v>4.5</v>
      </c>
      <c r="AA17" s="68">
        <f t="shared" si="7"/>
        <v>0.80500000000000005</v>
      </c>
      <c r="AB17" s="68" t="str">
        <f t="shared" si="8"/>
        <v>饼干8</v>
      </c>
      <c r="AC17" s="68" t="str">
        <f t="shared" si="9"/>
        <v>伤害</v>
      </c>
      <c r="AD17" s="106">
        <f t="shared" si="10"/>
        <v>0.98000000000000009</v>
      </c>
      <c r="AE17" s="106">
        <f t="shared" si="11"/>
        <v>0.40816326530612246</v>
      </c>
      <c r="AF17" s="106">
        <f t="shared" si="12"/>
        <v>0.40909090909090912</v>
      </c>
      <c r="AG17" s="106">
        <f t="shared" si="13"/>
        <v>1</v>
      </c>
      <c r="AH17" s="106">
        <f t="shared" si="1"/>
        <v>1</v>
      </c>
      <c r="AI17" s="106">
        <f t="shared" si="1"/>
        <v>1.1000000000000001</v>
      </c>
      <c r="AJ17" s="68">
        <f t="shared" si="14"/>
        <v>0.80500000000000005</v>
      </c>
    </row>
    <row r="18" spans="3:36" s="3" customFormat="1" ht="14.25" customHeight="1" x14ac:dyDescent="0.2">
      <c r="C18" s="96"/>
      <c r="D18" s="96" t="s">
        <v>87</v>
      </c>
      <c r="E18" s="96" t="s">
        <v>88</v>
      </c>
      <c r="F18" s="96" t="s">
        <v>32</v>
      </c>
      <c r="G18" s="97" t="s">
        <v>33</v>
      </c>
      <c r="H18" s="96" t="s">
        <v>34</v>
      </c>
      <c r="I18" s="97" t="s">
        <v>35</v>
      </c>
      <c r="J18" s="97" t="s">
        <v>84</v>
      </c>
      <c r="K18" s="97" t="s">
        <v>11</v>
      </c>
      <c r="L18" s="96" t="s">
        <v>104</v>
      </c>
      <c r="M18" s="96" t="s">
        <v>105</v>
      </c>
      <c r="N18" s="98">
        <f>MAX(N19:N23)/MIN(N19:N23)</f>
        <v>1.0986221899927484</v>
      </c>
      <c r="O18" s="97" t="s">
        <v>159</v>
      </c>
      <c r="P18" s="96"/>
      <c r="Q18" s="96"/>
      <c r="R18" s="68" t="s">
        <v>254</v>
      </c>
      <c r="S18" s="68" t="s">
        <v>155</v>
      </c>
      <c r="T18" s="68" t="str">
        <f t="shared" si="2"/>
        <v>0.9~0.95</v>
      </c>
      <c r="U18" s="94">
        <v>0.94</v>
      </c>
      <c r="V18" s="94">
        <f t="shared" si="3"/>
        <v>1.0638297872340428</v>
      </c>
      <c r="W18" s="94">
        <f t="shared" si="4"/>
        <v>9.3999999999999986</v>
      </c>
      <c r="X18" s="94">
        <f t="shared" si="5"/>
        <v>42.553191489361708</v>
      </c>
      <c r="Y18" s="94" t="str">
        <f t="shared" si="6"/>
        <v>5~9</v>
      </c>
      <c r="Z18" s="94">
        <v>7</v>
      </c>
      <c r="AA18" s="68">
        <f t="shared" si="7"/>
        <v>0.77400000000000002</v>
      </c>
      <c r="AB18" s="68" t="str">
        <f t="shared" si="8"/>
        <v>饼干9</v>
      </c>
      <c r="AC18" s="68" t="str">
        <f t="shared" si="9"/>
        <v>伤害</v>
      </c>
      <c r="AD18" s="106">
        <f t="shared" si="10"/>
        <v>0.93999999999999984</v>
      </c>
      <c r="AE18" s="106">
        <f t="shared" si="11"/>
        <v>0.42553191489361708</v>
      </c>
      <c r="AF18" s="106">
        <f t="shared" si="12"/>
        <v>0.63636363636363635</v>
      </c>
      <c r="AG18" s="106">
        <f t="shared" si="13"/>
        <v>1</v>
      </c>
      <c r="AH18" s="106">
        <f t="shared" si="1"/>
        <v>1</v>
      </c>
      <c r="AI18" s="106">
        <f t="shared" si="1"/>
        <v>1.2</v>
      </c>
      <c r="AJ18" s="68">
        <f t="shared" si="14"/>
        <v>0.77400000000000002</v>
      </c>
    </row>
    <row r="19" spans="3:36" ht="14.25" customHeight="1" x14ac:dyDescent="0.2">
      <c r="C19" s="68"/>
      <c r="D19" s="68" t="s">
        <v>68</v>
      </c>
      <c r="E19" s="68" t="s">
        <v>3</v>
      </c>
      <c r="F19" s="94">
        <f>K10/K19/(1+I19*(J19-1))</f>
        <v>4.166666666666667</v>
      </c>
      <c r="G19" s="68">
        <v>11</v>
      </c>
      <c r="H19" s="94">
        <f>L10/(G19/$G$17+1)</f>
        <v>111.09889023318546</v>
      </c>
      <c r="I19" s="99">
        <v>0.4</v>
      </c>
      <c r="J19" s="99">
        <v>1.5</v>
      </c>
      <c r="K19" s="68">
        <v>0.9</v>
      </c>
      <c r="L19" s="94">
        <f>F19*$L$17*(1+I19*(J19-1))*K19</f>
        <v>112.5</v>
      </c>
      <c r="M19" s="94">
        <f>H19*$M$17*(1+G19*战斗公式!$E$39)+$M$17*基础模型!$G$17*$L$17</f>
        <v>161.11111111111111</v>
      </c>
      <c r="N19" s="100">
        <f>L19+M19</f>
        <v>273.61111111111109</v>
      </c>
      <c r="O19" s="68">
        <v>7.6</v>
      </c>
      <c r="P19" s="101"/>
      <c r="R19" s="68" t="s">
        <v>255</v>
      </c>
      <c r="S19" s="68" t="s">
        <v>155</v>
      </c>
      <c r="T19" s="68" t="str">
        <f t="shared" si="2"/>
        <v>0.9~0.95</v>
      </c>
      <c r="U19" s="94">
        <v>0.9</v>
      </c>
      <c r="V19" s="94">
        <f t="shared" si="3"/>
        <v>1.1111111111111112</v>
      </c>
      <c r="W19" s="94">
        <f t="shared" si="4"/>
        <v>9</v>
      </c>
      <c r="X19" s="94">
        <f t="shared" si="5"/>
        <v>44.444444444444443</v>
      </c>
      <c r="Y19" s="94" t="str">
        <f t="shared" si="6"/>
        <v>5~9</v>
      </c>
      <c r="Z19" s="94">
        <v>7</v>
      </c>
      <c r="AA19" s="68">
        <f t="shared" si="7"/>
        <v>0.77400000000000002</v>
      </c>
      <c r="AB19" s="68" t="str">
        <f t="shared" si="8"/>
        <v>饼干10</v>
      </c>
      <c r="AC19" s="68" t="str">
        <f t="shared" si="9"/>
        <v>伤害</v>
      </c>
      <c r="AD19" s="106">
        <f t="shared" si="10"/>
        <v>0.9</v>
      </c>
      <c r="AE19" s="106">
        <f t="shared" si="11"/>
        <v>0.44444444444444442</v>
      </c>
      <c r="AF19" s="106">
        <f t="shared" si="12"/>
        <v>0.63636363636363635</v>
      </c>
      <c r="AG19" s="106">
        <f t="shared" si="13"/>
        <v>1</v>
      </c>
      <c r="AH19" s="106">
        <f t="shared" si="1"/>
        <v>1</v>
      </c>
      <c r="AI19" s="106">
        <f t="shared" si="1"/>
        <v>1.2</v>
      </c>
      <c r="AJ19" s="68">
        <f t="shared" si="14"/>
        <v>0.77400000000000002</v>
      </c>
    </row>
    <row r="20" spans="3:36" ht="14.25" customHeight="1" x14ac:dyDescent="0.2">
      <c r="C20" s="68"/>
      <c r="D20" s="68" t="s">
        <v>89</v>
      </c>
      <c r="E20" s="68" t="s">
        <v>3</v>
      </c>
      <c r="F20" s="94">
        <f t="shared" ref="F20:F24" si="19">K11/K20/(1+I20*(J20-1))</f>
        <v>5.2631578947368425</v>
      </c>
      <c r="G20" s="68">
        <v>9</v>
      </c>
      <c r="H20" s="94">
        <f t="shared" ref="H20:H24" si="20">L11/(G20/$G$17+1)</f>
        <v>83.325834008272594</v>
      </c>
      <c r="I20" s="99">
        <v>0.4</v>
      </c>
      <c r="J20" s="99">
        <v>1.5</v>
      </c>
      <c r="K20" s="68">
        <v>0.95</v>
      </c>
      <c r="L20" s="94">
        <f t="shared" ref="L20:L23" si="21">F20*$L$17*(1+I20*(J20-1))*K20</f>
        <v>150.00000000000003</v>
      </c>
      <c r="M20" s="94">
        <f>H20*$M$17*(1+G20*战斗公式!$E$39)+$M$17*基础模型!$G$17*$L$17</f>
        <v>133.33333333333331</v>
      </c>
      <c r="N20" s="100">
        <f t="shared" ref="N20:N23" si="22">L20+M20</f>
        <v>283.33333333333337</v>
      </c>
      <c r="O20" s="68">
        <v>5</v>
      </c>
      <c r="P20" s="101"/>
      <c r="R20" s="68" t="s">
        <v>256</v>
      </c>
      <c r="S20" s="68" t="s">
        <v>156</v>
      </c>
      <c r="T20" s="68" t="str">
        <f t="shared" si="2"/>
        <v>0.9~1</v>
      </c>
      <c r="U20" s="94">
        <v>0.9</v>
      </c>
      <c r="V20" s="94">
        <f t="shared" si="3"/>
        <v>1.1111111111111112</v>
      </c>
      <c r="W20" s="94">
        <f t="shared" si="4"/>
        <v>3.6</v>
      </c>
      <c r="X20" s="94">
        <f t="shared" si="5"/>
        <v>55.555555555555557</v>
      </c>
      <c r="Y20" s="94" t="str">
        <f t="shared" si="6"/>
        <v>2.5~3</v>
      </c>
      <c r="Z20" s="94">
        <v>2.8</v>
      </c>
      <c r="AA20" s="68">
        <f t="shared" si="7"/>
        <v>0.79800000000000004</v>
      </c>
      <c r="AB20" s="68" t="str">
        <f t="shared" si="8"/>
        <v>饼干11</v>
      </c>
      <c r="AC20" s="68" t="str">
        <f t="shared" si="9"/>
        <v>无</v>
      </c>
      <c r="AD20" s="106">
        <f t="shared" si="10"/>
        <v>0.36</v>
      </c>
      <c r="AE20" s="106">
        <f t="shared" si="11"/>
        <v>0.55555555555555558</v>
      </c>
      <c r="AF20" s="106">
        <f t="shared" si="12"/>
        <v>0.25454545454545452</v>
      </c>
      <c r="AG20" s="106">
        <f t="shared" si="13"/>
        <v>1</v>
      </c>
      <c r="AH20" s="106">
        <f t="shared" si="1"/>
        <v>1</v>
      </c>
      <c r="AI20" s="106">
        <f t="shared" si="1"/>
        <v>0.9</v>
      </c>
      <c r="AJ20" s="68">
        <f t="shared" si="14"/>
        <v>0.79800000000000004</v>
      </c>
    </row>
    <row r="21" spans="3:36" ht="14.25" customHeight="1" x14ac:dyDescent="0.2">
      <c r="C21" s="68"/>
      <c r="D21" s="68" t="s">
        <v>94</v>
      </c>
      <c r="E21" s="68" t="s">
        <v>4</v>
      </c>
      <c r="F21" s="94">
        <f t="shared" si="19"/>
        <v>8.75</v>
      </c>
      <c r="G21" s="68">
        <v>3</v>
      </c>
      <c r="H21" s="94">
        <f t="shared" si="20"/>
        <v>38.094095272379924</v>
      </c>
      <c r="I21" s="99">
        <v>0.4</v>
      </c>
      <c r="J21" s="99">
        <v>1.5</v>
      </c>
      <c r="K21" s="68">
        <v>1</v>
      </c>
      <c r="L21" s="94">
        <f>F21*$L$17*(1+I21*(J21-1))*K21</f>
        <v>262.5</v>
      </c>
      <c r="M21" s="94">
        <f>H21*$M$17*(1+G21*战斗公式!$E$39)</f>
        <v>38.095238095238095</v>
      </c>
      <c r="N21" s="100">
        <f>L21+M21</f>
        <v>300.59523809523807</v>
      </c>
      <c r="O21" s="68">
        <v>5</v>
      </c>
      <c r="P21" s="101"/>
      <c r="R21" s="68" t="s">
        <v>257</v>
      </c>
      <c r="S21" s="68" t="s">
        <v>156</v>
      </c>
      <c r="T21" s="68" t="str">
        <f t="shared" si="2"/>
        <v>0.9~1</v>
      </c>
      <c r="U21" s="94">
        <v>1</v>
      </c>
      <c r="V21" s="94">
        <f t="shared" si="3"/>
        <v>1</v>
      </c>
      <c r="W21" s="94">
        <f t="shared" si="4"/>
        <v>4</v>
      </c>
      <c r="X21" s="94">
        <f t="shared" si="5"/>
        <v>50</v>
      </c>
      <c r="Y21" s="94" t="str">
        <f t="shared" si="6"/>
        <v>2.5~3</v>
      </c>
      <c r="Z21" s="94">
        <v>2.8</v>
      </c>
      <c r="AA21" s="68">
        <f t="shared" si="7"/>
        <v>0.79800000000000004</v>
      </c>
      <c r="AB21" s="68" t="str">
        <f t="shared" si="8"/>
        <v>饼干12</v>
      </c>
      <c r="AC21" s="68" t="str">
        <f t="shared" si="9"/>
        <v>无</v>
      </c>
      <c r="AD21" s="106">
        <f t="shared" si="10"/>
        <v>0.4</v>
      </c>
      <c r="AE21" s="106">
        <f t="shared" si="11"/>
        <v>0.5</v>
      </c>
      <c r="AF21" s="106">
        <f t="shared" si="12"/>
        <v>0.25454545454545452</v>
      </c>
      <c r="AG21" s="106">
        <f t="shared" si="13"/>
        <v>1</v>
      </c>
      <c r="AH21" s="106">
        <f t="shared" si="1"/>
        <v>1</v>
      </c>
      <c r="AI21" s="106">
        <f t="shared" si="1"/>
        <v>0.9</v>
      </c>
      <c r="AJ21" s="68">
        <f t="shared" si="14"/>
        <v>0.79800000000000004</v>
      </c>
    </row>
    <row r="22" spans="3:36" ht="14.25" customHeight="1" x14ac:dyDescent="0.2">
      <c r="C22" s="68"/>
      <c r="D22" s="68" t="s">
        <v>95</v>
      </c>
      <c r="E22" s="68" t="s">
        <v>4</v>
      </c>
      <c r="F22" s="94">
        <f t="shared" si="19"/>
        <v>7.5757575757575752</v>
      </c>
      <c r="G22" s="68">
        <v>4</v>
      </c>
      <c r="H22" s="94">
        <f t="shared" si="20"/>
        <v>39.998400063997437</v>
      </c>
      <c r="I22" s="99">
        <v>0.4</v>
      </c>
      <c r="J22" s="99">
        <v>1.5</v>
      </c>
      <c r="K22" s="68">
        <v>1.1000000000000001</v>
      </c>
      <c r="L22" s="94">
        <f t="shared" si="21"/>
        <v>250</v>
      </c>
      <c r="M22" s="94">
        <f>H22*$M$17*(1+G22*战斗公式!$E$39)</f>
        <v>40</v>
      </c>
      <c r="N22" s="100">
        <f>L22+M22</f>
        <v>290</v>
      </c>
      <c r="O22" s="68">
        <v>5</v>
      </c>
      <c r="P22" s="101"/>
    </row>
    <row r="23" spans="3:36" ht="14.25" customHeight="1" x14ac:dyDescent="0.2">
      <c r="C23" s="68"/>
      <c r="D23" s="68" t="s">
        <v>96</v>
      </c>
      <c r="E23" s="68" t="s">
        <v>4</v>
      </c>
      <c r="F23" s="94">
        <f t="shared" si="19"/>
        <v>6.5972222222222223</v>
      </c>
      <c r="G23" s="68">
        <v>5</v>
      </c>
      <c r="H23" s="94">
        <f t="shared" si="20"/>
        <v>42.103157999994735</v>
      </c>
      <c r="I23" s="99">
        <v>0.4</v>
      </c>
      <c r="J23" s="99">
        <v>1.5</v>
      </c>
      <c r="K23" s="68">
        <v>1.2</v>
      </c>
      <c r="L23" s="94">
        <f t="shared" si="21"/>
        <v>237.5</v>
      </c>
      <c r="M23" s="94">
        <f>H23*$M$17*(1+G23*战斗公式!$E$39)</f>
        <v>42.10526315789474</v>
      </c>
      <c r="N23" s="100">
        <f t="shared" si="22"/>
        <v>279.60526315789474</v>
      </c>
      <c r="O23" s="68">
        <v>9</v>
      </c>
      <c r="P23" s="101"/>
    </row>
    <row r="24" spans="3:36" ht="14.25" customHeight="1" x14ac:dyDescent="0.2">
      <c r="C24" s="68"/>
      <c r="D24" s="68" t="s">
        <v>97</v>
      </c>
      <c r="E24" s="68" t="s">
        <v>5</v>
      </c>
      <c r="F24" s="94">
        <f t="shared" si="19"/>
        <v>3.3333333333333335</v>
      </c>
      <c r="G24" s="68">
        <v>2.5</v>
      </c>
      <c r="H24" s="94">
        <f t="shared" si="20"/>
        <v>55.554166701388027</v>
      </c>
      <c r="I24" s="99">
        <v>0.4</v>
      </c>
      <c r="J24" s="99">
        <v>1.5</v>
      </c>
      <c r="K24" s="68">
        <v>0.9</v>
      </c>
      <c r="L24" s="94">
        <f>F24*$L$17*(1+I24*(J24-1))*K24</f>
        <v>90.000000000000014</v>
      </c>
      <c r="M24" s="94">
        <f>H24*$M$17*(1+G24*战斗公式!$E$39)+$M$17*基础模型!$G$13*$L$17</f>
        <v>205.55555555555554</v>
      </c>
      <c r="N24" s="100">
        <f>L24+M24</f>
        <v>295.55555555555554</v>
      </c>
      <c r="O24" s="68">
        <v>3</v>
      </c>
      <c r="P24" s="101"/>
    </row>
    <row r="25" spans="3:36" ht="14.25" customHeight="1" x14ac:dyDescent="0.2"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3:36" ht="14.25" customHeight="1" x14ac:dyDescent="0.2">
      <c r="C26" s="96" t="s">
        <v>138</v>
      </c>
      <c r="D26" s="68"/>
      <c r="E26" s="99"/>
      <c r="F26" s="68" t="s">
        <v>143</v>
      </c>
      <c r="G26" s="94">
        <f>F16</f>
        <v>10</v>
      </c>
      <c r="H26" s="94">
        <f>G16</f>
        <v>100</v>
      </c>
      <c r="I26" s="94">
        <f>H16</f>
        <v>11</v>
      </c>
      <c r="J26" s="102">
        <v>0.4</v>
      </c>
      <c r="K26" s="102">
        <v>1.5</v>
      </c>
      <c r="L26" s="103">
        <v>1</v>
      </c>
      <c r="M26" s="68"/>
      <c r="N26" s="68"/>
      <c r="O26" s="68"/>
      <c r="P26" s="68"/>
    </row>
    <row r="27" spans="3:36" ht="14.25" customHeight="1" x14ac:dyDescent="0.2">
      <c r="C27" s="68"/>
      <c r="D27" s="96" t="s">
        <v>87</v>
      </c>
      <c r="E27" s="96" t="s">
        <v>88</v>
      </c>
      <c r="F27" s="96" t="s">
        <v>145</v>
      </c>
      <c r="G27" s="96" t="s">
        <v>13</v>
      </c>
      <c r="H27" s="96" t="s">
        <v>14</v>
      </c>
      <c r="I27" s="96" t="s">
        <v>139</v>
      </c>
      <c r="J27" s="96" t="s">
        <v>140</v>
      </c>
      <c r="K27" s="96" t="s">
        <v>141</v>
      </c>
      <c r="L27" s="96" t="s">
        <v>142</v>
      </c>
      <c r="M27" s="97" t="s">
        <v>168</v>
      </c>
      <c r="N27" s="68"/>
      <c r="O27" s="68"/>
      <c r="P27" s="68"/>
    </row>
    <row r="28" spans="3:36" ht="14.25" customHeight="1" x14ac:dyDescent="0.2">
      <c r="C28" s="68"/>
      <c r="D28" s="68" t="s">
        <v>68</v>
      </c>
      <c r="E28" s="68" t="s">
        <v>3</v>
      </c>
      <c r="F28" s="68" t="s">
        <v>14</v>
      </c>
      <c r="G28" s="94">
        <f>K10/G$26</f>
        <v>0.45</v>
      </c>
      <c r="H28" s="94">
        <f t="shared" ref="G28:H33" si="23">L10/H$26</f>
        <v>1.1111111111111112</v>
      </c>
      <c r="I28" s="94">
        <f>G19/I$26</f>
        <v>1</v>
      </c>
      <c r="J28" s="94">
        <f>0.05/J$26</f>
        <v>0.125</v>
      </c>
      <c r="K28" s="94">
        <f t="shared" ref="K28:L33" si="24">J19/K$26</f>
        <v>1</v>
      </c>
      <c r="L28" s="94">
        <f t="shared" si="24"/>
        <v>0.9</v>
      </c>
      <c r="M28" s="68">
        <v>0.75</v>
      </c>
      <c r="N28" s="104">
        <f>技能模板!J14</f>
        <v>3</v>
      </c>
      <c r="O28" s="68"/>
      <c r="P28" s="68"/>
    </row>
    <row r="29" spans="3:36" ht="14.25" customHeight="1" x14ac:dyDescent="0.2">
      <c r="C29" s="68"/>
      <c r="D29" s="68" t="s">
        <v>89</v>
      </c>
      <c r="E29" s="68" t="s">
        <v>3</v>
      </c>
      <c r="F29" s="68" t="s">
        <v>13</v>
      </c>
      <c r="G29" s="94">
        <f t="shared" si="23"/>
        <v>0.6</v>
      </c>
      <c r="H29" s="94">
        <f t="shared" si="23"/>
        <v>0.83333333333333326</v>
      </c>
      <c r="I29" s="94">
        <f t="shared" ref="I29:I33" si="25">G20/I$26</f>
        <v>0.81818181818181823</v>
      </c>
      <c r="J29" s="94">
        <f t="shared" ref="J29:J33" si="26">0.05/J$26</f>
        <v>0.125</v>
      </c>
      <c r="K29" s="94">
        <f t="shared" si="24"/>
        <v>1</v>
      </c>
      <c r="L29" s="94">
        <f t="shared" si="24"/>
        <v>0.95</v>
      </c>
      <c r="M29" s="68">
        <v>0.751</v>
      </c>
      <c r="N29" s="104">
        <f>技能模板!J15</f>
        <v>2.5198402130492674</v>
      </c>
      <c r="O29" s="68"/>
      <c r="P29" s="68"/>
    </row>
    <row r="30" spans="3:36" ht="14.25" customHeight="1" x14ac:dyDescent="0.2">
      <c r="C30" s="68"/>
      <c r="D30" s="68" t="s">
        <v>94</v>
      </c>
      <c r="E30" s="68" t="s">
        <v>4</v>
      </c>
      <c r="F30" s="68" t="s">
        <v>13</v>
      </c>
      <c r="G30" s="94">
        <f t="shared" si="23"/>
        <v>1.05</v>
      </c>
      <c r="H30" s="94">
        <f t="shared" si="23"/>
        <v>0.38095238095238093</v>
      </c>
      <c r="I30" s="94">
        <f t="shared" si="25"/>
        <v>0.27272727272727271</v>
      </c>
      <c r="J30" s="94">
        <f t="shared" si="26"/>
        <v>0.125</v>
      </c>
      <c r="K30" s="94">
        <f t="shared" si="24"/>
        <v>1</v>
      </c>
      <c r="L30" s="94">
        <f t="shared" si="24"/>
        <v>1</v>
      </c>
      <c r="M30" s="68">
        <v>0.8</v>
      </c>
      <c r="N30" s="104">
        <f>技能模板!J16</f>
        <v>4.9999999999999982</v>
      </c>
      <c r="O30" s="68"/>
      <c r="P30" s="68"/>
    </row>
    <row r="31" spans="3:36" ht="14.25" customHeight="1" x14ac:dyDescent="0.2">
      <c r="C31" s="68"/>
      <c r="D31" s="68" t="s">
        <v>95</v>
      </c>
      <c r="E31" s="68" t="s">
        <v>4</v>
      </c>
      <c r="F31" s="68" t="s">
        <v>13</v>
      </c>
      <c r="G31" s="94">
        <f t="shared" si="23"/>
        <v>1</v>
      </c>
      <c r="H31" s="94">
        <f t="shared" si="23"/>
        <v>0.4</v>
      </c>
      <c r="I31" s="94">
        <f t="shared" si="25"/>
        <v>0.36363636363636365</v>
      </c>
      <c r="J31" s="94">
        <f t="shared" si="26"/>
        <v>0.125</v>
      </c>
      <c r="K31" s="94">
        <f t="shared" si="24"/>
        <v>1</v>
      </c>
      <c r="L31" s="94">
        <f t="shared" si="24"/>
        <v>1.1000000000000001</v>
      </c>
      <c r="M31" s="68">
        <v>0.80500000000000005</v>
      </c>
      <c r="N31" s="104">
        <f>技能模板!J17</f>
        <v>3.9968944099378874</v>
      </c>
      <c r="O31" s="68"/>
      <c r="P31" s="68"/>
    </row>
    <row r="32" spans="3:36" ht="14.25" customHeight="1" x14ac:dyDescent="0.2">
      <c r="C32" s="68"/>
      <c r="D32" s="68" t="s">
        <v>96</v>
      </c>
      <c r="E32" s="68" t="s">
        <v>4</v>
      </c>
      <c r="F32" s="68" t="s">
        <v>13</v>
      </c>
      <c r="G32" s="94">
        <f t="shared" si="23"/>
        <v>0.95</v>
      </c>
      <c r="H32" s="94">
        <f t="shared" si="23"/>
        <v>0.4210526315789474</v>
      </c>
      <c r="I32" s="94">
        <f t="shared" si="25"/>
        <v>0.45454545454545453</v>
      </c>
      <c r="J32" s="94">
        <f t="shared" si="26"/>
        <v>0.125</v>
      </c>
      <c r="K32" s="94">
        <f t="shared" si="24"/>
        <v>1</v>
      </c>
      <c r="L32" s="94">
        <f t="shared" si="24"/>
        <v>1.2</v>
      </c>
      <c r="M32" s="68">
        <v>0.77400000000000002</v>
      </c>
      <c r="N32" s="104">
        <f>技能模板!J18</f>
        <v>3.5038759689922472</v>
      </c>
      <c r="O32" s="68"/>
      <c r="P32" s="68"/>
    </row>
    <row r="33" spans="3:16" ht="14.25" customHeight="1" x14ac:dyDescent="0.2">
      <c r="C33" s="68"/>
      <c r="D33" s="68" t="s">
        <v>97</v>
      </c>
      <c r="E33" s="68" t="s">
        <v>5</v>
      </c>
      <c r="F33" s="68" t="s">
        <v>148</v>
      </c>
      <c r="G33" s="94">
        <f t="shared" si="23"/>
        <v>0.36</v>
      </c>
      <c r="H33" s="94">
        <f t="shared" si="23"/>
        <v>0.55555555555555558</v>
      </c>
      <c r="I33" s="94">
        <f t="shared" si="25"/>
        <v>0.22727272727272727</v>
      </c>
      <c r="J33" s="94">
        <f t="shared" si="26"/>
        <v>0.125</v>
      </c>
      <c r="K33" s="94">
        <f t="shared" si="24"/>
        <v>1</v>
      </c>
      <c r="L33" s="94">
        <f t="shared" si="24"/>
        <v>0.9</v>
      </c>
      <c r="M33" s="68">
        <v>0.79800000000000004</v>
      </c>
      <c r="N33" s="104">
        <f>技能模板!J19</f>
        <v>2.5060150375939845</v>
      </c>
      <c r="O33" s="68"/>
      <c r="P33" s="68"/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U16" sqref="U16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107" t="s">
        <v>111</v>
      </c>
      <c r="B1" s="108"/>
      <c r="AB1" s="1" t="s">
        <v>151</v>
      </c>
      <c r="AC1" s="1">
        <v>1</v>
      </c>
      <c r="AD1" s="9">
        <v>4612980.6323862216</v>
      </c>
    </row>
    <row r="2" spans="1:35" ht="14.25" customHeight="1" x14ac:dyDescent="0.2">
      <c r="A2" s="109"/>
      <c r="B2" s="110"/>
      <c r="AB2" s="1" t="s">
        <v>151</v>
      </c>
      <c r="AC2" s="1">
        <v>2</v>
      </c>
      <c r="AD2" s="9">
        <v>4508614.5547304247</v>
      </c>
    </row>
    <row r="3" spans="1:35" ht="14.25" customHeight="1" x14ac:dyDescent="0.2">
      <c r="C3" s="3" t="s">
        <v>113</v>
      </c>
      <c r="D3" s="2" t="s">
        <v>183</v>
      </c>
      <c r="AB3" s="1" t="s">
        <v>152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66</v>
      </c>
      <c r="E4" s="3" t="s">
        <v>114</v>
      </c>
      <c r="F4" s="3" t="s">
        <v>316</v>
      </c>
      <c r="G4" s="1"/>
      <c r="H4" s="81" t="s">
        <v>161</v>
      </c>
      <c r="I4" s="14"/>
      <c r="J4" s="2" t="s">
        <v>315</v>
      </c>
      <c r="K4" s="1"/>
      <c r="L4" s="1"/>
      <c r="M4" s="1"/>
      <c r="N4" s="1"/>
      <c r="O4" s="1"/>
      <c r="AB4" s="1" t="s">
        <v>152</v>
      </c>
      <c r="AC4" s="1">
        <v>4</v>
      </c>
      <c r="AD4" s="9">
        <v>4445994.9081369452</v>
      </c>
    </row>
    <row r="5" spans="1:35" ht="14.25" customHeight="1" x14ac:dyDescent="0.2">
      <c r="D5" s="1" t="s">
        <v>115</v>
      </c>
      <c r="E5" s="1">
        <v>30</v>
      </c>
      <c r="F5" s="23">
        <f>E5/SUM($E$5:$E$8)</f>
        <v>0.3</v>
      </c>
      <c r="H5" s="82">
        <f>E5/SUM($E$5:$E$7)</f>
        <v>0.35294117647058826</v>
      </c>
      <c r="I5" s="83"/>
      <c r="J5" s="19"/>
      <c r="K5" s="19"/>
      <c r="L5" s="19"/>
      <c r="M5" s="19"/>
      <c r="N5" s="19"/>
      <c r="AB5" s="1" t="s">
        <v>153</v>
      </c>
      <c r="AC5" s="1">
        <v>5</v>
      </c>
      <c r="AD5" s="9">
        <v>5449698.3863924081</v>
      </c>
    </row>
    <row r="6" spans="1:35" ht="14.25" customHeight="1" x14ac:dyDescent="0.2">
      <c r="D6" s="1" t="s">
        <v>175</v>
      </c>
      <c r="E6" s="1">
        <v>30</v>
      </c>
      <c r="F6" s="23">
        <f>E6/SUM($E$5:$E$8)</f>
        <v>0.3</v>
      </c>
      <c r="G6" s="4">
        <f>F6/F5</f>
        <v>1</v>
      </c>
      <c r="H6" s="82">
        <f t="shared" ref="H6:H7" si="0">E6/SUM($E$5:$E$7)</f>
        <v>0.35294117647058826</v>
      </c>
      <c r="I6" s="84">
        <f>H6/H5</f>
        <v>1</v>
      </c>
      <c r="J6" s="33"/>
      <c r="K6" s="33"/>
      <c r="AB6" s="1" t="s">
        <v>153</v>
      </c>
      <c r="AC6" s="1">
        <v>6</v>
      </c>
      <c r="AD6" s="9">
        <v>5260050.3138521584</v>
      </c>
    </row>
    <row r="7" spans="1:35" ht="14.25" customHeight="1" x14ac:dyDescent="0.2">
      <c r="D7" s="1" t="s">
        <v>116</v>
      </c>
      <c r="E7" s="1">
        <v>25</v>
      </c>
      <c r="F7" s="23">
        <f>E7/SUM($E$5:$E$8)</f>
        <v>0.25</v>
      </c>
      <c r="G7" s="4">
        <f>F7/SUM($F$5:$F$6)</f>
        <v>0.41666666666666669</v>
      </c>
      <c r="H7" s="82">
        <f t="shared" si="0"/>
        <v>0.29411764705882354</v>
      </c>
      <c r="I7" s="84">
        <f>H7/SUM($H$5:$H$6)</f>
        <v>0.41666666666666663</v>
      </c>
      <c r="J7" s="33"/>
      <c r="K7" s="33"/>
      <c r="O7" s="1">
        <v>1.05</v>
      </c>
      <c r="AB7" s="1" t="s">
        <v>154</v>
      </c>
      <c r="AC7" s="1">
        <v>7</v>
      </c>
      <c r="AD7" s="9">
        <v>5111015.5549596818</v>
      </c>
    </row>
    <row r="8" spans="1:35" ht="14.25" customHeight="1" x14ac:dyDescent="0.2">
      <c r="D8" s="1" t="s">
        <v>117</v>
      </c>
      <c r="E8" s="1">
        <v>15</v>
      </c>
      <c r="F8" s="23">
        <f>E8/SUM($E$5:$E$8)</f>
        <v>0.15</v>
      </c>
      <c r="G8" s="4">
        <f>F8/SUM($F$5:$F$6)</f>
        <v>0.25</v>
      </c>
      <c r="H8" s="14"/>
      <c r="I8" s="85"/>
      <c r="J8" s="33"/>
      <c r="K8" s="33"/>
      <c r="O8" s="6">
        <f>POWER(O7,99)</f>
        <v>125.23929318695586</v>
      </c>
      <c r="AB8" s="1" t="s">
        <v>154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155</v>
      </c>
      <c r="AC9" s="1">
        <v>9</v>
      </c>
      <c r="AD9" s="9">
        <v>5037497.4251931254</v>
      </c>
    </row>
    <row r="10" spans="1:35" ht="14.25" customHeight="1" x14ac:dyDescent="0.2">
      <c r="E10" s="2" t="s">
        <v>106</v>
      </c>
      <c r="P10" s="25"/>
      <c r="AB10" s="1" t="s">
        <v>155</v>
      </c>
      <c r="AC10" s="1">
        <v>10</v>
      </c>
      <c r="AD10" s="9">
        <v>4892681.7205037549</v>
      </c>
    </row>
    <row r="11" spans="1:35" ht="14.25" customHeight="1" x14ac:dyDescent="0.2">
      <c r="E11" s="2" t="s">
        <v>107</v>
      </c>
      <c r="AB11" s="1" t="s">
        <v>156</v>
      </c>
      <c r="AC11" s="1">
        <v>11</v>
      </c>
      <c r="AD11" s="9">
        <v>3788488.6189054241</v>
      </c>
    </row>
    <row r="12" spans="1:35" ht="14.25" customHeight="1" x14ac:dyDescent="0.2">
      <c r="E12" s="2" t="s">
        <v>108</v>
      </c>
      <c r="K12" s="2" t="s">
        <v>119</v>
      </c>
      <c r="AB12" s="1" t="s">
        <v>156</v>
      </c>
      <c r="AC12" s="1">
        <v>12</v>
      </c>
      <c r="AD12" s="9">
        <v>3945037.7353891199</v>
      </c>
    </row>
    <row r="13" spans="1:35" ht="14.25" customHeight="1" x14ac:dyDescent="0.2">
      <c r="C13" s="3" t="s">
        <v>162</v>
      </c>
      <c r="D13" s="2" t="s">
        <v>191</v>
      </c>
      <c r="E13" s="2"/>
      <c r="L13" s="2"/>
      <c r="R13" s="3" t="s">
        <v>163</v>
      </c>
      <c r="S13" s="1" t="s">
        <v>246</v>
      </c>
      <c r="V13" s="1">
        <f>V15/V14</f>
        <v>417.46431062318624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125.23929318695586</v>
      </c>
      <c r="L14" s="9">
        <f>MAX(G18:G117)*L15</f>
        <v>103322.41687923859</v>
      </c>
      <c r="N14" s="8">
        <f>N16/G18</f>
        <v>9090.9090909090901</v>
      </c>
      <c r="O14" s="8">
        <f>N16/O8</f>
        <v>798.47144977671724</v>
      </c>
      <c r="T14" s="1">
        <f>T18*F5</f>
        <v>70.3125</v>
      </c>
      <c r="U14" s="1">
        <f>U18*F5</f>
        <v>2479.5437639474335</v>
      </c>
      <c r="V14" s="1">
        <f>V18*F5</f>
        <v>247.5</v>
      </c>
      <c r="AH14" s="9">
        <f>AH18*0.4</f>
        <v>28.125</v>
      </c>
      <c r="AI14" s="9">
        <f>AI18*1.8</f>
        <v>4463.1787751053807</v>
      </c>
    </row>
    <row r="15" spans="1:35" ht="14.25" customHeight="1" x14ac:dyDescent="0.2">
      <c r="A15" s="1">
        <v>100</v>
      </c>
      <c r="B15" s="1">
        <f t="shared" ref="B15:B16" si="1">VLOOKUP(A15,$D$17:$E$117,2,0)</f>
        <v>1252.3929318695587</v>
      </c>
      <c r="C15" s="6">
        <f>B14/B15</f>
        <v>0</v>
      </c>
      <c r="E15" s="6">
        <f>角色设定!F16</f>
        <v>10</v>
      </c>
      <c r="F15" s="6">
        <f>角色设定!G16</f>
        <v>100</v>
      </c>
      <c r="G15" s="6">
        <f>角色设定!H16</f>
        <v>11</v>
      </c>
      <c r="K15" s="1" t="s">
        <v>126</v>
      </c>
      <c r="L15" s="1">
        <v>75</v>
      </c>
      <c r="P15" s="6">
        <f>1-N16/(N16+N117)</f>
        <v>0.50817031621557973</v>
      </c>
      <c r="Q15" s="8">
        <f>L117*(1-P15)</f>
        <v>26948.425859917097</v>
      </c>
      <c r="R15" s="8"/>
      <c r="S15" s="8"/>
      <c r="T15" s="8">
        <f>MAX($T$18:$T$117)</f>
        <v>29352.959340692778</v>
      </c>
      <c r="U15" s="31">
        <f>MAX($U$18:$U$117)</f>
        <v>513303.34971270675</v>
      </c>
      <c r="V15" s="31">
        <f>MAX($V$18:$V$117)</f>
        <v>103322.41687923859</v>
      </c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768.86061951549107</v>
      </c>
      <c r="C16" s="6">
        <f>B15/B16</f>
        <v>1.628894626777442</v>
      </c>
      <c r="E16" s="25">
        <v>1.05</v>
      </c>
      <c r="F16" s="25">
        <v>1.05</v>
      </c>
      <c r="G16" s="25">
        <v>1.05</v>
      </c>
      <c r="L16" s="1">
        <v>0.7</v>
      </c>
      <c r="N16" s="31">
        <v>100000</v>
      </c>
      <c r="T16" s="1">
        <f>T18*H5</f>
        <v>82.720588235294116</v>
      </c>
      <c r="U16" s="20">
        <f>U18*F5</f>
        <v>2479.5437639474335</v>
      </c>
      <c r="W16" s="19">
        <f>角色设定!J26</f>
        <v>0.4</v>
      </c>
      <c r="X16" s="19">
        <f>角色设定!K26</f>
        <v>1.5</v>
      </c>
      <c r="AE16" s="21">
        <f>AE117</f>
        <v>1836190.6787566706</v>
      </c>
    </row>
    <row r="17" spans="1:39" ht="14.25" customHeight="1" x14ac:dyDescent="0.2">
      <c r="A17" s="1">
        <v>70</v>
      </c>
      <c r="B17" s="1">
        <f>VLOOKUP(A17,$D$17:$E$117,2,0)</f>
        <v>289.7754812906083</v>
      </c>
      <c r="C17" s="6">
        <f t="shared" ref="C17" si="2">B16/B17</f>
        <v>2.6532977051444209</v>
      </c>
      <c r="D17" s="1" t="s">
        <v>164</v>
      </c>
      <c r="E17" s="1" t="s">
        <v>13</v>
      </c>
      <c r="F17" s="1" t="s">
        <v>14</v>
      </c>
      <c r="G17" s="1" t="s">
        <v>33</v>
      </c>
      <c r="H17" s="1" t="s">
        <v>35</v>
      </c>
      <c r="I17" s="1" t="s">
        <v>84</v>
      </c>
      <c r="J17" s="1" t="s">
        <v>11</v>
      </c>
      <c r="L17" s="1" t="s">
        <v>32</v>
      </c>
      <c r="M17" s="1" t="s">
        <v>34</v>
      </c>
      <c r="N17" s="1" t="s">
        <v>33</v>
      </c>
      <c r="O17" s="1" t="s">
        <v>35</v>
      </c>
      <c r="P17" s="1" t="s">
        <v>84</v>
      </c>
      <c r="Q17" s="1" t="s">
        <v>11</v>
      </c>
      <c r="S17" s="1" t="s">
        <v>164</v>
      </c>
      <c r="T17" s="1" t="s">
        <v>165</v>
      </c>
      <c r="U17" s="1" t="s">
        <v>166</v>
      </c>
      <c r="V17" s="1" t="s">
        <v>139</v>
      </c>
      <c r="W17" s="1" t="s">
        <v>140</v>
      </c>
      <c r="X17" s="1" t="s">
        <v>141</v>
      </c>
      <c r="Y17" s="1" t="s">
        <v>142</v>
      </c>
      <c r="Z17" s="1" t="s">
        <v>168</v>
      </c>
      <c r="AE17" s="1" t="s">
        <v>169</v>
      </c>
      <c r="AF17" s="1" t="s">
        <v>170</v>
      </c>
      <c r="AH17" s="1" t="s">
        <v>171</v>
      </c>
      <c r="AI17" s="1" t="s">
        <v>172</v>
      </c>
      <c r="AJ17" s="1" t="s">
        <v>173</v>
      </c>
    </row>
    <row r="18" spans="1:39" ht="14.25" customHeight="1" x14ac:dyDescent="0.2">
      <c r="A18" s="1">
        <v>50</v>
      </c>
      <c r="B18" s="1">
        <f>VLOOKUP(A18,$D$17:$E$117,2,0)</f>
        <v>109.21333129289224</v>
      </c>
      <c r="C18" s="6">
        <f>B17/B18</f>
        <v>2.6532977051444204</v>
      </c>
      <c r="D18" s="1">
        <v>1</v>
      </c>
      <c r="E18" s="6">
        <f>E$15*E$16^($D18-1)</f>
        <v>10</v>
      </c>
      <c r="F18" s="6">
        <f t="shared" ref="F18:G33" si="3">F$15*F$16^($D18-1)</f>
        <v>100</v>
      </c>
      <c r="G18" s="6">
        <f>G$15*G$16^($D18-1)</f>
        <v>11</v>
      </c>
      <c r="H18" s="6">
        <v>0.4</v>
      </c>
      <c r="I18" s="6">
        <v>1.5</v>
      </c>
      <c r="J18" s="6">
        <v>1</v>
      </c>
      <c r="K18" s="25">
        <f>M19/M18</f>
        <v>1.0495705947232103</v>
      </c>
      <c r="L18" s="6">
        <f>E18*$L$16/J18/(1+H18*(I18-1))*$L$15</f>
        <v>437.50000000000006</v>
      </c>
      <c r="M18" s="6">
        <f>F18/(1+N18/$N$16)*$L$15</f>
        <v>7438.6312918423</v>
      </c>
      <c r="N18" s="6">
        <f>G18*$L$15</f>
        <v>825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5">
        <v>1</v>
      </c>
      <c r="T18" s="6">
        <f>VLOOKUP($S$13,角色设定!$AB$9:$AJ$21,MATCH(E$17,角色设定!$AB$9:$AJ$9,0),0)*Z18*$L$15*E18/Y18/(1+W18*(X18-1))</f>
        <v>234.375</v>
      </c>
      <c r="U18" s="6">
        <f>VLOOKUP($S$13,角色设定!$AB$9:$AJ$21,MATCH(F$17,角色设定!$AB$9:$AJ$9,0),0)*F18*$L$15/(1+V18/$N$16)</f>
        <v>8265.1458798247786</v>
      </c>
      <c r="V18" s="6">
        <f>VLOOKUP($S$13,角色设定!$AB$9:$AJ$21,MATCH(V$17,角色设定!$AB$9:$AJ$9,0),0)*G18*$L$15</f>
        <v>825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T18*战斗公式!$E$38*(1+W18*(X18-1))*Y18</f>
        <v>6328.125</v>
      </c>
      <c r="AD18" s="6">
        <f>U18*战斗公式!$E$40*(1+V18*战斗公式!$E$39)</f>
        <v>8333.3333333333339</v>
      </c>
      <c r="AE18" s="21">
        <f>AC18+AD18</f>
        <v>14661.458333333334</v>
      </c>
      <c r="AH18" s="9">
        <f>T18*$F$5</f>
        <v>70.3125</v>
      </c>
      <c r="AI18" s="9">
        <f>U18*$F$5</f>
        <v>2479.5437639474335</v>
      </c>
      <c r="AJ18" s="9">
        <f>V18*$F$5</f>
        <v>247.5</v>
      </c>
    </row>
    <row r="19" spans="1:39" ht="14.25" customHeight="1" x14ac:dyDescent="0.2">
      <c r="A19" s="1">
        <v>30</v>
      </c>
      <c r="B19" s="1">
        <f>VLOOKUP(A19,$D$17:$E$117,2,0)</f>
        <v>41.16135595381585</v>
      </c>
      <c r="C19" s="6">
        <f>B18/B19</f>
        <v>2.6532977051444209</v>
      </c>
      <c r="D19" s="1">
        <v>2</v>
      </c>
      <c r="E19" s="6">
        <f t="shared" ref="E19:G50" si="7">E$15*E$16^($D19-1)</f>
        <v>10.5</v>
      </c>
      <c r="F19" s="6">
        <f t="shared" si="3"/>
        <v>105</v>
      </c>
      <c r="G19" s="6">
        <f t="shared" si="3"/>
        <v>11.55</v>
      </c>
      <c r="H19" s="6">
        <v>0.4</v>
      </c>
      <c r="I19" s="6">
        <v>1.5</v>
      </c>
      <c r="J19" s="6">
        <v>1</v>
      </c>
      <c r="K19" s="25">
        <f t="shared" ref="K19:K82" si="8">M20/M19</f>
        <v>1.049549317984606</v>
      </c>
      <c r="L19" s="6">
        <f t="shared" ref="L19:L49" si="9">E19*$L$16/J19/(1+H19*(I19-1))*$L$15</f>
        <v>459.375</v>
      </c>
      <c r="M19" s="6">
        <f t="shared" ref="M19:M49" si="10">F19/(1+N19/$N$16)*$L$15</f>
        <v>7807.3686689056058</v>
      </c>
      <c r="N19" s="6">
        <f t="shared" ref="N19:N49" si="11">G19*$L$15</f>
        <v>866.25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5">
        <v>2</v>
      </c>
      <c r="T19" s="6">
        <f>VLOOKUP($S$13,角色设定!$AB$9:$AJ$21,MATCH(E$17,角色设定!$AB$9:$AJ$9,0),0)*Z19*$L$15*E19/Y19/(1+W19*(X19-1))</f>
        <v>246.09375</v>
      </c>
      <c r="U19" s="6">
        <f>VLOOKUP($S$13,角色设定!$AB$9:$AJ$21,MATCH(F$17,角色设定!$AB$9:$AJ$9,0),0)*F19*$L$15/(1+V19/$N$16)</f>
        <v>8674.8540765617836</v>
      </c>
      <c r="V19" s="6">
        <f>VLOOKUP($S$13,角色设定!$AB$9:$AJ$21,MATCH(V$17,角色设定!$AB$9:$AJ$9,0),0)*G19*$L$15</f>
        <v>866.25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T19*战斗公式!$E$38*(1+W19*(X19-1))*Y19</f>
        <v>6644.53125</v>
      </c>
      <c r="AD19" s="6">
        <f>U19*战斗公式!$E$40*(1+V19*战斗公式!$E$39)</f>
        <v>8750</v>
      </c>
      <c r="AE19" s="21">
        <f t="shared" ref="AE19:AE82" si="12">AC19+AD19</f>
        <v>15394.53125</v>
      </c>
      <c r="AF19" s="21">
        <f>AE19-AE18</f>
        <v>733.07291666666606</v>
      </c>
      <c r="AG19" s="21"/>
      <c r="AH19" s="9">
        <f t="shared" ref="AH19:AH82" si="13">T19*$F$5</f>
        <v>73.828125</v>
      </c>
      <c r="AI19" s="9">
        <f t="shared" ref="AI19:AI82" si="14">U19*$F$5</f>
        <v>2602.4562229685348</v>
      </c>
      <c r="AJ19" s="9">
        <f t="shared" ref="AJ19:AJ82" si="15">V19*$F$5</f>
        <v>259.875</v>
      </c>
      <c r="AK19" s="9">
        <f>AH19-AH18</f>
        <v>3.515625</v>
      </c>
      <c r="AL19" s="9">
        <f>AI19-AI18</f>
        <v>122.91245902110131</v>
      </c>
      <c r="AM19" s="9">
        <f>AJ19-AJ18</f>
        <v>12.375</v>
      </c>
    </row>
    <row r="20" spans="1:39" ht="14.25" customHeight="1" x14ac:dyDescent="0.2">
      <c r="A20" s="1">
        <v>1</v>
      </c>
      <c r="B20" s="1">
        <f>VLOOKUP(A20,$D$17:$E$117,2,0)</f>
        <v>10</v>
      </c>
      <c r="C20" s="6">
        <f>B19/B20</f>
        <v>4.1161355953815848</v>
      </c>
      <c r="D20" s="1">
        <v>3</v>
      </c>
      <c r="E20" s="6">
        <f t="shared" si="7"/>
        <v>11.025</v>
      </c>
      <c r="F20" s="6">
        <f t="shared" si="3"/>
        <v>110.25</v>
      </c>
      <c r="G20" s="6">
        <f t="shared" si="3"/>
        <v>12.127500000000001</v>
      </c>
      <c r="H20" s="6">
        <v>0.4</v>
      </c>
      <c r="I20" s="6">
        <v>1.5</v>
      </c>
      <c r="J20" s="6">
        <v>1</v>
      </c>
      <c r="K20" s="25">
        <f t="shared" si="8"/>
        <v>1.0495269970577561</v>
      </c>
      <c r="L20" s="6">
        <f t="shared" si="9"/>
        <v>482.34374999999994</v>
      </c>
      <c r="M20" s="6">
        <f t="shared" si="10"/>
        <v>8194.2184617042603</v>
      </c>
      <c r="N20" s="6">
        <f t="shared" si="11"/>
        <v>909.56250000000011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5">
        <v>3</v>
      </c>
      <c r="T20" s="6">
        <f>VLOOKUP($S$13,角色设定!$AB$9:$AJ$21,MATCH(E$17,角色设定!$AB$9:$AJ$9,0),0)*Z20*$L$15*E20/Y20/(1+W20*(X20-1))</f>
        <v>258.3984375</v>
      </c>
      <c r="U20" s="6">
        <f>VLOOKUP($S$13,角色设定!$AB$9:$AJ$21,MATCH(F$17,角色设定!$AB$9:$AJ$9,0),0)*F20*$L$15/(1+V20/$N$16)</f>
        <v>9104.6871796714004</v>
      </c>
      <c r="V20" s="6">
        <f>VLOOKUP($S$13,角色设定!$AB$9:$AJ$21,MATCH(V$17,角色设定!$AB$9:$AJ$9,0),0)*G20*$L$15</f>
        <v>909.56250000000011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T20*战斗公式!$E$38*(1+W20*(X20-1))*Y20</f>
        <v>6976.7578125</v>
      </c>
      <c r="AD20" s="6">
        <f>U20*战斗公式!$E$40*(1+V20*战斗公式!$E$39)</f>
        <v>9187.5</v>
      </c>
      <c r="AE20" s="21">
        <f t="shared" si="12"/>
        <v>16164.2578125</v>
      </c>
      <c r="AF20" s="21">
        <f t="shared" ref="AF20:AF83" si="16">AE20-AE19</f>
        <v>769.7265625</v>
      </c>
      <c r="AG20" s="21"/>
      <c r="AH20" s="9">
        <f t="shared" si="13"/>
        <v>77.51953125</v>
      </c>
      <c r="AI20" s="9">
        <f t="shared" si="14"/>
        <v>2731.4061539014201</v>
      </c>
      <c r="AJ20" s="9">
        <f t="shared" si="15"/>
        <v>272.86875000000003</v>
      </c>
      <c r="AK20" s="9">
        <f t="shared" ref="AK20:AK83" si="17">AH20-AH19</f>
        <v>3.69140625</v>
      </c>
      <c r="AL20" s="9">
        <f t="shared" ref="AL20:AL83" si="18">AI20-AI19</f>
        <v>128.94993093288531</v>
      </c>
      <c r="AM20" s="9">
        <f t="shared" ref="AM20:AM83" si="19">AJ20-AJ19</f>
        <v>12.993750000000034</v>
      </c>
    </row>
    <row r="21" spans="1:39" ht="14.25" customHeight="1" x14ac:dyDescent="0.2">
      <c r="B21" s="6">
        <f>B18/B19</f>
        <v>2.6532977051444209</v>
      </c>
      <c r="D21" s="1">
        <v>4</v>
      </c>
      <c r="E21" s="6">
        <f t="shared" si="7"/>
        <v>11.576250000000002</v>
      </c>
      <c r="F21" s="6">
        <f t="shared" si="3"/>
        <v>115.76250000000002</v>
      </c>
      <c r="G21" s="6">
        <f t="shared" si="3"/>
        <v>12.733875000000001</v>
      </c>
      <c r="H21" s="6">
        <v>0.4</v>
      </c>
      <c r="I21" s="6">
        <v>1.5</v>
      </c>
      <c r="J21" s="6">
        <v>1</v>
      </c>
      <c r="K21" s="25">
        <f t="shared" si="8"/>
        <v>1.0495035817179514</v>
      </c>
      <c r="L21" s="6">
        <f t="shared" si="9"/>
        <v>506.46093750000011</v>
      </c>
      <c r="M21" s="6">
        <f t="shared" si="10"/>
        <v>8600.0534953476981</v>
      </c>
      <c r="N21" s="6">
        <f t="shared" si="11"/>
        <v>955.04062500000009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5">
        <v>4</v>
      </c>
      <c r="T21" s="6">
        <f>VLOOKUP($S$13,角色设定!$AB$9:$AJ$21,MATCH(E$17,角色设定!$AB$9:$AJ$9,0),0)*Z21*$L$15*E21/Y21/(1+W21*(X21-1))</f>
        <v>271.318359375</v>
      </c>
      <c r="U21" s="6">
        <f>VLOOKUP($S$13,角色设定!$AB$9:$AJ$21,MATCH(F$17,角色设定!$AB$9:$AJ$9,0),0)*F21*$L$15/(1+V21/$N$16)</f>
        <v>9555.6149948307757</v>
      </c>
      <c r="V21" s="6">
        <f>VLOOKUP($S$13,角色设定!$AB$9:$AJ$21,MATCH(V$17,角色设定!$AB$9:$AJ$9,0),0)*G21*$L$15</f>
        <v>955.04062500000009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T21*战斗公式!$E$38*(1+W21*(X21-1))*Y21</f>
        <v>7325.595703125</v>
      </c>
      <c r="AD21" s="6">
        <f>U21*战斗公式!$E$40*(1+V21*战斗公式!$E$39)</f>
        <v>9646.8750000000018</v>
      </c>
      <c r="AE21" s="21">
        <f t="shared" si="12"/>
        <v>16972.470703125</v>
      </c>
      <c r="AF21" s="21">
        <f t="shared" si="16"/>
        <v>808.212890625</v>
      </c>
      <c r="AG21" s="21"/>
      <c r="AH21" s="9">
        <f t="shared" si="13"/>
        <v>81.3955078125</v>
      </c>
      <c r="AI21" s="9">
        <f t="shared" si="14"/>
        <v>2866.6844984492327</v>
      </c>
      <c r="AJ21" s="9">
        <f t="shared" si="15"/>
        <v>286.51218750000004</v>
      </c>
      <c r="AK21" s="9">
        <f t="shared" si="17"/>
        <v>3.8759765625</v>
      </c>
      <c r="AL21" s="9">
        <f t="shared" si="18"/>
        <v>135.27834454781259</v>
      </c>
      <c r="AM21" s="9">
        <f t="shared" si="19"/>
        <v>13.643437500000005</v>
      </c>
    </row>
    <row r="22" spans="1:39" ht="14.25" customHeight="1" x14ac:dyDescent="0.2">
      <c r="B22" s="6">
        <f>B18/B20</f>
        <v>10.921333129289224</v>
      </c>
      <c r="C22" s="6">
        <f>B17/B20</f>
        <v>28.977548129060828</v>
      </c>
      <c r="D22" s="1">
        <v>5</v>
      </c>
      <c r="E22" s="6">
        <f t="shared" si="7"/>
        <v>12.1550625</v>
      </c>
      <c r="F22" s="6">
        <f t="shared" si="3"/>
        <v>121.550625</v>
      </c>
      <c r="G22" s="6">
        <f t="shared" si="3"/>
        <v>13.37056875</v>
      </c>
      <c r="H22" s="6">
        <v>0.4</v>
      </c>
      <c r="I22" s="6">
        <v>1.5</v>
      </c>
      <c r="J22" s="6">
        <v>1</v>
      </c>
      <c r="K22" s="25">
        <f t="shared" si="8"/>
        <v>1.04947901942813</v>
      </c>
      <c r="L22" s="6">
        <f t="shared" si="9"/>
        <v>531.78398437499993</v>
      </c>
      <c r="M22" s="6">
        <f t="shared" si="10"/>
        <v>9025.7869463333973</v>
      </c>
      <c r="N22" s="6">
        <f t="shared" si="11"/>
        <v>1002.7926562500001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5">
        <v>5</v>
      </c>
      <c r="T22" s="6">
        <f>VLOOKUP($S$13,角色设定!$AB$9:$AJ$21,MATCH(E$17,角色设定!$AB$9:$AJ$9,0),0)*Z22*$L$15*E22/Y22/(1+W22*(X22-1))</f>
        <v>284.88427734375</v>
      </c>
      <c r="U22" s="6">
        <f>VLOOKUP($S$13,角色设定!$AB$9:$AJ$21,MATCH(F$17,角色设定!$AB$9:$AJ$9,0),0)*F22*$L$15/(1+V22/$N$16)</f>
        <v>10028.652162592663</v>
      </c>
      <c r="V22" s="6">
        <f>VLOOKUP($S$13,角色设定!$AB$9:$AJ$21,MATCH(V$17,角色设定!$AB$9:$AJ$9,0),0)*G22*$L$15</f>
        <v>1002.7926562500001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T22*战斗公式!$E$38*(1+W22*(X22-1))*Y22</f>
        <v>7691.87548828125</v>
      </c>
      <c r="AD22" s="6">
        <f>U22*战斗公式!$E$40*(1+V22*战斗公式!$E$39)</f>
        <v>10129.21875</v>
      </c>
      <c r="AE22" s="21">
        <f t="shared" si="12"/>
        <v>17821.09423828125</v>
      </c>
      <c r="AF22" s="21">
        <f t="shared" si="16"/>
        <v>848.62353515625</v>
      </c>
      <c r="AG22" s="21"/>
      <c r="AH22" s="9">
        <f t="shared" si="13"/>
        <v>85.465283203124997</v>
      </c>
      <c r="AI22" s="9">
        <f t="shared" si="14"/>
        <v>3008.5956487777989</v>
      </c>
      <c r="AJ22" s="9">
        <f t="shared" si="15"/>
        <v>300.83779687499998</v>
      </c>
      <c r="AK22" s="9">
        <f t="shared" si="17"/>
        <v>4.0697753906249972</v>
      </c>
      <c r="AL22" s="9">
        <f t="shared" si="18"/>
        <v>141.91115032856624</v>
      </c>
      <c r="AM22" s="9">
        <f t="shared" si="19"/>
        <v>14.325609374999942</v>
      </c>
    </row>
    <row r="23" spans="1:39" ht="14.25" customHeight="1" x14ac:dyDescent="0.2">
      <c r="C23" s="6"/>
      <c r="D23" s="1">
        <v>6</v>
      </c>
      <c r="E23" s="6">
        <f t="shared" si="7"/>
        <v>12.762815625000002</v>
      </c>
      <c r="F23" s="6">
        <f t="shared" si="3"/>
        <v>127.62815625000002</v>
      </c>
      <c r="G23" s="6">
        <f t="shared" si="3"/>
        <v>14.039097187500001</v>
      </c>
      <c r="H23" s="6">
        <v>0.4</v>
      </c>
      <c r="I23" s="6">
        <v>1.5</v>
      </c>
      <c r="J23" s="6">
        <v>1</v>
      </c>
      <c r="K23" s="25">
        <f t="shared" si="8"/>
        <v>1.0494532552429321</v>
      </c>
      <c r="L23" s="6">
        <f t="shared" si="9"/>
        <v>558.37318359375001</v>
      </c>
      <c r="M23" s="6">
        <f t="shared" si="10"/>
        <v>9472.37403400519</v>
      </c>
      <c r="N23" s="6">
        <f t="shared" si="11"/>
        <v>1052.9322890625001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5">
        <v>6</v>
      </c>
      <c r="T23" s="6">
        <f>VLOOKUP($S$13,角色设定!$AB$9:$AJ$21,MATCH(E$17,角色设定!$AB$9:$AJ$9,0),0)*Z23*$L$15*E23/Y23/(1+W23*(X23-1))</f>
        <v>299.12849121093751</v>
      </c>
      <c r="U23" s="6">
        <f>VLOOKUP($S$13,角色设定!$AB$9:$AJ$21,MATCH(F$17,角色设定!$AB$9:$AJ$9,0),0)*F23*$L$15/(1+V23/$N$16)</f>
        <v>10524.860037783546</v>
      </c>
      <c r="V23" s="6">
        <f>VLOOKUP($S$13,角色设定!$AB$9:$AJ$21,MATCH(V$17,角色设定!$AB$9:$AJ$9,0),0)*G23*$L$15</f>
        <v>1052.9322890625001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T23*战斗公式!$E$38*(1+W23*(X23-1))*Y23</f>
        <v>8076.4692626953129</v>
      </c>
      <c r="AD23" s="6">
        <f>U23*战斗公式!$E$40*(1+V23*战斗公式!$E$39)</f>
        <v>10635.679687500004</v>
      </c>
      <c r="AE23" s="21">
        <f t="shared" si="12"/>
        <v>18712.148950195318</v>
      </c>
      <c r="AF23" s="21">
        <f t="shared" si="16"/>
        <v>891.05471191406832</v>
      </c>
      <c r="AG23" s="21"/>
      <c r="AH23" s="9">
        <f t="shared" si="13"/>
        <v>89.738547363281256</v>
      </c>
      <c r="AI23" s="9">
        <f t="shared" si="14"/>
        <v>3157.4580113350639</v>
      </c>
      <c r="AJ23" s="9">
        <f t="shared" si="15"/>
        <v>315.87968671875001</v>
      </c>
      <c r="AK23" s="9">
        <f t="shared" si="17"/>
        <v>4.2732641601562591</v>
      </c>
      <c r="AL23" s="9">
        <f t="shared" si="18"/>
        <v>148.86236255726499</v>
      </c>
      <c r="AM23" s="9">
        <f t="shared" si="19"/>
        <v>15.041889843750027</v>
      </c>
    </row>
    <row r="24" spans="1:39" ht="14.25" customHeight="1" x14ac:dyDescent="0.2">
      <c r="D24" s="1">
        <v>7</v>
      </c>
      <c r="E24" s="6">
        <f t="shared" si="7"/>
        <v>13.40095640625</v>
      </c>
      <c r="F24" s="6">
        <f t="shared" si="3"/>
        <v>134.0095640625</v>
      </c>
      <c r="G24" s="6">
        <f t="shared" si="3"/>
        <v>14.741052046875</v>
      </c>
      <c r="H24" s="6">
        <v>0.4</v>
      </c>
      <c r="I24" s="6">
        <v>1.5</v>
      </c>
      <c r="J24" s="6">
        <v>1</v>
      </c>
      <c r="K24" s="25">
        <f t="shared" si="8"/>
        <v>1.0494262317098835</v>
      </c>
      <c r="L24" s="6">
        <f t="shared" si="9"/>
        <v>586.29184277343745</v>
      </c>
      <c r="M24" s="6">
        <f t="shared" si="10"/>
        <v>9940.8137648653719</v>
      </c>
      <c r="N24" s="6">
        <f t="shared" si="11"/>
        <v>1105.5789035156249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5">
        <v>7</v>
      </c>
      <c r="T24" s="6">
        <f>VLOOKUP($S$13,角色设定!$AB$9:$AJ$21,MATCH(E$17,角色设定!$AB$9:$AJ$9,0),0)*Z24*$L$15*E24/Y24/(1+W24*(X24-1))</f>
        <v>314.08491577148442</v>
      </c>
      <c r="U24" s="6">
        <f>VLOOKUP($S$13,角色设定!$AB$9:$AJ$21,MATCH(F$17,角色设定!$AB$9:$AJ$9,0),0)*F24*$L$15/(1+V24/$N$16)</f>
        <v>11045.348627628193</v>
      </c>
      <c r="V24" s="6">
        <f>VLOOKUP($S$13,角色设定!$AB$9:$AJ$21,MATCH(V$17,角色设定!$AB$9:$AJ$9,0),0)*G24*$L$15</f>
        <v>1105.5789035156249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T24*战斗公式!$E$38*(1+W24*(X24-1))*Y24</f>
        <v>8480.2927258300788</v>
      </c>
      <c r="AD24" s="6">
        <f>U24*战斗公式!$E$40*(1+V24*战斗公式!$E$39)</f>
        <v>11167.463671875001</v>
      </c>
      <c r="AE24" s="21">
        <f t="shared" si="12"/>
        <v>19647.756397705081</v>
      </c>
      <c r="AF24" s="21">
        <f t="shared" si="16"/>
        <v>935.60744750976301</v>
      </c>
      <c r="AG24" s="21"/>
      <c r="AH24" s="9">
        <f t="shared" si="13"/>
        <v>94.225474731445317</v>
      </c>
      <c r="AI24" s="9">
        <f t="shared" si="14"/>
        <v>3313.6045882884578</v>
      </c>
      <c r="AJ24" s="9">
        <f t="shared" si="15"/>
        <v>331.67367105468747</v>
      </c>
      <c r="AK24" s="9">
        <f t="shared" si="17"/>
        <v>4.4869273681640607</v>
      </c>
      <c r="AL24" s="9">
        <f t="shared" si="18"/>
        <v>156.14657695339383</v>
      </c>
      <c r="AM24" s="9">
        <f t="shared" si="19"/>
        <v>15.793984335937466</v>
      </c>
    </row>
    <row r="25" spans="1:39" ht="14.25" customHeight="1" x14ac:dyDescent="0.2">
      <c r="B25" s="31"/>
      <c r="C25" s="6"/>
      <c r="D25" s="1">
        <v>8</v>
      </c>
      <c r="E25" s="6">
        <f t="shared" si="7"/>
        <v>14.071004226562502</v>
      </c>
      <c r="F25" s="6">
        <f t="shared" si="3"/>
        <v>140.71004226562502</v>
      </c>
      <c r="G25" s="6">
        <f t="shared" si="3"/>
        <v>15.478104649218754</v>
      </c>
      <c r="H25" s="6">
        <v>0.4</v>
      </c>
      <c r="I25" s="6">
        <v>1.5</v>
      </c>
      <c r="J25" s="6">
        <v>1</v>
      </c>
      <c r="K25" s="25">
        <f t="shared" si="8"/>
        <v>1.0493978887677098</v>
      </c>
      <c r="L25" s="6">
        <f t="shared" si="9"/>
        <v>615.60643491210942</v>
      </c>
      <c r="M25" s="6">
        <f t="shared" si="10"/>
        <v>10432.150729392408</v>
      </c>
      <c r="N25" s="6">
        <f t="shared" si="11"/>
        <v>1160.8578486914066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5">
        <v>8</v>
      </c>
      <c r="T25" s="6">
        <f>VLOOKUP($S$13,角色设定!$AB$9:$AJ$21,MATCH(E$17,角色设定!$AB$9:$AJ$9,0),0)*Z25*$L$15*E25/Y25/(1+W25*(X25-1))</f>
        <v>329.78916156005869</v>
      </c>
      <c r="U25" s="6">
        <f>VLOOKUP($S$13,角色设定!$AB$9:$AJ$21,MATCH(F$17,角色设定!$AB$9:$AJ$9,0),0)*F25*$L$15/(1+V25/$N$16)</f>
        <v>11591.278588213787</v>
      </c>
      <c r="V25" s="6">
        <f>VLOOKUP($S$13,角色设定!$AB$9:$AJ$21,MATCH(V$17,角色设定!$AB$9:$AJ$9,0),0)*G25*$L$15</f>
        <v>1160.8578486914066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T25*战斗公式!$E$38*(1+W25*(X25-1))*Y25</f>
        <v>8904.3073621215863</v>
      </c>
      <c r="AD25" s="6">
        <f>U25*战斗公式!$E$40*(1+V25*战斗公式!$E$39)</f>
        <v>11725.836855468751</v>
      </c>
      <c r="AE25" s="21">
        <f t="shared" si="12"/>
        <v>20630.144217590336</v>
      </c>
      <c r="AF25" s="21">
        <f t="shared" si="16"/>
        <v>982.38781988525443</v>
      </c>
      <c r="AG25" s="21"/>
      <c r="AH25" s="9">
        <f t="shared" si="13"/>
        <v>98.936748468017598</v>
      </c>
      <c r="AI25" s="9">
        <f t="shared" si="14"/>
        <v>3477.3835764641358</v>
      </c>
      <c r="AJ25" s="9">
        <f t="shared" si="15"/>
        <v>348.25735460742197</v>
      </c>
      <c r="AK25" s="9">
        <f t="shared" si="17"/>
        <v>4.7112737365722808</v>
      </c>
      <c r="AL25" s="9">
        <f t="shared" si="18"/>
        <v>163.77898817567802</v>
      </c>
      <c r="AM25" s="9">
        <f t="shared" si="19"/>
        <v>16.583683552734499</v>
      </c>
    </row>
    <row r="26" spans="1:39" ht="14.25" customHeight="1" x14ac:dyDescent="0.2">
      <c r="B26" s="31"/>
      <c r="C26" s="6"/>
      <c r="D26" s="1">
        <v>9</v>
      </c>
      <c r="E26" s="6">
        <f t="shared" si="7"/>
        <v>14.774554437890625</v>
      </c>
      <c r="F26" s="6">
        <f t="shared" si="3"/>
        <v>147.74554437890626</v>
      </c>
      <c r="G26" s="6">
        <f t="shared" si="3"/>
        <v>16.252009881679687</v>
      </c>
      <c r="H26" s="6">
        <v>0.4</v>
      </c>
      <c r="I26" s="6">
        <v>1.5</v>
      </c>
      <c r="J26" s="6">
        <v>1</v>
      </c>
      <c r="K26" s="25">
        <f t="shared" si="8"/>
        <v>1.0493681636418632</v>
      </c>
      <c r="L26" s="6">
        <f t="shared" si="9"/>
        <v>646.38675665771484</v>
      </c>
      <c r="M26" s="6">
        <f t="shared" si="10"/>
        <v>10947.476950730916</v>
      </c>
      <c r="N26" s="6">
        <f t="shared" si="11"/>
        <v>1218.9007411259765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5">
        <v>9</v>
      </c>
      <c r="T26" s="6">
        <f>VLOOKUP($S$13,角色设定!$AB$9:$AJ$21,MATCH(E$17,角色设定!$AB$9:$AJ$9,0),0)*Z26*$L$15*E26/Y26/(1+W26*(X26-1))</f>
        <v>346.27861963806157</v>
      </c>
      <c r="U26" s="6">
        <f>VLOOKUP($S$13,角色设定!$AB$9:$AJ$21,MATCH(F$17,角色设定!$AB$9:$AJ$9,0),0)*F26*$L$15/(1+V26/$N$16)</f>
        <v>12163.863278589904</v>
      </c>
      <c r="V26" s="6">
        <f>VLOOKUP($S$13,角色设定!$AB$9:$AJ$21,MATCH(V$17,角色设定!$AB$9:$AJ$9,0),0)*G26*$L$15</f>
        <v>1218.9007411259765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T26*战斗公式!$E$38*(1+W26*(X26-1))*Y26</f>
        <v>9349.5227302276617</v>
      </c>
      <c r="AD26" s="6">
        <f>U26*战斗公式!$E$40*(1+V26*战斗公式!$E$39)</f>
        <v>12312.128698242188</v>
      </c>
      <c r="AE26" s="21">
        <f t="shared" si="12"/>
        <v>21661.65142846985</v>
      </c>
      <c r="AF26" s="21">
        <f t="shared" si="16"/>
        <v>1031.5072108795139</v>
      </c>
      <c r="AG26" s="21"/>
      <c r="AH26" s="9">
        <f t="shared" si="13"/>
        <v>103.88358589141846</v>
      </c>
      <c r="AI26" s="9">
        <f t="shared" si="14"/>
        <v>3649.1589835769714</v>
      </c>
      <c r="AJ26" s="9">
        <f t="shared" si="15"/>
        <v>365.67022233779295</v>
      </c>
      <c r="AK26" s="9">
        <f t="shared" si="17"/>
        <v>4.946837423400865</v>
      </c>
      <c r="AL26" s="9">
        <f t="shared" si="18"/>
        <v>171.77540711283564</v>
      </c>
      <c r="AM26" s="9">
        <f t="shared" si="19"/>
        <v>17.412867730370976</v>
      </c>
    </row>
    <row r="27" spans="1:39" ht="14.25" customHeight="1" x14ac:dyDescent="0.2">
      <c r="B27" s="31"/>
      <c r="C27" s="6"/>
      <c r="D27" s="1">
        <v>10</v>
      </c>
      <c r="E27" s="6">
        <f t="shared" si="7"/>
        <v>15.513282159785158</v>
      </c>
      <c r="F27" s="6">
        <f t="shared" si="3"/>
        <v>155.13282159785157</v>
      </c>
      <c r="G27" s="6">
        <f t="shared" si="3"/>
        <v>17.064610375763674</v>
      </c>
      <c r="H27" s="6">
        <v>0.4</v>
      </c>
      <c r="I27" s="6">
        <v>1.5</v>
      </c>
      <c r="J27" s="6">
        <v>1</v>
      </c>
      <c r="K27" s="25">
        <f t="shared" si="8"/>
        <v>1.0493369907373147</v>
      </c>
      <c r="L27" s="6">
        <f t="shared" si="9"/>
        <v>678.70609449060055</v>
      </c>
      <c r="M27" s="6">
        <f t="shared" si="10"/>
        <v>11487.933784300127</v>
      </c>
      <c r="N27" s="6">
        <f t="shared" si="11"/>
        <v>1279.8457781822756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5">
        <v>10</v>
      </c>
      <c r="T27" s="6">
        <f>VLOOKUP($S$13,角色设定!$AB$9:$AJ$21,MATCH(E$17,角色设定!$AB$9:$AJ$9,0),0)*Z27*$L$15*E27/Y27/(1+W27*(X27-1))</f>
        <v>363.59255061996464</v>
      </c>
      <c r="U27" s="6">
        <f>VLOOKUP($S$13,角色设定!$AB$9:$AJ$21,MATCH(F$17,角色设定!$AB$9:$AJ$9,0),0)*F27*$L$15/(1+V27/$N$16)</f>
        <v>12764.370871444586</v>
      </c>
      <c r="V27" s="6">
        <f>VLOOKUP($S$13,角色设定!$AB$9:$AJ$21,MATCH(V$17,角色设定!$AB$9:$AJ$9,0),0)*G27*$L$15</f>
        <v>1279.8457781822756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T27*战斗公式!$E$38*(1+W27*(X27-1))*Y27</f>
        <v>9816.9988667390444</v>
      </c>
      <c r="AD27" s="6">
        <f>U27*战斗公式!$E$40*(1+V27*战斗公式!$E$39)</f>
        <v>12927.735133154298</v>
      </c>
      <c r="AE27" s="21">
        <f t="shared" si="12"/>
        <v>22744.733999893342</v>
      </c>
      <c r="AF27" s="21">
        <f t="shared" si="16"/>
        <v>1083.0825714234925</v>
      </c>
      <c r="AG27" s="21"/>
      <c r="AH27" s="9">
        <f t="shared" si="13"/>
        <v>109.07776518598939</v>
      </c>
      <c r="AI27" s="9">
        <f t="shared" si="14"/>
        <v>3829.3112614333754</v>
      </c>
      <c r="AJ27" s="9">
        <f t="shared" si="15"/>
        <v>383.95373345468266</v>
      </c>
      <c r="AK27" s="9">
        <f t="shared" si="17"/>
        <v>5.1941792945709295</v>
      </c>
      <c r="AL27" s="9">
        <f t="shared" si="18"/>
        <v>180.152277856404</v>
      </c>
      <c r="AM27" s="9">
        <f t="shared" si="19"/>
        <v>18.283511116889713</v>
      </c>
    </row>
    <row r="28" spans="1:39" ht="14.25" customHeight="1" x14ac:dyDescent="0.2">
      <c r="B28" s="31"/>
      <c r="C28" s="6"/>
      <c r="D28" s="1">
        <v>11</v>
      </c>
      <c r="E28" s="6">
        <f t="shared" si="7"/>
        <v>16.288946267774417</v>
      </c>
      <c r="F28" s="6">
        <f t="shared" si="3"/>
        <v>162.88946267774415</v>
      </c>
      <c r="G28" s="6">
        <f t="shared" si="3"/>
        <v>17.917840894551858</v>
      </c>
      <c r="H28" s="6">
        <v>0.4</v>
      </c>
      <c r="I28" s="6">
        <v>1.5</v>
      </c>
      <c r="J28" s="6">
        <v>1</v>
      </c>
      <c r="K28" s="25">
        <f t="shared" si="8"/>
        <v>1.0493043015287111</v>
      </c>
      <c r="L28" s="6">
        <f t="shared" si="9"/>
        <v>712.64139921513072</v>
      </c>
      <c r="M28" s="6">
        <f t="shared" si="10"/>
        <v>12054.713867007025</v>
      </c>
      <c r="N28" s="6">
        <f t="shared" si="11"/>
        <v>1343.8380670913893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5">
        <v>11</v>
      </c>
      <c r="T28" s="6">
        <f>VLOOKUP($S$13,角色设定!$AB$9:$AJ$21,MATCH(E$17,角色设定!$AB$9:$AJ$9,0),0)*Z28*$L$15*E28/Y28/(1+W28*(X28-1))</f>
        <v>381.77217815096293</v>
      </c>
      <c r="U28" s="6">
        <f>VLOOKUP($S$13,角色设定!$AB$9:$AJ$21,MATCH(F$17,角色设定!$AB$9:$AJ$9,0),0)*F28*$L$15/(1+V28/$N$16)</f>
        <v>13394.126518896695</v>
      </c>
      <c r="V28" s="6">
        <f>VLOOKUP($S$13,角色设定!$AB$9:$AJ$21,MATCH(V$17,角色设定!$AB$9:$AJ$9,0),0)*G28*$L$15</f>
        <v>1343.8380670913893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T28*战斗公式!$E$38*(1+W28*(X28-1))*Y28</f>
        <v>10307.848810076001</v>
      </c>
      <c r="AD28" s="6">
        <f>U28*战斗公式!$E$40*(1+V28*战斗公式!$E$39)</f>
        <v>13574.121889812013</v>
      </c>
      <c r="AE28" s="21">
        <f t="shared" si="12"/>
        <v>23881.970699888014</v>
      </c>
      <c r="AF28" s="21">
        <f t="shared" si="16"/>
        <v>1137.2366999946717</v>
      </c>
      <c r="AG28" s="21"/>
      <c r="AH28" s="9">
        <f t="shared" si="13"/>
        <v>114.53165344528888</v>
      </c>
      <c r="AI28" s="9">
        <f t="shared" si="14"/>
        <v>4018.2379556690084</v>
      </c>
      <c r="AJ28" s="9">
        <f t="shared" si="15"/>
        <v>403.15142012741677</v>
      </c>
      <c r="AK28" s="9">
        <f t="shared" si="17"/>
        <v>5.4538882592994895</v>
      </c>
      <c r="AL28" s="9">
        <f t="shared" si="18"/>
        <v>188.92669423563302</v>
      </c>
      <c r="AM28" s="9">
        <f t="shared" si="19"/>
        <v>19.197686672734108</v>
      </c>
    </row>
    <row r="29" spans="1:39" ht="14.25" customHeight="1" x14ac:dyDescent="0.2">
      <c r="B29" s="31"/>
      <c r="C29" s="6"/>
      <c r="D29" s="1">
        <v>12</v>
      </c>
      <c r="E29" s="6">
        <f t="shared" si="7"/>
        <v>17.103393581163139</v>
      </c>
      <c r="F29" s="6">
        <f t="shared" si="3"/>
        <v>171.03393581163138</v>
      </c>
      <c r="G29" s="6">
        <f t="shared" si="3"/>
        <v>18.813732939279451</v>
      </c>
      <c r="H29" s="6">
        <v>0.4</v>
      </c>
      <c r="I29" s="6">
        <v>1.5</v>
      </c>
      <c r="J29" s="6">
        <v>1</v>
      </c>
      <c r="K29" s="25">
        <f t="shared" si="8"/>
        <v>1.0492700244480215</v>
      </c>
      <c r="L29" s="6">
        <f t="shared" si="9"/>
        <v>748.27346917588739</v>
      </c>
      <c r="M29" s="6">
        <f t="shared" si="10"/>
        <v>12649.063114348275</v>
      </c>
      <c r="N29" s="6">
        <f t="shared" si="11"/>
        <v>1411.0299704459587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5">
        <v>12</v>
      </c>
      <c r="T29" s="6">
        <f>VLOOKUP($S$13,角色设定!$AB$9:$AJ$21,MATCH(E$17,角色设定!$AB$9:$AJ$9,0),0)*Z29*$L$15*E29/Y29/(1+W29*(X29-1))</f>
        <v>400.86078705851111</v>
      </c>
      <c r="U29" s="6">
        <f>VLOOKUP($S$13,角色设定!$AB$9:$AJ$21,MATCH(F$17,角色设定!$AB$9:$AJ$9,0),0)*F29*$L$15/(1+V29/$N$16)</f>
        <v>14054.514571498084</v>
      </c>
      <c r="V29" s="6">
        <f>VLOOKUP($S$13,角色设定!$AB$9:$AJ$21,MATCH(V$17,角色设定!$AB$9:$AJ$9,0),0)*G29*$L$15</f>
        <v>1411.0299704459587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T29*战斗公式!$E$38*(1+W29*(X29-1))*Y29</f>
        <v>10823.2412505798</v>
      </c>
      <c r="AD29" s="6">
        <f>U29*战斗公式!$E$40*(1+V29*战斗公式!$E$39)</f>
        <v>14252.827984302616</v>
      </c>
      <c r="AE29" s="21">
        <f t="shared" si="12"/>
        <v>25076.069234882416</v>
      </c>
      <c r="AF29" s="21">
        <f t="shared" si="16"/>
        <v>1194.0985349944021</v>
      </c>
      <c r="AG29" s="21"/>
      <c r="AH29" s="9">
        <f t="shared" si="13"/>
        <v>120.25823611755332</v>
      </c>
      <c r="AI29" s="9">
        <f t="shared" si="14"/>
        <v>4216.3543714494253</v>
      </c>
      <c r="AJ29" s="9">
        <f t="shared" si="15"/>
        <v>423.30899113378763</v>
      </c>
      <c r="AK29" s="9">
        <f t="shared" si="17"/>
        <v>5.726582672264442</v>
      </c>
      <c r="AL29" s="9">
        <f t="shared" si="18"/>
        <v>198.1164157804169</v>
      </c>
      <c r="AM29" s="9">
        <f t="shared" si="19"/>
        <v>20.157571006370858</v>
      </c>
    </row>
    <row r="30" spans="1:39" ht="14.25" customHeight="1" x14ac:dyDescent="0.2">
      <c r="B30" s="31"/>
      <c r="C30" s="6"/>
      <c r="D30" s="1">
        <v>13</v>
      </c>
      <c r="E30" s="6">
        <f t="shared" si="7"/>
        <v>17.958563260221293</v>
      </c>
      <c r="F30" s="6">
        <f t="shared" si="3"/>
        <v>179.58563260221291</v>
      </c>
      <c r="G30" s="6">
        <f t="shared" si="3"/>
        <v>19.754419586243422</v>
      </c>
      <c r="H30" s="6">
        <v>0.4</v>
      </c>
      <c r="I30" s="6">
        <v>1.5</v>
      </c>
      <c r="J30" s="6">
        <v>1</v>
      </c>
      <c r="K30" s="25">
        <f t="shared" si="8"/>
        <v>1.0492340847698163</v>
      </c>
      <c r="L30" s="6">
        <f t="shared" si="9"/>
        <v>785.68714263468155</v>
      </c>
      <c r="M30" s="6">
        <f t="shared" si="10"/>
        <v>13272.282763236783</v>
      </c>
      <c r="N30" s="6">
        <f t="shared" si="11"/>
        <v>1481.5814689682566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5">
        <v>13</v>
      </c>
      <c r="T30" s="6">
        <f>VLOOKUP($S$13,角色设定!$AB$9:$AJ$21,MATCH(E$17,角色设定!$AB$9:$AJ$9,0),0)*Z30*$L$15*E30/Y30/(1+W30*(X30-1))</f>
        <v>420.90382641143657</v>
      </c>
      <c r="U30" s="6">
        <f>VLOOKUP($S$13,角色设定!$AB$9:$AJ$21,MATCH(F$17,角色设定!$AB$9:$AJ$9,0),0)*F30*$L$15/(1+V30/$N$16)</f>
        <v>14746.980848040872</v>
      </c>
      <c r="V30" s="6">
        <f>VLOOKUP($S$13,角色设定!$AB$9:$AJ$21,MATCH(V$17,角色设定!$AB$9:$AJ$9,0),0)*G30*$L$15</f>
        <v>1481.5814689682566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T30*战斗公式!$E$38*(1+W30*(X30-1))*Y30</f>
        <v>11364.403313108789</v>
      </c>
      <c r="AD30" s="6">
        <f>U30*战斗公式!$E$40*(1+V30*战斗公式!$E$39)</f>
        <v>14965.469383517744</v>
      </c>
      <c r="AE30" s="21">
        <f t="shared" si="12"/>
        <v>26329.872696626531</v>
      </c>
      <c r="AF30" s="21">
        <f t="shared" si="16"/>
        <v>1253.8034617441153</v>
      </c>
      <c r="AG30" s="21"/>
      <c r="AH30" s="9">
        <f t="shared" si="13"/>
        <v>126.27114792343096</v>
      </c>
      <c r="AI30" s="9">
        <f t="shared" si="14"/>
        <v>4424.0942544122618</v>
      </c>
      <c r="AJ30" s="9">
        <f t="shared" si="15"/>
        <v>444.47444069047697</v>
      </c>
      <c r="AK30" s="9">
        <f t="shared" si="17"/>
        <v>6.0129118058776356</v>
      </c>
      <c r="AL30" s="9">
        <f t="shared" si="18"/>
        <v>207.73988296283642</v>
      </c>
      <c r="AM30" s="9">
        <f t="shared" si="19"/>
        <v>21.165449556689339</v>
      </c>
    </row>
    <row r="31" spans="1:39" ht="14.25" customHeight="1" x14ac:dyDescent="0.2">
      <c r="B31" s="6"/>
      <c r="D31" s="1">
        <v>14</v>
      </c>
      <c r="E31" s="6">
        <f t="shared" si="7"/>
        <v>18.856491423232359</v>
      </c>
      <c r="F31" s="6">
        <f t="shared" si="3"/>
        <v>188.56491423232359</v>
      </c>
      <c r="G31" s="6">
        <f t="shared" si="3"/>
        <v>20.742140565555594</v>
      </c>
      <c r="H31" s="6">
        <v>0.4</v>
      </c>
      <c r="I31" s="6">
        <v>1.5</v>
      </c>
      <c r="J31" s="6">
        <v>1</v>
      </c>
      <c r="K31" s="25">
        <f t="shared" si="8"/>
        <v>1.0491964044943434</v>
      </c>
      <c r="L31" s="6">
        <f t="shared" si="9"/>
        <v>824.97149976641583</v>
      </c>
      <c r="M31" s="6">
        <f t="shared" si="10"/>
        <v>13925.731457890954</v>
      </c>
      <c r="N31" s="6">
        <f t="shared" si="11"/>
        <v>1555.6605424166696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5">
        <v>14</v>
      </c>
      <c r="T31" s="6">
        <f>VLOOKUP($S$13,角色设定!$AB$9:$AJ$21,MATCH(E$17,角色设定!$AB$9:$AJ$9,0),0)*Z31*$L$15*E31/Y31/(1+W31*(X31-1))</f>
        <v>441.94901773200849</v>
      </c>
      <c r="U31" s="6">
        <f>VLOOKUP($S$13,角色设定!$AB$9:$AJ$21,MATCH(F$17,角色设定!$AB$9:$AJ$9,0),0)*F31*$L$15/(1+V31/$N$16)</f>
        <v>15473.034953212173</v>
      </c>
      <c r="V31" s="6">
        <f>VLOOKUP($S$13,角色设定!$AB$9:$AJ$21,MATCH(V$17,角色设定!$AB$9:$AJ$9,0),0)*G31*$L$15</f>
        <v>1555.6605424166696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T31*战斗公式!$E$38*(1+W31*(X31-1))*Y31</f>
        <v>11932.62347876423</v>
      </c>
      <c r="AD31" s="6">
        <f>U31*战斗公式!$E$40*(1+V31*战斗公式!$E$39)</f>
        <v>15713.742852693635</v>
      </c>
      <c r="AE31" s="21">
        <f t="shared" si="12"/>
        <v>27646.366331457866</v>
      </c>
      <c r="AF31" s="21">
        <f t="shared" si="16"/>
        <v>1316.4936348313349</v>
      </c>
      <c r="AG31" s="21"/>
      <c r="AH31" s="9">
        <f t="shared" si="13"/>
        <v>132.58470531960253</v>
      </c>
      <c r="AI31" s="9">
        <f t="shared" si="14"/>
        <v>4641.9104859636518</v>
      </c>
      <c r="AJ31" s="9">
        <f t="shared" si="15"/>
        <v>466.69816272500088</v>
      </c>
      <c r="AK31" s="9">
        <f t="shared" si="17"/>
        <v>6.313557396171575</v>
      </c>
      <c r="AL31" s="9">
        <f t="shared" si="18"/>
        <v>217.81623155139005</v>
      </c>
      <c r="AM31" s="9">
        <f t="shared" si="19"/>
        <v>22.223722034523917</v>
      </c>
    </row>
    <row r="32" spans="1:39" ht="14.25" customHeight="1" x14ac:dyDescent="0.2">
      <c r="B32" s="6"/>
      <c r="D32" s="1">
        <v>15</v>
      </c>
      <c r="E32" s="6">
        <f t="shared" si="7"/>
        <v>19.799315994393972</v>
      </c>
      <c r="F32" s="6">
        <f t="shared" si="3"/>
        <v>197.99315994393973</v>
      </c>
      <c r="G32" s="6">
        <f t="shared" si="3"/>
        <v>21.779247593833372</v>
      </c>
      <c r="H32" s="6">
        <v>0.4</v>
      </c>
      <c r="I32" s="6">
        <v>1.5</v>
      </c>
      <c r="J32" s="6">
        <v>1</v>
      </c>
      <c r="K32" s="25">
        <f t="shared" si="8"/>
        <v>1.0491569022286411</v>
      </c>
      <c r="L32" s="6">
        <f t="shared" si="9"/>
        <v>866.22007475473629</v>
      </c>
      <c r="M32" s="6">
        <f t="shared" si="10"/>
        <v>14610.827375572959</v>
      </c>
      <c r="N32" s="6">
        <f t="shared" si="11"/>
        <v>1633.443569537503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5">
        <v>15</v>
      </c>
      <c r="T32" s="6">
        <f>VLOOKUP($S$13,角色设定!$AB$9:$AJ$21,MATCH(E$17,角色设定!$AB$9:$AJ$9,0),0)*Z32*$L$15*E32/Y32/(1+W32*(X32-1))</f>
        <v>464.04646861860869</v>
      </c>
      <c r="U32" s="6">
        <f>VLOOKUP($S$13,角色设定!$AB$9:$AJ$21,MATCH(F$17,角色设定!$AB$9:$AJ$9,0),0)*F32*$L$15/(1+V32/$N$16)</f>
        <v>16234.252639525512</v>
      </c>
      <c r="V32" s="6">
        <f>VLOOKUP($S$13,角色设定!$AB$9:$AJ$21,MATCH(V$17,角色设定!$AB$9:$AJ$9,0),0)*G32*$L$15</f>
        <v>1633.443569537503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T32*战斗公式!$E$38*(1+W32*(X32-1))*Y32</f>
        <v>12529.254652702435</v>
      </c>
      <c r="AD32" s="6">
        <f>U32*战斗公式!$E$40*(1+V32*战斗公式!$E$39)</f>
        <v>16499.429995328312</v>
      </c>
      <c r="AE32" s="21">
        <f t="shared" si="12"/>
        <v>29028.684648030747</v>
      </c>
      <c r="AF32" s="21">
        <f t="shared" si="16"/>
        <v>1382.3183165728806</v>
      </c>
      <c r="AG32" s="21"/>
      <c r="AH32" s="9">
        <f t="shared" si="13"/>
        <v>139.21394058558261</v>
      </c>
      <c r="AI32" s="9">
        <f t="shared" si="14"/>
        <v>4870.2757918576535</v>
      </c>
      <c r="AJ32" s="9">
        <f t="shared" si="15"/>
        <v>490.03307086125085</v>
      </c>
      <c r="AK32" s="9">
        <f t="shared" si="17"/>
        <v>6.6292352659800713</v>
      </c>
      <c r="AL32" s="9">
        <f t="shared" si="18"/>
        <v>228.36530589400172</v>
      </c>
      <c r="AM32" s="9">
        <f t="shared" si="19"/>
        <v>23.334908136249965</v>
      </c>
    </row>
    <row r="33" spans="4:39" ht="14.25" customHeight="1" x14ac:dyDescent="0.2">
      <c r="D33" s="1">
        <v>16</v>
      </c>
      <c r="E33" s="6">
        <f t="shared" si="7"/>
        <v>20.789281794113677</v>
      </c>
      <c r="F33" s="6">
        <f t="shared" si="3"/>
        <v>207.8928179411368</v>
      </c>
      <c r="G33" s="6">
        <f t="shared" si="3"/>
        <v>22.868209973525047</v>
      </c>
      <c r="H33" s="6">
        <v>0.4</v>
      </c>
      <c r="I33" s="6">
        <v>1.5</v>
      </c>
      <c r="J33" s="6">
        <v>1</v>
      </c>
      <c r="K33" s="25">
        <f t="shared" si="8"/>
        <v>1.049115493065897</v>
      </c>
      <c r="L33" s="6">
        <f t="shared" si="9"/>
        <v>909.53107849247328</v>
      </c>
      <c r="M33" s="6">
        <f t="shared" si="10"/>
        <v>15329.050388353551</v>
      </c>
      <c r="N33" s="6">
        <f t="shared" si="11"/>
        <v>1715.1157480143786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5">
        <v>16</v>
      </c>
      <c r="T33" s="6">
        <f>VLOOKUP($S$13,角色设定!$AB$9:$AJ$21,MATCH(E$17,角色设定!$AB$9:$AJ$9,0),0)*Z33*$L$15*E33/Y33/(1+W33*(X33-1))</f>
        <v>487.2487920495393</v>
      </c>
      <c r="U33" s="6">
        <f>VLOOKUP($S$13,角色设定!$AB$9:$AJ$21,MATCH(F$17,角色设定!$AB$9:$AJ$9,0),0)*F33*$L$15/(1+V33/$N$16)</f>
        <v>17032.278209281725</v>
      </c>
      <c r="V33" s="6">
        <f>VLOOKUP($S$13,角色设定!$AB$9:$AJ$21,MATCH(V$17,角色设定!$AB$9:$AJ$9,0),0)*G33*$L$15</f>
        <v>1715.1157480143786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T33*战斗公式!$E$38*(1+W33*(X33-1))*Y33</f>
        <v>13155.717385337563</v>
      </c>
      <c r="AD33" s="6">
        <f>U33*战斗公式!$E$40*(1+V33*战斗公式!$E$39)</f>
        <v>17324.401495094735</v>
      </c>
      <c r="AE33" s="21">
        <f t="shared" si="12"/>
        <v>30480.118880432296</v>
      </c>
      <c r="AF33" s="21">
        <f t="shared" si="16"/>
        <v>1451.4342324015488</v>
      </c>
      <c r="AG33" s="21"/>
      <c r="AH33" s="9">
        <f t="shared" si="13"/>
        <v>146.17463761486178</v>
      </c>
      <c r="AI33" s="9">
        <f t="shared" si="14"/>
        <v>5109.6834627845174</v>
      </c>
      <c r="AJ33" s="9">
        <f t="shared" si="15"/>
        <v>514.53472440431358</v>
      </c>
      <c r="AK33" s="9">
        <f t="shared" si="17"/>
        <v>6.9606970292791743</v>
      </c>
      <c r="AL33" s="9">
        <f t="shared" si="18"/>
        <v>239.40767092686383</v>
      </c>
      <c r="AM33" s="9">
        <f t="shared" si="19"/>
        <v>24.50165354306273</v>
      </c>
    </row>
    <row r="34" spans="4:39" ht="14.25" customHeight="1" x14ac:dyDescent="0.2">
      <c r="D34" s="1">
        <v>17</v>
      </c>
      <c r="E34" s="6">
        <f t="shared" si="7"/>
        <v>21.828745883819359</v>
      </c>
      <c r="F34" s="6">
        <f t="shared" si="7"/>
        <v>218.2874588381936</v>
      </c>
      <c r="G34" s="6">
        <f t="shared" si="7"/>
        <v>24.011620472201297</v>
      </c>
      <c r="H34" s="6">
        <v>0.4</v>
      </c>
      <c r="I34" s="6">
        <v>1.5</v>
      </c>
      <c r="J34" s="6">
        <v>1</v>
      </c>
      <c r="K34" s="25">
        <f t="shared" si="8"/>
        <v>1.0490720884633808</v>
      </c>
      <c r="L34" s="6">
        <f t="shared" si="9"/>
        <v>955.00763241709694</v>
      </c>
      <c r="M34" s="6">
        <f t="shared" si="10"/>
        <v>16081.944256409517</v>
      </c>
      <c r="N34" s="6">
        <f t="shared" si="11"/>
        <v>1800.8715354150972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5">
        <v>17</v>
      </c>
      <c r="T34" s="6">
        <f>VLOOKUP($S$13,角色设定!$AB$9:$AJ$21,MATCH(E$17,角色设定!$AB$9:$AJ$9,0),0)*Z34*$L$15*E34/Y34/(1+W34*(X34-1))</f>
        <v>511.61123165201627</v>
      </c>
      <c r="U34" s="6">
        <f>VLOOKUP($S$13,角色设定!$AB$9:$AJ$21,MATCH(F$17,角色设定!$AB$9:$AJ$9,0),0)*F34*$L$15/(1+V34/$N$16)</f>
        <v>17868.82695156613</v>
      </c>
      <c r="V34" s="6">
        <f>VLOOKUP($S$13,角色设定!$AB$9:$AJ$21,MATCH(V$17,角色设定!$AB$9:$AJ$9,0),0)*G34*$L$15</f>
        <v>1800.8715354150972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T34*战斗公式!$E$38*(1+W34*(X34-1))*Y34</f>
        <v>13813.503254604439</v>
      </c>
      <c r="AD34" s="6">
        <f>U34*战斗公式!$E$40*(1+V34*战斗公式!$E$39)</f>
        <v>18190.621569849467</v>
      </c>
      <c r="AE34" s="21">
        <f t="shared" si="12"/>
        <v>32004.124824453906</v>
      </c>
      <c r="AF34" s="21">
        <f t="shared" si="16"/>
        <v>1524.00594402161</v>
      </c>
      <c r="AG34" s="21"/>
      <c r="AH34" s="9">
        <f t="shared" si="13"/>
        <v>153.48336949560488</v>
      </c>
      <c r="AI34" s="9">
        <f t="shared" si="14"/>
        <v>5360.6480854698393</v>
      </c>
      <c r="AJ34" s="9">
        <f t="shared" si="15"/>
        <v>540.26146062452915</v>
      </c>
      <c r="AK34" s="9">
        <f t="shared" si="17"/>
        <v>7.3087318807430961</v>
      </c>
      <c r="AL34" s="9">
        <f t="shared" si="18"/>
        <v>250.96462268532196</v>
      </c>
      <c r="AM34" s="9">
        <f t="shared" si="19"/>
        <v>25.726736220215571</v>
      </c>
    </row>
    <row r="35" spans="4:39" ht="14.25" customHeight="1" x14ac:dyDescent="0.2">
      <c r="D35" s="1">
        <v>18</v>
      </c>
      <c r="E35" s="6">
        <f t="shared" si="7"/>
        <v>22.920183178010333</v>
      </c>
      <c r="F35" s="6">
        <f t="shared" si="7"/>
        <v>229.2018317801033</v>
      </c>
      <c r="G35" s="6">
        <f t="shared" si="7"/>
        <v>25.212201495811364</v>
      </c>
      <c r="H35" s="6">
        <v>0.4</v>
      </c>
      <c r="I35" s="6">
        <v>1.5</v>
      </c>
      <c r="J35" s="6">
        <v>1</v>
      </c>
      <c r="K35" s="25">
        <f t="shared" si="8"/>
        <v>1.0490265961192407</v>
      </c>
      <c r="L35" s="6">
        <f t="shared" si="9"/>
        <v>1002.758014037952</v>
      </c>
      <c r="M35" s="6">
        <f t="shared" si="10"/>
        <v>16871.118847623206</v>
      </c>
      <c r="N35" s="6">
        <f t="shared" si="11"/>
        <v>1890.9151121858522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5">
        <v>18</v>
      </c>
      <c r="T35" s="6">
        <f>VLOOKUP($S$13,角色设定!$AB$9:$AJ$21,MATCH(E$17,角色设定!$AB$9:$AJ$9,0),0)*Z35*$L$15*E35/Y35/(1+W35*(X35-1))</f>
        <v>537.19179323461719</v>
      </c>
      <c r="U35" s="6">
        <f>VLOOKUP($S$13,角色设定!$AB$9:$AJ$21,MATCH(F$17,角色设定!$AB$9:$AJ$9,0),0)*F35*$L$15/(1+V35/$N$16)</f>
        <v>18745.687608470231</v>
      </c>
      <c r="V35" s="6">
        <f>VLOOKUP($S$13,角色设定!$AB$9:$AJ$21,MATCH(V$17,角色设定!$AB$9:$AJ$9,0),0)*G35*$L$15</f>
        <v>1890.9151121858522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T35*战斗公式!$E$38*(1+W35*(X35-1))*Y35</f>
        <v>14504.178417334666</v>
      </c>
      <c r="AD35" s="6">
        <f>U35*战斗公式!$E$40*(1+V35*战斗公式!$E$39)</f>
        <v>19100.152648341944</v>
      </c>
      <c r="AE35" s="21">
        <f t="shared" si="12"/>
        <v>33604.331065676612</v>
      </c>
      <c r="AF35" s="21">
        <f t="shared" si="16"/>
        <v>1600.206241222706</v>
      </c>
      <c r="AG35" s="21"/>
      <c r="AH35" s="9">
        <f t="shared" si="13"/>
        <v>161.15753797038516</v>
      </c>
      <c r="AI35" s="9">
        <f t="shared" si="14"/>
        <v>5623.7062825410694</v>
      </c>
      <c r="AJ35" s="9">
        <f t="shared" si="15"/>
        <v>567.27453365575559</v>
      </c>
      <c r="AK35" s="9">
        <f t="shared" si="17"/>
        <v>7.6741684747802879</v>
      </c>
      <c r="AL35" s="9">
        <f t="shared" si="18"/>
        <v>263.0581970712301</v>
      </c>
      <c r="AM35" s="9">
        <f t="shared" si="19"/>
        <v>27.01307303122644</v>
      </c>
    </row>
    <row r="36" spans="4:39" ht="14.25" customHeight="1" x14ac:dyDescent="0.2">
      <c r="D36" s="1">
        <v>19</v>
      </c>
      <c r="E36" s="6">
        <f t="shared" si="7"/>
        <v>24.066192336910849</v>
      </c>
      <c r="F36" s="6">
        <f t="shared" si="7"/>
        <v>240.66192336910848</v>
      </c>
      <c r="G36" s="6">
        <f t="shared" si="7"/>
        <v>26.472811570601934</v>
      </c>
      <c r="H36" s="6">
        <v>0.4</v>
      </c>
      <c r="I36" s="6">
        <v>1.5</v>
      </c>
      <c r="J36" s="6">
        <v>1</v>
      </c>
      <c r="K36" s="25">
        <f t="shared" si="8"/>
        <v>1.0489789198485842</v>
      </c>
      <c r="L36" s="6">
        <f t="shared" si="9"/>
        <v>1052.8959147398496</v>
      </c>
      <c r="M36" s="6">
        <f t="shared" si="10"/>
        <v>17698.252377445337</v>
      </c>
      <c r="N36" s="6">
        <f t="shared" si="11"/>
        <v>1985.4608677951451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5">
        <v>19</v>
      </c>
      <c r="T36" s="6">
        <f>VLOOKUP($S$13,角色设定!$AB$9:$AJ$21,MATCH(E$17,角色设定!$AB$9:$AJ$9,0),0)*Z36*$L$15*E36/Y36/(1+W36*(X36-1))</f>
        <v>564.05138289634806</v>
      </c>
      <c r="U36" s="6">
        <f>VLOOKUP($S$13,角色设定!$AB$9:$AJ$21,MATCH(F$17,角色设定!$AB$9:$AJ$9,0),0)*F36*$L$15/(1+V36/$N$16)</f>
        <v>19664.724863828149</v>
      </c>
      <c r="V36" s="6">
        <f>VLOOKUP($S$13,角色设定!$AB$9:$AJ$21,MATCH(V$17,角色设定!$AB$9:$AJ$9,0),0)*G36*$L$15</f>
        <v>1985.4608677951451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T36*战斗公式!$E$38*(1+W36*(X36-1))*Y36</f>
        <v>15229.387338201397</v>
      </c>
      <c r="AD36" s="6">
        <f>U36*战斗公式!$E$40*(1+V36*战斗公式!$E$39)</f>
        <v>20055.160280759039</v>
      </c>
      <c r="AE36" s="21">
        <f t="shared" si="12"/>
        <v>35284.547618960438</v>
      </c>
      <c r="AF36" s="21">
        <f t="shared" si="16"/>
        <v>1680.2165532838262</v>
      </c>
      <c r="AG36" s="21"/>
      <c r="AH36" s="9">
        <f t="shared" si="13"/>
        <v>169.21541486890442</v>
      </c>
      <c r="AI36" s="9">
        <f t="shared" si="14"/>
        <v>5899.4174591484443</v>
      </c>
      <c r="AJ36" s="9">
        <f t="shared" si="15"/>
        <v>595.63826033854355</v>
      </c>
      <c r="AK36" s="9">
        <f t="shared" si="17"/>
        <v>8.0578768985192539</v>
      </c>
      <c r="AL36" s="9">
        <f t="shared" si="18"/>
        <v>275.71117660737491</v>
      </c>
      <c r="AM36" s="9">
        <f t="shared" si="19"/>
        <v>28.363726682787956</v>
      </c>
    </row>
    <row r="37" spans="4:39" ht="14.25" customHeight="1" x14ac:dyDescent="0.2">
      <c r="D37" s="1">
        <v>20</v>
      </c>
      <c r="E37" s="6">
        <f t="shared" si="7"/>
        <v>25.269501953756389</v>
      </c>
      <c r="F37" s="6">
        <f t="shared" si="7"/>
        <v>252.69501953756389</v>
      </c>
      <c r="G37" s="6">
        <f t="shared" si="7"/>
        <v>27.79645214913203</v>
      </c>
      <c r="H37" s="6">
        <v>0.4</v>
      </c>
      <c r="I37" s="6">
        <v>1.5</v>
      </c>
      <c r="J37" s="6">
        <v>1</v>
      </c>
      <c r="K37" s="25">
        <f t="shared" si="8"/>
        <v>1.0489289594592515</v>
      </c>
      <c r="L37" s="6">
        <f t="shared" si="9"/>
        <v>1105.5407104768419</v>
      </c>
      <c r="M37" s="6">
        <f t="shared" si="10"/>
        <v>18565.093662100247</v>
      </c>
      <c r="N37" s="6">
        <f t="shared" si="11"/>
        <v>2084.7339111849024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5">
        <v>20</v>
      </c>
      <c r="T37" s="6">
        <f>VLOOKUP($S$13,角色设定!$AB$9:$AJ$21,MATCH(E$17,角色设定!$AB$9:$AJ$9,0),0)*Z37*$L$15*E37/Y37/(1+W37*(X37-1))</f>
        <v>592.25395204116546</v>
      </c>
      <c r="U37" s="6">
        <f>VLOOKUP($S$13,角色设定!$AB$9:$AJ$21,MATCH(F$17,角色设定!$AB$9:$AJ$9,0),0)*F37*$L$15/(1+V37/$N$16)</f>
        <v>20627.881846778055</v>
      </c>
      <c r="V37" s="6">
        <f>VLOOKUP($S$13,角色设定!$AB$9:$AJ$21,MATCH(V$17,角色设定!$AB$9:$AJ$9,0),0)*G37*$L$15</f>
        <v>2084.7339111849024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T37*战斗公式!$E$38*(1+W37*(X37-1))*Y37</f>
        <v>15990.856705111466</v>
      </c>
      <c r="AD37" s="6">
        <f>U37*战斗公式!$E$40*(1+V37*战斗公式!$E$39)</f>
        <v>21057.918294796993</v>
      </c>
      <c r="AE37" s="21">
        <f t="shared" si="12"/>
        <v>37048.774999908463</v>
      </c>
      <c r="AF37" s="21">
        <f t="shared" si="16"/>
        <v>1764.2273809480248</v>
      </c>
      <c r="AG37" s="21"/>
      <c r="AH37" s="9">
        <f t="shared" si="13"/>
        <v>177.67618561234963</v>
      </c>
      <c r="AI37" s="9">
        <f t="shared" si="14"/>
        <v>6188.3645540334164</v>
      </c>
      <c r="AJ37" s="9">
        <f t="shared" si="15"/>
        <v>625.42017335547064</v>
      </c>
      <c r="AK37" s="9">
        <f t="shared" si="17"/>
        <v>8.4607707434452095</v>
      </c>
      <c r="AL37" s="9">
        <f t="shared" si="18"/>
        <v>288.9470948849721</v>
      </c>
      <c r="AM37" s="9">
        <f t="shared" si="19"/>
        <v>29.781913016927092</v>
      </c>
    </row>
    <row r="38" spans="4:39" ht="14.25" customHeight="1" x14ac:dyDescent="0.2">
      <c r="D38" s="1">
        <v>21</v>
      </c>
      <c r="E38" s="6">
        <f t="shared" si="7"/>
        <v>26.53297705144421</v>
      </c>
      <c r="F38" s="6">
        <f t="shared" si="7"/>
        <v>265.32977051444209</v>
      </c>
      <c r="G38" s="6">
        <f t="shared" si="7"/>
        <v>29.186274756588631</v>
      </c>
      <c r="H38" s="6">
        <v>0.4</v>
      </c>
      <c r="I38" s="6">
        <v>1.5</v>
      </c>
      <c r="J38" s="6">
        <v>1</v>
      </c>
      <c r="K38" s="25">
        <f t="shared" si="8"/>
        <v>1.0488766106277743</v>
      </c>
      <c r="L38" s="6">
        <f t="shared" si="9"/>
        <v>1160.8177460006841</v>
      </c>
      <c r="M38" s="6">
        <f t="shared" si="10"/>
        <v>19473.464377250355</v>
      </c>
      <c r="N38" s="6">
        <f t="shared" si="11"/>
        <v>2188.9706067441475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5">
        <v>21</v>
      </c>
      <c r="T38" s="6">
        <f>VLOOKUP($S$13,角色设定!$AB$9:$AJ$21,MATCH(E$17,角色设定!$AB$9:$AJ$9,0),0)*Z38*$L$15*E38/Y38/(1+W38*(X38-1))</f>
        <v>621.8666496432237</v>
      </c>
      <c r="U38" s="6">
        <f>VLOOKUP($S$13,角色设定!$AB$9:$AJ$21,MATCH(F$17,角色设定!$AB$9:$AJ$9,0),0)*F38*$L$15/(1+V38/$N$16)</f>
        <v>21637.182641389285</v>
      </c>
      <c r="V38" s="6">
        <f>VLOOKUP($S$13,角色设定!$AB$9:$AJ$21,MATCH(V$17,角色设定!$AB$9:$AJ$9,0),0)*G38*$L$15</f>
        <v>2188.9706067441475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T38*战斗公式!$E$38*(1+W38*(X38-1))*Y38</f>
        <v>16790.399540367041</v>
      </c>
      <c r="AD38" s="6">
        <f>U38*战斗公式!$E$40*(1+V38*战斗公式!$E$39)</f>
        <v>22110.814209536842</v>
      </c>
      <c r="AE38" s="21">
        <f t="shared" si="12"/>
        <v>38901.21374990388</v>
      </c>
      <c r="AF38" s="21">
        <f t="shared" si="16"/>
        <v>1852.4387499954173</v>
      </c>
      <c r="AG38" s="21"/>
      <c r="AH38" s="9">
        <f t="shared" si="13"/>
        <v>186.5599948929671</v>
      </c>
      <c r="AI38" s="9">
        <f t="shared" si="14"/>
        <v>6491.1547924167853</v>
      </c>
      <c r="AJ38" s="9">
        <f t="shared" si="15"/>
        <v>656.69118202324421</v>
      </c>
      <c r="AK38" s="9">
        <f t="shared" si="17"/>
        <v>8.88380928061747</v>
      </c>
      <c r="AL38" s="9">
        <f t="shared" si="18"/>
        <v>302.79023838336889</v>
      </c>
      <c r="AM38" s="9">
        <f t="shared" si="19"/>
        <v>31.271008667773572</v>
      </c>
    </row>
    <row r="39" spans="4:39" ht="14.25" customHeight="1" x14ac:dyDescent="0.2">
      <c r="D39" s="1">
        <v>22</v>
      </c>
      <c r="E39" s="6">
        <f t="shared" si="7"/>
        <v>27.859625904016418</v>
      </c>
      <c r="F39" s="6">
        <f t="shared" si="7"/>
        <v>278.59625904016417</v>
      </c>
      <c r="G39" s="6">
        <f t="shared" si="7"/>
        <v>30.64558849441806</v>
      </c>
      <c r="H39" s="6">
        <v>0.4</v>
      </c>
      <c r="I39" s="6">
        <v>1.5</v>
      </c>
      <c r="J39" s="6">
        <v>1</v>
      </c>
      <c r="K39" s="25">
        <f t="shared" si="8"/>
        <v>1.048821764776092</v>
      </c>
      <c r="L39" s="6">
        <f t="shared" si="9"/>
        <v>1218.8586333007183</v>
      </c>
      <c r="M39" s="6">
        <f t="shared" si="10"/>
        <v>20425.261313191055</v>
      </c>
      <c r="N39" s="6">
        <f t="shared" si="11"/>
        <v>2298.4191370813546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5">
        <v>22</v>
      </c>
      <c r="T39" s="6">
        <f>VLOOKUP($S$13,角色设定!$AB$9:$AJ$21,MATCH(E$17,角色设定!$AB$9:$AJ$9,0),0)*Z39*$L$15*E39/Y39/(1+W39*(X39-1))</f>
        <v>652.95998212538484</v>
      </c>
      <c r="U39" s="6">
        <f>VLOOKUP($S$13,角色设定!$AB$9:$AJ$21,MATCH(F$17,角色设定!$AB$9:$AJ$9,0),0)*F39*$L$15/(1+V39/$N$16)</f>
        <v>22694.734792434509</v>
      </c>
      <c r="V39" s="6">
        <f>VLOOKUP($S$13,角色设定!$AB$9:$AJ$21,MATCH(V$17,角色设定!$AB$9:$AJ$9,0),0)*G39*$L$15</f>
        <v>2298.4191370813546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T39*战斗公式!$E$38*(1+W39*(X39-1))*Y39</f>
        <v>17629.919517385391</v>
      </c>
      <c r="AD39" s="6">
        <f>U39*战斗公式!$E$40*(1+V39*战斗公式!$E$39)</f>
        <v>23216.354920013684</v>
      </c>
      <c r="AE39" s="21">
        <f t="shared" si="12"/>
        <v>40846.274437399072</v>
      </c>
      <c r="AF39" s="21">
        <f t="shared" si="16"/>
        <v>1945.0606874951918</v>
      </c>
      <c r="AG39" s="21"/>
      <c r="AH39" s="9">
        <f t="shared" si="13"/>
        <v>195.88799463761544</v>
      </c>
      <c r="AI39" s="9">
        <f t="shared" si="14"/>
        <v>6808.4204377303522</v>
      </c>
      <c r="AJ39" s="9">
        <f t="shared" si="15"/>
        <v>689.52574112440641</v>
      </c>
      <c r="AK39" s="9">
        <f t="shared" si="17"/>
        <v>9.3279997446483378</v>
      </c>
      <c r="AL39" s="9">
        <f t="shared" si="18"/>
        <v>317.26564531356689</v>
      </c>
      <c r="AM39" s="9">
        <f t="shared" si="19"/>
        <v>32.834559101162199</v>
      </c>
    </row>
    <row r="40" spans="4:39" ht="14.25" customHeight="1" x14ac:dyDescent="0.2">
      <c r="D40" s="1">
        <v>23</v>
      </c>
      <c r="E40" s="6">
        <f t="shared" si="7"/>
        <v>29.252607199217238</v>
      </c>
      <c r="F40" s="6">
        <f t="shared" si="7"/>
        <v>292.52607199217238</v>
      </c>
      <c r="G40" s="6">
        <f t="shared" si="7"/>
        <v>32.177867919138961</v>
      </c>
      <c r="H40" s="6">
        <v>0.4</v>
      </c>
      <c r="I40" s="6">
        <v>1.5</v>
      </c>
      <c r="J40" s="6">
        <v>1</v>
      </c>
      <c r="K40" s="25">
        <f t="shared" si="8"/>
        <v>1.0487643089496179</v>
      </c>
      <c r="L40" s="6">
        <f t="shared" si="9"/>
        <v>1279.8015649657543</v>
      </c>
      <c r="M40" s="6">
        <f t="shared" si="10"/>
        <v>21422.458616513879</v>
      </c>
      <c r="N40" s="6">
        <f t="shared" si="11"/>
        <v>2413.3400939354219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5">
        <v>23</v>
      </c>
      <c r="T40" s="6">
        <f>VLOOKUP($S$13,角色设定!$AB$9:$AJ$21,MATCH(E$17,角色设定!$AB$9:$AJ$9,0),0)*Z40*$L$15*E40/Y40/(1+W40*(X40-1))</f>
        <v>685.60798123165398</v>
      </c>
      <c r="U40" s="6">
        <f>VLOOKUP($S$13,角色设定!$AB$9:$AJ$21,MATCH(F$17,角色设定!$AB$9:$AJ$9,0),0)*F40*$L$15/(1+V40/$N$16)</f>
        <v>23802.731796126529</v>
      </c>
      <c r="V40" s="6">
        <f>VLOOKUP($S$13,角色设定!$AB$9:$AJ$21,MATCH(V$17,角色设定!$AB$9:$AJ$9,0),0)*G40*$L$15</f>
        <v>2413.3400939354219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T40*战斗公式!$E$38*(1+W40*(X40-1))*Y40</f>
        <v>18511.415493254655</v>
      </c>
      <c r="AD40" s="6">
        <f>U40*战斗公式!$E$40*(1+V40*战斗公式!$E$39)</f>
        <v>24377.172666014361</v>
      </c>
      <c r="AE40" s="21">
        <f t="shared" si="12"/>
        <v>42888.588159269013</v>
      </c>
      <c r="AF40" s="21">
        <f t="shared" si="16"/>
        <v>2042.3137218699412</v>
      </c>
      <c r="AG40" s="21"/>
      <c r="AH40" s="9">
        <f t="shared" si="13"/>
        <v>205.68239436949619</v>
      </c>
      <c r="AI40" s="9">
        <f t="shared" si="14"/>
        <v>7140.8195388379581</v>
      </c>
      <c r="AJ40" s="9">
        <f t="shared" si="15"/>
        <v>724.00202818062655</v>
      </c>
      <c r="AK40" s="9">
        <f t="shared" si="17"/>
        <v>9.794399731880759</v>
      </c>
      <c r="AL40" s="9">
        <f t="shared" si="18"/>
        <v>332.39910110760593</v>
      </c>
      <c r="AM40" s="9">
        <f t="shared" si="19"/>
        <v>34.476287056220144</v>
      </c>
    </row>
    <row r="41" spans="4:39" ht="14.25" customHeight="1" x14ac:dyDescent="0.2">
      <c r="D41" s="1">
        <v>24</v>
      </c>
      <c r="E41" s="6">
        <f t="shared" si="7"/>
        <v>30.715237559178107</v>
      </c>
      <c r="F41" s="6">
        <f t="shared" si="7"/>
        <v>307.15237559178104</v>
      </c>
      <c r="G41" s="6">
        <f t="shared" si="7"/>
        <v>33.786761315095916</v>
      </c>
      <c r="H41" s="6">
        <v>0.4</v>
      </c>
      <c r="I41" s="6">
        <v>1.5</v>
      </c>
      <c r="J41" s="6">
        <v>1</v>
      </c>
      <c r="K41" s="25">
        <f t="shared" si="8"/>
        <v>1.0487041256973766</v>
      </c>
      <c r="L41" s="6">
        <f t="shared" si="9"/>
        <v>1343.7916432140421</v>
      </c>
      <c r="M41" s="6">
        <f t="shared" si="10"/>
        <v>22467.110006949966</v>
      </c>
      <c r="N41" s="6">
        <f t="shared" si="11"/>
        <v>2534.0070986321939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5">
        <v>24</v>
      </c>
      <c r="T41" s="6">
        <f>VLOOKUP($S$13,角色设定!$AB$9:$AJ$21,MATCH(E$17,角色设定!$AB$9:$AJ$9,0),0)*Z41*$L$15*E41/Y41/(1+W41*(X41-1))</f>
        <v>719.88838029323688</v>
      </c>
      <c r="U41" s="6">
        <f>VLOOKUP($S$13,角色设定!$AB$9:$AJ$21,MATCH(F$17,角色设定!$AB$9:$AJ$9,0),0)*F41*$L$15/(1+V41/$N$16)</f>
        <v>24963.455563277737</v>
      </c>
      <c r="V41" s="6">
        <f>VLOOKUP($S$13,角色设定!$AB$9:$AJ$21,MATCH(V$17,角色设定!$AB$9:$AJ$9,0),0)*G41*$L$15</f>
        <v>2534.0070986321939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T41*战斗公式!$E$38*(1+W41*(X41-1))*Y41</f>
        <v>19436.986267917393</v>
      </c>
      <c r="AD41" s="6">
        <f>U41*战斗公式!$E$40*(1+V41*战斗公式!$E$39)</f>
        <v>25596.031299315087</v>
      </c>
      <c r="AE41" s="21">
        <f t="shared" si="12"/>
        <v>45033.017567232484</v>
      </c>
      <c r="AF41" s="21">
        <f t="shared" si="16"/>
        <v>2144.429407963471</v>
      </c>
      <c r="AG41" s="21"/>
      <c r="AH41" s="9">
        <f t="shared" si="13"/>
        <v>215.96651408797106</v>
      </c>
      <c r="AI41" s="9">
        <f t="shared" si="14"/>
        <v>7489.0366689833209</v>
      </c>
      <c r="AJ41" s="9">
        <f t="shared" si="15"/>
        <v>760.20212958965817</v>
      </c>
      <c r="AK41" s="9">
        <f t="shared" si="17"/>
        <v>10.284119718474869</v>
      </c>
      <c r="AL41" s="9">
        <f t="shared" si="18"/>
        <v>348.21713014536272</v>
      </c>
      <c r="AM41" s="9">
        <f t="shared" si="19"/>
        <v>36.200101409031618</v>
      </c>
    </row>
    <row r="42" spans="4:39" ht="14.25" customHeight="1" x14ac:dyDescent="0.2">
      <c r="D42" s="1">
        <v>25</v>
      </c>
      <c r="E42" s="6">
        <f t="shared" si="7"/>
        <v>32.250999437137004</v>
      </c>
      <c r="F42" s="6">
        <f t="shared" si="7"/>
        <v>322.50999437137006</v>
      </c>
      <c r="G42" s="6">
        <f t="shared" si="7"/>
        <v>35.476099380850705</v>
      </c>
      <c r="H42" s="6">
        <v>0.4</v>
      </c>
      <c r="I42" s="6">
        <v>1.5</v>
      </c>
      <c r="J42" s="6">
        <v>1</v>
      </c>
      <c r="K42" s="25">
        <f t="shared" si="8"/>
        <v>1.048641092954965</v>
      </c>
      <c r="L42" s="6">
        <f t="shared" si="9"/>
        <v>1410.9812253747439</v>
      </c>
      <c r="M42" s="6">
        <f t="shared" si="10"/>
        <v>23561.350956785245</v>
      </c>
      <c r="N42" s="6">
        <f t="shared" si="11"/>
        <v>2660.707453563803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5">
        <v>25</v>
      </c>
      <c r="T42" s="6">
        <f>VLOOKUP($S$13,角色设定!$AB$9:$AJ$21,MATCH(E$17,角色设定!$AB$9:$AJ$9,0),0)*Z42*$L$15*E42/Y42/(1+W42*(X42-1))</f>
        <v>755.88279930789861</v>
      </c>
      <c r="U42" s="6">
        <f>VLOOKUP($S$13,角色设定!$AB$9:$AJ$21,MATCH(F$17,角色设定!$AB$9:$AJ$9,0),0)*F42*$L$15/(1+V42/$N$16)</f>
        <v>26179.278840872499</v>
      </c>
      <c r="V42" s="6">
        <f>VLOOKUP($S$13,角色设定!$AB$9:$AJ$21,MATCH(V$17,角色设定!$AB$9:$AJ$9,0),0)*G42*$L$15</f>
        <v>2660.707453563803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T42*战斗公式!$E$38*(1+W42*(X42-1))*Y42</f>
        <v>20408.835581313266</v>
      </c>
      <c r="AD42" s="6">
        <f>U42*战斗公式!$E$40*(1+V42*战斗公式!$E$39)</f>
        <v>26875.832864280841</v>
      </c>
      <c r="AE42" s="21">
        <f t="shared" si="12"/>
        <v>47284.668445594107</v>
      </c>
      <c r="AF42" s="21">
        <f t="shared" si="16"/>
        <v>2251.6508783616227</v>
      </c>
      <c r="AG42" s="21"/>
      <c r="AH42" s="9">
        <f t="shared" si="13"/>
        <v>226.76483979236957</v>
      </c>
      <c r="AI42" s="9">
        <f t="shared" si="14"/>
        <v>7853.783652261749</v>
      </c>
      <c r="AJ42" s="9">
        <f t="shared" si="15"/>
        <v>798.21223606914089</v>
      </c>
      <c r="AK42" s="9">
        <f t="shared" si="17"/>
        <v>10.798325704398508</v>
      </c>
      <c r="AL42" s="9">
        <f t="shared" si="18"/>
        <v>364.74698327842816</v>
      </c>
      <c r="AM42" s="9">
        <f t="shared" si="19"/>
        <v>38.010106479482715</v>
      </c>
    </row>
    <row r="43" spans="4:39" ht="14.25" customHeight="1" x14ac:dyDescent="0.2">
      <c r="D43" s="1">
        <v>26</v>
      </c>
      <c r="E43" s="6">
        <f t="shared" si="7"/>
        <v>33.863549408993862</v>
      </c>
      <c r="F43" s="6">
        <f t="shared" si="7"/>
        <v>338.63549408993856</v>
      </c>
      <c r="G43" s="6">
        <f t="shared" si="7"/>
        <v>37.249904349893242</v>
      </c>
      <c r="H43" s="6">
        <v>0.4</v>
      </c>
      <c r="I43" s="6">
        <v>1.5</v>
      </c>
      <c r="J43" s="6">
        <v>1</v>
      </c>
      <c r="K43" s="25">
        <f t="shared" si="8"/>
        <v>1.0485750839311976</v>
      </c>
      <c r="L43" s="6">
        <f t="shared" si="9"/>
        <v>1481.5302866434815</v>
      </c>
      <c r="M43" s="6">
        <f t="shared" si="10"/>
        <v>24707.400818818787</v>
      </c>
      <c r="N43" s="6">
        <f t="shared" si="11"/>
        <v>2793.742826241993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5">
        <v>26</v>
      </c>
      <c r="T43" s="6">
        <f>VLOOKUP($S$13,角色设定!$AB$9:$AJ$21,MATCH(E$17,角色设定!$AB$9:$AJ$9,0),0)*Z43*$L$15*E43/Y43/(1+W43*(X43-1))</f>
        <v>793.67693927329356</v>
      </c>
      <c r="U43" s="6">
        <f>VLOOKUP($S$13,角色设定!$AB$9:$AJ$21,MATCH(F$17,角色设定!$AB$9:$AJ$9,0),0)*F43*$L$15/(1+V43/$N$16)</f>
        <v>27452.667576465323</v>
      </c>
      <c r="V43" s="6">
        <f>VLOOKUP($S$13,角色设定!$AB$9:$AJ$21,MATCH(V$17,角色设定!$AB$9:$AJ$9,0),0)*G43*$L$15</f>
        <v>2793.742826241993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T43*战斗公式!$E$38*(1+W43*(X43-1))*Y43</f>
        <v>21429.277360378925</v>
      </c>
      <c r="AD43" s="6">
        <f>U43*战斗公式!$E$40*(1+V43*战斗公式!$E$39)</f>
        <v>28219.624507494882</v>
      </c>
      <c r="AE43" s="21">
        <f t="shared" si="12"/>
        <v>49648.901867873807</v>
      </c>
      <c r="AF43" s="21">
        <f t="shared" si="16"/>
        <v>2364.2334222796999</v>
      </c>
      <c r="AG43" s="21"/>
      <c r="AH43" s="9">
        <f t="shared" si="13"/>
        <v>238.10308178198807</v>
      </c>
      <c r="AI43" s="9">
        <f t="shared" si="14"/>
        <v>8235.8002729395957</v>
      </c>
      <c r="AJ43" s="9">
        <f t="shared" si="15"/>
        <v>838.12284787259784</v>
      </c>
      <c r="AK43" s="9">
        <f t="shared" si="17"/>
        <v>11.338241989618496</v>
      </c>
      <c r="AL43" s="9">
        <f t="shared" si="18"/>
        <v>382.01662067784673</v>
      </c>
      <c r="AM43" s="9">
        <f t="shared" si="19"/>
        <v>39.910611803456959</v>
      </c>
    </row>
    <row r="44" spans="4:39" ht="14.25" customHeight="1" x14ac:dyDescent="0.2">
      <c r="D44" s="1">
        <v>27</v>
      </c>
      <c r="E44" s="6">
        <f t="shared" si="7"/>
        <v>35.556726879443552</v>
      </c>
      <c r="F44" s="6">
        <f t="shared" si="7"/>
        <v>355.56726879443551</v>
      </c>
      <c r="G44" s="6">
        <f t="shared" si="7"/>
        <v>39.112399567387911</v>
      </c>
      <c r="H44" s="6">
        <v>0.4</v>
      </c>
      <c r="I44" s="6">
        <v>1.5</v>
      </c>
      <c r="J44" s="6">
        <v>1</v>
      </c>
      <c r="K44" s="25">
        <f t="shared" si="8"/>
        <v>1.0485059669993877</v>
      </c>
      <c r="L44" s="6">
        <f t="shared" si="9"/>
        <v>1555.6068009756555</v>
      </c>
      <c r="M44" s="6">
        <f t="shared" si="10"/>
        <v>25907.564887314649</v>
      </c>
      <c r="N44" s="6">
        <f t="shared" si="11"/>
        <v>2933.4299675540933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5">
        <v>27</v>
      </c>
      <c r="T44" s="6">
        <f>VLOOKUP($S$13,角色设定!$AB$9:$AJ$21,MATCH(E$17,角色设定!$AB$9:$AJ$9,0),0)*Z44*$L$15*E44/Y44/(1+W44*(X44-1))</f>
        <v>833.36078623695835</v>
      </c>
      <c r="U44" s="6">
        <f>VLOOKUP($S$13,角色设定!$AB$9:$AJ$21,MATCH(F$17,角色设定!$AB$9:$AJ$9,0),0)*F44*$L$15/(1+V44/$N$16)</f>
        <v>28786.18320812739</v>
      </c>
      <c r="V44" s="6">
        <f>VLOOKUP($S$13,角色设定!$AB$9:$AJ$21,MATCH(V$17,角色设定!$AB$9:$AJ$9,0),0)*G44*$L$15</f>
        <v>2933.4299675540933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T44*战斗公式!$E$38*(1+W44*(X44-1))*Y44</f>
        <v>22500.741228397874</v>
      </c>
      <c r="AD44" s="6">
        <f>U44*战斗公式!$E$40*(1+V44*战斗公式!$E$39)</f>
        <v>29630.605732869626</v>
      </c>
      <c r="AE44" s="21">
        <f t="shared" si="12"/>
        <v>52131.346961267496</v>
      </c>
      <c r="AF44" s="21">
        <f t="shared" si="16"/>
        <v>2482.4450933936896</v>
      </c>
      <c r="AG44" s="21"/>
      <c r="AH44" s="9">
        <f t="shared" si="13"/>
        <v>250.00823587108749</v>
      </c>
      <c r="AI44" s="9">
        <f t="shared" si="14"/>
        <v>8635.8549624382158</v>
      </c>
      <c r="AJ44" s="9">
        <f t="shared" si="15"/>
        <v>880.02899026622799</v>
      </c>
      <c r="AK44" s="9">
        <f t="shared" si="17"/>
        <v>11.905154089099426</v>
      </c>
      <c r="AL44" s="9">
        <f t="shared" si="18"/>
        <v>400.05468949862006</v>
      </c>
      <c r="AM44" s="9">
        <f t="shared" si="19"/>
        <v>41.906142393630148</v>
      </c>
    </row>
    <row r="45" spans="4:39" ht="14.25" customHeight="1" x14ac:dyDescent="0.2">
      <c r="D45" s="1">
        <v>28</v>
      </c>
      <c r="E45" s="6">
        <f t="shared" si="7"/>
        <v>37.334563223415735</v>
      </c>
      <c r="F45" s="6">
        <f t="shared" si="7"/>
        <v>373.34563223415734</v>
      </c>
      <c r="G45" s="6">
        <f t="shared" si="7"/>
        <v>41.068019545757309</v>
      </c>
      <c r="H45" s="6">
        <v>0.4</v>
      </c>
      <c r="I45" s="6">
        <v>1.5</v>
      </c>
      <c r="J45" s="6">
        <v>1</v>
      </c>
      <c r="K45" s="25">
        <f t="shared" si="8"/>
        <v>1.0484336055942909</v>
      </c>
      <c r="L45" s="6">
        <f t="shared" si="9"/>
        <v>1633.3871410244383</v>
      </c>
      <c r="M45" s="6">
        <f t="shared" si="10"/>
        <v>27164.236374773231</v>
      </c>
      <c r="N45" s="6">
        <f t="shared" si="11"/>
        <v>3080.101465931798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5">
        <v>28</v>
      </c>
      <c r="T45" s="6">
        <f>VLOOKUP($S$13,角色设定!$AB$9:$AJ$21,MATCH(E$17,角色设定!$AB$9:$AJ$9,0),0)*Z45*$L$15*E45/Y45/(1+W45*(X45-1))</f>
        <v>875.02882554880637</v>
      </c>
      <c r="U45" s="6">
        <f>VLOOKUP($S$13,角色设定!$AB$9:$AJ$21,MATCH(F$17,角色设定!$AB$9:$AJ$9,0),0)*F45*$L$15/(1+V45/$N$16)</f>
        <v>30182.484860859146</v>
      </c>
      <c r="V45" s="6">
        <f>VLOOKUP($S$13,角色设定!$AB$9:$AJ$21,MATCH(V$17,角色设定!$AB$9:$AJ$9,0),0)*G45*$L$15</f>
        <v>3080.101465931798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T45*战斗公式!$E$38*(1+W45*(X45-1))*Y45</f>
        <v>23625.778289817772</v>
      </c>
      <c r="AD45" s="6">
        <f>U45*战斗公式!$E$40*(1+V45*战斗公式!$E$39)</f>
        <v>31112.136019513113</v>
      </c>
      <c r="AE45" s="21">
        <f t="shared" si="12"/>
        <v>54737.914309330881</v>
      </c>
      <c r="AF45" s="21">
        <f t="shared" si="16"/>
        <v>2606.567348063385</v>
      </c>
      <c r="AG45" s="21"/>
      <c r="AH45" s="9">
        <f t="shared" si="13"/>
        <v>262.5086476646419</v>
      </c>
      <c r="AI45" s="9">
        <f t="shared" si="14"/>
        <v>9054.7454582577429</v>
      </c>
      <c r="AJ45" s="9">
        <f t="shared" si="15"/>
        <v>924.03043977953939</v>
      </c>
      <c r="AK45" s="9">
        <f t="shared" si="17"/>
        <v>12.500411793554406</v>
      </c>
      <c r="AL45" s="9">
        <f t="shared" si="18"/>
        <v>418.89049581952713</v>
      </c>
      <c r="AM45" s="9">
        <f t="shared" si="19"/>
        <v>44.0014495133114</v>
      </c>
    </row>
    <row r="46" spans="4:39" ht="14.25" customHeight="1" x14ac:dyDescent="0.2">
      <c r="D46" s="1">
        <v>29</v>
      </c>
      <c r="E46" s="6">
        <f t="shared" si="7"/>
        <v>39.201291384586511</v>
      </c>
      <c r="F46" s="6">
        <f t="shared" si="7"/>
        <v>392.01291384586511</v>
      </c>
      <c r="G46" s="6">
        <f t="shared" si="7"/>
        <v>43.121420523045167</v>
      </c>
      <c r="H46" s="6">
        <v>0.4</v>
      </c>
      <c r="I46" s="6">
        <v>1.5</v>
      </c>
      <c r="J46" s="6">
        <v>1</v>
      </c>
      <c r="K46" s="25">
        <f t="shared" si="8"/>
        <v>1.0483578581158663</v>
      </c>
      <c r="L46" s="6">
        <f t="shared" si="9"/>
        <v>1715.0564980756599</v>
      </c>
      <c r="M46" s="6">
        <f t="shared" si="10"/>
        <v>28479.898285619089</v>
      </c>
      <c r="N46" s="6">
        <f t="shared" si="11"/>
        <v>3234.1065392283876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5">
        <v>29</v>
      </c>
      <c r="T46" s="6">
        <f>VLOOKUP($S$13,角色设定!$AB$9:$AJ$21,MATCH(E$17,角色设定!$AB$9:$AJ$9,0),0)*Z46*$L$15*E46/Y46/(1+W46*(X46-1))</f>
        <v>918.78026682624636</v>
      </c>
      <c r="U46" s="6">
        <f>VLOOKUP($S$13,角色设定!$AB$9:$AJ$21,MATCH(F$17,角色设定!$AB$9:$AJ$9,0),0)*F46*$L$15/(1+V46/$N$16)</f>
        <v>31644.331428465652</v>
      </c>
      <c r="V46" s="6">
        <f>VLOOKUP($S$13,角色设定!$AB$9:$AJ$21,MATCH(V$17,角色设定!$AB$9:$AJ$9,0),0)*G46*$L$15</f>
        <v>3234.1065392283876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T46*战斗公式!$E$38*(1+W46*(X46-1))*Y46</f>
        <v>24807.067204308652</v>
      </c>
      <c r="AD46" s="6">
        <f>U46*战斗公式!$E$40*(1+V46*战斗公式!$E$39)</f>
        <v>32667.742820488766</v>
      </c>
      <c r="AE46" s="21">
        <f t="shared" si="12"/>
        <v>57474.810024797422</v>
      </c>
      <c r="AF46" s="21">
        <f t="shared" si="16"/>
        <v>2736.8957154665404</v>
      </c>
      <c r="AG46" s="21"/>
      <c r="AH46" s="9">
        <f t="shared" si="13"/>
        <v>275.63408004787391</v>
      </c>
      <c r="AI46" s="9">
        <f t="shared" si="14"/>
        <v>9493.2994285396944</v>
      </c>
      <c r="AJ46" s="9">
        <f t="shared" si="15"/>
        <v>970.23196176851627</v>
      </c>
      <c r="AK46" s="9">
        <f t="shared" si="17"/>
        <v>13.12543238323201</v>
      </c>
      <c r="AL46" s="9">
        <f t="shared" si="18"/>
        <v>438.55397028195148</v>
      </c>
      <c r="AM46" s="9">
        <f t="shared" si="19"/>
        <v>46.201521988976879</v>
      </c>
    </row>
    <row r="47" spans="4:39" ht="14.25" customHeight="1" x14ac:dyDescent="0.2">
      <c r="D47" s="1">
        <v>30</v>
      </c>
      <c r="E47" s="6">
        <f t="shared" si="7"/>
        <v>41.16135595381585</v>
      </c>
      <c r="F47" s="6">
        <f t="shared" si="7"/>
        <v>411.61355953815848</v>
      </c>
      <c r="G47" s="6">
        <f t="shared" si="7"/>
        <v>45.277491549197435</v>
      </c>
      <c r="H47" s="6">
        <v>0.4</v>
      </c>
      <c r="I47" s="6">
        <v>1.5</v>
      </c>
      <c r="J47" s="6">
        <v>1</v>
      </c>
      <c r="K47" s="25">
        <f t="shared" si="8"/>
        <v>1.0482785778410861</v>
      </c>
      <c r="L47" s="6">
        <f t="shared" si="9"/>
        <v>1800.8093229794433</v>
      </c>
      <c r="M47" s="6">
        <f t="shared" si="10"/>
        <v>29857.125166069363</v>
      </c>
      <c r="N47" s="6">
        <f t="shared" si="11"/>
        <v>3395.8118661898075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5">
        <v>30</v>
      </c>
      <c r="T47" s="6">
        <f>VLOOKUP($S$13,角色设定!$AB$9:$AJ$21,MATCH(E$17,角色设定!$AB$9:$AJ$9,0),0)*Z47*$L$15*E47/Y47/(1+W47*(X47-1))</f>
        <v>964.71928016755896</v>
      </c>
      <c r="U47" s="6">
        <f>VLOOKUP($S$13,角色设定!$AB$9:$AJ$21,MATCH(F$17,角色设定!$AB$9:$AJ$9,0),0)*F47*$L$15/(1+V47/$N$16)</f>
        <v>33174.583517854844</v>
      </c>
      <c r="V47" s="6">
        <f>VLOOKUP($S$13,角色设定!$AB$9:$AJ$21,MATCH(V$17,角色设定!$AB$9:$AJ$9,0),0)*G47*$L$15</f>
        <v>3395.8118661898075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T47*战斗公式!$E$38*(1+W47*(X47-1))*Y47</f>
        <v>26047.420564524087</v>
      </c>
      <c r="AD47" s="6">
        <f>U47*战斗公式!$E$40*(1+V47*战斗公式!$E$39)</f>
        <v>34301.129961513208</v>
      </c>
      <c r="AE47" s="21">
        <f t="shared" si="12"/>
        <v>60348.550526037296</v>
      </c>
      <c r="AF47" s="21">
        <f t="shared" si="16"/>
        <v>2873.740501239874</v>
      </c>
      <c r="AG47" s="21"/>
      <c r="AH47" s="9">
        <f t="shared" si="13"/>
        <v>289.41578405026769</v>
      </c>
      <c r="AI47" s="9">
        <f t="shared" si="14"/>
        <v>9952.3750553564532</v>
      </c>
      <c r="AJ47" s="9">
        <f t="shared" si="15"/>
        <v>1018.7435598569422</v>
      </c>
      <c r="AK47" s="9">
        <f t="shared" si="17"/>
        <v>13.781704002393781</v>
      </c>
      <c r="AL47" s="9">
        <f t="shared" si="18"/>
        <v>459.07562681675881</v>
      </c>
      <c r="AM47" s="9">
        <f t="shared" si="19"/>
        <v>48.511598088425899</v>
      </c>
    </row>
    <row r="48" spans="4:39" ht="14.25" customHeight="1" x14ac:dyDescent="0.2">
      <c r="D48" s="1">
        <v>31</v>
      </c>
      <c r="E48" s="6">
        <f t="shared" si="7"/>
        <v>43.219423751506625</v>
      </c>
      <c r="F48" s="6">
        <f t="shared" si="7"/>
        <v>432.19423751506622</v>
      </c>
      <c r="G48" s="6">
        <f t="shared" si="7"/>
        <v>47.541366126657287</v>
      </c>
      <c r="H48" s="6">
        <v>0.4</v>
      </c>
      <c r="I48" s="6">
        <v>1.5</v>
      </c>
      <c r="J48" s="6">
        <v>1</v>
      </c>
      <c r="K48" s="25">
        <f t="shared" si="8"/>
        <v>1.0481956128451735</v>
      </c>
      <c r="L48" s="6">
        <f t="shared" si="9"/>
        <v>1890.8497891284146</v>
      </c>
      <c r="M48" s="6">
        <f t="shared" si="10"/>
        <v>31298.584707510498</v>
      </c>
      <c r="N48" s="6">
        <f t="shared" si="11"/>
        <v>3565.6024594992964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5">
        <v>31</v>
      </c>
      <c r="T48" s="6">
        <f>VLOOKUP($S$13,角色设定!$AB$9:$AJ$21,MATCH(E$17,角色设定!$AB$9:$AJ$9,0),0)*Z48*$L$15*E48/Y48/(1+W48*(X48-1))</f>
        <v>1012.9552441759364</v>
      </c>
      <c r="U48" s="6">
        <f>VLOOKUP($S$13,角色设定!$AB$9:$AJ$21,MATCH(F$17,角色设定!$AB$9:$AJ$9,0),0)*F48*$L$15/(1+V48/$N$16)</f>
        <v>34776.205230567226</v>
      </c>
      <c r="V48" s="6">
        <f>VLOOKUP($S$13,角色设定!$AB$9:$AJ$21,MATCH(V$17,角色设定!$AB$9:$AJ$9,0),0)*G48*$L$15</f>
        <v>3565.6024594992964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T48*战斗公式!$E$38*(1+W48*(X48-1))*Y48</f>
        <v>27349.791592750284</v>
      </c>
      <c r="AD48" s="6">
        <f>U48*战斗公式!$E$40*(1+V48*战斗公式!$E$39)</f>
        <v>36016.186459588855</v>
      </c>
      <c r="AE48" s="21">
        <f t="shared" si="12"/>
        <v>63365.978052339138</v>
      </c>
      <c r="AF48" s="21">
        <f t="shared" si="16"/>
        <v>3017.4275263018426</v>
      </c>
      <c r="AG48" s="21"/>
      <c r="AH48" s="9">
        <f t="shared" si="13"/>
        <v>303.88657325278092</v>
      </c>
      <c r="AI48" s="9">
        <f t="shared" si="14"/>
        <v>10432.861569170167</v>
      </c>
      <c r="AJ48" s="9">
        <f t="shared" si="15"/>
        <v>1069.6807378497888</v>
      </c>
      <c r="AK48" s="9">
        <f t="shared" si="17"/>
        <v>14.470789202513231</v>
      </c>
      <c r="AL48" s="9">
        <f t="shared" si="18"/>
        <v>480.48651381371383</v>
      </c>
      <c r="AM48" s="9">
        <f t="shared" si="19"/>
        <v>50.937177992846614</v>
      </c>
    </row>
    <row r="49" spans="4:39" ht="14.25" customHeight="1" x14ac:dyDescent="0.2">
      <c r="D49" s="1">
        <v>32</v>
      </c>
      <c r="E49" s="6">
        <f t="shared" si="7"/>
        <v>45.380394939081974</v>
      </c>
      <c r="F49" s="6">
        <f t="shared" si="7"/>
        <v>453.80394939081975</v>
      </c>
      <c r="G49" s="6">
        <f t="shared" si="7"/>
        <v>49.918434432990168</v>
      </c>
      <c r="H49" s="6">
        <v>0.4</v>
      </c>
      <c r="I49" s="6">
        <v>1.5</v>
      </c>
      <c r="J49" s="6">
        <v>1</v>
      </c>
      <c r="K49" s="25">
        <f t="shared" si="8"/>
        <v>1.0481088059337116</v>
      </c>
      <c r="L49" s="6">
        <f t="shared" si="9"/>
        <v>1985.3922785848363</v>
      </c>
      <c r="M49" s="6">
        <f t="shared" si="10"/>
        <v>32807.039178675543</v>
      </c>
      <c r="N49" s="6">
        <f t="shared" si="11"/>
        <v>3743.8825824742626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5">
        <v>32</v>
      </c>
      <c r="T49" s="6">
        <f>VLOOKUP($S$13,角色设定!$AB$9:$AJ$21,MATCH(E$17,角色设定!$AB$9:$AJ$9,0),0)*Z49*$L$15*E49/Y49/(1+W49*(X49-1))</f>
        <v>1063.6030063847338</v>
      </c>
      <c r="U49" s="6">
        <f>VLOOKUP($S$13,角色设定!$AB$9:$AJ$21,MATCH(F$17,角色设定!$AB$9:$AJ$9,0),0)*F49*$L$15/(1+V49/$N$16)</f>
        <v>36452.265754083935</v>
      </c>
      <c r="V49" s="6">
        <f>VLOOKUP($S$13,角色设定!$AB$9:$AJ$21,MATCH(V$17,角色设定!$AB$9:$AJ$9,0),0)*G49*$L$15</f>
        <v>3743.8825824742626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T49*战斗公式!$E$38*(1+W49*(X49-1))*Y49</f>
        <v>28717.281172387815</v>
      </c>
      <c r="AD49" s="6">
        <f>U49*战斗公式!$E$40*(1+V49*战斗公式!$E$39)</f>
        <v>37816.995782568316</v>
      </c>
      <c r="AE49" s="21">
        <f t="shared" si="12"/>
        <v>66534.276954956134</v>
      </c>
      <c r="AF49" s="21">
        <f t="shared" si="16"/>
        <v>3168.2989026169962</v>
      </c>
      <c r="AG49" s="21"/>
      <c r="AH49" s="9">
        <f t="shared" si="13"/>
        <v>319.08090191542016</v>
      </c>
      <c r="AI49" s="9">
        <f t="shared" si="14"/>
        <v>10935.67972622518</v>
      </c>
      <c r="AJ49" s="9">
        <f t="shared" si="15"/>
        <v>1123.1647747422787</v>
      </c>
      <c r="AK49" s="9">
        <f t="shared" si="17"/>
        <v>15.194328662639236</v>
      </c>
      <c r="AL49" s="9">
        <f t="shared" si="18"/>
        <v>502.81815705501322</v>
      </c>
      <c r="AM49" s="9">
        <f t="shared" si="19"/>
        <v>53.484036892489939</v>
      </c>
    </row>
    <row r="50" spans="4:39" ht="14.25" customHeight="1" x14ac:dyDescent="0.2">
      <c r="D50" s="1">
        <v>33</v>
      </c>
      <c r="E50" s="6">
        <f t="shared" si="7"/>
        <v>47.649414686036067</v>
      </c>
      <c r="F50" s="6">
        <f t="shared" si="7"/>
        <v>476.49414686036067</v>
      </c>
      <c r="G50" s="6">
        <f t="shared" si="7"/>
        <v>52.414356154639677</v>
      </c>
      <c r="H50" s="6">
        <v>0.4</v>
      </c>
      <c r="I50" s="6">
        <v>1.5</v>
      </c>
      <c r="J50" s="6">
        <v>1</v>
      </c>
      <c r="K50" s="25">
        <f t="shared" si="8"/>
        <v>1.0480179945872736</v>
      </c>
      <c r="L50" s="6">
        <f t="shared" ref="L50:L81" si="20">E50*$L$16/J50/(1+H50*(I50-1))*$L$15</f>
        <v>2084.6618925140779</v>
      </c>
      <c r="M50" s="6">
        <f t="shared" ref="M50:M81" si="21">F50/(1+N50/$N$16)*$L$15</f>
        <v>34385.346659782117</v>
      </c>
      <c r="N50" s="6">
        <f t="shared" ref="N50:N81" si="22">G50*$L$15</f>
        <v>3931.0767115979756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5">
        <v>33</v>
      </c>
      <c r="T50" s="6">
        <f>VLOOKUP($S$13,角色设定!$AB$9:$AJ$21,MATCH(E$17,角色设定!$AB$9:$AJ$9,0),0)*Z50*$L$15*E50/Y50/(1+W50*(X50-1))</f>
        <v>1116.7831567039705</v>
      </c>
      <c r="U50" s="6">
        <f>VLOOKUP($S$13,角色设定!$AB$9:$AJ$21,MATCH(F$17,角色设定!$AB$9:$AJ$9,0),0)*F50*$L$15/(1+V50/$N$16)</f>
        <v>38205.940733091251</v>
      </c>
      <c r="V50" s="6">
        <f>VLOOKUP($S$13,角色设定!$AB$9:$AJ$21,MATCH(V$17,角色设定!$AB$9:$AJ$9,0),0)*G50*$L$15</f>
        <v>3931.0767115979756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T50*战斗公式!$E$38*(1+W50*(X50-1))*Y50</f>
        <v>30153.145231007202</v>
      </c>
      <c r="AD50" s="6">
        <f>U50*战斗公式!$E$40*(1+V50*战斗公式!$E$39)</f>
        <v>39707.845571696729</v>
      </c>
      <c r="AE50" s="21">
        <f t="shared" si="12"/>
        <v>69860.990802703935</v>
      </c>
      <c r="AF50" s="21">
        <f t="shared" si="16"/>
        <v>3326.7138477478002</v>
      </c>
      <c r="AG50" s="21"/>
      <c r="AH50" s="9">
        <f t="shared" si="13"/>
        <v>335.03494701119115</v>
      </c>
      <c r="AI50" s="9">
        <f t="shared" si="14"/>
        <v>11461.782219927374</v>
      </c>
      <c r="AJ50" s="9">
        <f t="shared" si="15"/>
        <v>1179.3230134793926</v>
      </c>
      <c r="AK50" s="9">
        <f t="shared" si="17"/>
        <v>15.954045095770994</v>
      </c>
      <c r="AL50" s="9">
        <f t="shared" si="18"/>
        <v>526.1024937021939</v>
      </c>
      <c r="AM50" s="9">
        <f t="shared" si="19"/>
        <v>56.158238737113834</v>
      </c>
    </row>
    <row r="51" spans="4:39" ht="14.25" customHeight="1" x14ac:dyDescent="0.2">
      <c r="D51" s="1">
        <v>34</v>
      </c>
      <c r="E51" s="6">
        <f t="shared" ref="E51:G82" si="26">E$15*E$16^($D51-1)</f>
        <v>50.031885420337872</v>
      </c>
      <c r="F51" s="6">
        <f t="shared" si="26"/>
        <v>500.31885420337875</v>
      </c>
      <c r="G51" s="6">
        <f t="shared" si="26"/>
        <v>55.035073962371662</v>
      </c>
      <c r="H51" s="6">
        <v>0.4</v>
      </c>
      <c r="I51" s="6">
        <v>1.5</v>
      </c>
      <c r="J51" s="6">
        <v>1</v>
      </c>
      <c r="K51" s="25">
        <f t="shared" si="8"/>
        <v>1.0479230109202353</v>
      </c>
      <c r="L51" s="6">
        <f t="shared" si="20"/>
        <v>2188.8949871397817</v>
      </c>
      <c r="M51" s="6">
        <f t="shared" si="21"/>
        <v>36036.462049573063</v>
      </c>
      <c r="N51" s="6">
        <f t="shared" si="22"/>
        <v>4127.6305471778751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5">
        <v>34</v>
      </c>
      <c r="T51" s="6">
        <f>VLOOKUP($S$13,角色设定!$AB$9:$AJ$21,MATCH(E$17,角色设定!$AB$9:$AJ$9,0),0)*Z51*$L$15*E51/Y51/(1+W51*(X51-1))</f>
        <v>1172.6223145391689</v>
      </c>
      <c r="U51" s="6">
        <f>VLOOKUP($S$13,角色设定!$AB$9:$AJ$21,MATCH(F$17,角色设定!$AB$9:$AJ$9,0),0)*F51*$L$15/(1+V51/$N$16)</f>
        <v>40040.513388414518</v>
      </c>
      <c r="V51" s="6">
        <f>VLOOKUP($S$13,角色设定!$AB$9:$AJ$21,MATCH(V$17,角色设定!$AB$9:$AJ$9,0),0)*G51*$L$15</f>
        <v>4127.6305471778751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T51*战斗公式!$E$38*(1+W51*(X51-1))*Y51</f>
        <v>31660.802492557559</v>
      </c>
      <c r="AD51" s="6">
        <f>U51*战斗公式!$E$40*(1+V51*战斗公式!$E$39)</f>
        <v>41693.23785028157</v>
      </c>
      <c r="AE51" s="21">
        <f t="shared" si="12"/>
        <v>73354.040342839129</v>
      </c>
      <c r="AF51" s="21">
        <f t="shared" si="16"/>
        <v>3493.0495401351945</v>
      </c>
      <c r="AG51" s="21"/>
      <c r="AH51" s="9">
        <f t="shared" si="13"/>
        <v>351.78669436175068</v>
      </c>
      <c r="AI51" s="9">
        <f t="shared" si="14"/>
        <v>12012.154016524355</v>
      </c>
      <c r="AJ51" s="9">
        <f t="shared" si="15"/>
        <v>1238.2891641533624</v>
      </c>
      <c r="AK51" s="9">
        <f t="shared" si="17"/>
        <v>16.751747350559526</v>
      </c>
      <c r="AL51" s="9">
        <f t="shared" si="18"/>
        <v>550.37179659698086</v>
      </c>
      <c r="AM51" s="9">
        <f t="shared" si="19"/>
        <v>58.966150673969878</v>
      </c>
    </row>
    <row r="52" spans="4:39" ht="14.25" customHeight="1" x14ac:dyDescent="0.2">
      <c r="D52" s="1">
        <v>35</v>
      </c>
      <c r="E52" s="6">
        <f t="shared" si="26"/>
        <v>52.533479691354763</v>
      </c>
      <c r="F52" s="6">
        <f t="shared" si="26"/>
        <v>525.33479691354762</v>
      </c>
      <c r="G52" s="6">
        <f t="shared" si="26"/>
        <v>57.786827660490239</v>
      </c>
      <c r="H52" s="6">
        <v>0.4</v>
      </c>
      <c r="I52" s="6">
        <v>1.5</v>
      </c>
      <c r="J52" s="6">
        <v>1</v>
      </c>
      <c r="K52" s="25">
        <f t="shared" si="8"/>
        <v>1.0478236816556827</v>
      </c>
      <c r="L52" s="6">
        <f t="shared" si="20"/>
        <v>2298.3397364967709</v>
      </c>
      <c r="M52" s="6">
        <f t="shared" si="21"/>
        <v>37763.437813901401</v>
      </c>
      <c r="N52" s="6">
        <f t="shared" si="22"/>
        <v>4334.0120745367676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5">
        <v>35</v>
      </c>
      <c r="T52" s="6">
        <f>VLOOKUP($S$13,角色设定!$AB$9:$AJ$21,MATCH(E$17,角色设定!$AB$9:$AJ$9,0),0)*Z52*$L$15*E52/Y52/(1+W52*(X52-1))</f>
        <v>1231.2534302661275</v>
      </c>
      <c r="U52" s="6">
        <f>VLOOKUP($S$13,角色设定!$AB$9:$AJ$21,MATCH(F$17,角色设定!$AB$9:$AJ$9,0),0)*F52*$L$15/(1+V52/$N$16)</f>
        <v>41959.375348779336</v>
      </c>
      <c r="V52" s="6">
        <f>VLOOKUP($S$13,角色设定!$AB$9:$AJ$21,MATCH(V$17,角色设定!$AB$9:$AJ$9,0),0)*G52*$L$15</f>
        <v>4334.0120745367676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T52*战斗公式!$E$38*(1+W52*(X52-1))*Y52</f>
        <v>33243.842617185437</v>
      </c>
      <c r="AD52" s="6">
        <f>U52*战斗公式!$E$40*(1+V52*战斗公式!$E$39)</f>
        <v>43777.899742795635</v>
      </c>
      <c r="AE52" s="21">
        <f t="shared" si="12"/>
        <v>77021.742359981072</v>
      </c>
      <c r="AF52" s="21">
        <f t="shared" si="16"/>
        <v>3667.7020171419426</v>
      </c>
      <c r="AG52" s="21"/>
      <c r="AH52" s="9">
        <f t="shared" si="13"/>
        <v>369.37602907983825</v>
      </c>
      <c r="AI52" s="9">
        <f t="shared" si="14"/>
        <v>12587.8126046338</v>
      </c>
      <c r="AJ52" s="9">
        <f t="shared" si="15"/>
        <v>1300.2036223610303</v>
      </c>
      <c r="AK52" s="9">
        <f t="shared" si="17"/>
        <v>17.589334718087571</v>
      </c>
      <c r="AL52" s="9">
        <f t="shared" si="18"/>
        <v>575.65858810944519</v>
      </c>
      <c r="AM52" s="9">
        <f t="shared" si="19"/>
        <v>61.914458207667849</v>
      </c>
    </row>
    <row r="53" spans="4:39" ht="14.25" customHeight="1" x14ac:dyDescent="0.2">
      <c r="D53" s="1">
        <v>36</v>
      </c>
      <c r="E53" s="6">
        <f t="shared" si="26"/>
        <v>55.160153675922516</v>
      </c>
      <c r="F53" s="6">
        <f t="shared" si="26"/>
        <v>551.60153675922516</v>
      </c>
      <c r="G53" s="6">
        <f t="shared" si="26"/>
        <v>60.676169043514761</v>
      </c>
      <c r="H53" s="6">
        <v>0.4</v>
      </c>
      <c r="I53" s="6">
        <v>1.5</v>
      </c>
      <c r="J53" s="6">
        <v>1</v>
      </c>
      <c r="K53" s="25">
        <f t="shared" si="8"/>
        <v>1.0477198281183606</v>
      </c>
      <c r="L53" s="6">
        <f t="shared" si="20"/>
        <v>2413.25672332161</v>
      </c>
      <c r="M53" s="6">
        <f t="shared" si="21"/>
        <v>39569.424442137592</v>
      </c>
      <c r="N53" s="6">
        <f t="shared" si="22"/>
        <v>4550.7126782636069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5">
        <v>36</v>
      </c>
      <c r="T53" s="6">
        <f>VLOOKUP($S$13,角色设定!$AB$9:$AJ$21,MATCH(E$17,角色设定!$AB$9:$AJ$9,0),0)*Z53*$L$15*E53/Y53/(1+W53*(X53-1))</f>
        <v>1292.8161017794339</v>
      </c>
      <c r="U53" s="6">
        <f>VLOOKUP($S$13,角色设定!$AB$9:$AJ$21,MATCH(F$17,角色设定!$AB$9:$AJ$9,0),0)*F53*$L$15/(1+V53/$N$16)</f>
        <v>43966.027157930657</v>
      </c>
      <c r="V53" s="6">
        <f>VLOOKUP($S$13,角色设定!$AB$9:$AJ$21,MATCH(V$17,角色设定!$AB$9:$AJ$9,0),0)*G53*$L$15</f>
        <v>4550.7126782636069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T53*战斗公式!$E$38*(1+W53*(X53-1))*Y53</f>
        <v>34906.034748044716</v>
      </c>
      <c r="AD53" s="6">
        <f>U53*战斗公式!$E$40*(1+V53*战斗公式!$E$39)</f>
        <v>45966.794729935435</v>
      </c>
      <c r="AE53" s="21">
        <f t="shared" si="12"/>
        <v>80872.829477980151</v>
      </c>
      <c r="AF53" s="21">
        <f t="shared" si="16"/>
        <v>3851.0871179990791</v>
      </c>
      <c r="AG53" s="21"/>
      <c r="AH53" s="9">
        <f t="shared" si="13"/>
        <v>387.84483053383013</v>
      </c>
      <c r="AI53" s="9">
        <f t="shared" si="14"/>
        <v>13189.808147379197</v>
      </c>
      <c r="AJ53" s="9">
        <f t="shared" si="15"/>
        <v>1365.2138034790821</v>
      </c>
      <c r="AK53" s="9">
        <f t="shared" si="17"/>
        <v>18.468801453991887</v>
      </c>
      <c r="AL53" s="9">
        <f t="shared" si="18"/>
        <v>601.99554274539696</v>
      </c>
      <c r="AM53" s="9">
        <f t="shared" si="19"/>
        <v>65.010181118051833</v>
      </c>
    </row>
    <row r="54" spans="4:39" ht="14.25" customHeight="1" x14ac:dyDescent="0.2">
      <c r="D54" s="1">
        <v>37</v>
      </c>
      <c r="E54" s="6">
        <f t="shared" si="26"/>
        <v>57.918161359718631</v>
      </c>
      <c r="F54" s="6">
        <f t="shared" si="26"/>
        <v>579.18161359718624</v>
      </c>
      <c r="G54" s="6">
        <f t="shared" si="26"/>
        <v>63.709977495690495</v>
      </c>
      <c r="H54" s="6">
        <v>0.4</v>
      </c>
      <c r="I54" s="6">
        <v>1.5</v>
      </c>
      <c r="J54" s="6">
        <v>1</v>
      </c>
      <c r="K54" s="25">
        <f t="shared" si="8"/>
        <v>1.0476112662478134</v>
      </c>
      <c r="L54" s="6">
        <f t="shared" si="20"/>
        <v>2533.9195594876905</v>
      </c>
      <c r="M54" s="6">
        <f t="shared" si="21"/>
        <v>41457.670575258853</v>
      </c>
      <c r="N54" s="6">
        <f t="shared" si="22"/>
        <v>4778.2483121767873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5">
        <v>37</v>
      </c>
      <c r="T54" s="6">
        <f>VLOOKUP($S$13,角色设定!$AB$9:$AJ$21,MATCH(E$17,角色设定!$AB$9:$AJ$9,0),0)*Z54*$L$15*E54/Y54/(1+W54*(X54-1))</f>
        <v>1357.4569068684054</v>
      </c>
      <c r="U54" s="6">
        <f>VLOOKUP($S$13,角色设定!$AB$9:$AJ$21,MATCH(F$17,角色设定!$AB$9:$AJ$9,0),0)*F54*$L$15/(1+V54/$N$16)</f>
        <v>46064.078416954282</v>
      </c>
      <c r="V54" s="6">
        <f>VLOOKUP($S$13,角色设定!$AB$9:$AJ$21,MATCH(V$17,角色设定!$AB$9:$AJ$9,0),0)*G54*$L$15</f>
        <v>4778.2483121767873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T54*战斗公式!$E$38*(1+W54*(X54-1))*Y54</f>
        <v>36651.336485446947</v>
      </c>
      <c r="AD54" s="6">
        <f>U54*战斗公式!$E$40*(1+V54*战斗公式!$E$39)</f>
        <v>48265.134466432195</v>
      </c>
      <c r="AE54" s="21">
        <f t="shared" si="12"/>
        <v>84916.470951879135</v>
      </c>
      <c r="AF54" s="21">
        <f t="shared" si="16"/>
        <v>4043.6414738989843</v>
      </c>
      <c r="AG54" s="21"/>
      <c r="AH54" s="9">
        <f t="shared" si="13"/>
        <v>407.2370720605216</v>
      </c>
      <c r="AI54" s="9">
        <f t="shared" si="14"/>
        <v>13819.223525086285</v>
      </c>
      <c r="AJ54" s="9">
        <f t="shared" si="15"/>
        <v>1433.4744936530362</v>
      </c>
      <c r="AK54" s="9">
        <f t="shared" si="17"/>
        <v>19.392241526691464</v>
      </c>
      <c r="AL54" s="9">
        <f t="shared" si="18"/>
        <v>629.41537770708783</v>
      </c>
      <c r="AM54" s="9">
        <f t="shared" si="19"/>
        <v>68.260690173954117</v>
      </c>
    </row>
    <row r="55" spans="4:39" ht="14.25" customHeight="1" x14ac:dyDescent="0.2">
      <c r="D55" s="1">
        <v>38</v>
      </c>
      <c r="E55" s="6">
        <f t="shared" si="26"/>
        <v>60.814069427704567</v>
      </c>
      <c r="F55" s="6">
        <f t="shared" si="26"/>
        <v>608.14069427704567</v>
      </c>
      <c r="G55" s="6">
        <f t="shared" si="26"/>
        <v>66.895476370475023</v>
      </c>
      <c r="H55" s="6">
        <v>0.4</v>
      </c>
      <c r="I55" s="6">
        <v>1.5</v>
      </c>
      <c r="J55" s="6">
        <v>1</v>
      </c>
      <c r="K55" s="25">
        <f t="shared" si="8"/>
        <v>1.0474978066339518</v>
      </c>
      <c r="L55" s="6">
        <f t="shared" si="20"/>
        <v>2660.6155374620753</v>
      </c>
      <c r="M55" s="6">
        <f t="shared" si="21"/>
        <v>43431.522767031645</v>
      </c>
      <c r="N55" s="6">
        <f t="shared" si="22"/>
        <v>5017.1607277856265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5">
        <v>38</v>
      </c>
      <c r="T55" s="6">
        <f>VLOOKUP($S$13,角色设定!$AB$9:$AJ$21,MATCH(E$17,角色设定!$AB$9:$AJ$9,0),0)*Z55*$L$15*E55/Y55/(1+W55*(X55-1))</f>
        <v>1425.3297522118257</v>
      </c>
      <c r="U55" s="6">
        <f>VLOOKUP($S$13,角色设定!$AB$9:$AJ$21,MATCH(F$17,角色设定!$AB$9:$AJ$9,0),0)*F55*$L$15/(1+V55/$N$16)</f>
        <v>48257.24751892405</v>
      </c>
      <c r="V55" s="6">
        <f>VLOOKUP($S$13,角色设定!$AB$9:$AJ$21,MATCH(V$17,角色设定!$AB$9:$AJ$9,0),0)*G55*$L$15</f>
        <v>5017.1607277856265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T55*战斗公式!$E$38*(1+W55*(X55-1))*Y55</f>
        <v>38483.903309719295</v>
      </c>
      <c r="AD55" s="6">
        <f>U55*战斗公式!$E$40*(1+V55*战斗公式!$E$39)</f>
        <v>50678.391189753806</v>
      </c>
      <c r="AE55" s="21">
        <f t="shared" si="12"/>
        <v>89162.294499473093</v>
      </c>
      <c r="AF55" s="21">
        <f t="shared" si="16"/>
        <v>4245.8235475939582</v>
      </c>
      <c r="AG55" s="21"/>
      <c r="AH55" s="9">
        <f t="shared" si="13"/>
        <v>427.59892566354773</v>
      </c>
      <c r="AI55" s="9">
        <f t="shared" si="14"/>
        <v>14477.174255677215</v>
      </c>
      <c r="AJ55" s="9">
        <f t="shared" si="15"/>
        <v>1505.1482183356879</v>
      </c>
      <c r="AK55" s="9">
        <f t="shared" si="17"/>
        <v>20.361853603026134</v>
      </c>
      <c r="AL55" s="9">
        <f t="shared" si="18"/>
        <v>657.95073059093011</v>
      </c>
      <c r="AM55" s="9">
        <f t="shared" si="19"/>
        <v>71.673724682651709</v>
      </c>
    </row>
    <row r="56" spans="4:39" ht="14.25" customHeight="1" x14ac:dyDescent="0.2">
      <c r="D56" s="1">
        <v>39</v>
      </c>
      <c r="E56" s="6">
        <f t="shared" si="26"/>
        <v>63.854772899089781</v>
      </c>
      <c r="F56" s="6">
        <f t="shared" si="26"/>
        <v>638.54772899089789</v>
      </c>
      <c r="G56" s="6">
        <f t="shared" si="26"/>
        <v>70.240250188998758</v>
      </c>
      <c r="H56" s="6">
        <v>0.4</v>
      </c>
      <c r="I56" s="6">
        <v>1.5</v>
      </c>
      <c r="J56" s="6">
        <v>1</v>
      </c>
      <c r="K56" s="25">
        <f t="shared" si="8"/>
        <v>1.0473792545774601</v>
      </c>
      <c r="L56" s="6">
        <f t="shared" si="20"/>
        <v>2793.646314335178</v>
      </c>
      <c r="M56" s="6">
        <f t="shared" si="21"/>
        <v>45494.424837238184</v>
      </c>
      <c r="N56" s="6">
        <f t="shared" si="22"/>
        <v>5268.0187641749071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5">
        <v>39</v>
      </c>
      <c r="T56" s="6">
        <f>VLOOKUP($S$13,角色设定!$AB$9:$AJ$21,MATCH(E$17,角色设定!$AB$9:$AJ$9,0),0)*Z56*$L$15*E56/Y56/(1+W56*(X56-1))</f>
        <v>1496.5962398224167</v>
      </c>
      <c r="U56" s="6">
        <f>VLOOKUP($S$13,角色设定!$AB$9:$AJ$21,MATCH(F$17,角色设定!$AB$9:$AJ$9,0),0)*F56*$L$15/(1+V56/$N$16)</f>
        <v>50549.360930264651</v>
      </c>
      <c r="V56" s="6">
        <f>VLOOKUP($S$13,角色设定!$AB$9:$AJ$21,MATCH(V$17,角色设定!$AB$9:$AJ$9,0),0)*G56*$L$15</f>
        <v>5268.0187641749071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T56*战斗公式!$E$38*(1+W56*(X56-1))*Y56</f>
        <v>40408.098475205246</v>
      </c>
      <c r="AD56" s="6">
        <f>U56*战斗公式!$E$40*(1+V56*战斗公式!$E$39)</f>
        <v>53212.310749241493</v>
      </c>
      <c r="AE56" s="21">
        <f t="shared" si="12"/>
        <v>93620.409224446747</v>
      </c>
      <c r="AF56" s="21">
        <f t="shared" si="16"/>
        <v>4458.1147249736532</v>
      </c>
      <c r="AG56" s="21"/>
      <c r="AH56" s="9">
        <f t="shared" si="13"/>
        <v>448.97887194672501</v>
      </c>
      <c r="AI56" s="9">
        <f t="shared" si="14"/>
        <v>15164.808279079394</v>
      </c>
      <c r="AJ56" s="9">
        <f t="shared" si="15"/>
        <v>1580.4056292524722</v>
      </c>
      <c r="AK56" s="9">
        <f t="shared" si="17"/>
        <v>21.379946283177276</v>
      </c>
      <c r="AL56" s="9">
        <f t="shared" si="18"/>
        <v>687.63402340217908</v>
      </c>
      <c r="AM56" s="9">
        <f t="shared" si="19"/>
        <v>75.257410916784238</v>
      </c>
    </row>
    <row r="57" spans="4:39" ht="14.25" customHeight="1" x14ac:dyDescent="0.2">
      <c r="D57" s="1">
        <v>40</v>
      </c>
      <c r="E57" s="6">
        <f t="shared" si="26"/>
        <v>67.047511544044283</v>
      </c>
      <c r="F57" s="6">
        <f t="shared" si="26"/>
        <v>670.47511544044289</v>
      </c>
      <c r="G57" s="6">
        <f t="shared" si="26"/>
        <v>73.752262698448718</v>
      </c>
      <c r="H57" s="6">
        <v>0.4</v>
      </c>
      <c r="I57" s="6">
        <v>1.5</v>
      </c>
      <c r="J57" s="6">
        <v>1</v>
      </c>
      <c r="K57" s="25">
        <f t="shared" si="8"/>
        <v>1.0472554101775464</v>
      </c>
      <c r="L57" s="6">
        <f t="shared" si="20"/>
        <v>2933.3286300519371</v>
      </c>
      <c r="M57" s="6">
        <f t="shared" si="21"/>
        <v>47649.916773456818</v>
      </c>
      <c r="N57" s="6">
        <f t="shared" si="22"/>
        <v>5531.4197023836541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5">
        <v>40</v>
      </c>
      <c r="T57" s="6">
        <f>VLOOKUP($S$13,角色设定!$AB$9:$AJ$21,MATCH(E$17,角色设定!$AB$9:$AJ$9,0),0)*Z57*$L$15*E57/Y57/(1+W57*(X57-1))</f>
        <v>1571.4260518135379</v>
      </c>
      <c r="U57" s="6">
        <f>VLOOKUP($S$13,角色设定!$AB$9:$AJ$21,MATCH(F$17,角色设定!$AB$9:$AJ$9,0),0)*F57*$L$15/(1+V57/$N$16)</f>
        <v>52944.351970507581</v>
      </c>
      <c r="V57" s="6">
        <f>VLOOKUP($S$13,角色设定!$AB$9:$AJ$21,MATCH(V$17,角色设定!$AB$9:$AJ$9,0),0)*G57*$L$15</f>
        <v>5531.4197023836541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T57*战斗公式!$E$38*(1+W57*(X57-1))*Y57</f>
        <v>42428.503398965528</v>
      </c>
      <c r="AD57" s="6">
        <f>U57*战斗公式!$E$40*(1+V57*战斗公式!$E$39)</f>
        <v>55872.92628670358</v>
      </c>
      <c r="AE57" s="21">
        <f t="shared" si="12"/>
        <v>98301.429685669107</v>
      </c>
      <c r="AF57" s="21">
        <f t="shared" si="16"/>
        <v>4681.0204612223606</v>
      </c>
      <c r="AG57" s="21"/>
      <c r="AH57" s="9">
        <f t="shared" si="13"/>
        <v>471.42781554406133</v>
      </c>
      <c r="AI57" s="9">
        <f t="shared" si="14"/>
        <v>15883.305591152273</v>
      </c>
      <c r="AJ57" s="9">
        <f t="shared" si="15"/>
        <v>1659.4259107150963</v>
      </c>
      <c r="AK57" s="9">
        <f t="shared" si="17"/>
        <v>22.448943597336324</v>
      </c>
      <c r="AL57" s="9">
        <f t="shared" si="18"/>
        <v>718.49731207287914</v>
      </c>
      <c r="AM57" s="9">
        <f t="shared" si="19"/>
        <v>79.020281462624098</v>
      </c>
    </row>
    <row r="58" spans="4:39" ht="14.25" customHeight="1" x14ac:dyDescent="0.2">
      <c r="D58" s="1">
        <v>41</v>
      </c>
      <c r="E58" s="6">
        <f t="shared" si="26"/>
        <v>70.399887121246493</v>
      </c>
      <c r="F58" s="6">
        <f t="shared" si="26"/>
        <v>703.99887121246491</v>
      </c>
      <c r="G58" s="6">
        <f t="shared" si="26"/>
        <v>77.439875833371147</v>
      </c>
      <c r="H58" s="6">
        <v>0.4</v>
      </c>
      <c r="I58" s="6">
        <v>1.5</v>
      </c>
      <c r="J58" s="6">
        <v>1</v>
      </c>
      <c r="K58" s="25">
        <f t="shared" si="8"/>
        <v>1.0471260684497077</v>
      </c>
      <c r="L58" s="6">
        <f t="shared" si="20"/>
        <v>3079.995061554534</v>
      </c>
      <c r="M58" s="6">
        <f t="shared" si="21"/>
        <v>49901.633135512471</v>
      </c>
      <c r="N58" s="6">
        <f t="shared" si="22"/>
        <v>5807.9906875028364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5">
        <v>41</v>
      </c>
      <c r="T58" s="6">
        <f>VLOOKUP($S$13,角色设定!$AB$9:$AJ$21,MATCH(E$17,角色设定!$AB$9:$AJ$9,0),0)*Z58*$L$15*E58/Y58/(1+W58*(X58-1))</f>
        <v>1649.9973544042148</v>
      </c>
      <c r="U58" s="6">
        <f>VLOOKUP($S$13,角色设定!$AB$9:$AJ$21,MATCH(F$17,角色设定!$AB$9:$AJ$9,0),0)*F58*$L$15/(1+V58/$N$16)</f>
        <v>55446.259039458309</v>
      </c>
      <c r="V58" s="6">
        <f>VLOOKUP($S$13,角色设定!$AB$9:$AJ$21,MATCH(V$17,角色设定!$AB$9:$AJ$9,0),0)*G58*$L$15</f>
        <v>5807.9906875028364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T58*战斗公式!$E$38*(1+W58*(X58-1))*Y58</f>
        <v>44549.928568913798</v>
      </c>
      <c r="AD58" s="6">
        <f>U58*战斗公式!$E$40*(1+V58*战斗公式!$E$39)</f>
        <v>58666.572601038752</v>
      </c>
      <c r="AE58" s="21">
        <f t="shared" si="12"/>
        <v>103216.50116995255</v>
      </c>
      <c r="AF58" s="21">
        <f t="shared" si="16"/>
        <v>4915.0714842834423</v>
      </c>
      <c r="AG58" s="21"/>
      <c r="AH58" s="9">
        <f t="shared" si="13"/>
        <v>494.99920632126441</v>
      </c>
      <c r="AI58" s="9">
        <f t="shared" si="14"/>
        <v>16633.877711837493</v>
      </c>
      <c r="AJ58" s="9">
        <f t="shared" si="15"/>
        <v>1742.3972062508508</v>
      </c>
      <c r="AK58" s="9">
        <f t="shared" si="17"/>
        <v>23.571390777203078</v>
      </c>
      <c r="AL58" s="9">
        <f t="shared" si="18"/>
        <v>750.57212068521949</v>
      </c>
      <c r="AM58" s="9">
        <f t="shared" si="19"/>
        <v>82.971295535754507</v>
      </c>
    </row>
    <row r="59" spans="4:39" ht="14.25" customHeight="1" x14ac:dyDescent="0.2">
      <c r="D59" s="1">
        <v>42</v>
      </c>
      <c r="E59" s="6">
        <f t="shared" si="26"/>
        <v>73.91988147730882</v>
      </c>
      <c r="F59" s="6">
        <f t="shared" si="26"/>
        <v>739.1988147730882</v>
      </c>
      <c r="G59" s="6">
        <f t="shared" si="26"/>
        <v>81.311869625039705</v>
      </c>
      <c r="H59" s="6">
        <v>0.4</v>
      </c>
      <c r="I59" s="6">
        <v>1.5</v>
      </c>
      <c r="J59" s="6">
        <v>1</v>
      </c>
      <c r="K59" s="25">
        <f t="shared" si="8"/>
        <v>1.0469910194762542</v>
      </c>
      <c r="L59" s="6">
        <f t="shared" si="20"/>
        <v>3233.9948146322608</v>
      </c>
      <c r="M59" s="6">
        <f t="shared" si="21"/>
        <v>52253.300914408836</v>
      </c>
      <c r="N59" s="6">
        <f t="shared" si="22"/>
        <v>6098.3902218779776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5">
        <v>42</v>
      </c>
      <c r="T59" s="6">
        <f>VLOOKUP($S$13,角色设定!$AB$9:$AJ$21,MATCH(E$17,角色设定!$AB$9:$AJ$9,0),0)*Z59*$L$15*E59/Y59/(1+W59*(X59-1))</f>
        <v>1732.4972221244252</v>
      </c>
      <c r="U59" s="6">
        <f>VLOOKUP($S$13,角色设定!$AB$9:$AJ$21,MATCH(F$17,角色设定!$AB$9:$AJ$9,0),0)*F59*$L$15/(1+V59/$N$16)</f>
        <v>58059.223238232044</v>
      </c>
      <c r="V59" s="6">
        <f>VLOOKUP($S$13,角色设定!$AB$9:$AJ$21,MATCH(V$17,角色设定!$AB$9:$AJ$9,0),0)*G59*$L$15</f>
        <v>6098.3902218779776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T59*战斗公式!$E$38*(1+W59*(X59-1))*Y59</f>
        <v>46777.424997359478</v>
      </c>
      <c r="AD59" s="6">
        <f>U59*战斗公式!$E$40*(1+V59*战斗公式!$E$39)</f>
        <v>61599.901231090691</v>
      </c>
      <c r="AE59" s="21">
        <f t="shared" si="12"/>
        <v>108377.32622845017</v>
      </c>
      <c r="AF59" s="21">
        <f t="shared" si="16"/>
        <v>5160.8250584976195</v>
      </c>
      <c r="AG59" s="21"/>
      <c r="AH59" s="9">
        <f t="shared" si="13"/>
        <v>519.74916663732756</v>
      </c>
      <c r="AI59" s="9">
        <f t="shared" si="14"/>
        <v>17417.766971469613</v>
      </c>
      <c r="AJ59" s="9">
        <f t="shared" si="15"/>
        <v>1829.5170665633932</v>
      </c>
      <c r="AK59" s="9">
        <f t="shared" si="17"/>
        <v>24.749960316063152</v>
      </c>
      <c r="AL59" s="9">
        <f t="shared" si="18"/>
        <v>783.88925963212023</v>
      </c>
      <c r="AM59" s="9">
        <f t="shared" si="19"/>
        <v>87.119860312542414</v>
      </c>
    </row>
    <row r="60" spans="4:39" ht="14.25" customHeight="1" x14ac:dyDescent="0.2">
      <c r="D60" s="1">
        <v>43</v>
      </c>
      <c r="E60" s="6">
        <f t="shared" si="26"/>
        <v>77.61587555117427</v>
      </c>
      <c r="F60" s="6">
        <f t="shared" si="26"/>
        <v>776.15875551174258</v>
      </c>
      <c r="G60" s="6">
        <f t="shared" si="26"/>
        <v>85.377463106291685</v>
      </c>
      <c r="H60" s="6">
        <v>0.4</v>
      </c>
      <c r="I60" s="6">
        <v>1.5</v>
      </c>
      <c r="J60" s="6">
        <v>1</v>
      </c>
      <c r="K60" s="25">
        <f t="shared" si="8"/>
        <v>1.046850048592503</v>
      </c>
      <c r="L60" s="6">
        <f t="shared" si="20"/>
        <v>3395.6945553638743</v>
      </c>
      <c r="M60" s="6">
        <f t="shared" si="21"/>
        <v>54708.73679537639</v>
      </c>
      <c r="N60" s="6">
        <f t="shared" si="22"/>
        <v>6403.3097329718767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5">
        <v>43</v>
      </c>
      <c r="T60" s="6">
        <f>VLOOKUP($S$13,角色设定!$AB$9:$AJ$21,MATCH(E$17,角色设定!$AB$9:$AJ$9,0),0)*Z60*$L$15*E60/Y60/(1+W60*(X60-1))</f>
        <v>1819.1220832306469</v>
      </c>
      <c r="U60" s="6">
        <f>VLOOKUP($S$13,角色设定!$AB$9:$AJ$21,MATCH(F$17,角色设定!$AB$9:$AJ$9,0),0)*F60*$L$15/(1+V60/$N$16)</f>
        <v>60787.485328195995</v>
      </c>
      <c r="V60" s="6">
        <f>VLOOKUP($S$13,角色设定!$AB$9:$AJ$21,MATCH(V$17,角色设定!$AB$9:$AJ$9,0),0)*G60*$L$15</f>
        <v>6403.3097329718767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T60*战斗公式!$E$38*(1+W60*(X60-1))*Y60</f>
        <v>49116.296247227467</v>
      </c>
      <c r="AD60" s="6">
        <f>U60*战斗公式!$E$40*(1+V60*战斗公式!$E$39)</f>
        <v>64679.896292645222</v>
      </c>
      <c r="AE60" s="21">
        <f t="shared" si="12"/>
        <v>113796.19253987269</v>
      </c>
      <c r="AF60" s="21">
        <f t="shared" si="16"/>
        <v>5418.8663114225201</v>
      </c>
      <c r="AG60" s="21"/>
      <c r="AH60" s="9">
        <f t="shared" si="13"/>
        <v>545.73662496919405</v>
      </c>
      <c r="AI60" s="9">
        <f t="shared" si="14"/>
        <v>18236.245598458798</v>
      </c>
      <c r="AJ60" s="9">
        <f t="shared" si="15"/>
        <v>1920.9929198915629</v>
      </c>
      <c r="AK60" s="9">
        <f t="shared" si="17"/>
        <v>25.987458331866492</v>
      </c>
      <c r="AL60" s="9">
        <f t="shared" si="18"/>
        <v>818.4786269891847</v>
      </c>
      <c r="AM60" s="9">
        <f t="shared" si="19"/>
        <v>91.475853328169705</v>
      </c>
    </row>
    <row r="61" spans="4:39" ht="14.25" customHeight="1" x14ac:dyDescent="0.2">
      <c r="D61" s="1">
        <v>44</v>
      </c>
      <c r="E61" s="6">
        <f t="shared" si="26"/>
        <v>81.496669328732992</v>
      </c>
      <c r="F61" s="6">
        <f t="shared" si="26"/>
        <v>814.9666932873298</v>
      </c>
      <c r="G61" s="6">
        <f t="shared" si="26"/>
        <v>89.64633626160628</v>
      </c>
      <c r="H61" s="6">
        <v>0.4</v>
      </c>
      <c r="I61" s="6">
        <v>1.5</v>
      </c>
      <c r="J61" s="6">
        <v>1</v>
      </c>
      <c r="K61" s="25">
        <f t="shared" si="8"/>
        <v>1.046702936611589</v>
      </c>
      <c r="L61" s="6">
        <f t="shared" si="20"/>
        <v>3565.4792831320683</v>
      </c>
      <c r="M61" s="6">
        <f t="shared" si="21"/>
        <v>57271.843772674234</v>
      </c>
      <c r="N61" s="6">
        <f t="shared" si="22"/>
        <v>6723.4752196204709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5">
        <v>44</v>
      </c>
      <c r="T61" s="6">
        <f>VLOOKUP($S$13,角色设定!$AB$9:$AJ$21,MATCH(E$17,角色设定!$AB$9:$AJ$9,0),0)*Z61*$L$15*E61/Y61/(1+W61*(X61-1))</f>
        <v>1910.0781873921799</v>
      </c>
      <c r="U61" s="6">
        <f>VLOOKUP($S$13,角色设定!$AB$9:$AJ$21,MATCH(F$17,角色设定!$AB$9:$AJ$9,0),0)*F61*$L$15/(1+V61/$N$16)</f>
        <v>63635.381969638045</v>
      </c>
      <c r="V61" s="6">
        <f>VLOOKUP($S$13,角色设定!$AB$9:$AJ$21,MATCH(V$17,角色设定!$AB$9:$AJ$9,0),0)*G61*$L$15</f>
        <v>6723.4752196204709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T61*战斗公式!$E$38*(1+W61*(X61-1))*Y61</f>
        <v>51572.111059588853</v>
      </c>
      <c r="AD61" s="6">
        <f>U61*战斗公式!$E$40*(1+V61*战斗公式!$E$39)</f>
        <v>67913.891107277494</v>
      </c>
      <c r="AE61" s="21">
        <f t="shared" si="12"/>
        <v>119486.00216686635</v>
      </c>
      <c r="AF61" s="21">
        <f t="shared" si="16"/>
        <v>5689.809626993665</v>
      </c>
      <c r="AG61" s="21"/>
      <c r="AH61" s="9">
        <f t="shared" si="13"/>
        <v>573.02345621765392</v>
      </c>
      <c r="AI61" s="9">
        <f t="shared" si="14"/>
        <v>19090.614590891411</v>
      </c>
      <c r="AJ61" s="9">
        <f t="shared" si="15"/>
        <v>2017.0425658861411</v>
      </c>
      <c r="AK61" s="9">
        <f t="shared" si="17"/>
        <v>27.286831248459862</v>
      </c>
      <c r="AL61" s="9">
        <f t="shared" si="18"/>
        <v>854.3689924326136</v>
      </c>
      <c r="AM61" s="9">
        <f t="shared" si="19"/>
        <v>96.049645994578214</v>
      </c>
    </row>
    <row r="62" spans="4:39" ht="14.25" customHeight="1" x14ac:dyDescent="0.2">
      <c r="D62" s="1">
        <v>45</v>
      </c>
      <c r="E62" s="6">
        <f t="shared" si="26"/>
        <v>85.571502795169621</v>
      </c>
      <c r="F62" s="6">
        <f t="shared" si="26"/>
        <v>855.71502795169624</v>
      </c>
      <c r="G62" s="6">
        <f t="shared" si="26"/>
        <v>94.128653074686582</v>
      </c>
      <c r="H62" s="6">
        <v>0.4</v>
      </c>
      <c r="I62" s="6">
        <v>1.5</v>
      </c>
      <c r="J62" s="6">
        <v>1</v>
      </c>
      <c r="K62" s="25">
        <f t="shared" si="8"/>
        <v>1.0465494600909728</v>
      </c>
      <c r="L62" s="6">
        <f t="shared" si="20"/>
        <v>3743.753247288671</v>
      </c>
      <c r="M62" s="6">
        <f t="shared" si="21"/>
        <v>59946.607062018265</v>
      </c>
      <c r="N62" s="6">
        <f t="shared" si="22"/>
        <v>7059.6489806014933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5">
        <v>45</v>
      </c>
      <c r="T62" s="6">
        <f>VLOOKUP($S$13,角色设定!$AB$9:$AJ$21,MATCH(E$17,角色设定!$AB$9:$AJ$9,0),0)*Z62*$L$15*E62/Y62/(1+W62*(X62-1))</f>
        <v>2005.5820967617876</v>
      </c>
      <c r="U62" s="6">
        <f>VLOOKUP($S$13,角色设定!$AB$9:$AJ$21,MATCH(F$17,角色设定!$AB$9:$AJ$9,0),0)*F62*$L$15/(1+V62/$N$16)</f>
        <v>66607.341180020288</v>
      </c>
      <c r="V62" s="6">
        <f>VLOOKUP($S$13,角色设定!$AB$9:$AJ$21,MATCH(V$17,角色设定!$AB$9:$AJ$9,0),0)*G62*$L$15</f>
        <v>7059.6489806014933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T62*战斗公式!$E$38*(1+W62*(X62-1))*Y62</f>
        <v>54150.716612568263</v>
      </c>
      <c r="AD62" s="6">
        <f>U62*战斗公式!$E$40*(1+V62*战斗公式!$E$39)</f>
        <v>71309.585662641344</v>
      </c>
      <c r="AE62" s="21">
        <f t="shared" si="12"/>
        <v>125460.3022752096</v>
      </c>
      <c r="AF62" s="21">
        <f t="shared" si="16"/>
        <v>5974.3001083432464</v>
      </c>
      <c r="AG62" s="21"/>
      <c r="AH62" s="9">
        <f t="shared" si="13"/>
        <v>601.67462902853629</v>
      </c>
      <c r="AI62" s="9">
        <f t="shared" si="14"/>
        <v>19982.202354006087</v>
      </c>
      <c r="AJ62" s="9">
        <f t="shared" si="15"/>
        <v>2117.8946941804479</v>
      </c>
      <c r="AK62" s="9">
        <f t="shared" si="17"/>
        <v>28.651172810882372</v>
      </c>
      <c r="AL62" s="9">
        <f t="shared" si="18"/>
        <v>891.58776311467591</v>
      </c>
      <c r="AM62" s="9">
        <f t="shared" si="19"/>
        <v>100.85212829430679</v>
      </c>
    </row>
    <row r="63" spans="4:39" ht="14.25" customHeight="1" x14ac:dyDescent="0.2">
      <c r="D63" s="1">
        <v>46</v>
      </c>
      <c r="E63" s="6">
        <f t="shared" si="26"/>
        <v>89.850077934928123</v>
      </c>
      <c r="F63" s="6">
        <f t="shared" si="26"/>
        <v>898.50077934928117</v>
      </c>
      <c r="G63" s="6">
        <f t="shared" si="26"/>
        <v>98.835085728420935</v>
      </c>
      <c r="H63" s="6">
        <v>0.4</v>
      </c>
      <c r="I63" s="6">
        <v>1.5</v>
      </c>
      <c r="J63" s="6">
        <v>1</v>
      </c>
      <c r="K63" s="25">
        <f t="shared" si="8"/>
        <v>1.0463893916437506</v>
      </c>
      <c r="L63" s="6">
        <f t="shared" si="20"/>
        <v>3930.9409096531049</v>
      </c>
      <c r="M63" s="6">
        <f t="shared" si="21"/>
        <v>62737.089255040912</v>
      </c>
      <c r="N63" s="6">
        <f t="shared" si="22"/>
        <v>7412.6314296315704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5">
        <v>46</v>
      </c>
      <c r="T63" s="6">
        <f>VLOOKUP($S$13,角色设定!$AB$9:$AJ$21,MATCH(E$17,角色设定!$AB$9:$AJ$9,0),0)*Z63*$L$15*E63/Y63/(1+W63*(X63-1))</f>
        <v>2105.8612015998779</v>
      </c>
      <c r="U63" s="6">
        <f>VLOOKUP($S$13,角色设定!$AB$9:$AJ$21,MATCH(F$17,角色设定!$AB$9:$AJ$9,0),0)*F63*$L$15/(1+V63/$N$16)</f>
        <v>69707.876950045465</v>
      </c>
      <c r="V63" s="6">
        <f>VLOOKUP($S$13,角色设定!$AB$9:$AJ$21,MATCH(V$17,角色设定!$AB$9:$AJ$9,0),0)*G63*$L$15</f>
        <v>7412.6314296315704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T63*战斗公式!$E$38*(1+W63*(X63-1))*Y63</f>
        <v>56858.252443196703</v>
      </c>
      <c r="AD63" s="6">
        <f>U63*战斗公式!$E$40*(1+V63*战斗公式!$E$39)</f>
        <v>74875.06494577344</v>
      </c>
      <c r="AE63" s="21">
        <f t="shared" si="12"/>
        <v>131733.31738897014</v>
      </c>
      <c r="AF63" s="21">
        <f t="shared" si="16"/>
        <v>6273.0151137605426</v>
      </c>
      <c r="AG63" s="21"/>
      <c r="AH63" s="9">
        <f t="shared" si="13"/>
        <v>631.75836047996336</v>
      </c>
      <c r="AI63" s="9">
        <f t="shared" si="14"/>
        <v>20912.36308501364</v>
      </c>
      <c r="AJ63" s="9">
        <f t="shared" si="15"/>
        <v>2223.7894288894709</v>
      </c>
      <c r="AK63" s="9">
        <f t="shared" si="17"/>
        <v>30.08373145142707</v>
      </c>
      <c r="AL63" s="9">
        <f t="shared" si="18"/>
        <v>930.16073100755239</v>
      </c>
      <c r="AM63" s="9">
        <f t="shared" si="19"/>
        <v>105.89473470902294</v>
      </c>
    </row>
    <row r="64" spans="4:39" ht="14.25" customHeight="1" x14ac:dyDescent="0.2">
      <c r="D64" s="1">
        <v>47</v>
      </c>
      <c r="E64" s="6">
        <f t="shared" si="26"/>
        <v>94.342581831674508</v>
      </c>
      <c r="F64" s="6">
        <f t="shared" si="26"/>
        <v>943.42581831674511</v>
      </c>
      <c r="G64" s="6">
        <f t="shared" si="26"/>
        <v>103.77684001484195</v>
      </c>
      <c r="H64" s="6">
        <v>0.4</v>
      </c>
      <c r="I64" s="6">
        <v>1.5</v>
      </c>
      <c r="J64" s="6">
        <v>1</v>
      </c>
      <c r="K64" s="25">
        <f t="shared" si="8"/>
        <v>1.0462225002979284</v>
      </c>
      <c r="L64" s="6">
        <f t="shared" si="20"/>
        <v>4127.4879551357599</v>
      </c>
      <c r="M64" s="6">
        <f t="shared" si="21"/>
        <v>65647.424659081938</v>
      </c>
      <c r="N64" s="6">
        <f t="shared" si="22"/>
        <v>7783.2630011131459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5">
        <v>47</v>
      </c>
      <c r="T64" s="6">
        <f>VLOOKUP($S$13,角色设定!$AB$9:$AJ$21,MATCH(E$17,角色设定!$AB$9:$AJ$9,0),0)*Z64*$L$15*E64/Y64/(1+W64*(X64-1))</f>
        <v>2211.1542616798711</v>
      </c>
      <c r="U64" s="6">
        <f>VLOOKUP($S$13,角色设定!$AB$9:$AJ$21,MATCH(F$17,角色设定!$AB$9:$AJ$9,0),0)*F64*$L$15/(1+V64/$N$16)</f>
        <v>72941.582954535479</v>
      </c>
      <c r="V64" s="6">
        <f>VLOOKUP($S$13,角色设定!$AB$9:$AJ$21,MATCH(V$17,角色设定!$AB$9:$AJ$9,0),0)*G64*$L$15</f>
        <v>7783.2630011131459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T64*战斗公式!$E$38*(1+W64*(X64-1))*Y64</f>
        <v>59701.165065356523</v>
      </c>
      <c r="AD64" s="6">
        <f>U64*战斗公式!$E$40*(1+V64*战斗公式!$E$39)</f>
        <v>78618.818193062092</v>
      </c>
      <c r="AE64" s="21">
        <f t="shared" si="12"/>
        <v>138319.98325841862</v>
      </c>
      <c r="AF64" s="21">
        <f t="shared" si="16"/>
        <v>6586.6658694484795</v>
      </c>
      <c r="AG64" s="21"/>
      <c r="AH64" s="9">
        <f t="shared" si="13"/>
        <v>663.34627850396134</v>
      </c>
      <c r="AI64" s="9">
        <f t="shared" si="14"/>
        <v>21882.474886360644</v>
      </c>
      <c r="AJ64" s="9">
        <f t="shared" si="15"/>
        <v>2334.9789003339438</v>
      </c>
      <c r="AK64" s="9">
        <f t="shared" si="17"/>
        <v>31.587918023997986</v>
      </c>
      <c r="AL64" s="9">
        <f t="shared" si="18"/>
        <v>970.11180134700408</v>
      </c>
      <c r="AM64" s="9">
        <f t="shared" si="19"/>
        <v>111.18947144447293</v>
      </c>
    </row>
    <row r="65" spans="4:39" ht="14.25" customHeight="1" x14ac:dyDescent="0.2">
      <c r="D65" s="1">
        <v>48</v>
      </c>
      <c r="E65" s="6">
        <f t="shared" si="26"/>
        <v>99.059710923258265</v>
      </c>
      <c r="F65" s="6">
        <f t="shared" si="26"/>
        <v>990.59710923258262</v>
      </c>
      <c r="G65" s="6">
        <f t="shared" si="26"/>
        <v>108.96568201558409</v>
      </c>
      <c r="H65" s="6">
        <v>0.4</v>
      </c>
      <c r="I65" s="6">
        <v>1.5</v>
      </c>
      <c r="J65" s="6">
        <v>1</v>
      </c>
      <c r="K65" s="25">
        <f t="shared" si="8"/>
        <v>1.046048551906819</v>
      </c>
      <c r="L65" s="6">
        <f t="shared" si="20"/>
        <v>4333.8623528925491</v>
      </c>
      <c r="M65" s="6">
        <f t="shared" si="21"/>
        <v>68681.812764944581</v>
      </c>
      <c r="N65" s="6">
        <f t="shared" si="22"/>
        <v>8172.4261511688073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5">
        <v>48</v>
      </c>
      <c r="T65" s="6">
        <f>VLOOKUP($S$13,角色设定!$AB$9:$AJ$21,MATCH(E$17,角色设定!$AB$9:$AJ$9,0),0)*Z65*$L$15*E65/Y65/(1+W65*(X65-1))</f>
        <v>2321.7119747638658</v>
      </c>
      <c r="U65" s="6">
        <f>VLOOKUP($S$13,角色设定!$AB$9:$AJ$21,MATCH(F$17,角色设定!$AB$9:$AJ$9,0),0)*F65*$L$15/(1+V65/$N$16)</f>
        <v>76313.125294382873</v>
      </c>
      <c r="V65" s="6">
        <f>VLOOKUP($S$13,角色设定!$AB$9:$AJ$21,MATCH(V$17,角色设定!$AB$9:$AJ$9,0),0)*G65*$L$15</f>
        <v>8172.4261511688073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T65*战斗公式!$E$38*(1+W65*(X65-1))*Y65</f>
        <v>62686.223318624383</v>
      </c>
      <c r="AD65" s="6">
        <f>U65*战斗公式!$E$40*(1+V65*战斗公式!$E$39)</f>
        <v>82549.759102715238</v>
      </c>
      <c r="AE65" s="21">
        <f t="shared" si="12"/>
        <v>145235.98242133961</v>
      </c>
      <c r="AF65" s="21">
        <f t="shared" si="16"/>
        <v>6915.9991629209835</v>
      </c>
      <c r="AG65" s="21"/>
      <c r="AH65" s="9">
        <f t="shared" si="13"/>
        <v>696.51359242915976</v>
      </c>
      <c r="AI65" s="9">
        <f t="shared" si="14"/>
        <v>22893.93758831486</v>
      </c>
      <c r="AJ65" s="9">
        <f t="shared" si="15"/>
        <v>2451.7278453506419</v>
      </c>
      <c r="AK65" s="9">
        <f t="shared" si="17"/>
        <v>33.167313925198414</v>
      </c>
      <c r="AL65" s="9">
        <f t="shared" si="18"/>
        <v>1011.4627019542168</v>
      </c>
      <c r="AM65" s="9">
        <f t="shared" si="19"/>
        <v>116.74894501669814</v>
      </c>
    </row>
    <row r="66" spans="4:39" ht="14.25" customHeight="1" x14ac:dyDescent="0.2">
      <c r="D66" s="1">
        <v>49</v>
      </c>
      <c r="E66" s="6">
        <f t="shared" si="26"/>
        <v>104.01269646942117</v>
      </c>
      <c r="F66" s="6">
        <f t="shared" si="26"/>
        <v>1040.1269646942117</v>
      </c>
      <c r="G66" s="6">
        <f t="shared" si="26"/>
        <v>114.41396611636328</v>
      </c>
      <c r="H66" s="6">
        <v>0.4</v>
      </c>
      <c r="I66" s="6">
        <v>1.5</v>
      </c>
      <c r="J66" s="6">
        <v>1</v>
      </c>
      <c r="K66" s="25">
        <f t="shared" si="8"/>
        <v>1.0458673096137068</v>
      </c>
      <c r="L66" s="6">
        <f t="shared" si="20"/>
        <v>4550.555470537176</v>
      </c>
      <c r="M66" s="6">
        <f t="shared" si="21"/>
        <v>71844.510785105551</v>
      </c>
      <c r="N66" s="6">
        <f t="shared" si="22"/>
        <v>8581.0474587272456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5">
        <v>49</v>
      </c>
      <c r="T66" s="6">
        <f>VLOOKUP($S$13,角色设定!$AB$9:$AJ$21,MATCH(E$17,角色设定!$AB$9:$AJ$9,0),0)*Z66*$L$15*E66/Y66/(1+W66*(X66-1))</f>
        <v>2437.7975735020586</v>
      </c>
      <c r="U66" s="6">
        <f>VLOOKUP($S$13,角色设定!$AB$9:$AJ$21,MATCH(F$17,角色设定!$AB$9:$AJ$9,0),0)*F66*$L$15/(1+V66/$N$16)</f>
        <v>79827.234205672823</v>
      </c>
      <c r="V66" s="6">
        <f>VLOOKUP($S$13,角色设定!$AB$9:$AJ$21,MATCH(V$17,角色设定!$AB$9:$AJ$9,0),0)*G66*$L$15</f>
        <v>8581.0474587272456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T66*战斗公式!$E$38*(1+W66*(X66-1))*Y66</f>
        <v>65820.534484555581</v>
      </c>
      <c r="AD66" s="6">
        <f>U66*战斗公式!$E$40*(1+V66*战斗公式!$E$39)</f>
        <v>86677.247057850967</v>
      </c>
      <c r="AE66" s="21">
        <f t="shared" si="12"/>
        <v>152497.78154240653</v>
      </c>
      <c r="AF66" s="21">
        <f t="shared" si="16"/>
        <v>7261.7991210669279</v>
      </c>
      <c r="AG66" s="21"/>
      <c r="AH66" s="9">
        <f t="shared" si="13"/>
        <v>731.33927205061752</v>
      </c>
      <c r="AI66" s="9">
        <f t="shared" si="14"/>
        <v>23948.170261701845</v>
      </c>
      <c r="AJ66" s="9">
        <f t="shared" si="15"/>
        <v>2574.3142376181736</v>
      </c>
      <c r="AK66" s="9">
        <f t="shared" si="17"/>
        <v>34.825679621457766</v>
      </c>
      <c r="AL66" s="9">
        <f t="shared" si="18"/>
        <v>1054.232673386985</v>
      </c>
      <c r="AM66" s="9">
        <f t="shared" si="19"/>
        <v>122.58639226753166</v>
      </c>
    </row>
    <row r="67" spans="4:39" ht="14.25" customHeight="1" x14ac:dyDescent="0.2">
      <c r="D67" s="1">
        <v>50</v>
      </c>
      <c r="E67" s="6">
        <f t="shared" si="26"/>
        <v>109.21333129289224</v>
      </c>
      <c r="F67" s="6">
        <f t="shared" si="26"/>
        <v>1092.1333129289224</v>
      </c>
      <c r="G67" s="6">
        <f t="shared" si="26"/>
        <v>120.13466442218146</v>
      </c>
      <c r="H67" s="6">
        <v>0.4</v>
      </c>
      <c r="I67" s="6">
        <v>1.5</v>
      </c>
      <c r="J67" s="6">
        <v>1</v>
      </c>
      <c r="K67" s="25">
        <f t="shared" si="8"/>
        <v>1.04567853437384</v>
      </c>
      <c r="L67" s="6">
        <f t="shared" si="20"/>
        <v>4778.0832440640352</v>
      </c>
      <c r="M67" s="6">
        <f t="shared" si="21"/>
        <v>75139.82520533129</v>
      </c>
      <c r="N67" s="6">
        <f t="shared" si="22"/>
        <v>9010.0998316636087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5">
        <v>50</v>
      </c>
      <c r="T67" s="6">
        <f>VLOOKUP($S$13,角色设定!$AB$9:$AJ$21,MATCH(E$17,角色设定!$AB$9:$AJ$9,0),0)*Z67*$L$15*E67/Y67/(1+W67*(X67-1))</f>
        <v>2559.687452177162</v>
      </c>
      <c r="U67" s="6">
        <f>VLOOKUP($S$13,角色设定!$AB$9:$AJ$21,MATCH(F$17,角色设定!$AB$9:$AJ$9,0),0)*F67*$L$15/(1+V67/$N$16)</f>
        <v>83488.694672590325</v>
      </c>
      <c r="V67" s="6">
        <f>VLOOKUP($S$13,角色设定!$AB$9:$AJ$21,MATCH(V$17,角色设定!$AB$9:$AJ$9,0),0)*G67*$L$15</f>
        <v>9010.0998316636087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T67*战斗公式!$E$38*(1+W67*(X67-1))*Y67</f>
        <v>69111.561208783372</v>
      </c>
      <c r="AD67" s="6">
        <f>U67*战斗公式!$E$40*(1+V67*战斗公式!$E$39)</f>
        <v>91011.109410743535</v>
      </c>
      <c r="AE67" s="21">
        <f t="shared" si="12"/>
        <v>160122.67061952691</v>
      </c>
      <c r="AF67" s="21">
        <f t="shared" si="16"/>
        <v>7624.8890771203733</v>
      </c>
      <c r="AG67" s="21"/>
      <c r="AH67" s="9">
        <f t="shared" si="13"/>
        <v>767.90623565314854</v>
      </c>
      <c r="AI67" s="9">
        <f t="shared" si="14"/>
        <v>25046.608401777095</v>
      </c>
      <c r="AJ67" s="9">
        <f t="shared" si="15"/>
        <v>2703.0299494990827</v>
      </c>
      <c r="AK67" s="9">
        <f t="shared" si="17"/>
        <v>36.566963602531018</v>
      </c>
      <c r="AL67" s="9">
        <f t="shared" si="18"/>
        <v>1098.43814007525</v>
      </c>
      <c r="AM67" s="9">
        <f t="shared" si="19"/>
        <v>128.71571188090911</v>
      </c>
    </row>
    <row r="68" spans="4:39" ht="14.25" customHeight="1" x14ac:dyDescent="0.2">
      <c r="D68" s="1">
        <v>51</v>
      </c>
      <c r="E68" s="6">
        <f t="shared" si="26"/>
        <v>114.67399785753685</v>
      </c>
      <c r="F68" s="6">
        <f t="shared" si="26"/>
        <v>1146.7399785753685</v>
      </c>
      <c r="G68" s="6">
        <f t="shared" si="26"/>
        <v>126.14139764329053</v>
      </c>
      <c r="H68" s="6">
        <v>0.4</v>
      </c>
      <c r="I68" s="6">
        <v>1.5</v>
      </c>
      <c r="J68" s="6">
        <v>1</v>
      </c>
      <c r="K68" s="25">
        <f t="shared" si="8"/>
        <v>1.0454819855367339</v>
      </c>
      <c r="L68" s="6">
        <f t="shared" si="20"/>
        <v>5016.987406267237</v>
      </c>
      <c r="M68" s="6">
        <f t="shared" si="21"/>
        <v>78572.102293817341</v>
      </c>
      <c r="N68" s="6">
        <f t="shared" si="22"/>
        <v>9460.6048232467892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5">
        <v>51</v>
      </c>
      <c r="T68" s="6">
        <f>VLOOKUP($S$13,角色设定!$AB$9:$AJ$21,MATCH(E$17,角色设定!$AB$9:$AJ$9,0),0)*Z68*$L$15*E68/Y68/(1+W68*(X68-1))</f>
        <v>2687.6718247860199</v>
      </c>
      <c r="U68" s="6">
        <f>VLOOKUP($S$13,角色设定!$AB$9:$AJ$21,MATCH(F$17,角色设定!$AB$9:$AJ$9,0),0)*F68*$L$15/(1+V68/$N$16)</f>
        <v>87302.335882019281</v>
      </c>
      <c r="V68" s="6">
        <f>VLOOKUP($S$13,角色设定!$AB$9:$AJ$21,MATCH(V$17,角色设定!$AB$9:$AJ$9,0),0)*G68*$L$15</f>
        <v>9460.6048232467892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T68*战斗公式!$E$38*(1+W68*(X68-1))*Y68</f>
        <v>72567.139269222534</v>
      </c>
      <c r="AD68" s="6">
        <f>U68*战斗公式!$E$40*(1+V68*战斗公式!$E$39)</f>
        <v>95561.664881280711</v>
      </c>
      <c r="AE68" s="21">
        <f t="shared" si="12"/>
        <v>168128.80415050325</v>
      </c>
      <c r="AF68" s="21">
        <f t="shared" si="16"/>
        <v>8006.1335309763381</v>
      </c>
      <c r="AG68" s="21"/>
      <c r="AH68" s="9">
        <f t="shared" si="13"/>
        <v>806.3015474358059</v>
      </c>
      <c r="AI68" s="9">
        <f t="shared" si="14"/>
        <v>26190.700764605783</v>
      </c>
      <c r="AJ68" s="9">
        <f t="shared" si="15"/>
        <v>2838.1814469740366</v>
      </c>
      <c r="AK68" s="9">
        <f t="shared" si="17"/>
        <v>38.395311782657359</v>
      </c>
      <c r="AL68" s="9">
        <f t="shared" si="18"/>
        <v>1144.0923628286873</v>
      </c>
      <c r="AM68" s="9">
        <f t="shared" si="19"/>
        <v>135.15149747495389</v>
      </c>
    </row>
    <row r="69" spans="4:39" ht="14.25" customHeight="1" x14ac:dyDescent="0.2">
      <c r="D69" s="1">
        <v>52</v>
      </c>
      <c r="E69" s="6">
        <f t="shared" si="26"/>
        <v>120.40769775041369</v>
      </c>
      <c r="F69" s="6">
        <f t="shared" si="26"/>
        <v>1204.0769775041369</v>
      </c>
      <c r="G69" s="6">
        <f t="shared" si="26"/>
        <v>132.44846752545504</v>
      </c>
      <c r="H69" s="6">
        <v>0.4</v>
      </c>
      <c r="I69" s="6">
        <v>1.5</v>
      </c>
      <c r="J69" s="6">
        <v>1</v>
      </c>
      <c r="K69" s="25">
        <f t="shared" si="8"/>
        <v>1.0452774214915752</v>
      </c>
      <c r="L69" s="6">
        <f t="shared" si="20"/>
        <v>5267.8367765805997</v>
      </c>
      <c r="M69" s="6">
        <f t="shared" si="21"/>
        <v>82145.717513935509</v>
      </c>
      <c r="N69" s="6">
        <f t="shared" si="22"/>
        <v>9933.635064409129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5">
        <v>52</v>
      </c>
      <c r="T69" s="6">
        <f>VLOOKUP($S$13,角色设定!$AB$9:$AJ$21,MATCH(E$17,角色设定!$AB$9:$AJ$9,0),0)*Z69*$L$15*E69/Y69/(1+W69*(X69-1))</f>
        <v>2822.0554160253205</v>
      </c>
      <c r="U69" s="6">
        <f>VLOOKUP($S$13,角色设定!$AB$9:$AJ$21,MATCH(F$17,角色设定!$AB$9:$AJ$9,0),0)*F69*$L$15/(1+V69/$N$16)</f>
        <v>91273.019459928342</v>
      </c>
      <c r="V69" s="6">
        <f>VLOOKUP($S$13,角色设定!$AB$9:$AJ$21,MATCH(V$17,角色设定!$AB$9:$AJ$9,0),0)*G69*$L$15</f>
        <v>9933.635064409129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T69*战斗公式!$E$38*(1+W69*(X69-1))*Y69</f>
        <v>76195.496232683654</v>
      </c>
      <c r="AD69" s="6">
        <f>U69*战斗公式!$E$40*(1+V69*战斗公式!$E$39)</f>
        <v>100339.74812534475</v>
      </c>
      <c r="AE69" s="21">
        <f t="shared" si="12"/>
        <v>176535.2443580284</v>
      </c>
      <c r="AF69" s="21">
        <f t="shared" si="16"/>
        <v>8406.4402075251564</v>
      </c>
      <c r="AG69" s="21"/>
      <c r="AH69" s="9">
        <f t="shared" si="13"/>
        <v>846.61662480759617</v>
      </c>
      <c r="AI69" s="9">
        <f t="shared" si="14"/>
        <v>27381.905837978502</v>
      </c>
      <c r="AJ69" s="9">
        <f t="shared" si="15"/>
        <v>2980.0905193227386</v>
      </c>
      <c r="AK69" s="9">
        <f t="shared" si="17"/>
        <v>40.315077371790267</v>
      </c>
      <c r="AL69" s="9">
        <f t="shared" si="18"/>
        <v>1191.2050733727192</v>
      </c>
      <c r="AM69" s="9">
        <f t="shared" si="19"/>
        <v>141.90907234870201</v>
      </c>
    </row>
    <row r="70" spans="4:39" ht="14.25" customHeight="1" x14ac:dyDescent="0.2">
      <c r="D70" s="1">
        <v>53</v>
      </c>
      <c r="E70" s="6">
        <f t="shared" si="26"/>
        <v>126.42808263793438</v>
      </c>
      <c r="F70" s="6">
        <f t="shared" si="26"/>
        <v>1264.2808263793438</v>
      </c>
      <c r="G70" s="6">
        <f t="shared" si="26"/>
        <v>139.07089090172781</v>
      </c>
      <c r="H70" s="6">
        <v>0.4</v>
      </c>
      <c r="I70" s="6">
        <v>1.5</v>
      </c>
      <c r="J70" s="6">
        <v>1</v>
      </c>
      <c r="K70" s="25">
        <f t="shared" si="8"/>
        <v>1.0450646003783373</v>
      </c>
      <c r="L70" s="6">
        <f t="shared" si="20"/>
        <v>5531.2286154096282</v>
      </c>
      <c r="M70" s="6">
        <f t="shared" si="21"/>
        <v>85865.063789541848</v>
      </c>
      <c r="N70" s="6">
        <f t="shared" si="22"/>
        <v>10430.316817629586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5">
        <v>53</v>
      </c>
      <c r="T70" s="6">
        <f>VLOOKUP($S$13,角色设定!$AB$9:$AJ$21,MATCH(E$17,角色设定!$AB$9:$AJ$9,0),0)*Z70*$L$15*E70/Y70/(1+W70*(X70-1))</f>
        <v>2963.1581868265871</v>
      </c>
      <c r="U70" s="6">
        <f>VLOOKUP($S$13,角色设定!$AB$9:$AJ$21,MATCH(F$17,角色设定!$AB$9:$AJ$9,0),0)*F70*$L$15/(1+V70/$N$16)</f>
        <v>95405.626432824254</v>
      </c>
      <c r="V70" s="6">
        <f>VLOOKUP($S$13,角色设定!$AB$9:$AJ$21,MATCH(V$17,角色设定!$AB$9:$AJ$9,0),0)*G70*$L$15</f>
        <v>10430.316817629586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T70*战斗公式!$E$38*(1+W70*(X70-1))*Y70</f>
        <v>80005.271044317851</v>
      </c>
      <c r="AD70" s="6">
        <f>U70*战斗公式!$E$40*(1+V70*战斗公式!$E$39)</f>
        <v>105356.73553161198</v>
      </c>
      <c r="AE70" s="21">
        <f t="shared" si="12"/>
        <v>185362.00657592982</v>
      </c>
      <c r="AF70" s="21">
        <f t="shared" si="16"/>
        <v>8826.7622179014143</v>
      </c>
      <c r="AG70" s="21"/>
      <c r="AH70" s="9">
        <f t="shared" si="13"/>
        <v>888.94745604797606</v>
      </c>
      <c r="AI70" s="9">
        <f t="shared" si="14"/>
        <v>28621.687929847274</v>
      </c>
      <c r="AJ70" s="9">
        <f t="shared" si="15"/>
        <v>3129.0950452888756</v>
      </c>
      <c r="AK70" s="9">
        <f t="shared" si="17"/>
        <v>42.330831240379894</v>
      </c>
      <c r="AL70" s="9">
        <f t="shared" si="18"/>
        <v>1239.7820918687721</v>
      </c>
      <c r="AM70" s="9">
        <f t="shared" si="19"/>
        <v>149.00452596613695</v>
      </c>
    </row>
    <row r="71" spans="4:39" ht="14.25" customHeight="1" x14ac:dyDescent="0.2">
      <c r="D71" s="1">
        <v>54</v>
      </c>
      <c r="E71" s="6">
        <f t="shared" si="26"/>
        <v>132.74948676983109</v>
      </c>
      <c r="F71" s="6">
        <f t="shared" si="26"/>
        <v>1327.4948676983108</v>
      </c>
      <c r="G71" s="6">
        <f t="shared" si="26"/>
        <v>146.02443544681418</v>
      </c>
      <c r="H71" s="6">
        <v>0.4</v>
      </c>
      <c r="I71" s="6">
        <v>1.5</v>
      </c>
      <c r="J71" s="6">
        <v>1</v>
      </c>
      <c r="K71" s="25">
        <f t="shared" si="8"/>
        <v>1.0448432808669132</v>
      </c>
      <c r="L71" s="6">
        <f t="shared" si="20"/>
        <v>5807.7900461801109</v>
      </c>
      <c r="M71" s="6">
        <f t="shared" si="21"/>
        <v>89734.538575677987</v>
      </c>
      <c r="N71" s="6">
        <f t="shared" si="22"/>
        <v>10951.832658511064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5">
        <v>54</v>
      </c>
      <c r="T71" s="6">
        <f>VLOOKUP($S$13,角色设定!$AB$9:$AJ$21,MATCH(E$17,角色设定!$AB$9:$AJ$9,0),0)*Z71*$L$15*E71/Y71/(1+W71*(X71-1))</f>
        <v>3111.3160961679164</v>
      </c>
      <c r="U71" s="6">
        <f>VLOOKUP($S$13,角色设定!$AB$9:$AJ$21,MATCH(F$17,角色设定!$AB$9:$AJ$9,0),0)*F71*$L$15/(1+V71/$N$16)</f>
        <v>99705.042861864436</v>
      </c>
      <c r="V71" s="6">
        <f>VLOOKUP($S$13,角色设定!$AB$9:$AJ$21,MATCH(V$17,角色设定!$AB$9:$AJ$9,0),0)*G71*$L$15</f>
        <v>10951.832658511064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T71*战斗公式!$E$38*(1+W71*(X71-1))*Y71</f>
        <v>84005.534596533747</v>
      </c>
      <c r="AD71" s="6">
        <f>U71*战斗公式!$E$40*(1+V71*战斗公式!$E$39)</f>
        <v>110624.57230819257</v>
      </c>
      <c r="AE71" s="21">
        <f t="shared" si="12"/>
        <v>194630.1069047263</v>
      </c>
      <c r="AF71" s="21">
        <f t="shared" si="16"/>
        <v>9268.100328796485</v>
      </c>
      <c r="AG71" s="21"/>
      <c r="AH71" s="9">
        <f t="shared" si="13"/>
        <v>933.39482885037489</v>
      </c>
      <c r="AI71" s="9">
        <f t="shared" si="14"/>
        <v>29911.51285855933</v>
      </c>
      <c r="AJ71" s="9">
        <f t="shared" si="15"/>
        <v>3285.5497975533194</v>
      </c>
      <c r="AK71" s="9">
        <f t="shared" si="17"/>
        <v>44.447372802398831</v>
      </c>
      <c r="AL71" s="9">
        <f t="shared" si="18"/>
        <v>1289.8249287120561</v>
      </c>
      <c r="AM71" s="9">
        <f t="shared" si="19"/>
        <v>156.45475226444387</v>
      </c>
    </row>
    <row r="72" spans="4:39" ht="14.25" customHeight="1" x14ac:dyDescent="0.2">
      <c r="D72" s="1">
        <v>55</v>
      </c>
      <c r="E72" s="6">
        <f t="shared" si="26"/>
        <v>139.38696110832262</v>
      </c>
      <c r="F72" s="6">
        <f t="shared" si="26"/>
        <v>1393.8696110832263</v>
      </c>
      <c r="G72" s="6">
        <f t="shared" si="26"/>
        <v>153.32565721915489</v>
      </c>
      <c r="H72" s="6">
        <v>0.4</v>
      </c>
      <c r="I72" s="6">
        <v>1.5</v>
      </c>
      <c r="J72" s="6">
        <v>1</v>
      </c>
      <c r="K72" s="25">
        <f t="shared" si="8"/>
        <v>1.0446132230062484</v>
      </c>
      <c r="L72" s="6">
        <f t="shared" si="20"/>
        <v>6098.1795484891145</v>
      </c>
      <c r="M72" s="6">
        <f t="shared" si="21"/>
        <v>93758.529692489974</v>
      </c>
      <c r="N72" s="6">
        <f t="shared" si="22"/>
        <v>11499.424291436617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5">
        <v>55</v>
      </c>
      <c r="T72" s="6">
        <f>VLOOKUP($S$13,角色设定!$AB$9:$AJ$21,MATCH(E$17,角色设定!$AB$9:$AJ$9,0),0)*Z72*$L$15*E72/Y72/(1+W72*(X72-1))</f>
        <v>3266.8819009763115</v>
      </c>
      <c r="U72" s="6">
        <f>VLOOKUP($S$13,角色设定!$AB$9:$AJ$21,MATCH(F$17,角色设定!$AB$9:$AJ$9,0),0)*F72*$L$15/(1+V72/$N$16)</f>
        <v>104176.14410276664</v>
      </c>
      <c r="V72" s="6">
        <f>VLOOKUP($S$13,角色设定!$AB$9:$AJ$21,MATCH(V$17,角色设定!$AB$9:$AJ$9,0),0)*G72*$L$15</f>
        <v>11499.424291436617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T72*战斗公式!$E$38*(1+W72*(X72-1))*Y72</f>
        <v>88205.811326360403</v>
      </c>
      <c r="AD72" s="6">
        <f>U72*战斗公式!$E$40*(1+V72*战斗公式!$E$39)</f>
        <v>116155.8009236022</v>
      </c>
      <c r="AE72" s="21">
        <f t="shared" si="12"/>
        <v>204361.61224996261</v>
      </c>
      <c r="AF72" s="21">
        <f t="shared" si="16"/>
        <v>9731.5053452363063</v>
      </c>
      <c r="AG72" s="21"/>
      <c r="AH72" s="9">
        <f t="shared" si="13"/>
        <v>980.06457029289345</v>
      </c>
      <c r="AI72" s="9">
        <f t="shared" si="14"/>
        <v>31252.843230829993</v>
      </c>
      <c r="AJ72" s="9">
        <f t="shared" si="15"/>
        <v>3449.8272874309851</v>
      </c>
      <c r="AK72" s="9">
        <f t="shared" si="17"/>
        <v>46.669741442518557</v>
      </c>
      <c r="AL72" s="9">
        <f t="shared" si="18"/>
        <v>1341.3303722706623</v>
      </c>
      <c r="AM72" s="9">
        <f t="shared" si="19"/>
        <v>164.27748987766563</v>
      </c>
    </row>
    <row r="73" spans="4:39" ht="14.25" customHeight="1" x14ac:dyDescent="0.2">
      <c r="D73" s="1">
        <v>56</v>
      </c>
      <c r="E73" s="6">
        <f t="shared" si="26"/>
        <v>146.35630916373879</v>
      </c>
      <c r="F73" s="6">
        <f t="shared" si="26"/>
        <v>1463.563091637388</v>
      </c>
      <c r="G73" s="6">
        <f t="shared" si="26"/>
        <v>160.99194008011267</v>
      </c>
      <c r="H73" s="6">
        <v>0.4</v>
      </c>
      <c r="I73" s="6">
        <v>1.5</v>
      </c>
      <c r="J73" s="6">
        <v>1</v>
      </c>
      <c r="K73" s="25">
        <f t="shared" si="8"/>
        <v>1.0443741891450449</v>
      </c>
      <c r="L73" s="6">
        <f t="shared" si="20"/>
        <v>6403.0885259135712</v>
      </c>
      <c r="M73" s="6">
        <f t="shared" si="21"/>
        <v>97941.399886398984</v>
      </c>
      <c r="N73" s="6">
        <f t="shared" si="22"/>
        <v>12074.39550600845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5">
        <v>56</v>
      </c>
      <c r="T73" s="6">
        <f>VLOOKUP($S$13,角色设定!$AB$9:$AJ$21,MATCH(E$17,角色设定!$AB$9:$AJ$9,0),0)*Z73*$L$15*E73/Y73/(1+W73*(X73-1))</f>
        <v>3430.2259960251281</v>
      </c>
      <c r="U73" s="6">
        <f>VLOOKUP($S$13,角色设定!$AB$9:$AJ$21,MATCH(F$17,角色设定!$AB$9:$AJ$9,0),0)*F73*$L$15/(1+V73/$N$16)</f>
        <v>108823.77765155444</v>
      </c>
      <c r="V73" s="6">
        <f>VLOOKUP($S$13,角色设定!$AB$9:$AJ$21,MATCH(V$17,角色设定!$AB$9:$AJ$9,0),0)*G73*$L$15</f>
        <v>12074.39550600845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T73*战斗公式!$E$38*(1+W73*(X73-1))*Y73</f>
        <v>92616.10189267846</v>
      </c>
      <c r="AD73" s="6">
        <f>U73*战斗公式!$E$40*(1+V73*战斗公式!$E$39)</f>
        <v>121963.59096978235</v>
      </c>
      <c r="AE73" s="21">
        <f t="shared" si="12"/>
        <v>214579.6928624608</v>
      </c>
      <c r="AF73" s="21">
        <f t="shared" si="16"/>
        <v>10218.08061249819</v>
      </c>
      <c r="AG73" s="21"/>
      <c r="AH73" s="9">
        <f t="shared" si="13"/>
        <v>1029.0677988075383</v>
      </c>
      <c r="AI73" s="9">
        <f t="shared" si="14"/>
        <v>32647.13329546633</v>
      </c>
      <c r="AJ73" s="9">
        <f t="shared" si="15"/>
        <v>3622.318651802535</v>
      </c>
      <c r="AK73" s="9">
        <f t="shared" si="17"/>
        <v>49.003228514644888</v>
      </c>
      <c r="AL73" s="9">
        <f t="shared" si="18"/>
        <v>1394.2900646363378</v>
      </c>
      <c r="AM73" s="9">
        <f t="shared" si="19"/>
        <v>172.49136437154993</v>
      </c>
    </row>
    <row r="74" spans="4:39" ht="14.25" customHeight="1" x14ac:dyDescent="0.2">
      <c r="D74" s="1">
        <v>57</v>
      </c>
      <c r="E74" s="6">
        <f t="shared" si="26"/>
        <v>153.6741246219257</v>
      </c>
      <c r="F74" s="6">
        <f t="shared" si="26"/>
        <v>1536.7412462192569</v>
      </c>
      <c r="G74" s="6">
        <f t="shared" si="26"/>
        <v>169.04153708411826</v>
      </c>
      <c r="H74" s="6">
        <v>0.4</v>
      </c>
      <c r="I74" s="6">
        <v>1.5</v>
      </c>
      <c r="J74" s="6">
        <v>1</v>
      </c>
      <c r="K74" s="25">
        <f t="shared" si="8"/>
        <v>1.0441259449251004</v>
      </c>
      <c r="L74" s="6">
        <f t="shared" si="20"/>
        <v>6723.2429522092498</v>
      </c>
      <c r="M74" s="6">
        <f t="shared" si="21"/>
        <v>102287.47009008852</v>
      </c>
      <c r="N74" s="6">
        <f t="shared" si="22"/>
        <v>12678.11528130887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5">
        <v>57</v>
      </c>
      <c r="T74" s="6">
        <f>VLOOKUP($S$13,角色设定!$AB$9:$AJ$21,MATCH(E$17,角色设定!$AB$9:$AJ$9,0),0)*Z74*$L$15*E74/Y74/(1+W74*(X74-1))</f>
        <v>3601.7372958263832</v>
      </c>
      <c r="U74" s="6">
        <f>VLOOKUP($S$13,角色设定!$AB$9:$AJ$21,MATCH(F$17,角色设定!$AB$9:$AJ$9,0),0)*F74*$L$15/(1+V74/$N$16)</f>
        <v>113652.7445445428</v>
      </c>
      <c r="V74" s="6">
        <f>VLOOKUP($S$13,角色设定!$AB$9:$AJ$21,MATCH(V$17,角色设定!$AB$9:$AJ$9,0),0)*G74*$L$15</f>
        <v>12678.11528130887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T74*战斗公式!$E$38*(1+W74*(X74-1))*Y74</f>
        <v>97246.906987312337</v>
      </c>
      <c r="AD74" s="6">
        <f>U74*战斗公式!$E$40*(1+V74*战斗公式!$E$39)</f>
        <v>128061.77051827141</v>
      </c>
      <c r="AE74" s="21">
        <f t="shared" si="12"/>
        <v>225308.67750558374</v>
      </c>
      <c r="AF74" s="21">
        <f t="shared" si="16"/>
        <v>10728.984643122938</v>
      </c>
      <c r="AG74" s="21"/>
      <c r="AH74" s="9">
        <f t="shared" si="13"/>
        <v>1080.5211887479149</v>
      </c>
      <c r="AI74" s="9">
        <f t="shared" si="14"/>
        <v>34095.823363362841</v>
      </c>
      <c r="AJ74" s="9">
        <f t="shared" si="15"/>
        <v>3803.4345843926608</v>
      </c>
      <c r="AK74" s="9">
        <f t="shared" si="17"/>
        <v>51.45338994037661</v>
      </c>
      <c r="AL74" s="9">
        <f t="shared" si="18"/>
        <v>1448.6900678965103</v>
      </c>
      <c r="AM74" s="9">
        <f t="shared" si="19"/>
        <v>181.11593259012579</v>
      </c>
    </row>
    <row r="75" spans="4:39" ht="14.25" customHeight="1" x14ac:dyDescent="0.2">
      <c r="D75" s="1">
        <v>58</v>
      </c>
      <c r="E75" s="6">
        <f t="shared" si="26"/>
        <v>161.35783085302199</v>
      </c>
      <c r="F75" s="6">
        <f t="shared" si="26"/>
        <v>1613.5783085302201</v>
      </c>
      <c r="G75" s="6">
        <f t="shared" si="26"/>
        <v>177.49361393832422</v>
      </c>
      <c r="H75" s="6">
        <v>0.4</v>
      </c>
      <c r="I75" s="6">
        <v>1.5</v>
      </c>
      <c r="J75" s="6">
        <v>1</v>
      </c>
      <c r="K75" s="25">
        <f t="shared" si="8"/>
        <v>1.0438682603477776</v>
      </c>
      <c r="L75" s="6">
        <f t="shared" si="20"/>
        <v>7059.4050998197117</v>
      </c>
      <c r="M75" s="6">
        <f t="shared" si="21"/>
        <v>106801.00136181162</v>
      </c>
      <c r="N75" s="6">
        <f t="shared" si="22"/>
        <v>13312.021045374317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5">
        <v>58</v>
      </c>
      <c r="T75" s="6">
        <f>VLOOKUP($S$13,角色设定!$AB$9:$AJ$21,MATCH(E$17,角色设定!$AB$9:$AJ$9,0),0)*Z75*$L$15*E75/Y75/(1+W75*(X75-1))</f>
        <v>3781.8241606177025</v>
      </c>
      <c r="U75" s="6">
        <f>VLOOKUP($S$13,角色设定!$AB$9:$AJ$21,MATCH(F$17,角色设定!$AB$9:$AJ$9,0),0)*F75*$L$15/(1+V75/$N$16)</f>
        <v>118667.77929090182</v>
      </c>
      <c r="V75" s="6">
        <f>VLOOKUP($S$13,角色设定!$AB$9:$AJ$21,MATCH(V$17,角色设定!$AB$9:$AJ$9,0),0)*G75*$L$15</f>
        <v>13312.021045374317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T75*战斗公式!$E$38*(1+W75*(X75-1))*Y75</f>
        <v>102109.25233667795</v>
      </c>
      <c r="AD75" s="6">
        <f>U75*战斗公式!$E$40*(1+V75*战斗公式!$E$39)</f>
        <v>134464.85904418502</v>
      </c>
      <c r="AE75" s="21">
        <f t="shared" si="12"/>
        <v>236574.11138086297</v>
      </c>
      <c r="AF75" s="21">
        <f t="shared" si="16"/>
        <v>11265.433875279239</v>
      </c>
      <c r="AG75" s="21"/>
      <c r="AH75" s="9">
        <f t="shared" si="13"/>
        <v>1134.5472481853108</v>
      </c>
      <c r="AI75" s="9">
        <f t="shared" si="14"/>
        <v>35600.333787270545</v>
      </c>
      <c r="AJ75" s="9">
        <f t="shared" si="15"/>
        <v>3993.6063136122948</v>
      </c>
      <c r="AK75" s="9">
        <f t="shared" si="17"/>
        <v>54.026059437395816</v>
      </c>
      <c r="AL75" s="9">
        <f t="shared" si="18"/>
        <v>1504.5104239077045</v>
      </c>
      <c r="AM75" s="9">
        <f t="shared" si="19"/>
        <v>190.17172921963402</v>
      </c>
    </row>
    <row r="76" spans="4:39" ht="14.25" customHeight="1" x14ac:dyDescent="0.2">
      <c r="D76" s="1">
        <v>59</v>
      </c>
      <c r="E76" s="6">
        <f t="shared" si="26"/>
        <v>169.42572239567312</v>
      </c>
      <c r="F76" s="6">
        <f t="shared" si="26"/>
        <v>1694.2572239567312</v>
      </c>
      <c r="G76" s="6">
        <f t="shared" si="26"/>
        <v>186.36829463524043</v>
      </c>
      <c r="H76" s="6">
        <v>0.4</v>
      </c>
      <c r="I76" s="6">
        <v>1.5</v>
      </c>
      <c r="J76" s="6">
        <v>1</v>
      </c>
      <c r="K76" s="25">
        <f t="shared" si="8"/>
        <v>1.0436009109134565</v>
      </c>
      <c r="L76" s="6">
        <f t="shared" si="20"/>
        <v>7412.3753548106979</v>
      </c>
      <c r="M76" s="6">
        <f t="shared" si="21"/>
        <v>111486.17549495492</v>
      </c>
      <c r="N76" s="6">
        <f t="shared" si="22"/>
        <v>13977.622097643032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5">
        <v>59</v>
      </c>
      <c r="T76" s="6">
        <f>VLOOKUP($S$13,角色设定!$AB$9:$AJ$21,MATCH(E$17,角色设定!$AB$9:$AJ$9,0),0)*Z76*$L$15*E76/Y76/(1+W76*(X76-1))</f>
        <v>3970.9153686485888</v>
      </c>
      <c r="U76" s="6">
        <f>VLOOKUP($S$13,角色设定!$AB$9:$AJ$21,MATCH(F$17,角色设定!$AB$9:$AJ$9,0),0)*F76*$L$15/(1+V76/$N$16)</f>
        <v>123873.5283277277</v>
      </c>
      <c r="V76" s="6">
        <f>VLOOKUP($S$13,角色设定!$AB$9:$AJ$21,MATCH(V$17,角色设定!$AB$9:$AJ$9,0),0)*G76*$L$15</f>
        <v>13977.622097643032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T76*战斗公式!$E$38*(1+W76*(X76-1))*Y76</f>
        <v>107214.7149535119</v>
      </c>
      <c r="AD76" s="6">
        <f>U76*战斗公式!$E$40*(1+V76*战斗公式!$E$39)</f>
        <v>141188.10199639428</v>
      </c>
      <c r="AE76" s="21">
        <f t="shared" si="12"/>
        <v>248402.81694990618</v>
      </c>
      <c r="AF76" s="21">
        <f t="shared" si="16"/>
        <v>11828.705569043203</v>
      </c>
      <c r="AG76" s="21"/>
      <c r="AH76" s="9">
        <f t="shared" si="13"/>
        <v>1191.2746105945766</v>
      </c>
      <c r="AI76" s="9">
        <f t="shared" si="14"/>
        <v>37162.058498318307</v>
      </c>
      <c r="AJ76" s="9">
        <f t="shared" si="15"/>
        <v>4193.2866292929093</v>
      </c>
      <c r="AK76" s="9">
        <f t="shared" si="17"/>
        <v>56.727362409265879</v>
      </c>
      <c r="AL76" s="9">
        <f t="shared" si="18"/>
        <v>1561.724711047762</v>
      </c>
      <c r="AM76" s="9">
        <f t="shared" si="19"/>
        <v>199.68031568061451</v>
      </c>
    </row>
    <row r="77" spans="4:39" ht="14.25" customHeight="1" x14ac:dyDescent="0.2">
      <c r="D77" s="1">
        <v>60</v>
      </c>
      <c r="E77" s="6">
        <f t="shared" si="26"/>
        <v>177.89700851545678</v>
      </c>
      <c r="F77" s="6">
        <f t="shared" si="26"/>
        <v>1778.9700851545679</v>
      </c>
      <c r="G77" s="6">
        <f t="shared" si="26"/>
        <v>195.68670936700246</v>
      </c>
      <c r="H77" s="6">
        <v>0.4</v>
      </c>
      <c r="I77" s="6">
        <v>1.5</v>
      </c>
      <c r="J77" s="6">
        <v>1</v>
      </c>
      <c r="K77" s="25">
        <f t="shared" si="8"/>
        <v>1.0433236788330467</v>
      </c>
      <c r="L77" s="6">
        <f t="shared" si="20"/>
        <v>7782.9941225512339</v>
      </c>
      <c r="M77" s="6">
        <f t="shared" si="21"/>
        <v>116347.07430079243</v>
      </c>
      <c r="N77" s="6">
        <f t="shared" si="22"/>
        <v>14676.503202525184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5">
        <v>60</v>
      </c>
      <c r="T77" s="6">
        <f>VLOOKUP($S$13,角色设定!$AB$9:$AJ$21,MATCH(E$17,角色设定!$AB$9:$AJ$9,0),0)*Z77*$L$15*E77/Y77/(1+W77*(X77-1))</f>
        <v>4169.4611370810189</v>
      </c>
      <c r="U77" s="6">
        <f>VLOOKUP($S$13,角色设定!$AB$9:$AJ$21,MATCH(F$17,角色设定!$AB$9:$AJ$9,0),0)*F77*$L$15/(1+V77/$N$16)</f>
        <v>129274.52700088048</v>
      </c>
      <c r="V77" s="6">
        <f>VLOOKUP($S$13,角色设定!$AB$9:$AJ$21,MATCH(V$17,角色设定!$AB$9:$AJ$9,0),0)*G77*$L$15</f>
        <v>14676.503202525184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T77*战斗公式!$E$38*(1+W77*(X77-1))*Y77</f>
        <v>112575.45070118752</v>
      </c>
      <c r="AD77" s="6">
        <f>U77*战斗公式!$E$40*(1+V77*战斗公式!$E$39)</f>
        <v>148247.50709621399</v>
      </c>
      <c r="AE77" s="21">
        <f t="shared" si="12"/>
        <v>260822.95779740153</v>
      </c>
      <c r="AF77" s="21">
        <f t="shared" si="16"/>
        <v>12420.14084749535</v>
      </c>
      <c r="AG77" s="21"/>
      <c r="AH77" s="9">
        <f t="shared" si="13"/>
        <v>1250.8383411243055</v>
      </c>
      <c r="AI77" s="9">
        <f t="shared" si="14"/>
        <v>38782.358100264144</v>
      </c>
      <c r="AJ77" s="9">
        <f t="shared" si="15"/>
        <v>4402.9509607575546</v>
      </c>
      <c r="AK77" s="9">
        <f t="shared" si="17"/>
        <v>59.5637305297289</v>
      </c>
      <c r="AL77" s="9">
        <f t="shared" si="18"/>
        <v>1620.2996019458369</v>
      </c>
      <c r="AM77" s="9">
        <f t="shared" si="19"/>
        <v>209.66433146464533</v>
      </c>
    </row>
    <row r="78" spans="4:39" ht="14.25" customHeight="1" x14ac:dyDescent="0.2">
      <c r="D78" s="1">
        <v>61</v>
      </c>
      <c r="E78" s="6">
        <f t="shared" si="26"/>
        <v>186.79185894122958</v>
      </c>
      <c r="F78" s="6">
        <f t="shared" si="26"/>
        <v>1867.9185894122959</v>
      </c>
      <c r="G78" s="6">
        <f t="shared" si="26"/>
        <v>205.47104483535256</v>
      </c>
      <c r="H78" s="6">
        <v>0.4</v>
      </c>
      <c r="I78" s="6">
        <v>1.5</v>
      </c>
      <c r="J78" s="6">
        <v>1</v>
      </c>
      <c r="K78" s="25">
        <f t="shared" si="8"/>
        <v>1.0430363543098202</v>
      </c>
      <c r="L78" s="6">
        <f t="shared" si="20"/>
        <v>8172.1438286787934</v>
      </c>
      <c r="M78" s="6">
        <f t="shared" si="21"/>
        <v>121387.65758096459</v>
      </c>
      <c r="N78" s="6">
        <f t="shared" si="22"/>
        <v>15410.328362651442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5">
        <v>61</v>
      </c>
      <c r="T78" s="6">
        <f>VLOOKUP($S$13,角色设定!$AB$9:$AJ$21,MATCH(E$17,角色设定!$AB$9:$AJ$9,0),0)*Z78*$L$15*E78/Y78/(1+W78*(X78-1))</f>
        <v>4377.9341939350688</v>
      </c>
      <c r="U78" s="6">
        <f>VLOOKUP($S$13,角色设定!$AB$9:$AJ$21,MATCH(F$17,角色设定!$AB$9:$AJ$9,0),0)*F78*$L$15/(1+V78/$N$16)</f>
        <v>134875.17508996066</v>
      </c>
      <c r="V78" s="6">
        <f>VLOOKUP($S$13,角色设定!$AB$9:$AJ$21,MATCH(V$17,角色设定!$AB$9:$AJ$9,0),0)*G78*$L$15</f>
        <v>15410.328362651442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T78*战斗公式!$E$38*(1+W78*(X78-1))*Y78</f>
        <v>118204.22323624686</v>
      </c>
      <c r="AD78" s="6">
        <f>U78*战斗公式!$E$40*(1+V78*战斗公式!$E$39)</f>
        <v>155659.88245102466</v>
      </c>
      <c r="AE78" s="21">
        <f t="shared" si="12"/>
        <v>273864.10568727151</v>
      </c>
      <c r="AF78" s="21">
        <f t="shared" si="16"/>
        <v>13041.147889869986</v>
      </c>
      <c r="AG78" s="21"/>
      <c r="AH78" s="9">
        <f t="shared" si="13"/>
        <v>1313.3802581805205</v>
      </c>
      <c r="AI78" s="9">
        <f t="shared" si="14"/>
        <v>40462.552526988198</v>
      </c>
      <c r="AJ78" s="9">
        <f t="shared" si="15"/>
        <v>4623.0985087954323</v>
      </c>
      <c r="AK78" s="9">
        <f t="shared" si="17"/>
        <v>62.54191705621497</v>
      </c>
      <c r="AL78" s="9">
        <f t="shared" si="18"/>
        <v>1680.1944267240542</v>
      </c>
      <c r="AM78" s="9">
        <f t="shared" si="19"/>
        <v>220.14754803787764</v>
      </c>
    </row>
    <row r="79" spans="4:39" ht="14.25" customHeight="1" x14ac:dyDescent="0.2">
      <c r="D79" s="1">
        <v>62</v>
      </c>
      <c r="E79" s="6">
        <f t="shared" si="26"/>
        <v>196.13145188829111</v>
      </c>
      <c r="F79" s="6">
        <f t="shared" si="26"/>
        <v>1961.3145188829112</v>
      </c>
      <c r="G79" s="6">
        <f t="shared" si="26"/>
        <v>215.74459707712023</v>
      </c>
      <c r="H79" s="6">
        <v>0.4</v>
      </c>
      <c r="I79" s="6">
        <v>1.5</v>
      </c>
      <c r="J79" s="6">
        <v>1</v>
      </c>
      <c r="K79" s="25">
        <f t="shared" si="8"/>
        <v>1.0427387368888794</v>
      </c>
      <c r="L79" s="6">
        <f t="shared" si="20"/>
        <v>8580.751020112737</v>
      </c>
      <c r="M79" s="6">
        <f t="shared" si="21"/>
        <v>126611.7398214581</v>
      </c>
      <c r="N79" s="6">
        <f t="shared" si="22"/>
        <v>16180.844780784017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5">
        <v>62</v>
      </c>
      <c r="T79" s="6">
        <f>VLOOKUP($S$13,角色设定!$AB$9:$AJ$21,MATCH(E$17,角色设定!$AB$9:$AJ$9,0),0)*Z79*$L$15*E79/Y79/(1+W79*(X79-1))</f>
        <v>4596.8309036318224</v>
      </c>
      <c r="U79" s="6">
        <f>VLOOKUP($S$13,角色设定!$AB$9:$AJ$21,MATCH(F$17,角色设定!$AB$9:$AJ$9,0),0)*F79*$L$15/(1+V79/$N$16)</f>
        <v>140679.71091273124</v>
      </c>
      <c r="V79" s="6">
        <f>VLOOKUP($S$13,角色设定!$AB$9:$AJ$21,MATCH(V$17,角色设定!$AB$9:$AJ$9,0),0)*G79*$L$15</f>
        <v>16180.844780784017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T79*战斗公式!$E$38*(1+W79*(X79-1))*Y79</f>
        <v>124114.43439805921</v>
      </c>
      <c r="AD79" s="6">
        <f>U79*战斗公式!$E$40*(1+V79*战斗公式!$E$39)</f>
        <v>163442.87657357595</v>
      </c>
      <c r="AE79" s="21">
        <f t="shared" si="12"/>
        <v>287557.31097163516</v>
      </c>
      <c r="AF79" s="21">
        <f t="shared" si="16"/>
        <v>13693.205284363648</v>
      </c>
      <c r="AG79" s="21"/>
      <c r="AH79" s="9">
        <f t="shared" si="13"/>
        <v>1379.0492710895467</v>
      </c>
      <c r="AI79" s="9">
        <f t="shared" si="14"/>
        <v>42203.913273819373</v>
      </c>
      <c r="AJ79" s="9">
        <f t="shared" si="15"/>
        <v>4854.2534342352046</v>
      </c>
      <c r="AK79" s="9">
        <f t="shared" si="17"/>
        <v>65.669012909026151</v>
      </c>
      <c r="AL79" s="9">
        <f t="shared" si="18"/>
        <v>1741.3607468311748</v>
      </c>
      <c r="AM79" s="9">
        <f t="shared" si="19"/>
        <v>231.15492543977234</v>
      </c>
    </row>
    <row r="80" spans="4:39" ht="14.25" customHeight="1" x14ac:dyDescent="0.2">
      <c r="D80" s="1">
        <v>63</v>
      </c>
      <c r="E80" s="6">
        <f t="shared" si="26"/>
        <v>205.9380244827056</v>
      </c>
      <c r="F80" s="6">
        <f t="shared" si="26"/>
        <v>2059.3802448270558</v>
      </c>
      <c r="G80" s="6">
        <f t="shared" si="26"/>
        <v>226.53182693097614</v>
      </c>
      <c r="H80" s="6">
        <v>0.4</v>
      </c>
      <c r="I80" s="6">
        <v>1.5</v>
      </c>
      <c r="J80" s="6">
        <v>1</v>
      </c>
      <c r="K80" s="25">
        <f t="shared" si="8"/>
        <v>1.0424306368705902</v>
      </c>
      <c r="L80" s="6">
        <f t="shared" si="20"/>
        <v>9009.7885711183699</v>
      </c>
      <c r="M80" s="6">
        <f t="shared" si="21"/>
        <v>132022.96565673067</v>
      </c>
      <c r="N80" s="6">
        <f t="shared" si="22"/>
        <v>16989.887019823211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5">
        <v>63</v>
      </c>
      <c r="T80" s="6">
        <f>VLOOKUP($S$13,角色设定!$AB$9:$AJ$21,MATCH(E$17,角色设定!$AB$9:$AJ$9,0),0)*Z80*$L$15*E80/Y80/(1+W80*(X80-1))</f>
        <v>4826.6724488134132</v>
      </c>
      <c r="U80" s="6">
        <f>VLOOKUP($S$13,角色设定!$AB$9:$AJ$21,MATCH(F$17,角色设定!$AB$9:$AJ$9,0),0)*F80*$L$15/(1+V80/$N$16)</f>
        <v>146692.18406303407</v>
      </c>
      <c r="V80" s="6">
        <f>VLOOKUP($S$13,角色设定!$AB$9:$AJ$21,MATCH(V$17,角色设定!$AB$9:$AJ$9,0),0)*G80*$L$15</f>
        <v>16989.887019823211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T80*战斗公式!$E$38*(1+W80*(X80-1))*Y80</f>
        <v>130320.15611796218</v>
      </c>
      <c r="AD80" s="6">
        <f>U80*战斗公式!$E$40*(1+V80*战斗公式!$E$39)</f>
        <v>171615.02040225465</v>
      </c>
      <c r="AE80" s="21">
        <f t="shared" si="12"/>
        <v>301935.17652021686</v>
      </c>
      <c r="AF80" s="21">
        <f t="shared" si="16"/>
        <v>14377.8655485817</v>
      </c>
      <c r="AG80" s="21"/>
      <c r="AH80" s="9">
        <f t="shared" si="13"/>
        <v>1448.0017346440238</v>
      </c>
      <c r="AI80" s="9">
        <f t="shared" si="14"/>
        <v>44007.655218910222</v>
      </c>
      <c r="AJ80" s="9">
        <f t="shared" si="15"/>
        <v>5096.9661059469627</v>
      </c>
      <c r="AK80" s="9">
        <f t="shared" si="17"/>
        <v>68.952463554477163</v>
      </c>
      <c r="AL80" s="9">
        <f t="shared" si="18"/>
        <v>1803.7419450908492</v>
      </c>
      <c r="AM80" s="9">
        <f t="shared" si="19"/>
        <v>242.71267171175805</v>
      </c>
    </row>
    <row r="81" spans="4:39" ht="14.25" customHeight="1" x14ac:dyDescent="0.2">
      <c r="D81" s="1">
        <v>64</v>
      </c>
      <c r="E81" s="6">
        <f t="shared" si="26"/>
        <v>216.23492570684095</v>
      </c>
      <c r="F81" s="6">
        <f t="shared" si="26"/>
        <v>2162.3492570684098</v>
      </c>
      <c r="G81" s="6">
        <f t="shared" si="26"/>
        <v>237.85841827752506</v>
      </c>
      <c r="H81" s="6">
        <v>0.4</v>
      </c>
      <c r="I81" s="6">
        <v>1.5</v>
      </c>
      <c r="J81" s="6">
        <v>1</v>
      </c>
      <c r="K81" s="25">
        <f t="shared" si="8"/>
        <v>1.0421118767831572</v>
      </c>
      <c r="L81" s="6">
        <f t="shared" si="20"/>
        <v>9460.277999674292</v>
      </c>
      <c r="M81" s="6">
        <f t="shared" si="21"/>
        <v>137624.78417108982</v>
      </c>
      <c r="N81" s="6">
        <f t="shared" si="22"/>
        <v>17839.381370814379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5">
        <v>64</v>
      </c>
      <c r="T81" s="6">
        <f>VLOOKUP($S$13,角色设定!$AB$9:$AJ$21,MATCH(E$17,角色设定!$AB$9:$AJ$9,0),0)*Z81*$L$15*E81/Y81/(1+W81*(X81-1))</f>
        <v>5068.0060712540844</v>
      </c>
      <c r="U81" s="6">
        <f>VLOOKUP($S$13,角色设定!$AB$9:$AJ$21,MATCH(F$17,角色设定!$AB$9:$AJ$9,0),0)*F81*$L$15/(1+V81/$N$16)</f>
        <v>152916.42685676648</v>
      </c>
      <c r="V81" s="6">
        <f>VLOOKUP($S$13,角色设定!$AB$9:$AJ$21,MATCH(V$17,角色设定!$AB$9:$AJ$9,0),0)*G81*$L$15</f>
        <v>17839.381370814379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T81*战斗公式!$E$38*(1+W81*(X81-1))*Y81</f>
        <v>136836.16392386027</v>
      </c>
      <c r="AD81" s="6">
        <f>U81*战斗公式!$E$40*(1+V81*战斗公式!$E$39)</f>
        <v>180195.77142236748</v>
      </c>
      <c r="AE81" s="21">
        <f t="shared" si="12"/>
        <v>317031.93534622772</v>
      </c>
      <c r="AF81" s="21">
        <f t="shared" si="16"/>
        <v>15096.758826010861</v>
      </c>
      <c r="AG81" s="21"/>
      <c r="AH81" s="9">
        <f t="shared" si="13"/>
        <v>1520.4018213762254</v>
      </c>
      <c r="AI81" s="9">
        <f t="shared" si="14"/>
        <v>45874.928057029945</v>
      </c>
      <c r="AJ81" s="9">
        <f t="shared" si="15"/>
        <v>5351.8144112443133</v>
      </c>
      <c r="AK81" s="9">
        <f t="shared" si="17"/>
        <v>72.400086732201544</v>
      </c>
      <c r="AL81" s="9">
        <f t="shared" si="18"/>
        <v>1867.272838119723</v>
      </c>
      <c r="AM81" s="9">
        <f t="shared" si="19"/>
        <v>254.84830529735063</v>
      </c>
    </row>
    <row r="82" spans="4:39" ht="14.25" customHeight="1" x14ac:dyDescent="0.2">
      <c r="D82" s="1">
        <v>65</v>
      </c>
      <c r="E82" s="6">
        <f t="shared" si="26"/>
        <v>227.04667199218301</v>
      </c>
      <c r="F82" s="6">
        <f t="shared" si="26"/>
        <v>2270.4667199218297</v>
      </c>
      <c r="G82" s="6">
        <f t="shared" si="26"/>
        <v>249.75133919140129</v>
      </c>
      <c r="H82" s="6">
        <v>0.4</v>
      </c>
      <c r="I82" s="6">
        <v>1.5</v>
      </c>
      <c r="J82" s="6">
        <v>1</v>
      </c>
      <c r="K82" s="25">
        <f t="shared" si="8"/>
        <v>1.041782292908414</v>
      </c>
      <c r="L82" s="6">
        <f t="shared" ref="L82:L117" si="27">E82*$L$16/J82/(1+H82*(I82-1))*$L$15</f>
        <v>9933.2918996580065</v>
      </c>
      <c r="M82" s="6">
        <f t="shared" ref="M82:M113" si="28">F82/(1+N82/$N$16)*$L$15</f>
        <v>143420.42212441136</v>
      </c>
      <c r="N82" s="6">
        <f t="shared" ref="N82:N117" si="29">G82*$L$15</f>
        <v>18731.350439355097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5">
        <v>65</v>
      </c>
      <c r="T82" s="6">
        <f>VLOOKUP($S$13,角色设定!$AB$9:$AJ$21,MATCH(E$17,角色设定!$AB$9:$AJ$9,0),0)*Z82*$L$15*E82/Y82/(1+W82*(X82-1))</f>
        <v>5321.4063748167891</v>
      </c>
      <c r="U82" s="6">
        <f>VLOOKUP($S$13,角色设定!$AB$9:$AJ$21,MATCH(F$17,角色设定!$AB$9:$AJ$9,0),0)*F82*$L$15/(1+V82/$N$16)</f>
        <v>159356.0245826793</v>
      </c>
      <c r="V82" s="6">
        <f>VLOOKUP($S$13,角色设定!$AB$9:$AJ$21,MATCH(V$17,角色设定!$AB$9:$AJ$9,0),0)*G82*$L$15</f>
        <v>18731.350439355097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T82*战斗公式!$E$38*(1+W82*(X82-1))*Y82</f>
        <v>143677.97212005331</v>
      </c>
      <c r="AD82" s="6">
        <f>U82*战斗公式!$E$40*(1+V82*战斗公式!$E$39)</f>
        <v>189205.5599934858</v>
      </c>
      <c r="AE82" s="21">
        <f t="shared" si="12"/>
        <v>332883.53211353911</v>
      </c>
      <c r="AF82" s="21">
        <f t="shared" si="16"/>
        <v>15851.596767311392</v>
      </c>
      <c r="AG82" s="21"/>
      <c r="AH82" s="9">
        <f t="shared" si="13"/>
        <v>1596.4219124450367</v>
      </c>
      <c r="AI82" s="9">
        <f t="shared" si="14"/>
        <v>47806.807374803786</v>
      </c>
      <c r="AJ82" s="9">
        <f t="shared" si="15"/>
        <v>5619.4051318065294</v>
      </c>
      <c r="AK82" s="9">
        <f t="shared" si="17"/>
        <v>76.020091068811325</v>
      </c>
      <c r="AL82" s="9">
        <f t="shared" si="18"/>
        <v>1931.8793177738407</v>
      </c>
      <c r="AM82" s="9">
        <f t="shared" si="19"/>
        <v>267.59072056221612</v>
      </c>
    </row>
    <row r="83" spans="4:39" ht="14.25" customHeight="1" x14ac:dyDescent="0.2">
      <c r="D83" s="1">
        <v>66</v>
      </c>
      <c r="E83" s="6">
        <f t="shared" ref="E83:G117" si="33">E$15*E$16^($D83-1)</f>
        <v>238.39900559179216</v>
      </c>
      <c r="F83" s="6">
        <f t="shared" si="33"/>
        <v>2383.9900559179218</v>
      </c>
      <c r="G83" s="6">
        <f t="shared" si="33"/>
        <v>262.23890615097139</v>
      </c>
      <c r="H83" s="6">
        <v>0.4</v>
      </c>
      <c r="I83" s="6">
        <v>1.5</v>
      </c>
      <c r="J83" s="6">
        <v>1</v>
      </c>
      <c r="K83" s="25">
        <f t="shared" ref="K83:K115" si="34">M84/M83</f>
        <v>1.0414417368535842</v>
      </c>
      <c r="L83" s="6">
        <f t="shared" si="27"/>
        <v>10429.956494640906</v>
      </c>
      <c r="M83" s="6">
        <f t="shared" si="28"/>
        <v>149412.85621066188</v>
      </c>
      <c r="N83" s="6">
        <f t="shared" si="29"/>
        <v>19667.917961322855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5">
        <v>66</v>
      </c>
      <c r="T83" s="6">
        <f>VLOOKUP($S$13,角色设定!$AB$9:$AJ$21,MATCH(E$17,角色设定!$AB$9:$AJ$9,0),0)*Z83*$L$15*E83/Y83/(1+W83*(X83-1))</f>
        <v>5587.476693557629</v>
      </c>
      <c r="U83" s="6">
        <f>VLOOKUP($S$13,角色设定!$AB$9:$AJ$21,MATCH(F$17,角色设定!$AB$9:$AJ$9,0),0)*F83*$L$15/(1+V83/$N$16)</f>
        <v>166014.28467851321</v>
      </c>
      <c r="V83" s="6">
        <f>VLOOKUP($S$13,角色设定!$AB$9:$AJ$21,MATCH(V$17,角色设定!$AB$9:$AJ$9,0),0)*G83*$L$15</f>
        <v>19667.917961322855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T83*战斗公式!$E$38*(1+W83*(X83-1))*Y83</f>
        <v>150861.87072605599</v>
      </c>
      <c r="AD83" s="6">
        <f>U83*战斗公式!$E$40*(1+V83*战斗公式!$E$39)</f>
        <v>198665.83799316018</v>
      </c>
      <c r="AE83" s="21">
        <f t="shared" ref="AE83:AE117" si="35">AC83+AD83</f>
        <v>349527.70871921617</v>
      </c>
      <c r="AF83" s="21">
        <f t="shared" si="16"/>
        <v>16644.176605677058</v>
      </c>
      <c r="AG83" s="21"/>
      <c r="AH83" s="9">
        <f t="shared" ref="AH83:AH117" si="36">T83*$F$5</f>
        <v>1676.2430080672887</v>
      </c>
      <c r="AI83" s="9">
        <f t="shared" ref="AI83:AI117" si="37">U83*$F$5</f>
        <v>49804.285403553964</v>
      </c>
      <c r="AJ83" s="9">
        <f t="shared" ref="AJ83:AJ117" si="38">V83*$F$5</f>
        <v>5900.3753883968566</v>
      </c>
      <c r="AK83" s="9">
        <f t="shared" si="17"/>
        <v>79.82109562225196</v>
      </c>
      <c r="AL83" s="9">
        <f t="shared" si="18"/>
        <v>1997.4780287501781</v>
      </c>
      <c r="AM83" s="9">
        <f t="shared" si="19"/>
        <v>280.97025659032715</v>
      </c>
    </row>
    <row r="84" spans="4:39" ht="14.25" customHeight="1" x14ac:dyDescent="0.2">
      <c r="D84" s="1">
        <v>67</v>
      </c>
      <c r="E84" s="6">
        <f t="shared" si="33"/>
        <v>250.31895587138177</v>
      </c>
      <c r="F84" s="6">
        <f t="shared" si="33"/>
        <v>2503.1895587138179</v>
      </c>
      <c r="G84" s="6">
        <f t="shared" si="33"/>
        <v>275.35085145851997</v>
      </c>
      <c r="H84" s="6">
        <v>0.4</v>
      </c>
      <c r="I84" s="6">
        <v>1.5</v>
      </c>
      <c r="J84" s="6">
        <v>1</v>
      </c>
      <c r="K84" s="25">
        <f t="shared" si="34"/>
        <v>1.0410900771605376</v>
      </c>
      <c r="L84" s="6">
        <f t="shared" si="27"/>
        <v>10951.454319372951</v>
      </c>
      <c r="M84" s="6">
        <f t="shared" si="28"/>
        <v>155604.78448028656</v>
      </c>
      <c r="N84" s="6">
        <f t="shared" si="29"/>
        <v>20651.313859388996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5">
        <v>67</v>
      </c>
      <c r="T84" s="6">
        <f>VLOOKUP($S$13,角色设定!$AB$9:$AJ$21,MATCH(E$17,角色设定!$AB$9:$AJ$9,0),0)*Z84*$L$15*E84/Y84/(1+W84*(X84-1))</f>
        <v>5866.85052823551</v>
      </c>
      <c r="U84" s="6">
        <f>VLOOKUP($S$13,角色设定!$AB$9:$AJ$21,MATCH(F$17,角色设定!$AB$9:$AJ$9,0),0)*F84*$L$15/(1+V84/$N$16)</f>
        <v>172894.20497809618</v>
      </c>
      <c r="V84" s="6">
        <f>VLOOKUP($S$13,角色设定!$AB$9:$AJ$21,MATCH(V$17,角色设定!$AB$9:$AJ$9,0),0)*G84*$L$15</f>
        <v>20651.313859388996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T84*战斗公式!$E$38*(1+W84*(X84-1))*Y84</f>
        <v>158404.96426235876</v>
      </c>
      <c r="AD84" s="6">
        <f>U84*战斗公式!$E$40*(1+V84*战斗公式!$E$39)</f>
        <v>208599.12989281816</v>
      </c>
      <c r="AE84" s="21">
        <f t="shared" si="35"/>
        <v>367004.09415517689</v>
      </c>
      <c r="AF84" s="21">
        <f t="shared" ref="AF84:AF117" si="39">AE84-AE83</f>
        <v>17476.385435960721</v>
      </c>
      <c r="AG84" s="21"/>
      <c r="AH84" s="9">
        <f t="shared" si="36"/>
        <v>1760.0551584706529</v>
      </c>
      <c r="AI84" s="9">
        <f t="shared" si="37"/>
        <v>51868.26149342885</v>
      </c>
      <c r="AJ84" s="9">
        <f t="shared" si="38"/>
        <v>6195.3941578166987</v>
      </c>
      <c r="AK84" s="9">
        <f t="shared" ref="AK84:AK118" si="40">AH84-AH83</f>
        <v>83.812150403364285</v>
      </c>
      <c r="AL84" s="9">
        <f t="shared" ref="AL84:AL118" si="41">AI84-AI83</f>
        <v>2063.9760898748864</v>
      </c>
      <c r="AM84" s="9">
        <f t="shared" ref="AM84:AM118" si="42">AJ84-AJ83</f>
        <v>295.0187694198421</v>
      </c>
    </row>
    <row r="85" spans="4:39" ht="14.25" customHeight="1" x14ac:dyDescent="0.2">
      <c r="D85" s="1">
        <v>68</v>
      </c>
      <c r="E85" s="6">
        <f t="shared" si="33"/>
        <v>262.83490366495084</v>
      </c>
      <c r="F85" s="6">
        <f t="shared" si="33"/>
        <v>2628.3490366495089</v>
      </c>
      <c r="G85" s="6">
        <f t="shared" si="33"/>
        <v>289.11839403144597</v>
      </c>
      <c r="H85" s="6">
        <v>0.4</v>
      </c>
      <c r="I85" s="6">
        <v>1.5</v>
      </c>
      <c r="J85" s="6">
        <v>1</v>
      </c>
      <c r="K85" s="25">
        <f t="shared" si="34"/>
        <v>1.0407272009426711</v>
      </c>
      <c r="L85" s="6">
        <f t="shared" si="27"/>
        <v>11499.027035341598</v>
      </c>
      <c r="M85" s="6">
        <f t="shared" si="28"/>
        <v>161998.59708113037</v>
      </c>
      <c r="N85" s="6">
        <f t="shared" si="29"/>
        <v>21683.879552358449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5">
        <v>68</v>
      </c>
      <c r="T85" s="6">
        <f>VLOOKUP($S$13,角色设定!$AB$9:$AJ$21,MATCH(E$17,角色设定!$AB$9:$AJ$9,0),0)*Z85*$L$15*E85/Y85/(1+W85*(X85-1))</f>
        <v>6160.193054647285</v>
      </c>
      <c r="U85" s="6">
        <f>VLOOKUP($S$13,角色设定!$AB$9:$AJ$21,MATCH(F$17,角色设定!$AB$9:$AJ$9,0),0)*F85*$L$15/(1+V85/$N$16)</f>
        <v>179998.44120125601</v>
      </c>
      <c r="V85" s="6">
        <f>VLOOKUP($S$13,角色设定!$AB$9:$AJ$21,MATCH(V$17,角色设定!$AB$9:$AJ$9,0),0)*G85*$L$15</f>
        <v>21683.879552358449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T85*战斗公式!$E$38*(1+W85*(X85-1))*Y85</f>
        <v>166325.2124754767</v>
      </c>
      <c r="AD85" s="6">
        <f>U85*战斗公式!$E$40*(1+V85*战斗公式!$E$39)</f>
        <v>219029.0863874591</v>
      </c>
      <c r="AE85" s="21">
        <f t="shared" si="35"/>
        <v>385354.2988629358</v>
      </c>
      <c r="AF85" s="21">
        <f t="shared" si="39"/>
        <v>18350.204707758909</v>
      </c>
      <c r="AG85" s="21"/>
      <c r="AH85" s="9">
        <f t="shared" si="36"/>
        <v>1848.0579163941854</v>
      </c>
      <c r="AI85" s="9">
        <f t="shared" si="37"/>
        <v>53999.532360376797</v>
      </c>
      <c r="AJ85" s="9">
        <f t="shared" si="38"/>
        <v>6505.1638657075346</v>
      </c>
      <c r="AK85" s="9">
        <f t="shared" si="40"/>
        <v>88.002757923532499</v>
      </c>
      <c r="AL85" s="9">
        <f t="shared" si="41"/>
        <v>2131.2708669479471</v>
      </c>
      <c r="AM85" s="9">
        <f t="shared" si="42"/>
        <v>309.76970789083589</v>
      </c>
    </row>
    <row r="86" spans="4:39" ht="14.25" customHeight="1" x14ac:dyDescent="0.2">
      <c r="D86" s="1">
        <v>69</v>
      </c>
      <c r="E86" s="6">
        <f t="shared" si="33"/>
        <v>275.97664884819841</v>
      </c>
      <c r="F86" s="6">
        <f t="shared" si="33"/>
        <v>2759.7664884819837</v>
      </c>
      <c r="G86" s="6">
        <f t="shared" si="33"/>
        <v>303.57431373301824</v>
      </c>
      <c r="H86" s="6">
        <v>0.4</v>
      </c>
      <c r="I86" s="6">
        <v>1.5</v>
      </c>
      <c r="J86" s="6">
        <v>1</v>
      </c>
      <c r="K86" s="25">
        <f t="shared" si="34"/>
        <v>1.0403530155382283</v>
      </c>
      <c r="L86" s="6">
        <f t="shared" si="27"/>
        <v>12073.97838710868</v>
      </c>
      <c r="M86" s="6">
        <f t="shared" si="28"/>
        <v>168596.34649688439</v>
      </c>
      <c r="N86" s="6">
        <f t="shared" si="29"/>
        <v>22768.073529976369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5">
        <v>69</v>
      </c>
      <c r="T86" s="6">
        <f>VLOOKUP($S$13,角色设定!$AB$9:$AJ$21,MATCH(E$17,角色设定!$AB$9:$AJ$9,0),0)*Z86*$L$15*E86/Y86/(1+W86*(X86-1))</f>
        <v>6468.2027073796498</v>
      </c>
      <c r="U86" s="6">
        <f>VLOOKUP($S$13,角色设定!$AB$9:$AJ$21,MATCH(F$17,角色设定!$AB$9:$AJ$9,0),0)*F86*$L$15/(1+V86/$N$16)</f>
        <v>187329.27388542713</v>
      </c>
      <c r="V86" s="6">
        <f>VLOOKUP($S$13,角色设定!$AB$9:$AJ$21,MATCH(V$17,角色设定!$AB$9:$AJ$9,0),0)*G86*$L$15</f>
        <v>22768.073529976369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T86*战斗公式!$E$38*(1+W86*(X86-1))*Y86</f>
        <v>174641.47309925055</v>
      </c>
      <c r="AD86" s="6">
        <f>U86*战斗公式!$E$40*(1+V86*战斗公式!$E$39)</f>
        <v>229980.54070683199</v>
      </c>
      <c r="AE86" s="21">
        <f t="shared" si="35"/>
        <v>404622.01380608254</v>
      </c>
      <c r="AF86" s="21">
        <f t="shared" si="39"/>
        <v>19267.714943146741</v>
      </c>
      <c r="AG86" s="21"/>
      <c r="AH86" s="9">
        <f t="shared" si="36"/>
        <v>1940.4608122138948</v>
      </c>
      <c r="AI86" s="9">
        <f t="shared" si="37"/>
        <v>56198.782165628138</v>
      </c>
      <c r="AJ86" s="9">
        <f t="shared" si="38"/>
        <v>6830.4220589929109</v>
      </c>
      <c r="AK86" s="9">
        <f t="shared" si="40"/>
        <v>92.402895819709329</v>
      </c>
      <c r="AL86" s="9">
        <f t="shared" si="41"/>
        <v>2199.2498052513401</v>
      </c>
      <c r="AM86" s="9">
        <f t="shared" si="42"/>
        <v>325.25819328537636</v>
      </c>
    </row>
    <row r="87" spans="4:39" ht="14.25" customHeight="1" x14ac:dyDescent="0.2">
      <c r="D87" s="1">
        <v>70</v>
      </c>
      <c r="E87" s="6">
        <f t="shared" si="33"/>
        <v>289.7754812906083</v>
      </c>
      <c r="F87" s="6">
        <f t="shared" si="33"/>
        <v>2897.7548129060833</v>
      </c>
      <c r="G87" s="6">
        <f t="shared" si="33"/>
        <v>318.75302941966913</v>
      </c>
      <c r="H87" s="6">
        <v>0.4</v>
      </c>
      <c r="I87" s="6">
        <v>1.5</v>
      </c>
      <c r="J87" s="6">
        <v>1</v>
      </c>
      <c r="K87" s="25">
        <f t="shared" si="34"/>
        <v>1.0399674501674856</v>
      </c>
      <c r="L87" s="6">
        <f t="shared" si="27"/>
        <v>12677.677306464113</v>
      </c>
      <c r="M87" s="6">
        <f t="shared" si="28"/>
        <v>175399.71748676168</v>
      </c>
      <c r="N87" s="6">
        <f t="shared" si="29"/>
        <v>23906.477206475185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5">
        <v>70</v>
      </c>
      <c r="T87" s="6">
        <f>VLOOKUP($S$13,角色设定!$AB$9:$AJ$21,MATCH(E$17,角色设定!$AB$9:$AJ$9,0),0)*Z87*$L$15*E87/Y87/(1+W87*(X87-1))</f>
        <v>6791.6128427486319</v>
      </c>
      <c r="U87" s="6">
        <f>VLOOKUP($S$13,角色设定!$AB$9:$AJ$21,MATCH(F$17,角色设定!$AB$9:$AJ$9,0),0)*F87*$L$15/(1+V87/$N$16)</f>
        <v>194888.57498529079</v>
      </c>
      <c r="V87" s="6">
        <f>VLOOKUP($S$13,角色设定!$AB$9:$AJ$21,MATCH(V$17,角色设定!$AB$9:$AJ$9,0),0)*G87*$L$15</f>
        <v>23906.477206475185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T87*战斗公式!$E$38*(1+W87*(X87-1))*Y87</f>
        <v>183373.54675421305</v>
      </c>
      <c r="AD87" s="6">
        <f>U87*战斗公式!$E$40*(1+V87*战斗公式!$E$39)</f>
        <v>241479.56774217362</v>
      </c>
      <c r="AE87" s="21">
        <f t="shared" si="35"/>
        <v>424853.11449638667</v>
      </c>
      <c r="AF87" s="21">
        <f t="shared" si="39"/>
        <v>20231.100690304127</v>
      </c>
      <c r="AG87" s="21"/>
      <c r="AH87" s="9">
        <f t="shared" si="36"/>
        <v>2037.4838528245896</v>
      </c>
      <c r="AI87" s="9">
        <f t="shared" si="37"/>
        <v>58466.572495587236</v>
      </c>
      <c r="AJ87" s="9">
        <f t="shared" si="38"/>
        <v>7171.943161942555</v>
      </c>
      <c r="AK87" s="9">
        <f t="shared" si="40"/>
        <v>97.023040610694807</v>
      </c>
      <c r="AL87" s="9">
        <f t="shared" si="41"/>
        <v>2267.790329959098</v>
      </c>
      <c r="AM87" s="9">
        <f t="shared" si="42"/>
        <v>341.52110294964405</v>
      </c>
    </row>
    <row r="88" spans="4:39" ht="14.25" customHeight="1" x14ac:dyDescent="0.2">
      <c r="D88" s="1">
        <v>71</v>
      </c>
      <c r="E88" s="6">
        <f t="shared" si="33"/>
        <v>304.26425535513874</v>
      </c>
      <c r="F88" s="6">
        <f t="shared" si="33"/>
        <v>3042.6425535513872</v>
      </c>
      <c r="G88" s="6">
        <f t="shared" si="33"/>
        <v>334.69068089065257</v>
      </c>
      <c r="H88" s="6">
        <v>0.4</v>
      </c>
      <c r="I88" s="6">
        <v>1.5</v>
      </c>
      <c r="J88" s="6">
        <v>1</v>
      </c>
      <c r="K88" s="25">
        <f t="shared" si="34"/>
        <v>1.0395704575799198</v>
      </c>
      <c r="L88" s="6">
        <f t="shared" si="27"/>
        <v>13311.561171787322</v>
      </c>
      <c r="M88" s="6">
        <f t="shared" si="28"/>
        <v>182409.9969548049</v>
      </c>
      <c r="N88" s="6">
        <f t="shared" si="29"/>
        <v>25101.801066798944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5">
        <v>71</v>
      </c>
      <c r="T88" s="6">
        <f>VLOOKUP($S$13,角色设定!$AB$9:$AJ$21,MATCH(E$17,角色设定!$AB$9:$AJ$9,0),0)*Z88*$L$15*E88/Y88/(1+W88*(X88-1))</f>
        <v>7131.1934848860637</v>
      </c>
      <c r="U88" s="6">
        <f>VLOOKUP($S$13,角色设定!$AB$9:$AJ$21,MATCH(F$17,角色设定!$AB$9:$AJ$9,0),0)*F88*$L$15/(1+V88/$N$16)</f>
        <v>202677.77439422769</v>
      </c>
      <c r="V88" s="6">
        <f>VLOOKUP($S$13,角色设定!$AB$9:$AJ$21,MATCH(V$17,角色设定!$AB$9:$AJ$9,0),0)*G88*$L$15</f>
        <v>25101.801066798944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T88*战斗公式!$E$38*(1+W88*(X88-1))*Y88</f>
        <v>192542.22409192371</v>
      </c>
      <c r="AD88" s="6">
        <f>U88*战斗公式!$E$40*(1+V88*战斗公式!$E$39)</f>
        <v>253553.54612928227</v>
      </c>
      <c r="AE88" s="21">
        <f t="shared" si="35"/>
        <v>446095.77022120601</v>
      </c>
      <c r="AF88" s="21">
        <f t="shared" si="39"/>
        <v>21242.655724819342</v>
      </c>
      <c r="AG88" s="21"/>
      <c r="AH88" s="9">
        <f t="shared" si="36"/>
        <v>2139.358045465819</v>
      </c>
      <c r="AI88" s="9">
        <f t="shared" si="37"/>
        <v>60803.332318268302</v>
      </c>
      <c r="AJ88" s="9">
        <f t="shared" si="38"/>
        <v>7530.5403200396831</v>
      </c>
      <c r="AK88" s="9">
        <f t="shared" si="40"/>
        <v>101.87419264122946</v>
      </c>
      <c r="AL88" s="9">
        <f t="shared" si="41"/>
        <v>2336.759822681066</v>
      </c>
      <c r="AM88" s="9">
        <f t="shared" si="42"/>
        <v>358.59715809712816</v>
      </c>
    </row>
    <row r="89" spans="4:39" ht="14.25" customHeight="1" x14ac:dyDescent="0.2">
      <c r="D89" s="1">
        <v>72</v>
      </c>
      <c r="E89" s="6">
        <f t="shared" si="33"/>
        <v>319.47746812289569</v>
      </c>
      <c r="F89" s="6">
        <f t="shared" si="33"/>
        <v>3194.774681228957</v>
      </c>
      <c r="G89" s="6">
        <f t="shared" si="33"/>
        <v>351.42521493518524</v>
      </c>
      <c r="H89" s="6">
        <v>0.4</v>
      </c>
      <c r="I89" s="6">
        <v>1.5</v>
      </c>
      <c r="J89" s="6">
        <v>1</v>
      </c>
      <c r="K89" s="25">
        <f t="shared" si="34"/>
        <v>1.0391620156761692</v>
      </c>
      <c r="L89" s="6">
        <f t="shared" si="27"/>
        <v>13977.139230376686</v>
      </c>
      <c r="M89" s="6">
        <f t="shared" si="28"/>
        <v>189628.04400145833</v>
      </c>
      <c r="N89" s="6">
        <f t="shared" si="29"/>
        <v>26356.891120138895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5">
        <v>72</v>
      </c>
      <c r="T89" s="6">
        <f>VLOOKUP($S$13,角色设定!$AB$9:$AJ$21,MATCH(E$17,角色设定!$AB$9:$AJ$9,0),0)*Z89*$L$15*E89/Y89/(1+W89*(X89-1))</f>
        <v>7487.7531591303677</v>
      </c>
      <c r="U89" s="6">
        <f>VLOOKUP($S$13,角色设定!$AB$9:$AJ$21,MATCH(F$17,角色设定!$AB$9:$AJ$9,0),0)*F89*$L$15/(1+V89/$N$16)</f>
        <v>210697.82666828705</v>
      </c>
      <c r="V89" s="6">
        <f>VLOOKUP($S$13,角色设定!$AB$9:$AJ$21,MATCH(V$17,角色设定!$AB$9:$AJ$9,0),0)*G89*$L$15</f>
        <v>26356.891120138895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T89*战斗公式!$E$38*(1+W89*(X89-1))*Y89</f>
        <v>202169.33529651992</v>
      </c>
      <c r="AD89" s="6">
        <f>U89*战斗公式!$E$40*(1+V89*战斗公式!$E$39)</f>
        <v>266231.22343574645</v>
      </c>
      <c r="AE89" s="21">
        <f t="shared" si="35"/>
        <v>468400.55873226636</v>
      </c>
      <c r="AF89" s="21">
        <f t="shared" si="39"/>
        <v>22304.788511060353</v>
      </c>
      <c r="AG89" s="21"/>
      <c r="AH89" s="9">
        <f t="shared" si="36"/>
        <v>2246.3259477391102</v>
      </c>
      <c r="AI89" s="9">
        <f t="shared" si="37"/>
        <v>63209.348000486112</v>
      </c>
      <c r="AJ89" s="9">
        <f t="shared" si="38"/>
        <v>7907.0673360416677</v>
      </c>
      <c r="AK89" s="9">
        <f t="shared" si="40"/>
        <v>106.9679022732912</v>
      </c>
      <c r="AL89" s="9">
        <f t="shared" si="41"/>
        <v>2406.0156822178105</v>
      </c>
      <c r="AM89" s="9">
        <f t="shared" si="42"/>
        <v>376.52701600198452</v>
      </c>
    </row>
    <row r="90" spans="4:39" ht="14.25" customHeight="1" x14ac:dyDescent="0.2">
      <c r="D90" s="1">
        <v>73</v>
      </c>
      <c r="E90" s="6">
        <f t="shared" si="33"/>
        <v>335.45134152904046</v>
      </c>
      <c r="F90" s="6">
        <f t="shared" si="33"/>
        <v>3354.5134152904047</v>
      </c>
      <c r="G90" s="6">
        <f t="shared" si="33"/>
        <v>368.9964756819445</v>
      </c>
      <c r="H90" s="6">
        <v>0.4</v>
      </c>
      <c r="I90" s="6">
        <v>1.5</v>
      </c>
      <c r="J90" s="6">
        <v>1</v>
      </c>
      <c r="K90" s="25">
        <f t="shared" si="34"/>
        <v>1.0387421290884371</v>
      </c>
      <c r="L90" s="6">
        <f t="shared" si="27"/>
        <v>14675.99619189552</v>
      </c>
      <c r="M90" s="6">
        <f t="shared" si="28"/>
        <v>197054.26043328474</v>
      </c>
      <c r="N90" s="6">
        <f t="shared" si="29"/>
        <v>27674.735676145836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5">
        <v>73</v>
      </c>
      <c r="T90" s="6">
        <f>VLOOKUP($S$13,角色设定!$AB$9:$AJ$21,MATCH(E$17,角色设定!$AB$9:$AJ$9,0),0)*Z90*$L$15*E90/Y90/(1+W90*(X90-1))</f>
        <v>7862.1408170868872</v>
      </c>
      <c r="U90" s="6">
        <f>VLOOKUP($S$13,角色设定!$AB$9:$AJ$21,MATCH(F$17,角色设定!$AB$9:$AJ$9,0),0)*F90*$L$15/(1+V90/$N$16)</f>
        <v>218949.17825920528</v>
      </c>
      <c r="V90" s="6">
        <f>VLOOKUP($S$13,角色设定!$AB$9:$AJ$21,MATCH(V$17,角色设定!$AB$9:$AJ$9,0),0)*G90*$L$15</f>
        <v>27674.735676145836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T90*战斗公式!$E$38*(1+W90*(X90-1))*Y90</f>
        <v>212277.80206134598</v>
      </c>
      <c r="AD90" s="6">
        <f>U90*战斗公式!$E$40*(1+V90*战斗公式!$E$39)</f>
        <v>279542.78460753371</v>
      </c>
      <c r="AE90" s="21">
        <f t="shared" si="35"/>
        <v>491820.58666887973</v>
      </c>
      <c r="AF90" s="21">
        <f t="shared" si="39"/>
        <v>23420.027936613362</v>
      </c>
      <c r="AG90" s="21"/>
      <c r="AH90" s="9">
        <f t="shared" si="36"/>
        <v>2358.642245126066</v>
      </c>
      <c r="AI90" s="9">
        <f t="shared" si="37"/>
        <v>65684.75347776158</v>
      </c>
      <c r="AJ90" s="9">
        <f t="shared" si="38"/>
        <v>8302.4207028437504</v>
      </c>
      <c r="AK90" s="9">
        <f t="shared" si="40"/>
        <v>112.31629738695574</v>
      </c>
      <c r="AL90" s="9">
        <f t="shared" si="41"/>
        <v>2475.405477275468</v>
      </c>
      <c r="AM90" s="9">
        <f t="shared" si="42"/>
        <v>395.35336680208275</v>
      </c>
    </row>
    <row r="91" spans="4:39" ht="14.25" customHeight="1" x14ac:dyDescent="0.2">
      <c r="D91" s="1">
        <v>74</v>
      </c>
      <c r="E91" s="6">
        <f t="shared" si="33"/>
        <v>352.22390860549245</v>
      </c>
      <c r="F91" s="6">
        <f t="shared" si="33"/>
        <v>3522.2390860549249</v>
      </c>
      <c r="G91" s="6">
        <f t="shared" si="33"/>
        <v>387.44629946604169</v>
      </c>
      <c r="H91" s="6">
        <v>0.4</v>
      </c>
      <c r="I91" s="6">
        <v>1.5</v>
      </c>
      <c r="J91" s="6">
        <v>1</v>
      </c>
      <c r="K91" s="25">
        <f t="shared" si="34"/>
        <v>1.0383108307018805</v>
      </c>
      <c r="L91" s="6">
        <f t="shared" si="27"/>
        <v>15409.796001490295</v>
      </c>
      <c r="M91" s="6">
        <f t="shared" si="28"/>
        <v>204688.56202841757</v>
      </c>
      <c r="N91" s="6">
        <f t="shared" si="29"/>
        <v>29058.472459953126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5">
        <v>74</v>
      </c>
      <c r="T91" s="6">
        <f>VLOOKUP($S$13,角色设定!$AB$9:$AJ$21,MATCH(E$17,角色设定!$AB$9:$AJ$9,0),0)*Z91*$L$15*E91/Y91/(1+W91*(X91-1))</f>
        <v>8255.2478579412291</v>
      </c>
      <c r="U91" s="6">
        <f>VLOOKUP($S$13,角色设定!$AB$9:$AJ$21,MATCH(F$17,角色设定!$AB$9:$AJ$9,0),0)*F91*$L$15/(1+V91/$N$16)</f>
        <v>227431.73558713065</v>
      </c>
      <c r="V91" s="6">
        <f>VLOOKUP($S$13,角色设定!$AB$9:$AJ$21,MATCH(V$17,角色设定!$AB$9:$AJ$9,0),0)*G91*$L$15</f>
        <v>29058.472459953126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T91*战斗公式!$E$38*(1+W91*(X91-1))*Y91</f>
        <v>222891.69216441319</v>
      </c>
      <c r="AD91" s="6">
        <f>U91*战斗公式!$E$40*(1+V91*战斗公式!$E$39)</f>
        <v>293519.92383791041</v>
      </c>
      <c r="AE91" s="21">
        <f t="shared" si="35"/>
        <v>516411.61600232357</v>
      </c>
      <c r="AF91" s="21">
        <f t="shared" si="39"/>
        <v>24591.029333443847</v>
      </c>
      <c r="AG91" s="21"/>
      <c r="AH91" s="9">
        <f t="shared" si="36"/>
        <v>2476.5743573823688</v>
      </c>
      <c r="AI91" s="9">
        <f t="shared" si="37"/>
        <v>68229.520676139189</v>
      </c>
      <c r="AJ91" s="9">
        <f t="shared" si="38"/>
        <v>8717.5417379859373</v>
      </c>
      <c r="AK91" s="9">
        <f t="shared" si="40"/>
        <v>117.93211225630284</v>
      </c>
      <c r="AL91" s="9">
        <f t="shared" si="41"/>
        <v>2544.767198377609</v>
      </c>
      <c r="AM91" s="9">
        <f t="shared" si="42"/>
        <v>415.12103514218688</v>
      </c>
    </row>
    <row r="92" spans="4:39" ht="14.25" customHeight="1" x14ac:dyDescent="0.2">
      <c r="D92" s="1">
        <v>75</v>
      </c>
      <c r="E92" s="6">
        <f t="shared" si="33"/>
        <v>369.83510403576707</v>
      </c>
      <c r="F92" s="6">
        <f t="shared" si="33"/>
        <v>3698.3510403576711</v>
      </c>
      <c r="G92" s="6">
        <f t="shared" si="33"/>
        <v>406.81861443934378</v>
      </c>
      <c r="H92" s="6">
        <v>0.4</v>
      </c>
      <c r="I92" s="6">
        <v>1.5</v>
      </c>
      <c r="J92" s="6">
        <v>1</v>
      </c>
      <c r="K92" s="25">
        <f t="shared" si="34"/>
        <v>1.0378681830986287</v>
      </c>
      <c r="L92" s="6">
        <f t="shared" si="27"/>
        <v>16180.285801564807</v>
      </c>
      <c r="M92" s="6">
        <f t="shared" si="28"/>
        <v>212530.35087489962</v>
      </c>
      <c r="N92" s="6">
        <f t="shared" si="29"/>
        <v>30511.396082950781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5">
        <v>75</v>
      </c>
      <c r="T92" s="6">
        <f>VLOOKUP($S$13,角色设定!$AB$9:$AJ$21,MATCH(E$17,角色设定!$AB$9:$AJ$9,0),0)*Z92*$L$15*E92/Y92/(1+W92*(X92-1))</f>
        <v>8668.0102508382915</v>
      </c>
      <c r="U92" s="6">
        <f>VLOOKUP($S$13,角色设定!$AB$9:$AJ$21,MATCH(F$17,角色设定!$AB$9:$AJ$9,0),0)*F92*$L$15/(1+V92/$N$16)</f>
        <v>236144.83430544403</v>
      </c>
      <c r="V92" s="6">
        <f>VLOOKUP($S$13,角色设定!$AB$9:$AJ$21,MATCH(V$17,角色设定!$AB$9:$AJ$9,0),0)*G92*$L$15</f>
        <v>30511.396082950781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T92*战斗公式!$E$38*(1+W92*(X92-1))*Y92</f>
        <v>234036.27677263386</v>
      </c>
      <c r="AD92" s="6">
        <f>U92*战斗公式!$E$40*(1+V92*战斗公式!$E$39)</f>
        <v>308195.92002980591</v>
      </c>
      <c r="AE92" s="21">
        <f t="shared" si="35"/>
        <v>542232.19680243975</v>
      </c>
      <c r="AF92" s="21">
        <f t="shared" si="39"/>
        <v>25820.580800116179</v>
      </c>
      <c r="AG92" s="21"/>
      <c r="AH92" s="9">
        <f t="shared" si="36"/>
        <v>2600.4030752514873</v>
      </c>
      <c r="AI92" s="9">
        <f t="shared" si="37"/>
        <v>70843.450291633213</v>
      </c>
      <c r="AJ92" s="9">
        <f t="shared" si="38"/>
        <v>9153.4188248852333</v>
      </c>
      <c r="AK92" s="9">
        <f t="shared" si="40"/>
        <v>123.82871786911846</v>
      </c>
      <c r="AL92" s="9">
        <f t="shared" si="41"/>
        <v>2613.9296154940239</v>
      </c>
      <c r="AM92" s="9">
        <f t="shared" si="42"/>
        <v>435.87708689929605</v>
      </c>
    </row>
    <row r="93" spans="4:39" ht="14.25" customHeight="1" x14ac:dyDescent="0.2">
      <c r="D93" s="1">
        <v>76</v>
      </c>
      <c r="E93" s="6">
        <f t="shared" si="33"/>
        <v>388.32685923755548</v>
      </c>
      <c r="F93" s="6">
        <f t="shared" si="33"/>
        <v>3883.2685923755548</v>
      </c>
      <c r="G93" s="6">
        <f t="shared" si="33"/>
        <v>427.15954516131103</v>
      </c>
      <c r="H93" s="6">
        <v>0.4</v>
      </c>
      <c r="I93" s="6">
        <v>1.5</v>
      </c>
      <c r="J93" s="6">
        <v>1</v>
      </c>
      <c r="K93" s="25">
        <f t="shared" si="34"/>
        <v>1.0374142799053203</v>
      </c>
      <c r="L93" s="6">
        <f t="shared" si="27"/>
        <v>16989.300091643054</v>
      </c>
      <c r="M93" s="6">
        <f t="shared" si="28"/>
        <v>220578.48911584611</v>
      </c>
      <c r="N93" s="6">
        <f t="shared" si="29"/>
        <v>32036.965887098326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5">
        <v>76</v>
      </c>
      <c r="T93" s="6">
        <f>VLOOKUP($S$13,角色设定!$AB$9:$AJ$21,MATCH(E$17,角色设定!$AB$9:$AJ$9,0),0)*Z93*$L$15*E93/Y93/(1+W93*(X93-1))</f>
        <v>9101.4107633802068</v>
      </c>
      <c r="U93" s="6">
        <f>VLOOKUP($S$13,角色设定!$AB$9:$AJ$21,MATCH(F$17,角色设定!$AB$9:$AJ$9,0),0)*F93*$L$15/(1+V93/$N$16)</f>
        <v>245087.21012871791</v>
      </c>
      <c r="V93" s="6">
        <f>VLOOKUP($S$13,角色设定!$AB$9:$AJ$21,MATCH(V$17,角色设定!$AB$9:$AJ$9,0),0)*G93*$L$15</f>
        <v>32036.965887098326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T93*战斗公式!$E$38*(1+W93*(X93-1))*Y93</f>
        <v>245738.09061126559</v>
      </c>
      <c r="AD93" s="6">
        <f>U93*战斗公式!$E$40*(1+V93*战斗公式!$E$39)</f>
        <v>323605.71603129624</v>
      </c>
      <c r="AE93" s="21">
        <f t="shared" si="35"/>
        <v>569343.8066425618</v>
      </c>
      <c r="AF93" s="21">
        <f t="shared" si="39"/>
        <v>27111.609840122052</v>
      </c>
      <c r="AG93" s="21"/>
      <c r="AH93" s="9">
        <f t="shared" si="36"/>
        <v>2730.4232290140621</v>
      </c>
      <c r="AI93" s="9">
        <f t="shared" si="37"/>
        <v>73526.16303861537</v>
      </c>
      <c r="AJ93" s="9">
        <f t="shared" si="38"/>
        <v>9611.0897661294966</v>
      </c>
      <c r="AK93" s="9">
        <f t="shared" si="40"/>
        <v>130.02015376257486</v>
      </c>
      <c r="AL93" s="9">
        <f t="shared" si="41"/>
        <v>2682.7127469821571</v>
      </c>
      <c r="AM93" s="9">
        <f t="shared" si="42"/>
        <v>457.6709412442633</v>
      </c>
    </row>
    <row r="94" spans="4:39" ht="14.25" customHeight="1" x14ac:dyDescent="0.2">
      <c r="D94" s="1">
        <v>77</v>
      </c>
      <c r="E94" s="6">
        <f t="shared" si="33"/>
        <v>407.7432021994332</v>
      </c>
      <c r="F94" s="6">
        <f t="shared" si="33"/>
        <v>4077.432021994332</v>
      </c>
      <c r="G94" s="6">
        <f t="shared" si="33"/>
        <v>448.51752241937652</v>
      </c>
      <c r="H94" s="6">
        <v>0.4</v>
      </c>
      <c r="I94" s="6">
        <v>1.5</v>
      </c>
      <c r="J94" s="6">
        <v>1</v>
      </c>
      <c r="K94" s="25">
        <f t="shared" si="34"/>
        <v>1.0369492470245605</v>
      </c>
      <c r="L94" s="6">
        <f t="shared" si="27"/>
        <v>17838.765096225205</v>
      </c>
      <c r="M94" s="6">
        <f t="shared" si="28"/>
        <v>228831.27444871902</v>
      </c>
      <c r="N94" s="6">
        <f t="shared" si="29"/>
        <v>33638.814181453236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5">
        <v>77</v>
      </c>
      <c r="T94" s="6">
        <f>VLOOKUP($S$13,角色设定!$AB$9:$AJ$21,MATCH(E$17,角色设定!$AB$9:$AJ$9,0),0)*Z94*$L$15*E94/Y94/(1+W94*(X94-1))</f>
        <v>9556.4813015492164</v>
      </c>
      <c r="U94" s="6">
        <f>VLOOKUP($S$13,角色设定!$AB$9:$AJ$21,MATCH(F$17,角色设定!$AB$9:$AJ$9,0),0)*F94*$L$15/(1+V94/$N$16)</f>
        <v>254256.97160968778</v>
      </c>
      <c r="V94" s="6">
        <f>VLOOKUP($S$13,角色设定!$AB$9:$AJ$21,MATCH(V$17,角色设定!$AB$9:$AJ$9,0),0)*G94*$L$15</f>
        <v>33638.814181453236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T94*战斗公式!$E$38*(1+W94*(X94-1))*Y94</f>
        <v>258024.99514182887</v>
      </c>
      <c r="AD94" s="6">
        <f>U94*战斗公式!$E$40*(1+V94*战斗公式!$E$39)</f>
        <v>339786.00183286099</v>
      </c>
      <c r="AE94" s="21">
        <f t="shared" si="35"/>
        <v>597810.99697468989</v>
      </c>
      <c r="AF94" s="21">
        <f t="shared" si="39"/>
        <v>28467.190332128084</v>
      </c>
      <c r="AG94" s="21"/>
      <c r="AH94" s="9">
        <f t="shared" si="36"/>
        <v>2866.9443904647646</v>
      </c>
      <c r="AI94" s="9">
        <f t="shared" si="37"/>
        <v>76277.091482906326</v>
      </c>
      <c r="AJ94" s="9">
        <f t="shared" si="38"/>
        <v>10091.644254435971</v>
      </c>
      <c r="AK94" s="9">
        <f t="shared" si="40"/>
        <v>136.52116145070249</v>
      </c>
      <c r="AL94" s="9">
        <f t="shared" si="41"/>
        <v>2750.9284442909557</v>
      </c>
      <c r="AM94" s="9">
        <f t="shared" si="42"/>
        <v>480.55448830647401</v>
      </c>
    </row>
    <row r="95" spans="4:39" ht="14.25" customHeight="1" x14ac:dyDescent="0.2">
      <c r="D95" s="1">
        <v>78</v>
      </c>
      <c r="E95" s="6">
        <f t="shared" si="33"/>
        <v>428.13036230940497</v>
      </c>
      <c r="F95" s="6">
        <f t="shared" si="33"/>
        <v>4281.3036230940497</v>
      </c>
      <c r="G95" s="6">
        <f t="shared" si="33"/>
        <v>470.94339854034547</v>
      </c>
      <c r="H95" s="6">
        <v>0.4</v>
      </c>
      <c r="I95" s="6">
        <v>1.5</v>
      </c>
      <c r="J95" s="6">
        <v>1</v>
      </c>
      <c r="K95" s="25">
        <f t="shared" si="34"/>
        <v>1.0364732437304212</v>
      </c>
      <c r="L95" s="6">
        <f t="shared" si="27"/>
        <v>18730.703351036467</v>
      </c>
      <c r="M95" s="6">
        <f t="shared" si="28"/>
        <v>237286.41773526973</v>
      </c>
      <c r="N95" s="6">
        <f t="shared" si="29"/>
        <v>35320.75489052591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5">
        <v>78</v>
      </c>
      <c r="T95" s="6">
        <f>VLOOKUP($S$13,角色设定!$AB$9:$AJ$21,MATCH(E$17,角色设定!$AB$9:$AJ$9,0),0)*Z95*$L$15*E95/Y95/(1+W95*(X95-1))</f>
        <v>10034.305366626679</v>
      </c>
      <c r="U95" s="6">
        <f>VLOOKUP($S$13,角色设定!$AB$9:$AJ$21,MATCH(F$17,角色设定!$AB$9:$AJ$9,0),0)*F95*$L$15/(1+V95/$N$16)</f>
        <v>263651.57526141079</v>
      </c>
      <c r="V95" s="6">
        <f>VLOOKUP($S$13,角色设定!$AB$9:$AJ$21,MATCH(V$17,角色设定!$AB$9:$AJ$9,0),0)*G95*$L$15</f>
        <v>35320.75489052591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T95*战斗公式!$E$38*(1+W95*(X95-1))*Y95</f>
        <v>270926.24489892035</v>
      </c>
      <c r="AD95" s="6">
        <f>U95*战斗公式!$E$40*(1+V95*战斗公式!$E$39)</f>
        <v>356775.30192450417</v>
      </c>
      <c r="AE95" s="21">
        <f t="shared" si="35"/>
        <v>627701.54682342452</v>
      </c>
      <c r="AF95" s="21">
        <f t="shared" si="39"/>
        <v>29890.549848734634</v>
      </c>
      <c r="AG95" s="21"/>
      <c r="AH95" s="9">
        <f t="shared" si="36"/>
        <v>3010.2916099880035</v>
      </c>
      <c r="AI95" s="9">
        <f t="shared" si="37"/>
        <v>79095.472578423229</v>
      </c>
      <c r="AJ95" s="9">
        <f t="shared" si="38"/>
        <v>10596.226467157772</v>
      </c>
      <c r="AK95" s="9">
        <f t="shared" si="40"/>
        <v>143.34721952323889</v>
      </c>
      <c r="AL95" s="9">
        <f t="shared" si="41"/>
        <v>2818.3810955169029</v>
      </c>
      <c r="AM95" s="9">
        <f t="shared" si="42"/>
        <v>504.58221272180162</v>
      </c>
    </row>
    <row r="96" spans="4:39" ht="14.25" customHeight="1" x14ac:dyDescent="0.2">
      <c r="D96" s="1">
        <v>79</v>
      </c>
      <c r="E96" s="6">
        <f t="shared" si="33"/>
        <v>449.53688042487505</v>
      </c>
      <c r="F96" s="6">
        <f t="shared" si="33"/>
        <v>4495.3688042487511</v>
      </c>
      <c r="G96" s="6">
        <f t="shared" si="33"/>
        <v>494.49056846736255</v>
      </c>
      <c r="H96" s="6">
        <v>0.4</v>
      </c>
      <c r="I96" s="6">
        <v>1.5</v>
      </c>
      <c r="J96" s="6">
        <v>1</v>
      </c>
      <c r="K96" s="25">
        <f t="shared" si="34"/>
        <v>1.0359864636081895</v>
      </c>
      <c r="L96" s="6">
        <f t="shared" si="27"/>
        <v>19667.238518588281</v>
      </c>
      <c r="M96" s="6">
        <f t="shared" si="28"/>
        <v>245941.02308324675</v>
      </c>
      <c r="N96" s="6">
        <f t="shared" si="29"/>
        <v>37086.792635052188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5">
        <v>79</v>
      </c>
      <c r="T96" s="6">
        <f>VLOOKUP($S$13,角色设定!$AB$9:$AJ$21,MATCH(E$17,角色设定!$AB$9:$AJ$9,0),0)*Z96*$L$15*E96/Y96/(1+W96*(X96-1))</f>
        <v>10536.020634958009</v>
      </c>
      <c r="U96" s="6">
        <f>VLOOKUP($S$13,角色设定!$AB$9:$AJ$21,MATCH(F$17,角色设定!$AB$9:$AJ$9,0),0)*F96*$L$15/(1+V96/$N$16)</f>
        <v>273267.80342582974</v>
      </c>
      <c r="V96" s="6">
        <f>VLOOKUP($S$13,角色设定!$AB$9:$AJ$21,MATCH(V$17,角色设定!$AB$9:$AJ$9,0),0)*G96*$L$15</f>
        <v>37086.792635052188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T96*战斗公式!$E$38*(1+W96*(X96-1))*Y96</f>
        <v>284472.55714386626</v>
      </c>
      <c r="AD96" s="6">
        <f>U96*战斗公式!$E$40*(1+V96*战斗公式!$E$39)</f>
        <v>374614.06702072924</v>
      </c>
      <c r="AE96" s="21">
        <f t="shared" si="35"/>
        <v>659086.6241645955</v>
      </c>
      <c r="AF96" s="21">
        <f t="shared" si="39"/>
        <v>31385.077341170982</v>
      </c>
      <c r="AG96" s="21"/>
      <c r="AH96" s="9">
        <f t="shared" si="36"/>
        <v>3160.8061904874025</v>
      </c>
      <c r="AI96" s="9">
        <f t="shared" si="37"/>
        <v>81980.341027748917</v>
      </c>
      <c r="AJ96" s="9">
        <f t="shared" si="38"/>
        <v>11126.037790515657</v>
      </c>
      <c r="AK96" s="9">
        <f t="shared" si="40"/>
        <v>150.51458049939902</v>
      </c>
      <c r="AL96" s="9">
        <f t="shared" si="41"/>
        <v>2884.8684493256878</v>
      </c>
      <c r="AM96" s="9">
        <f t="shared" si="42"/>
        <v>529.81132335788425</v>
      </c>
    </row>
    <row r="97" spans="4:39" ht="14.25" customHeight="1" x14ac:dyDescent="0.2">
      <c r="D97" s="1">
        <v>80</v>
      </c>
      <c r="E97" s="6">
        <f t="shared" si="33"/>
        <v>472.013724446119</v>
      </c>
      <c r="F97" s="6">
        <f t="shared" si="33"/>
        <v>4720.1372444611898</v>
      </c>
      <c r="G97" s="6">
        <f t="shared" si="33"/>
        <v>519.21509689073093</v>
      </c>
      <c r="H97" s="6">
        <v>0.4</v>
      </c>
      <c r="I97" s="6">
        <v>1.5</v>
      </c>
      <c r="J97" s="6">
        <v>1</v>
      </c>
      <c r="K97" s="25">
        <f t="shared" si="34"/>
        <v>1.0354891353188844</v>
      </c>
      <c r="L97" s="6">
        <f t="shared" si="27"/>
        <v>20650.600444517702</v>
      </c>
      <c r="M97" s="6">
        <f t="shared" si="28"/>
        <v>254791.5707601929</v>
      </c>
      <c r="N97" s="6">
        <f t="shared" si="29"/>
        <v>38941.132266804823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5">
        <v>80</v>
      </c>
      <c r="T97" s="6">
        <f>VLOOKUP($S$13,角色设定!$AB$9:$AJ$21,MATCH(E$17,角色设定!$AB$9:$AJ$9,0),0)*Z97*$L$15*E97/Y97/(1+W97*(X97-1))</f>
        <v>11062.821666705913</v>
      </c>
      <c r="U97" s="6">
        <f>VLOOKUP($S$13,角色设定!$AB$9:$AJ$21,MATCH(F$17,角色设定!$AB$9:$AJ$9,0),0)*F97*$L$15/(1+V97/$N$16)</f>
        <v>283101.74528910324</v>
      </c>
      <c r="V97" s="6">
        <f>VLOOKUP($S$13,角色设定!$AB$9:$AJ$21,MATCH(V$17,角色设定!$AB$9:$AJ$9,0),0)*G97*$L$15</f>
        <v>38941.132266804823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T97*战斗公式!$E$38*(1+W97*(X97-1))*Y97</f>
        <v>298696.18500105967</v>
      </c>
      <c r="AD97" s="6">
        <f>U97*战斗公式!$E$40*(1+V97*战斗公式!$E$39)</f>
        <v>393344.77037176583</v>
      </c>
      <c r="AE97" s="21">
        <f t="shared" si="35"/>
        <v>692040.9553728255</v>
      </c>
      <c r="AF97" s="21">
        <f t="shared" si="39"/>
        <v>32954.331208229996</v>
      </c>
      <c r="AG97" s="21"/>
      <c r="AH97" s="9">
        <f t="shared" si="36"/>
        <v>3318.846500011774</v>
      </c>
      <c r="AI97" s="9">
        <f t="shared" si="37"/>
        <v>84930.523586730968</v>
      </c>
      <c r="AJ97" s="9">
        <f t="shared" si="38"/>
        <v>11682.339680041447</v>
      </c>
      <c r="AK97" s="9">
        <f t="shared" si="40"/>
        <v>158.04030952437142</v>
      </c>
      <c r="AL97" s="9">
        <f t="shared" si="41"/>
        <v>2950.182558982051</v>
      </c>
      <c r="AM97" s="9">
        <f t="shared" si="42"/>
        <v>556.3018895257901</v>
      </c>
    </row>
    <row r="98" spans="4:39" ht="14.25" customHeight="1" x14ac:dyDescent="0.2">
      <c r="D98" s="1">
        <v>81</v>
      </c>
      <c r="E98" s="6">
        <f t="shared" si="33"/>
        <v>495.61441066842491</v>
      </c>
      <c r="F98" s="6">
        <f t="shared" si="33"/>
        <v>4956.144106684249</v>
      </c>
      <c r="G98" s="6">
        <f t="shared" si="33"/>
        <v>545.17585173526743</v>
      </c>
      <c r="H98" s="6">
        <v>0.4</v>
      </c>
      <c r="I98" s="6">
        <v>1.5</v>
      </c>
      <c r="J98" s="6">
        <v>1</v>
      </c>
      <c r="K98" s="25">
        <f t="shared" si="34"/>
        <v>1.0349815231698274</v>
      </c>
      <c r="L98" s="6">
        <f t="shared" si="27"/>
        <v>21683.130466743591</v>
      </c>
      <c r="M98" s="6">
        <f t="shared" si="28"/>
        <v>263833.90329301252</v>
      </c>
      <c r="N98" s="6">
        <f t="shared" si="29"/>
        <v>40888.188880145055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5">
        <v>81</v>
      </c>
      <c r="T98" s="6">
        <f>VLOOKUP($S$13,角色设定!$AB$9:$AJ$21,MATCH(E$17,角色设定!$AB$9:$AJ$9,0),0)*Z98*$L$15*E98/Y98/(1+W98*(X98-1))</f>
        <v>11615.962750041208</v>
      </c>
      <c r="U98" s="6">
        <f>VLOOKUP($S$13,角色设定!$AB$9:$AJ$21,MATCH(F$17,角色设定!$AB$9:$AJ$9,0),0)*F98*$L$15/(1+V98/$N$16)</f>
        <v>293148.78143668053</v>
      </c>
      <c r="V98" s="6">
        <f>VLOOKUP($S$13,角色设定!$AB$9:$AJ$21,MATCH(V$17,角色设定!$AB$9:$AJ$9,0),0)*G98*$L$15</f>
        <v>40888.188880145055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T98*战斗公式!$E$38*(1+W98*(X98-1))*Y98</f>
        <v>313630.99425111263</v>
      </c>
      <c r="AD98" s="6">
        <f>U98*战斗公式!$E$40*(1+V98*战斗公式!$E$39)</f>
        <v>413012.00889035413</v>
      </c>
      <c r="AE98" s="21">
        <f t="shared" si="35"/>
        <v>726643.00314146676</v>
      </c>
      <c r="AF98" s="21">
        <f t="shared" si="39"/>
        <v>34602.047768641263</v>
      </c>
      <c r="AG98" s="21"/>
      <c r="AH98" s="9">
        <f t="shared" si="36"/>
        <v>3484.7888250123624</v>
      </c>
      <c r="AI98" s="9">
        <f t="shared" si="37"/>
        <v>87944.63443100416</v>
      </c>
      <c r="AJ98" s="9">
        <f t="shared" si="38"/>
        <v>12266.456664043517</v>
      </c>
      <c r="AK98" s="9">
        <f t="shared" si="40"/>
        <v>165.94232500058843</v>
      </c>
      <c r="AL98" s="9">
        <f t="shared" si="41"/>
        <v>3014.1108442731929</v>
      </c>
      <c r="AM98" s="9">
        <f t="shared" si="42"/>
        <v>584.11698400207024</v>
      </c>
    </row>
    <row r="99" spans="4:39" ht="14.25" customHeight="1" x14ac:dyDescent="0.2">
      <c r="D99" s="1">
        <v>82</v>
      </c>
      <c r="E99" s="6">
        <f t="shared" si="33"/>
        <v>520.3951312018462</v>
      </c>
      <c r="F99" s="6">
        <f t="shared" si="33"/>
        <v>5203.951312018462</v>
      </c>
      <c r="G99" s="6">
        <f t="shared" si="33"/>
        <v>572.43464432203086</v>
      </c>
      <c r="H99" s="6">
        <v>0.4</v>
      </c>
      <c r="I99" s="6">
        <v>1.5</v>
      </c>
      <c r="J99" s="6">
        <v>1</v>
      </c>
      <c r="K99" s="25">
        <f t="shared" si="34"/>
        <v>1.034463927473589</v>
      </c>
      <c r="L99" s="6">
        <f t="shared" si="27"/>
        <v>22767.286990080771</v>
      </c>
      <c r="M99" s="6">
        <f t="shared" si="28"/>
        <v>273063.21509404306</v>
      </c>
      <c r="N99" s="6">
        <f t="shared" si="29"/>
        <v>42932.598324152314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5">
        <v>82</v>
      </c>
      <c r="T99" s="6">
        <f>VLOOKUP($S$13,角色设定!$AB$9:$AJ$21,MATCH(E$17,角色设定!$AB$9:$AJ$9,0),0)*Z99*$L$15*E99/Y99/(1+W99*(X99-1))</f>
        <v>12196.760887543271</v>
      </c>
      <c r="U99" s="6">
        <f>VLOOKUP($S$13,角色设定!$AB$9:$AJ$21,MATCH(F$17,角色设定!$AB$9:$AJ$9,0),0)*F99*$L$15/(1+V99/$N$16)</f>
        <v>303403.57232671452</v>
      </c>
      <c r="V99" s="6">
        <f>VLOOKUP($S$13,角色设定!$AB$9:$AJ$21,MATCH(V$17,角色设定!$AB$9:$AJ$9,0),0)*G99*$L$15</f>
        <v>42932.598324152314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T99*战斗公式!$E$38*(1+W99*(X99-1))*Y99</f>
        <v>329312.54396366829</v>
      </c>
      <c r="AD99" s="6">
        <f>U99*战斗公式!$E$40*(1+V99*战斗公式!$E$39)</f>
        <v>433662.60933487187</v>
      </c>
      <c r="AE99" s="21">
        <f t="shared" si="35"/>
        <v>762975.15329854016</v>
      </c>
      <c r="AF99" s="21">
        <f t="shared" si="39"/>
        <v>36332.150157073396</v>
      </c>
      <c r="AG99" s="21"/>
      <c r="AH99" s="9">
        <f t="shared" si="36"/>
        <v>3659.0282662629811</v>
      </c>
      <c r="AI99" s="9">
        <f t="shared" si="37"/>
        <v>91021.071698014348</v>
      </c>
      <c r="AJ99" s="9">
        <f t="shared" si="38"/>
        <v>12879.779497245694</v>
      </c>
      <c r="AK99" s="9">
        <f t="shared" si="40"/>
        <v>174.23944125061871</v>
      </c>
      <c r="AL99" s="9">
        <f t="shared" si="41"/>
        <v>3076.4372670101875</v>
      </c>
      <c r="AM99" s="9">
        <f t="shared" si="42"/>
        <v>613.32283320217721</v>
      </c>
    </row>
    <row r="100" spans="4:39" ht="14.25" customHeight="1" x14ac:dyDescent="0.2">
      <c r="D100" s="1">
        <v>83</v>
      </c>
      <c r="E100" s="6">
        <f t="shared" si="33"/>
        <v>546.41488776193853</v>
      </c>
      <c r="F100" s="6">
        <f t="shared" si="33"/>
        <v>5464.1488776193855</v>
      </c>
      <c r="G100" s="6">
        <f t="shared" si="33"/>
        <v>601.05637653813233</v>
      </c>
      <c r="H100" s="6">
        <v>0.4</v>
      </c>
      <c r="I100" s="6">
        <v>1.5</v>
      </c>
      <c r="J100" s="6">
        <v>1</v>
      </c>
      <c r="K100" s="25">
        <f t="shared" si="34"/>
        <v>1.0339366846791083</v>
      </c>
      <c r="L100" s="6">
        <f t="shared" si="27"/>
        <v>23905.651339584812</v>
      </c>
      <c r="M100" s="6">
        <f t="shared" si="28"/>
        <v>282474.04593474919</v>
      </c>
      <c r="N100" s="6">
        <f t="shared" si="29"/>
        <v>45079.228240359924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5">
        <v>83</v>
      </c>
      <c r="T100" s="6">
        <f>VLOOKUP($S$13,角色设定!$AB$9:$AJ$21,MATCH(E$17,角色设定!$AB$9:$AJ$9,0),0)*Z100*$L$15*E100/Y100/(1+W100*(X100-1))</f>
        <v>12806.598931920435</v>
      </c>
      <c r="U100" s="6">
        <f>VLOOKUP($S$13,角色设定!$AB$9:$AJ$21,MATCH(F$17,角色设定!$AB$9:$AJ$9,0),0)*F100*$L$15/(1+V100/$N$16)</f>
        <v>313860.05103861023</v>
      </c>
      <c r="V100" s="6">
        <f>VLOOKUP($S$13,角色设定!$AB$9:$AJ$21,MATCH(V$17,角色设定!$AB$9:$AJ$9,0),0)*G100*$L$15</f>
        <v>45079.228240359924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T100*战斗公式!$E$38*(1+W100*(X100-1))*Y100</f>
        <v>345778.17116185179</v>
      </c>
      <c r="AD100" s="6">
        <f>U100*战斗公式!$E$40*(1+V100*战斗公式!$E$39)</f>
        <v>455345.73980161548</v>
      </c>
      <c r="AE100" s="21">
        <f t="shared" si="35"/>
        <v>801123.91096346732</v>
      </c>
      <c r="AF100" s="21">
        <f t="shared" si="39"/>
        <v>38148.757664927165</v>
      </c>
      <c r="AG100" s="21"/>
      <c r="AH100" s="9">
        <f t="shared" si="36"/>
        <v>3841.9796795761304</v>
      </c>
      <c r="AI100" s="9">
        <f t="shared" si="37"/>
        <v>94158.015311583062</v>
      </c>
      <c r="AJ100" s="9">
        <f t="shared" si="38"/>
        <v>13523.768472107977</v>
      </c>
      <c r="AK100" s="9">
        <f t="shared" si="40"/>
        <v>182.95141331314926</v>
      </c>
      <c r="AL100" s="9">
        <f t="shared" si="41"/>
        <v>3136.9436135687138</v>
      </c>
      <c r="AM100" s="9">
        <f t="shared" si="42"/>
        <v>643.9889748622827</v>
      </c>
    </row>
    <row r="101" spans="4:39" ht="14.25" customHeight="1" x14ac:dyDescent="0.2">
      <c r="D101" s="1">
        <v>84</v>
      </c>
      <c r="E101" s="6">
        <f t="shared" si="33"/>
        <v>573.73563215003537</v>
      </c>
      <c r="F101" s="6">
        <f t="shared" si="33"/>
        <v>5737.3563215003542</v>
      </c>
      <c r="G101" s="6">
        <f t="shared" si="33"/>
        <v>631.109195365039</v>
      </c>
      <c r="H101" s="6">
        <v>0.4</v>
      </c>
      <c r="I101" s="6">
        <v>1.5</v>
      </c>
      <c r="J101" s="6">
        <v>1</v>
      </c>
      <c r="K101" s="25">
        <f t="shared" si="34"/>
        <v>1.0334001672606301</v>
      </c>
      <c r="L101" s="6">
        <f t="shared" si="27"/>
        <v>25100.933906564049</v>
      </c>
      <c r="M101" s="6">
        <f t="shared" si="28"/>
        <v>292060.2785616687</v>
      </c>
      <c r="N101" s="6">
        <f t="shared" si="29"/>
        <v>47333.189652377921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5">
        <v>84</v>
      </c>
      <c r="T101" s="6">
        <f>VLOOKUP($S$13,角色设定!$AB$9:$AJ$21,MATCH(E$17,角色设定!$AB$9:$AJ$9,0),0)*Z101*$L$15*E101/Y101/(1+W101*(X101-1))</f>
        <v>13446.928878516454</v>
      </c>
      <c r="U101" s="6">
        <f>VLOOKUP($S$13,角色设定!$AB$9:$AJ$21,MATCH(F$17,角色设定!$AB$9:$AJ$9,0),0)*F101*$L$15/(1+V101/$N$16)</f>
        <v>324511.42062407633</v>
      </c>
      <c r="V101" s="6">
        <f>VLOOKUP($S$13,角色设定!$AB$9:$AJ$21,MATCH(V$17,角色设定!$AB$9:$AJ$9,0),0)*G101*$L$15</f>
        <v>47333.189652377921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T101*战斗公式!$E$38*(1+W101*(X101-1))*Y101</f>
        <v>363067.07971994422</v>
      </c>
      <c r="AD101" s="6">
        <f>U101*战斗公式!$E$40*(1+V101*战斗公式!$E$39)</f>
        <v>478113.0267916962</v>
      </c>
      <c r="AE101" s="21">
        <f t="shared" si="35"/>
        <v>841180.10651164036</v>
      </c>
      <c r="AF101" s="21">
        <f t="shared" si="39"/>
        <v>40056.19554817304</v>
      </c>
      <c r="AG101" s="21"/>
      <c r="AH101" s="9">
        <f t="shared" si="36"/>
        <v>4034.0786635549357</v>
      </c>
      <c r="AI101" s="9">
        <f t="shared" si="37"/>
        <v>97353.426187222896</v>
      </c>
      <c r="AJ101" s="9">
        <f t="shared" si="38"/>
        <v>14199.956895713376</v>
      </c>
      <c r="AK101" s="9">
        <f t="shared" si="40"/>
        <v>192.09898397880534</v>
      </c>
      <c r="AL101" s="9">
        <f t="shared" si="41"/>
        <v>3195.4108756398346</v>
      </c>
      <c r="AM101" s="9">
        <f t="shared" si="42"/>
        <v>676.18842360539929</v>
      </c>
    </row>
    <row r="102" spans="4:39" ht="14.25" customHeight="1" x14ac:dyDescent="0.2">
      <c r="D102" s="1">
        <v>85</v>
      </c>
      <c r="E102" s="6">
        <f t="shared" si="33"/>
        <v>602.42241375753724</v>
      </c>
      <c r="F102" s="6">
        <f t="shared" si="33"/>
        <v>6024.224137575372</v>
      </c>
      <c r="G102" s="6">
        <f t="shared" si="33"/>
        <v>662.66465513329092</v>
      </c>
      <c r="H102" s="6">
        <v>0.4</v>
      </c>
      <c r="I102" s="6">
        <v>1.5</v>
      </c>
      <c r="J102" s="6">
        <v>1</v>
      </c>
      <c r="K102" s="25">
        <f t="shared" si="34"/>
        <v>1.0328547833522939</v>
      </c>
      <c r="L102" s="6">
        <f t="shared" si="27"/>
        <v>26355.980601892254</v>
      </c>
      <c r="M102" s="6">
        <f t="shared" si="28"/>
        <v>301815.14071581466</v>
      </c>
      <c r="N102" s="6">
        <f t="shared" si="29"/>
        <v>49699.849134996817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5">
        <v>85</v>
      </c>
      <c r="T102" s="6">
        <f>VLOOKUP($S$13,角色设定!$AB$9:$AJ$21,MATCH(E$17,角色设定!$AB$9:$AJ$9,0),0)*Z102*$L$15*E102/Y102/(1+W102*(X102-1))</f>
        <v>14119.27532244228</v>
      </c>
      <c r="U102" s="6">
        <f>VLOOKUP($S$13,角色设定!$AB$9:$AJ$21,MATCH(F$17,角色设定!$AB$9:$AJ$9,0),0)*F102*$L$15/(1+V102/$N$16)</f>
        <v>335350.15635090525</v>
      </c>
      <c r="V102" s="6">
        <f>VLOOKUP($S$13,角色设定!$AB$9:$AJ$21,MATCH(V$17,角色设定!$AB$9:$AJ$9,0),0)*G102*$L$15</f>
        <v>49699.849134996817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T102*战斗公式!$E$38*(1+W102*(X102-1))*Y102</f>
        <v>381220.4337059416</v>
      </c>
      <c r="AD102" s="6">
        <f>U102*战斗公式!$E$40*(1+V102*战斗公式!$E$39)</f>
        <v>502018.67813128117</v>
      </c>
      <c r="AE102" s="21">
        <f t="shared" si="35"/>
        <v>883239.11183722271</v>
      </c>
      <c r="AF102" s="21">
        <f t="shared" si="39"/>
        <v>42059.005325582344</v>
      </c>
      <c r="AG102" s="21"/>
      <c r="AH102" s="9">
        <f t="shared" si="36"/>
        <v>4235.7825967326835</v>
      </c>
      <c r="AI102" s="9">
        <f t="shared" si="37"/>
        <v>100605.04690527158</v>
      </c>
      <c r="AJ102" s="9">
        <f t="shared" si="38"/>
        <v>14909.954740499044</v>
      </c>
      <c r="AK102" s="9">
        <f t="shared" si="40"/>
        <v>201.70393317774779</v>
      </c>
      <c r="AL102" s="9">
        <f t="shared" si="41"/>
        <v>3251.6207180486817</v>
      </c>
      <c r="AM102" s="9">
        <f t="shared" si="42"/>
        <v>709.99784478566835</v>
      </c>
    </row>
    <row r="103" spans="4:39" ht="14.25" customHeight="1" x14ac:dyDescent="0.2">
      <c r="D103" s="1">
        <v>86</v>
      </c>
      <c r="E103" s="6">
        <f t="shared" si="33"/>
        <v>632.54353444541402</v>
      </c>
      <c r="F103" s="6">
        <f t="shared" si="33"/>
        <v>6325.4353444541402</v>
      </c>
      <c r="G103" s="6">
        <f t="shared" si="33"/>
        <v>695.7978878899554</v>
      </c>
      <c r="H103" s="6">
        <v>0.4</v>
      </c>
      <c r="I103" s="6">
        <v>1.5</v>
      </c>
      <c r="J103" s="6">
        <v>1</v>
      </c>
      <c r="K103" s="25">
        <f t="shared" si="34"/>
        <v>1.0323009761188044</v>
      </c>
      <c r="L103" s="6">
        <f t="shared" si="27"/>
        <v>27673.779631986861</v>
      </c>
      <c r="M103" s="6">
        <f t="shared" si="28"/>
        <v>311731.21177647484</v>
      </c>
      <c r="N103" s="6">
        <f t="shared" si="29"/>
        <v>52184.841591746655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5">
        <v>86</v>
      </c>
      <c r="T103" s="6">
        <f>VLOOKUP($S$13,角色设定!$AB$9:$AJ$21,MATCH(E$17,角色设定!$AB$9:$AJ$9,0),0)*Z103*$L$15*E103/Y103/(1+W103*(X103-1))</f>
        <v>14825.239088564393</v>
      </c>
      <c r="U103" s="6">
        <f>VLOOKUP($S$13,角色设定!$AB$9:$AJ$21,MATCH(F$17,角色设定!$AB$9:$AJ$9,0),0)*F103*$L$15/(1+V103/$N$16)</f>
        <v>346368.01308497204</v>
      </c>
      <c r="V103" s="6">
        <f>VLOOKUP($S$13,角色设定!$AB$9:$AJ$21,MATCH(V$17,角色设定!$AB$9:$AJ$9,0),0)*G103*$L$15</f>
        <v>52184.841591746655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T103*战斗公式!$E$38*(1+W103*(X103-1))*Y103</f>
        <v>400281.45539123856</v>
      </c>
      <c r="AD103" s="6">
        <f>U103*战斗公式!$E$40*(1+V103*战斗公式!$E$39)</f>
        <v>527119.61203784507</v>
      </c>
      <c r="AE103" s="21">
        <f t="shared" si="35"/>
        <v>927401.06742908363</v>
      </c>
      <c r="AF103" s="21">
        <f t="shared" si="39"/>
        <v>44161.955591860926</v>
      </c>
      <c r="AG103" s="21"/>
      <c r="AH103" s="9">
        <f t="shared" si="36"/>
        <v>4447.5717265693174</v>
      </c>
      <c r="AI103" s="9">
        <f t="shared" si="37"/>
        <v>103910.40392549161</v>
      </c>
      <c r="AJ103" s="9">
        <f t="shared" si="38"/>
        <v>15655.452477523995</v>
      </c>
      <c r="AK103" s="9">
        <f t="shared" si="40"/>
        <v>211.78912983663395</v>
      </c>
      <c r="AL103" s="9">
        <f t="shared" si="41"/>
        <v>3305.3570202200353</v>
      </c>
      <c r="AM103" s="9">
        <f t="shared" si="42"/>
        <v>745.49773702495077</v>
      </c>
    </row>
    <row r="104" spans="4:39" ht="14.25" customHeight="1" x14ac:dyDescent="0.2">
      <c r="D104" s="1">
        <v>87</v>
      </c>
      <c r="E104" s="6">
        <f t="shared" si="33"/>
        <v>664.17071116768466</v>
      </c>
      <c r="F104" s="6">
        <f t="shared" si="33"/>
        <v>6641.7071116768466</v>
      </c>
      <c r="G104" s="6">
        <f t="shared" si="33"/>
        <v>730.58778228445317</v>
      </c>
      <c r="H104" s="6">
        <v>0.4</v>
      </c>
      <c r="I104" s="6">
        <v>1.5</v>
      </c>
      <c r="J104" s="6">
        <v>1</v>
      </c>
      <c r="K104" s="25">
        <f t="shared" si="34"/>
        <v>1.0317392228555144</v>
      </c>
      <c r="L104" s="6">
        <f t="shared" si="27"/>
        <v>29057.468613586203</v>
      </c>
      <c r="M104" s="6">
        <f t="shared" si="28"/>
        <v>321800.43420355272</v>
      </c>
      <c r="N104" s="6">
        <f t="shared" si="29"/>
        <v>54794.083671333989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5">
        <v>87</v>
      </c>
      <c r="T104" s="6">
        <f>VLOOKUP($S$13,角色设定!$AB$9:$AJ$21,MATCH(E$17,角色设定!$AB$9:$AJ$9,0),0)*Z104*$L$15*E104/Y104/(1+W104*(X104-1))</f>
        <v>15566.501042992608</v>
      </c>
      <c r="U104" s="6">
        <f>VLOOKUP($S$13,角色设定!$AB$9:$AJ$21,MATCH(F$17,角色设定!$AB$9:$AJ$9,0),0)*F104*$L$15/(1+V104/$N$16)</f>
        <v>357556.03800394747</v>
      </c>
      <c r="V104" s="6">
        <f>VLOOKUP($S$13,角色设定!$AB$9:$AJ$21,MATCH(V$17,角色设定!$AB$9:$AJ$9,0),0)*G104*$L$15</f>
        <v>54794.083671333989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T104*战斗公式!$E$38*(1+W104*(X104-1))*Y104</f>
        <v>420295.5281608004</v>
      </c>
      <c r="AD104" s="6">
        <f>U104*战斗公式!$E$40*(1+V104*战斗公式!$E$39)</f>
        <v>553475.5926397373</v>
      </c>
      <c r="AE104" s="21">
        <f t="shared" si="35"/>
        <v>973771.12080053776</v>
      </c>
      <c r="AF104" s="21">
        <f t="shared" si="39"/>
        <v>46370.053371454123</v>
      </c>
      <c r="AG104" s="21"/>
      <c r="AH104" s="9">
        <f t="shared" si="36"/>
        <v>4669.9503128977822</v>
      </c>
      <c r="AI104" s="9">
        <f t="shared" si="37"/>
        <v>107266.81140118424</v>
      </c>
      <c r="AJ104" s="9">
        <f t="shared" si="38"/>
        <v>16438.225101400196</v>
      </c>
      <c r="AK104" s="9">
        <f t="shared" si="40"/>
        <v>222.37858632846473</v>
      </c>
      <c r="AL104" s="9">
        <f t="shared" si="41"/>
        <v>3356.4074756926275</v>
      </c>
      <c r="AM104" s="9">
        <f t="shared" si="42"/>
        <v>782.77262387620067</v>
      </c>
    </row>
    <row r="105" spans="4:39" ht="14.25" customHeight="1" x14ac:dyDescent="0.2">
      <c r="D105" s="1">
        <v>88</v>
      </c>
      <c r="E105" s="6">
        <f t="shared" si="33"/>
        <v>697.37924672606914</v>
      </c>
      <c r="F105" s="6">
        <f t="shared" si="33"/>
        <v>6973.7924672606905</v>
      </c>
      <c r="G105" s="6">
        <f t="shared" si="33"/>
        <v>767.11717139867596</v>
      </c>
      <c r="H105" s="6">
        <v>0.4</v>
      </c>
      <c r="I105" s="6">
        <v>1.5</v>
      </c>
      <c r="J105" s="6">
        <v>1</v>
      </c>
      <c r="K105" s="25">
        <f t="shared" si="34"/>
        <v>1.0311700338144427</v>
      </c>
      <c r="L105" s="6">
        <f t="shared" si="27"/>
        <v>30510.342044265526</v>
      </c>
      <c r="M105" s="6">
        <f t="shared" si="28"/>
        <v>332014.12989974057</v>
      </c>
      <c r="N105" s="6">
        <f t="shared" si="29"/>
        <v>57533.7878549007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5">
        <v>88</v>
      </c>
      <c r="T105" s="6">
        <f>VLOOKUP($S$13,角色设定!$AB$9:$AJ$21,MATCH(E$17,角色设定!$AB$9:$AJ$9,0),0)*Z105*$L$15*E105/Y105/(1+W105*(X105-1))</f>
        <v>16344.826095142247</v>
      </c>
      <c r="U105" s="6">
        <f>VLOOKUP($S$13,角色设定!$AB$9:$AJ$21,MATCH(F$17,角色设定!$AB$9:$AJ$9,0),0)*F105*$L$15/(1+V105/$N$16)</f>
        <v>368904.58877748955</v>
      </c>
      <c r="V105" s="6">
        <f>VLOOKUP($S$13,角色设定!$AB$9:$AJ$21,MATCH(V$17,角色设定!$AB$9:$AJ$9,0),0)*G105*$L$15</f>
        <v>57533.7878549007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T105*战斗公式!$E$38*(1+W105*(X105-1))*Y105</f>
        <v>441310.30456884066</v>
      </c>
      <c r="AD105" s="6">
        <f>U105*战斗公式!$E$40*(1+V105*战斗公式!$E$39)</f>
        <v>581149.37227172428</v>
      </c>
      <c r="AE105" s="21">
        <f t="shared" si="35"/>
        <v>1022459.6768405649</v>
      </c>
      <c r="AF105" s="21">
        <f t="shared" si="39"/>
        <v>48688.556040027179</v>
      </c>
      <c r="AG105" s="21"/>
      <c r="AH105" s="9">
        <f t="shared" si="36"/>
        <v>4903.447828542674</v>
      </c>
      <c r="AI105" s="9">
        <f t="shared" si="37"/>
        <v>110671.37663324687</v>
      </c>
      <c r="AJ105" s="9">
        <f t="shared" si="38"/>
        <v>17260.136356470208</v>
      </c>
      <c r="AK105" s="9">
        <f t="shared" si="40"/>
        <v>233.49751564489179</v>
      </c>
      <c r="AL105" s="9">
        <f t="shared" si="41"/>
        <v>3404.565232062625</v>
      </c>
      <c r="AM105" s="9">
        <f t="shared" si="42"/>
        <v>821.91125507001198</v>
      </c>
    </row>
    <row r="106" spans="4:39" ht="14.25" customHeight="1" x14ac:dyDescent="0.2">
      <c r="D106" s="1">
        <v>89</v>
      </c>
      <c r="E106" s="6">
        <f t="shared" si="33"/>
        <v>732.24820906237244</v>
      </c>
      <c r="F106" s="6">
        <f t="shared" si="33"/>
        <v>7322.4820906237237</v>
      </c>
      <c r="G106" s="6">
        <f t="shared" si="33"/>
        <v>805.47302996860969</v>
      </c>
      <c r="H106" s="6">
        <v>0.4</v>
      </c>
      <c r="I106" s="6">
        <v>1.5</v>
      </c>
      <c r="J106" s="6">
        <v>1</v>
      </c>
      <c r="K106" s="25">
        <f t="shared" si="34"/>
        <v>1.0305939507562205</v>
      </c>
      <c r="L106" s="6">
        <f t="shared" si="27"/>
        <v>32035.859146478793</v>
      </c>
      <c r="M106" s="6">
        <f t="shared" si="28"/>
        <v>342363.02155558823</v>
      </c>
      <c r="N106" s="6">
        <f t="shared" si="29"/>
        <v>60410.477247645729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5">
        <v>89</v>
      </c>
      <c r="T106" s="6">
        <f>VLOOKUP($S$13,角色设定!$AB$9:$AJ$21,MATCH(E$17,角色设定!$AB$9:$AJ$9,0),0)*Z106*$L$15*E106/Y106/(1+W106*(X106-1))</f>
        <v>17162.067399899355</v>
      </c>
      <c r="U106" s="6">
        <f>VLOOKUP($S$13,角色设定!$AB$9:$AJ$21,MATCH(F$17,角色设定!$AB$9:$AJ$9,0),0)*F106*$L$15/(1+V106/$N$16)</f>
        <v>380403.35728398687</v>
      </c>
      <c r="V106" s="6">
        <f>VLOOKUP($S$13,角色设定!$AB$9:$AJ$21,MATCH(V$17,角色设定!$AB$9:$AJ$9,0),0)*G106*$L$15</f>
        <v>60410.477247645729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T106*战斗公式!$E$38*(1+W106*(X106-1))*Y106</f>
        <v>463375.81979728251</v>
      </c>
      <c r="AD106" s="6">
        <f>U106*战斗公式!$E$40*(1+V106*战斗公式!$E$39)</f>
        <v>610206.84088531032</v>
      </c>
      <c r="AE106" s="21">
        <f t="shared" si="35"/>
        <v>1073582.6606825928</v>
      </c>
      <c r="AF106" s="21">
        <f t="shared" si="39"/>
        <v>51122.983842027839</v>
      </c>
      <c r="AG106" s="21"/>
      <c r="AH106" s="9">
        <f t="shared" si="36"/>
        <v>5148.6202199698064</v>
      </c>
      <c r="AI106" s="9">
        <f t="shared" si="37"/>
        <v>114121.00718519605</v>
      </c>
      <c r="AJ106" s="9">
        <f t="shared" si="38"/>
        <v>18123.143174293717</v>
      </c>
      <c r="AK106" s="9">
        <f t="shared" si="40"/>
        <v>245.17239142713242</v>
      </c>
      <c r="AL106" s="9">
        <f t="shared" si="41"/>
        <v>3449.6305519491871</v>
      </c>
      <c r="AM106" s="9">
        <f t="shared" si="42"/>
        <v>863.00681782350875</v>
      </c>
    </row>
    <row r="107" spans="4:39" ht="14.25" customHeight="1" x14ac:dyDescent="0.2">
      <c r="D107" s="1">
        <v>90</v>
      </c>
      <c r="E107" s="6">
        <f t="shared" si="33"/>
        <v>768.86061951549107</v>
      </c>
      <c r="F107" s="6">
        <f t="shared" si="33"/>
        <v>7688.6061951549109</v>
      </c>
      <c r="G107" s="6">
        <f t="shared" si="33"/>
        <v>845.74668146704016</v>
      </c>
      <c r="H107" s="6">
        <v>0.4</v>
      </c>
      <c r="I107" s="6">
        <v>1.5</v>
      </c>
      <c r="J107" s="6">
        <v>1</v>
      </c>
      <c r="K107" s="25">
        <f t="shared" si="34"/>
        <v>1.0300115452315743</v>
      </c>
      <c r="L107" s="6">
        <f t="shared" si="27"/>
        <v>33637.652103802728</v>
      </c>
      <c r="M107" s="6">
        <f t="shared" si="28"/>
        <v>352837.25897781079</v>
      </c>
      <c r="N107" s="6">
        <f t="shared" si="29"/>
        <v>63431.00111002801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5">
        <v>90</v>
      </c>
      <c r="T107" s="6">
        <f>VLOOKUP($S$13,角色设定!$AB$9:$AJ$21,MATCH(E$17,角色设定!$AB$9:$AJ$9,0),0)*Z107*$L$15*E107/Y107/(1+W107*(X107-1))</f>
        <v>18020.170769894321</v>
      </c>
      <c r="U107" s="6">
        <f>VLOOKUP($S$13,角色设定!$AB$9:$AJ$21,MATCH(F$17,角色设定!$AB$9:$AJ$9,0),0)*F107*$L$15/(1+V107/$N$16)</f>
        <v>392041.39886423422</v>
      </c>
      <c r="V107" s="6">
        <f>VLOOKUP($S$13,角色设定!$AB$9:$AJ$21,MATCH(V$17,角色设定!$AB$9:$AJ$9,0),0)*G107*$L$15</f>
        <v>63431.00111002801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T107*战斗公式!$E$38*(1+W107*(X107-1))*Y107</f>
        <v>486544.61078714667</v>
      </c>
      <c r="AD107" s="6">
        <f>U107*战斗公式!$E$40*(1+V107*战斗公式!$E$39)</f>
        <v>640717.18292957603</v>
      </c>
      <c r="AE107" s="21">
        <f t="shared" si="35"/>
        <v>1127261.7937167226</v>
      </c>
      <c r="AF107" s="21">
        <f t="shared" si="39"/>
        <v>53679.13303412986</v>
      </c>
      <c r="AG107" s="21"/>
      <c r="AH107" s="9">
        <f t="shared" si="36"/>
        <v>5406.0512309682963</v>
      </c>
      <c r="AI107" s="9">
        <f t="shared" si="37"/>
        <v>117612.41965927026</v>
      </c>
      <c r="AJ107" s="9">
        <f t="shared" si="38"/>
        <v>19029.300333008403</v>
      </c>
      <c r="AK107" s="9">
        <f t="shared" si="40"/>
        <v>257.43101099848991</v>
      </c>
      <c r="AL107" s="9">
        <f t="shared" si="41"/>
        <v>3491.4124740742118</v>
      </c>
      <c r="AM107" s="9">
        <f t="shared" si="42"/>
        <v>906.15715871468637</v>
      </c>
    </row>
    <row r="108" spans="4:39" ht="14.25" customHeight="1" x14ac:dyDescent="0.2">
      <c r="D108" s="1">
        <v>91</v>
      </c>
      <c r="E108" s="6">
        <f t="shared" si="33"/>
        <v>807.30365049126567</v>
      </c>
      <c r="F108" s="6">
        <f t="shared" si="33"/>
        <v>8073.0365049126558</v>
      </c>
      <c r="G108" s="6">
        <f t="shared" si="33"/>
        <v>888.03401554039215</v>
      </c>
      <c r="H108" s="6">
        <v>0.4</v>
      </c>
      <c r="I108" s="6">
        <v>1.5</v>
      </c>
      <c r="J108" s="6">
        <v>1</v>
      </c>
      <c r="K108" s="25">
        <f t="shared" si="34"/>
        <v>1.0294234165997382</v>
      </c>
      <c r="L108" s="6">
        <f t="shared" si="27"/>
        <v>35319.534708992869</v>
      </c>
      <c r="M108" s="6">
        <f t="shared" si="28"/>
        <v>363426.45033500809</v>
      </c>
      <c r="N108" s="6">
        <f t="shared" si="29"/>
        <v>66602.55116552941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5">
        <v>91</v>
      </c>
      <c r="T108" s="6">
        <f>VLOOKUP($S$13,角色设定!$AB$9:$AJ$21,MATCH(E$17,角色设定!$AB$9:$AJ$9,0),0)*Z108*$L$15*E108/Y108/(1+W108*(X108-1))</f>
        <v>18921.179308389041</v>
      </c>
      <c r="U108" s="6">
        <f>VLOOKUP($S$13,角色设定!$AB$9:$AJ$21,MATCH(F$17,角色设定!$AB$9:$AJ$9,0),0)*F108*$L$15/(1+V108/$N$16)</f>
        <v>403807.16703889793</v>
      </c>
      <c r="V108" s="6">
        <f>VLOOKUP($S$13,角色设定!$AB$9:$AJ$21,MATCH(V$17,角色设定!$AB$9:$AJ$9,0),0)*G108*$L$15</f>
        <v>66602.55116552941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T108*战斗公式!$E$38*(1+W108*(X108-1))*Y108</f>
        <v>510871.84132650413</v>
      </c>
      <c r="AD108" s="6">
        <f>U108*战斗公式!$E$40*(1+V108*战斗公式!$E$39)</f>
        <v>672753.04207605473</v>
      </c>
      <c r="AE108" s="21">
        <f t="shared" si="35"/>
        <v>1183624.883402559</v>
      </c>
      <c r="AF108" s="21">
        <f t="shared" si="39"/>
        <v>56363.089685836341</v>
      </c>
      <c r="AG108" s="21"/>
      <c r="AH108" s="9">
        <f t="shared" si="36"/>
        <v>5676.353792516712</v>
      </c>
      <c r="AI108" s="9">
        <f t="shared" si="37"/>
        <v>121142.15011166937</v>
      </c>
      <c r="AJ108" s="9">
        <f t="shared" si="38"/>
        <v>19980.765349658821</v>
      </c>
      <c r="AK108" s="9">
        <f t="shared" si="40"/>
        <v>270.30256154841572</v>
      </c>
      <c r="AL108" s="9">
        <f t="shared" si="41"/>
        <v>3529.7304523991043</v>
      </c>
      <c r="AM108" s="9">
        <f t="shared" si="42"/>
        <v>951.46501665041797</v>
      </c>
    </row>
    <row r="109" spans="4:39" ht="14.25" customHeight="1" x14ac:dyDescent="0.2">
      <c r="D109" s="1">
        <v>92</v>
      </c>
      <c r="E109" s="6">
        <f t="shared" si="33"/>
        <v>847.66883301582902</v>
      </c>
      <c r="F109" s="6">
        <f t="shared" si="33"/>
        <v>8476.6883301582911</v>
      </c>
      <c r="G109" s="6">
        <f t="shared" si="33"/>
        <v>932.43571631741202</v>
      </c>
      <c r="H109" s="6">
        <v>0.4</v>
      </c>
      <c r="I109" s="6">
        <v>1.5</v>
      </c>
      <c r="J109" s="6">
        <v>1</v>
      </c>
      <c r="K109" s="25">
        <f t="shared" si="34"/>
        <v>1.0288301897949765</v>
      </c>
      <c r="L109" s="6">
        <f t="shared" si="27"/>
        <v>37085.51144444252</v>
      </c>
      <c r="M109" s="6">
        <f t="shared" si="28"/>
        <v>374119.6981865791</v>
      </c>
      <c r="N109" s="6">
        <f t="shared" si="29"/>
        <v>69932.678723805904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5">
        <v>92</v>
      </c>
      <c r="T109" s="6">
        <f>VLOOKUP($S$13,角色设定!$AB$9:$AJ$21,MATCH(E$17,角色设定!$AB$9:$AJ$9,0),0)*Z109*$L$15*E109/Y109/(1+W109*(X109-1))</f>
        <v>19867.238273808496</v>
      </c>
      <c r="U109" s="6">
        <f>VLOOKUP($S$13,角色设定!$AB$9:$AJ$21,MATCH(F$17,角色设定!$AB$9:$AJ$9,0),0)*F109*$L$15/(1+V109/$N$16)</f>
        <v>415688.55354064348</v>
      </c>
      <c r="V109" s="6">
        <f>VLOOKUP($S$13,角色设定!$AB$9:$AJ$21,MATCH(V$17,角色设定!$AB$9:$AJ$9,0),0)*G109*$L$15</f>
        <v>69932.678723805904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T109*战斗公式!$E$38*(1+W109*(X109-1))*Y109</f>
        <v>536415.43339282938</v>
      </c>
      <c r="AD109" s="6">
        <f>U109*战斗公式!$E$40*(1+V109*战斗公式!$E$39)</f>
        <v>706390.69417985762</v>
      </c>
      <c r="AE109" s="21">
        <f t="shared" si="35"/>
        <v>1242806.1275726869</v>
      </c>
      <c r="AF109" s="21">
        <f t="shared" si="39"/>
        <v>59181.244170127902</v>
      </c>
      <c r="AG109" s="21"/>
      <c r="AH109" s="9">
        <f t="shared" si="36"/>
        <v>5960.1714821425485</v>
      </c>
      <c r="AI109" s="9">
        <f t="shared" si="37"/>
        <v>124706.56606219304</v>
      </c>
      <c r="AJ109" s="9">
        <f t="shared" si="38"/>
        <v>20979.80361714177</v>
      </c>
      <c r="AK109" s="9">
        <f t="shared" si="40"/>
        <v>283.81768962583646</v>
      </c>
      <c r="AL109" s="9">
        <f t="shared" si="41"/>
        <v>3564.4159505236748</v>
      </c>
      <c r="AM109" s="9">
        <f t="shared" si="42"/>
        <v>999.03826748294887</v>
      </c>
    </row>
    <row r="110" spans="4:39" ht="14.25" customHeight="1" x14ac:dyDescent="0.2">
      <c r="D110" s="1">
        <v>93</v>
      </c>
      <c r="E110" s="6">
        <f t="shared" si="33"/>
        <v>890.05227466662041</v>
      </c>
      <c r="F110" s="6">
        <f t="shared" si="33"/>
        <v>8900.5227466662036</v>
      </c>
      <c r="G110" s="6">
        <f t="shared" si="33"/>
        <v>979.05750213328236</v>
      </c>
      <c r="H110" s="6">
        <v>0.4</v>
      </c>
      <c r="I110" s="6">
        <v>1.5</v>
      </c>
      <c r="J110" s="6">
        <v>1</v>
      </c>
      <c r="K110" s="25">
        <f t="shared" si="34"/>
        <v>1.0282325128562</v>
      </c>
      <c r="L110" s="6">
        <f t="shared" si="27"/>
        <v>38939.787016664639</v>
      </c>
      <c r="M110" s="6">
        <f t="shared" si="28"/>
        <v>384905.6400913375</v>
      </c>
      <c r="N110" s="6">
        <f t="shared" si="29"/>
        <v>73429.312659996183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5">
        <v>93</v>
      </c>
      <c r="T110" s="6">
        <f>VLOOKUP($S$13,角色设定!$AB$9:$AJ$21,MATCH(E$17,角色设定!$AB$9:$AJ$9,0),0)*Z110*$L$15*E110/Y110/(1+W110*(X110-1))</f>
        <v>20860.600187498916</v>
      </c>
      <c r="U110" s="6">
        <f>VLOOKUP($S$13,角色设定!$AB$9:$AJ$21,MATCH(F$17,角色设定!$AB$9:$AJ$9,0),0)*F110*$L$15/(1+V110/$N$16)</f>
        <v>427672.93343481945</v>
      </c>
      <c r="V110" s="6">
        <f>VLOOKUP($S$13,角色设定!$AB$9:$AJ$21,MATCH(V$17,角色设定!$AB$9:$AJ$9,0),0)*G110*$L$15</f>
        <v>73429.312659996183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T110*战斗公式!$E$38*(1+W110*(X110-1))*Y110</f>
        <v>563236.20506247063</v>
      </c>
      <c r="AD110" s="6">
        <f>U110*战斗公式!$E$40*(1+V110*战斗公式!$E$39)</f>
        <v>741710.22888885043</v>
      </c>
      <c r="AE110" s="21">
        <f t="shared" si="35"/>
        <v>1304946.4339513211</v>
      </c>
      <c r="AF110" s="21">
        <f t="shared" si="39"/>
        <v>62140.306378634181</v>
      </c>
      <c r="AG110" s="21"/>
      <c r="AH110" s="9">
        <f t="shared" si="36"/>
        <v>6258.1800562496746</v>
      </c>
      <c r="AI110" s="9">
        <f t="shared" si="37"/>
        <v>128301.88003044583</v>
      </c>
      <c r="AJ110" s="9">
        <f t="shared" si="38"/>
        <v>22028.793797998853</v>
      </c>
      <c r="AK110" s="9">
        <f t="shared" si="40"/>
        <v>298.00857410712615</v>
      </c>
      <c r="AL110" s="9">
        <f t="shared" si="41"/>
        <v>3595.3139682527835</v>
      </c>
      <c r="AM110" s="9">
        <f t="shared" si="42"/>
        <v>1048.990180857083</v>
      </c>
    </row>
    <row r="111" spans="4:39" ht="14.25" customHeight="1" x14ac:dyDescent="0.2">
      <c r="D111" s="1">
        <v>94</v>
      </c>
      <c r="E111" s="6">
        <f t="shared" si="33"/>
        <v>934.55488839995155</v>
      </c>
      <c r="F111" s="6">
        <f t="shared" si="33"/>
        <v>9345.548883999516</v>
      </c>
      <c r="G111" s="6">
        <f t="shared" si="33"/>
        <v>1028.0103772399466</v>
      </c>
      <c r="H111" s="6">
        <v>0.4</v>
      </c>
      <c r="I111" s="6">
        <v>1.5</v>
      </c>
      <c r="J111" s="6">
        <v>1</v>
      </c>
      <c r="K111" s="25">
        <f t="shared" si="34"/>
        <v>1.0276310542382976</v>
      </c>
      <c r="L111" s="6">
        <f t="shared" si="27"/>
        <v>40886.776367497878</v>
      </c>
      <c r="M111" s="6">
        <f t="shared" si="28"/>
        <v>395772.49352364003</v>
      </c>
      <c r="N111" s="6">
        <f t="shared" si="29"/>
        <v>77100.778292995994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5">
        <v>94</v>
      </c>
      <c r="T111" s="6">
        <f>VLOOKUP($S$13,角色设定!$AB$9:$AJ$21,MATCH(E$17,角色设定!$AB$9:$AJ$9,0),0)*Z111*$L$15*E111/Y111/(1+W111*(X111-1))</f>
        <v>21903.630196873866</v>
      </c>
      <c r="U111" s="6">
        <f>VLOOKUP($S$13,角色设定!$AB$9:$AJ$21,MATCH(F$17,角色设定!$AB$9:$AJ$9,0),0)*F111*$L$15/(1+V111/$N$16)</f>
        <v>439747.21502626676</v>
      </c>
      <c r="V111" s="6">
        <f>VLOOKUP($S$13,角色设定!$AB$9:$AJ$21,MATCH(V$17,角色设定!$AB$9:$AJ$9,0),0)*G111*$L$15</f>
        <v>77100.778292995994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T111*战斗公式!$E$38*(1+W111*(X111-1))*Y111</f>
        <v>591398.01531559438</v>
      </c>
      <c r="AD111" s="6">
        <f>U111*战斗公式!$E$40*(1+V111*战斗公式!$E$39)</f>
        <v>778795.7403332931</v>
      </c>
      <c r="AE111" s="21">
        <f t="shared" si="35"/>
        <v>1370193.7556488875</v>
      </c>
      <c r="AF111" s="21">
        <f t="shared" si="39"/>
        <v>65247.321697566425</v>
      </c>
      <c r="AG111" s="21"/>
      <c r="AH111" s="9">
        <f t="shared" si="36"/>
        <v>6571.0890590621593</v>
      </c>
      <c r="AI111" s="9">
        <f t="shared" si="37"/>
        <v>131924.16450788002</v>
      </c>
      <c r="AJ111" s="9">
        <f t="shared" si="38"/>
        <v>23130.233487898797</v>
      </c>
      <c r="AK111" s="9">
        <f t="shared" si="40"/>
        <v>312.90900281248469</v>
      </c>
      <c r="AL111" s="9">
        <f t="shared" si="41"/>
        <v>3622.2844774341938</v>
      </c>
      <c r="AM111" s="9">
        <f t="shared" si="42"/>
        <v>1101.4396898999439</v>
      </c>
    </row>
    <row r="112" spans="4:39" ht="14.25" customHeight="1" x14ac:dyDescent="0.2">
      <c r="D112" s="1">
        <v>95</v>
      </c>
      <c r="E112" s="6">
        <f t="shared" si="33"/>
        <v>981.28263281994873</v>
      </c>
      <c r="F112" s="6">
        <f t="shared" si="33"/>
        <v>9812.8263281994878</v>
      </c>
      <c r="G112" s="6">
        <f t="shared" si="33"/>
        <v>1079.4108961019435</v>
      </c>
      <c r="H112" s="6">
        <v>0.4</v>
      </c>
      <c r="I112" s="6">
        <v>1.5</v>
      </c>
      <c r="J112" s="6">
        <v>1</v>
      </c>
      <c r="K112" s="25">
        <f t="shared" si="34"/>
        <v>1.0270264999272962</v>
      </c>
      <c r="L112" s="6">
        <f t="shared" si="27"/>
        <v>42931.115185872761</v>
      </c>
      <c r="M112" s="6">
        <f t="shared" si="28"/>
        <v>406708.10475821805</v>
      </c>
      <c r="N112" s="6">
        <f t="shared" si="29"/>
        <v>80955.81720764577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5">
        <v>95</v>
      </c>
      <c r="T112" s="6">
        <f>VLOOKUP($S$13,角色设定!$AB$9:$AJ$21,MATCH(E$17,角色设定!$AB$9:$AJ$9,0),0)*Z112*$L$15*E112/Y112/(1+W112*(X112-1))</f>
        <v>22998.811706717548</v>
      </c>
      <c r="U112" s="6">
        <f>VLOOKUP($S$13,角色设定!$AB$9:$AJ$21,MATCH(F$17,角色设定!$AB$9:$AJ$9,0),0)*F112*$L$15/(1+V112/$N$16)</f>
        <v>451897.89417579788</v>
      </c>
      <c r="V112" s="6">
        <f>VLOOKUP($S$13,角色设定!$AB$9:$AJ$21,MATCH(V$17,角色设定!$AB$9:$AJ$9,0),0)*G112*$L$15</f>
        <v>80955.81720764577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T112*战斗公式!$E$38*(1+W112*(X112-1))*Y112</f>
        <v>620967.91608137381</v>
      </c>
      <c r="AD112" s="6">
        <f>U112*战斗公式!$E$40*(1+V112*战斗公式!$E$39)</f>
        <v>817735.52734995738</v>
      </c>
      <c r="AE112" s="21">
        <f t="shared" si="35"/>
        <v>1438703.4434313313</v>
      </c>
      <c r="AF112" s="21">
        <f t="shared" si="39"/>
        <v>68509.687782443827</v>
      </c>
      <c r="AG112" s="21"/>
      <c r="AH112" s="9">
        <f t="shared" si="36"/>
        <v>6899.6435120152646</v>
      </c>
      <c r="AI112" s="9">
        <f t="shared" si="37"/>
        <v>135569.36825273937</v>
      </c>
      <c r="AJ112" s="9">
        <f t="shared" si="38"/>
        <v>24286.74516229373</v>
      </c>
      <c r="AK112" s="9">
        <f t="shared" si="40"/>
        <v>328.55445295310528</v>
      </c>
      <c r="AL112" s="9">
        <f t="shared" si="41"/>
        <v>3645.2037448593474</v>
      </c>
      <c r="AM112" s="9">
        <f t="shared" si="42"/>
        <v>1156.5116743949329</v>
      </c>
    </row>
    <row r="113" spans="4:39" ht="14.25" customHeight="1" x14ac:dyDescent="0.2">
      <c r="D113" s="1">
        <v>96</v>
      </c>
      <c r="E113" s="6">
        <f t="shared" si="33"/>
        <v>1030.3467644609466</v>
      </c>
      <c r="F113" s="6">
        <f t="shared" si="33"/>
        <v>10303.467644609467</v>
      </c>
      <c r="G113" s="6">
        <f t="shared" si="33"/>
        <v>1133.3814409070412</v>
      </c>
      <c r="H113" s="6">
        <v>0.4</v>
      </c>
      <c r="I113" s="6">
        <v>1.5</v>
      </c>
      <c r="J113" s="6">
        <v>1</v>
      </c>
      <c r="K113" s="25">
        <f t="shared" si="34"/>
        <v>1.0264195503846134</v>
      </c>
      <c r="L113" s="6">
        <f t="shared" si="27"/>
        <v>45077.670945166414</v>
      </c>
      <c r="M113" s="6">
        <f t="shared" si="28"/>
        <v>417700.00132189679</v>
      </c>
      <c r="N113" s="6">
        <f t="shared" si="29"/>
        <v>85003.608068028087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5">
        <v>96</v>
      </c>
      <c r="T113" s="6">
        <f>VLOOKUP($S$13,角色设定!$AB$9:$AJ$21,MATCH(E$17,角色设定!$AB$9:$AJ$9,0),0)*Z113*$L$15*E113/Y113/(1+W113*(X113-1))</f>
        <v>24148.752292053436</v>
      </c>
      <c r="U113" s="6">
        <f>VLOOKUP($S$13,角色设定!$AB$9:$AJ$21,MATCH(F$17,角色设定!$AB$9:$AJ$9,0),0)*F113*$L$15/(1+V113/$N$16)</f>
        <v>464111.11257988535</v>
      </c>
      <c r="V113" s="6">
        <f>VLOOKUP($S$13,角色设定!$AB$9:$AJ$21,MATCH(V$17,角色设定!$AB$9:$AJ$9,0),0)*G113*$L$15</f>
        <v>85003.608068028087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T113*战斗公式!$E$38*(1+W113*(X113-1))*Y113</f>
        <v>652016.3118854427</v>
      </c>
      <c r="AD113" s="6">
        <f>U113*战斗公式!$E$40*(1+V113*战斗公式!$E$39)</f>
        <v>858622.30371745571</v>
      </c>
      <c r="AE113" s="21">
        <f t="shared" si="35"/>
        <v>1510638.6156028984</v>
      </c>
      <c r="AF113" s="21">
        <f t="shared" si="39"/>
        <v>71935.172171567101</v>
      </c>
      <c r="AG113" s="21"/>
      <c r="AH113" s="9">
        <f t="shared" si="36"/>
        <v>7244.6256876160305</v>
      </c>
      <c r="AI113" s="9">
        <f t="shared" si="37"/>
        <v>139233.3337739656</v>
      </c>
      <c r="AJ113" s="9">
        <f t="shared" si="38"/>
        <v>25501.082420408424</v>
      </c>
      <c r="AK113" s="9">
        <f t="shared" si="40"/>
        <v>344.98217560076591</v>
      </c>
      <c r="AL113" s="9">
        <f t="shared" si="41"/>
        <v>3663.9655212262296</v>
      </c>
      <c r="AM113" s="9">
        <f t="shared" si="42"/>
        <v>1214.3372581146941</v>
      </c>
    </row>
    <row r="114" spans="4:39" ht="14.25" customHeight="1" x14ac:dyDescent="0.2">
      <c r="D114" s="1">
        <v>97</v>
      </c>
      <c r="E114" s="6">
        <f t="shared" si="33"/>
        <v>1081.8641026839939</v>
      </c>
      <c r="F114" s="6">
        <f t="shared" si="33"/>
        <v>10818.641026839938</v>
      </c>
      <c r="G114" s="6">
        <f t="shared" si="33"/>
        <v>1190.0505129523933</v>
      </c>
      <c r="H114" s="6">
        <v>0.4</v>
      </c>
      <c r="I114" s="6">
        <v>1.5</v>
      </c>
      <c r="J114" s="6">
        <v>1</v>
      </c>
      <c r="K114" s="25">
        <f t="shared" si="34"/>
        <v>1.0258109173485497</v>
      </c>
      <c r="L114" s="6">
        <f t="shared" si="27"/>
        <v>47331.55449242473</v>
      </c>
      <c r="M114" s="6">
        <f t="shared" ref="M114:M117" si="46">F114/(1+N114/$N$16)*$L$15</f>
        <v>428735.44755247375</v>
      </c>
      <c r="N114" s="6">
        <f t="shared" si="29"/>
        <v>89253.788471429492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5">
        <v>97</v>
      </c>
      <c r="T114" s="6">
        <f>VLOOKUP($S$13,角色设定!$AB$9:$AJ$21,MATCH(E$17,角色设定!$AB$9:$AJ$9,0),0)*Z114*$L$15*E114/Y114/(1+W114*(X114-1))</f>
        <v>25356.189906656105</v>
      </c>
      <c r="U114" s="6">
        <f>VLOOKUP($S$13,角色设定!$AB$9:$AJ$21,MATCH(F$17,角色设定!$AB$9:$AJ$9,0),0)*F114*$L$15/(1+V114/$N$16)</f>
        <v>476372.71950274863</v>
      </c>
      <c r="V114" s="6">
        <f>VLOOKUP($S$13,角色设定!$AB$9:$AJ$21,MATCH(V$17,角色设定!$AB$9:$AJ$9,0),0)*G114*$L$15</f>
        <v>89253.788471429492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T114*战斗公式!$E$38*(1+W114*(X114-1))*Y114</f>
        <v>684617.12747971481</v>
      </c>
      <c r="AD114" s="6">
        <f>U114*战斗公式!$E$40*(1+V114*战斗公式!$E$39)</f>
        <v>901553.41890332813</v>
      </c>
      <c r="AE114" s="21">
        <f t="shared" si="35"/>
        <v>1586170.5463830428</v>
      </c>
      <c r="AF114" s="21">
        <f t="shared" si="39"/>
        <v>75531.930780144408</v>
      </c>
      <c r="AG114" s="21"/>
      <c r="AH114" s="9">
        <f t="shared" si="36"/>
        <v>7606.8569719968309</v>
      </c>
      <c r="AI114" s="9">
        <f t="shared" si="37"/>
        <v>142911.81585082458</v>
      </c>
      <c r="AJ114" s="9">
        <f t="shared" si="38"/>
        <v>26776.136541428848</v>
      </c>
      <c r="AK114" s="9">
        <f t="shared" si="40"/>
        <v>362.23128438080039</v>
      </c>
      <c r="AL114" s="9">
        <f t="shared" si="41"/>
        <v>3678.4820768589852</v>
      </c>
      <c r="AM114" s="9">
        <f t="shared" si="42"/>
        <v>1275.0541210204246</v>
      </c>
    </row>
    <row r="115" spans="4:39" ht="14.25" customHeight="1" x14ac:dyDescent="0.2">
      <c r="D115" s="1">
        <v>98</v>
      </c>
      <c r="E115" s="6">
        <f t="shared" si="33"/>
        <v>1135.9573078181936</v>
      </c>
      <c r="F115" s="6">
        <f t="shared" si="33"/>
        <v>11359.573078181935</v>
      </c>
      <c r="G115" s="6">
        <f t="shared" si="33"/>
        <v>1249.553038600013</v>
      </c>
      <c r="H115" s="6">
        <v>0.4</v>
      </c>
      <c r="I115" s="6">
        <v>1.5</v>
      </c>
      <c r="J115" s="6">
        <v>1</v>
      </c>
      <c r="K115" s="25">
        <f t="shared" si="34"/>
        <v>1.0252013205234816</v>
      </c>
      <c r="L115" s="6">
        <f t="shared" si="27"/>
        <v>49698.132217045975</v>
      </c>
      <c r="M115" s="6">
        <f t="shared" si="46"/>
        <v>439801.50275364408</v>
      </c>
      <c r="N115" s="6">
        <f t="shared" si="29"/>
        <v>93716.477895000979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5">
        <v>98</v>
      </c>
      <c r="T115" s="6">
        <f>VLOOKUP($S$13,角色设定!$AB$9:$AJ$21,MATCH(E$17,角色设定!$AB$9:$AJ$9,0),0)*Z115*$L$15*E115/Y115/(1+W115*(X115-1))</f>
        <v>26623.999401988913</v>
      </c>
      <c r="U115" s="6">
        <f>VLOOKUP($S$13,角色设定!$AB$9:$AJ$21,MATCH(F$17,角色设定!$AB$9:$AJ$9,0),0)*F115*$L$15/(1+V115/$N$16)</f>
        <v>488668.33639293787</v>
      </c>
      <c r="V115" s="6">
        <f>VLOOKUP($S$13,角色设定!$AB$9:$AJ$21,MATCH(V$17,角色设定!$AB$9:$AJ$9,0),0)*G115*$L$15</f>
        <v>93716.477895000979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T115*战斗公式!$E$38*(1+W115*(X115-1))*Y115</f>
        <v>718847.98385370069</v>
      </c>
      <c r="AD115" s="6">
        <f>U115*战斗公式!$E$40*(1+V115*战斗公式!$E$39)</f>
        <v>946631.08984849462</v>
      </c>
      <c r="AE115" s="21">
        <f t="shared" si="35"/>
        <v>1665479.0737021952</v>
      </c>
      <c r="AF115" s="21">
        <f t="shared" si="39"/>
        <v>79308.527319152374</v>
      </c>
      <c r="AG115" s="21"/>
      <c r="AH115" s="9">
        <f t="shared" si="36"/>
        <v>7987.1998205966738</v>
      </c>
      <c r="AI115" s="9">
        <f t="shared" si="37"/>
        <v>146600.50091788135</v>
      </c>
      <c r="AJ115" s="9">
        <f t="shared" si="38"/>
        <v>28114.943368500291</v>
      </c>
      <c r="AK115" s="9">
        <f t="shared" si="40"/>
        <v>380.34284859984291</v>
      </c>
      <c r="AL115" s="9">
        <f t="shared" si="41"/>
        <v>3688.6850670567655</v>
      </c>
      <c r="AM115" s="9">
        <f t="shared" si="42"/>
        <v>1338.806827071443</v>
      </c>
    </row>
    <row r="116" spans="4:39" ht="14.25" customHeight="1" x14ac:dyDescent="0.2">
      <c r="D116" s="1">
        <v>99</v>
      </c>
      <c r="E116" s="6">
        <f t="shared" si="33"/>
        <v>1192.7551732091033</v>
      </c>
      <c r="F116" s="6">
        <f t="shared" si="33"/>
        <v>11927.551732091033</v>
      </c>
      <c r="G116" s="6">
        <f t="shared" si="33"/>
        <v>1312.0306905300135</v>
      </c>
      <c r="H116" s="6">
        <v>0.4</v>
      </c>
      <c r="I116" s="6">
        <v>1.5</v>
      </c>
      <c r="J116" s="6">
        <v>1</v>
      </c>
      <c r="K116" s="25">
        <f>M117/M116</f>
        <v>1.024591484189221</v>
      </c>
      <c r="L116" s="6">
        <f t="shared" si="27"/>
        <v>52183.038827898265</v>
      </c>
      <c r="M116" s="6">
        <f t="shared" si="46"/>
        <v>450885.08139124751</v>
      </c>
      <c r="N116" s="6">
        <f t="shared" si="29"/>
        <v>98402.301789751014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5">
        <v>99</v>
      </c>
      <c r="T116" s="6">
        <f>VLOOKUP($S$13,角色设定!$AB$9:$AJ$21,MATCH(E$17,角色设定!$AB$9:$AJ$9,0),0)*Z116*$L$15*E116/Y116/(1+W116*(X116-1))</f>
        <v>27955.199372088362</v>
      </c>
      <c r="U116" s="6">
        <f>VLOOKUP($S$13,角色设定!$AB$9:$AJ$21,MATCH(F$17,角色设定!$AB$9:$AJ$9,0),0)*F116*$L$15/(1+V116/$N$16)</f>
        <v>500983.42376805283</v>
      </c>
      <c r="V116" s="6">
        <f>VLOOKUP($S$13,角色设定!$AB$9:$AJ$21,MATCH(V$17,角色设定!$AB$9:$AJ$9,0),0)*G116*$L$15</f>
        <v>98402.301789751014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T116*战斗公式!$E$38*(1+W116*(X116-1))*Y116</f>
        <v>754790.38304638572</v>
      </c>
      <c r="AD116" s="6">
        <f>U116*战斗公式!$E$40*(1+V116*战斗公式!$E$39)</f>
        <v>993962.64434091945</v>
      </c>
      <c r="AE116" s="21">
        <f t="shared" si="35"/>
        <v>1748753.0273873052</v>
      </c>
      <c r="AF116" s="21">
        <f t="shared" si="39"/>
        <v>83273.953685109969</v>
      </c>
      <c r="AG116" s="21"/>
      <c r="AH116" s="9">
        <f t="shared" si="36"/>
        <v>8386.5598116265082</v>
      </c>
      <c r="AI116" s="9">
        <f t="shared" si="37"/>
        <v>150295.02713041584</v>
      </c>
      <c r="AJ116" s="9">
        <f t="shared" si="38"/>
        <v>29520.690536925304</v>
      </c>
      <c r="AK116" s="9">
        <f t="shared" si="40"/>
        <v>399.35999102983442</v>
      </c>
      <c r="AL116" s="9">
        <f t="shared" si="41"/>
        <v>3694.5262125344889</v>
      </c>
      <c r="AM116" s="9">
        <f t="shared" si="42"/>
        <v>1405.7471684250122</v>
      </c>
    </row>
    <row r="117" spans="4:39" ht="14.25" customHeight="1" x14ac:dyDescent="0.2">
      <c r="D117" s="1">
        <v>100</v>
      </c>
      <c r="E117" s="6">
        <f t="shared" si="33"/>
        <v>1252.3929318695587</v>
      </c>
      <c r="F117" s="6">
        <f t="shared" si="33"/>
        <v>12523.929318695586</v>
      </c>
      <c r="G117" s="6">
        <f t="shared" si="33"/>
        <v>1377.6322250565145</v>
      </c>
      <c r="H117" s="6">
        <v>0.4</v>
      </c>
      <c r="I117" s="6">
        <v>1.5</v>
      </c>
      <c r="J117" s="6">
        <v>1</v>
      </c>
      <c r="K117" s="25"/>
      <c r="L117" s="6">
        <f t="shared" si="27"/>
        <v>54792.190769293185</v>
      </c>
      <c r="M117" s="6">
        <f t="shared" si="46"/>
        <v>461973.014741436</v>
      </c>
      <c r="N117" s="6">
        <f t="shared" si="29"/>
        <v>103322.41687923859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5">
        <v>100</v>
      </c>
      <c r="T117" s="6">
        <f>VLOOKUP($S$13,角色设定!$AB$9:$AJ$21,MATCH(E$17,角色设定!$AB$9:$AJ$9,0),0)*Z117*$L$15*E117/Y117/(1+W117*(X117-1))</f>
        <v>29352.959340692778</v>
      </c>
      <c r="U117" s="6">
        <f>VLOOKUP($S$13,角色设定!$AB$9:$AJ$21,MATCH(F$17,角色设定!$AB$9:$AJ$9,0),0)*F117*$L$15/(1+V117/$N$16)</f>
        <v>513303.34971270675</v>
      </c>
      <c r="V117" s="6">
        <f>VLOOKUP($S$13,角色设定!$AB$9:$AJ$21,MATCH(V$17,角色设定!$AB$9:$AJ$9,0),0)*G117*$L$15</f>
        <v>103322.41687923859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T117*战斗公式!$E$38*(1+W117*(X117-1))*Y117</f>
        <v>792529.90219870501</v>
      </c>
      <c r="AD117" s="6">
        <f>U117*战斗公式!$E$40*(1+V117*战斗公式!$E$39)</f>
        <v>1043660.7765579656</v>
      </c>
      <c r="AE117" s="21">
        <f t="shared" si="35"/>
        <v>1836190.6787566706</v>
      </c>
      <c r="AF117" s="21">
        <f t="shared" si="39"/>
        <v>87437.651369365398</v>
      </c>
      <c r="AG117" s="21"/>
      <c r="AH117" s="9">
        <f t="shared" si="36"/>
        <v>8805.8878022078334</v>
      </c>
      <c r="AI117" s="9">
        <f t="shared" si="37"/>
        <v>153991.00491381201</v>
      </c>
      <c r="AJ117" s="9">
        <f t="shared" si="38"/>
        <v>30996.725063771577</v>
      </c>
      <c r="AK117" s="9">
        <f t="shared" si="40"/>
        <v>419.32799058132514</v>
      </c>
      <c r="AL117" s="9">
        <f t="shared" si="41"/>
        <v>3695.9777833961707</v>
      </c>
      <c r="AM117" s="9">
        <f t="shared" si="42"/>
        <v>1476.0345268462734</v>
      </c>
    </row>
    <row r="118" spans="4:39" ht="14.25" customHeight="1" x14ac:dyDescent="0.2">
      <c r="M118" s="6">
        <f>M117/L117</f>
        <v>8.4313660077329189</v>
      </c>
      <c r="N118" s="6">
        <f>M117/N117</f>
        <v>4.4711789434947296</v>
      </c>
      <c r="U118" s="6">
        <f>U117/T117</f>
        <v>17.487277645668279</v>
      </c>
      <c r="V118" s="6">
        <f>U117/V117</f>
        <v>4.9679766038830335</v>
      </c>
      <c r="AI118" s="1">
        <f t="shared" ref="AI118" si="47">M118*$F$5*2</f>
        <v>5.0588196046397513</v>
      </c>
      <c r="AJ118" s="1">
        <f t="shared" ref="AJ118" si="48">N118*$F$5*2</f>
        <v>2.6827073660968375</v>
      </c>
      <c r="AK118" s="9">
        <f t="shared" si="40"/>
        <v>-8805.8878022078334</v>
      </c>
      <c r="AL118" s="9">
        <f t="shared" si="41"/>
        <v>-153985.94609420738</v>
      </c>
      <c r="AM118" s="9">
        <f t="shared" si="42"/>
        <v>-30994.04235640548</v>
      </c>
    </row>
    <row r="119" spans="4:39" ht="14.25" customHeight="1" x14ac:dyDescent="0.2">
      <c r="L119" s="6">
        <f>L117/100</f>
        <v>547.92190769293188</v>
      </c>
      <c r="M119" s="6">
        <f>M117/100</f>
        <v>4619.7301474143596</v>
      </c>
      <c r="N119" s="6">
        <f t="shared" ref="N119" si="49">N117/100</f>
        <v>1033.2241687923859</v>
      </c>
    </row>
    <row r="121" spans="4:39" ht="14.25" customHeight="1" x14ac:dyDescent="0.2">
      <c r="L121" s="8">
        <f>L119*0.4</f>
        <v>219.16876307717277</v>
      </c>
      <c r="M121" s="8">
        <f>M119*0.4</f>
        <v>1847.8920589657439</v>
      </c>
      <c r="N121" s="8">
        <f>N119*4</f>
        <v>4132.8966751695434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C17" sqref="C17:D20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107" t="s">
        <v>177</v>
      </c>
      <c r="B1" s="108"/>
      <c r="AB1" s="9"/>
    </row>
    <row r="2" spans="1:33" ht="14.25" customHeight="1" x14ac:dyDescent="0.2">
      <c r="A2" s="109"/>
      <c r="B2" s="110"/>
      <c r="E2" s="23"/>
      <c r="AB2" s="9"/>
    </row>
    <row r="3" spans="1:33" ht="14.25" customHeight="1" x14ac:dyDescent="0.2">
      <c r="C3" s="3" t="s">
        <v>176</v>
      </c>
      <c r="D3" s="24" t="s">
        <v>114</v>
      </c>
      <c r="E3" s="3" t="s">
        <v>118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19"/>
      <c r="G6" s="19"/>
      <c r="H6" s="19"/>
      <c r="I6" s="19"/>
      <c r="J6" s="19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3"/>
      <c r="G7" s="33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3"/>
      <c r="G8" s="33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3"/>
      <c r="G9" s="33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5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0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36" t="s">
        <v>179</v>
      </c>
      <c r="D16" s="37" t="s">
        <v>178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160</v>
      </c>
      <c r="D17" s="1">
        <v>0.6</v>
      </c>
      <c r="E17" s="25"/>
      <c r="AC17" s="21"/>
    </row>
    <row r="18" spans="2:37" ht="14.25" customHeight="1" x14ac:dyDescent="0.2">
      <c r="C18" s="6" t="s">
        <v>180</v>
      </c>
      <c r="D18" s="1">
        <v>0.8</v>
      </c>
    </row>
    <row r="19" spans="2:37" ht="14.25" customHeight="1" x14ac:dyDescent="0.2">
      <c r="C19" s="6" t="s">
        <v>181</v>
      </c>
      <c r="D19" s="1">
        <v>1</v>
      </c>
      <c r="E19" s="6"/>
      <c r="F19" s="6"/>
      <c r="G19" s="6"/>
      <c r="H19" s="6"/>
      <c r="I19" s="25"/>
      <c r="J19" s="6"/>
      <c r="K19" s="6"/>
      <c r="L19" s="6"/>
      <c r="M19" s="6"/>
      <c r="N19" s="6"/>
      <c r="O19" s="6"/>
      <c r="P19" s="6"/>
      <c r="Q19" s="3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1"/>
      <c r="AF19" s="9"/>
      <c r="AG19" s="9"/>
      <c r="AH19" s="9"/>
    </row>
    <row r="20" spans="2:37" ht="14.25" customHeight="1" x14ac:dyDescent="0.2">
      <c r="C20" s="6" t="s">
        <v>182</v>
      </c>
      <c r="D20" s="1">
        <v>1.2</v>
      </c>
      <c r="E20" s="6"/>
      <c r="F20" s="6"/>
      <c r="G20" s="6"/>
      <c r="H20" s="6"/>
      <c r="I20" s="25"/>
      <c r="J20" s="6"/>
      <c r="K20" s="6"/>
      <c r="L20" s="6"/>
      <c r="M20" s="6"/>
      <c r="N20" s="6"/>
      <c r="O20" s="6"/>
      <c r="P20" s="6"/>
      <c r="Q20" s="3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1"/>
      <c r="AD20" s="21"/>
      <c r="AE20" s="21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5"/>
      <c r="J21" s="6"/>
      <c r="K21" s="6"/>
      <c r="L21" s="6"/>
      <c r="M21" s="6"/>
      <c r="N21" s="6"/>
      <c r="O21" s="6"/>
      <c r="P21" s="6"/>
      <c r="Q21" s="35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1"/>
      <c r="AD21" s="21"/>
      <c r="AE21" s="21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5"/>
      <c r="J22" s="6"/>
      <c r="K22" s="6"/>
      <c r="L22" s="6"/>
      <c r="M22" s="6"/>
      <c r="N22" s="6"/>
      <c r="O22" s="6"/>
      <c r="P22" s="6"/>
      <c r="Q22" s="35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1"/>
      <c r="AD22" s="21"/>
      <c r="AE22" s="21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5"/>
      <c r="J23" s="6"/>
      <c r="K23" s="6"/>
      <c r="L23" s="6"/>
      <c r="M23" s="6"/>
      <c r="N23" s="6"/>
      <c r="O23" s="6"/>
      <c r="P23" s="6"/>
      <c r="Q23" s="35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1"/>
      <c r="AD23" s="21"/>
      <c r="AE23" s="21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5"/>
      <c r="J24" s="6"/>
      <c r="K24" s="6"/>
      <c r="L24" s="6"/>
      <c r="M24" s="6"/>
      <c r="N24" s="6"/>
      <c r="O24" s="6"/>
      <c r="P24" s="6"/>
      <c r="Q24" s="35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1"/>
      <c r="AD24" s="21"/>
      <c r="AE24" s="21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5"/>
      <c r="J25" s="6"/>
      <c r="K25" s="6"/>
      <c r="L25" s="6"/>
      <c r="M25" s="6"/>
      <c r="N25" s="6"/>
      <c r="O25" s="6"/>
      <c r="P25" s="6"/>
      <c r="Q25" s="35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1"/>
      <c r="AD25" s="21"/>
      <c r="AE25" s="21"/>
      <c r="AF25" s="9"/>
      <c r="AG25" s="9"/>
      <c r="AH25" s="9"/>
      <c r="AI25" s="9"/>
      <c r="AJ25" s="9"/>
      <c r="AK25" s="9"/>
    </row>
    <row r="26" spans="2:37" ht="14.25" customHeight="1" x14ac:dyDescent="0.2">
      <c r="B26" s="31"/>
      <c r="C26" s="6"/>
      <c r="E26" s="6"/>
      <c r="F26" s="6"/>
      <c r="G26" s="6"/>
      <c r="H26" s="6"/>
      <c r="I26" s="25"/>
      <c r="J26" s="6"/>
      <c r="K26" s="6"/>
      <c r="L26" s="6"/>
      <c r="M26" s="6"/>
      <c r="N26" s="6"/>
      <c r="O26" s="6"/>
      <c r="P26" s="6"/>
      <c r="Q26" s="35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1"/>
      <c r="AD26" s="21"/>
      <c r="AE26" s="21"/>
      <c r="AF26" s="9"/>
      <c r="AG26" s="9"/>
      <c r="AH26" s="9"/>
      <c r="AI26" s="9"/>
      <c r="AJ26" s="9"/>
      <c r="AK26" s="9"/>
    </row>
    <row r="27" spans="2:37" ht="14.25" customHeight="1" x14ac:dyDescent="0.2">
      <c r="B27" s="31"/>
      <c r="C27" s="6"/>
      <c r="E27" s="6"/>
      <c r="F27" s="6"/>
      <c r="G27" s="6"/>
      <c r="H27" s="6"/>
      <c r="I27" s="25"/>
      <c r="J27" s="6"/>
      <c r="K27" s="6"/>
      <c r="L27" s="6"/>
      <c r="M27" s="6"/>
      <c r="N27" s="6"/>
      <c r="O27" s="6"/>
      <c r="P27" s="6"/>
      <c r="Q27" s="35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1"/>
      <c r="AD27" s="21"/>
      <c r="AE27" s="21"/>
      <c r="AF27" s="9"/>
      <c r="AG27" s="9"/>
      <c r="AH27" s="9"/>
      <c r="AI27" s="9"/>
      <c r="AJ27" s="9"/>
      <c r="AK27" s="9"/>
    </row>
    <row r="28" spans="2:37" ht="14.25" customHeight="1" x14ac:dyDescent="0.2">
      <c r="B28" s="31"/>
      <c r="C28" s="6"/>
      <c r="E28" s="6"/>
      <c r="F28" s="6"/>
      <c r="G28" s="6"/>
      <c r="H28" s="6"/>
      <c r="I28" s="25"/>
      <c r="J28" s="6"/>
      <c r="K28" s="6"/>
      <c r="L28" s="6"/>
      <c r="M28" s="6"/>
      <c r="N28" s="6"/>
      <c r="O28" s="6"/>
      <c r="P28" s="6"/>
      <c r="Q28" s="35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1"/>
      <c r="AD28" s="21"/>
      <c r="AE28" s="21"/>
      <c r="AF28" s="9"/>
      <c r="AG28" s="9"/>
      <c r="AH28" s="9"/>
      <c r="AI28" s="9"/>
      <c r="AJ28" s="9"/>
      <c r="AK28" s="9"/>
    </row>
    <row r="29" spans="2:37" ht="14.25" customHeight="1" x14ac:dyDescent="0.2">
      <c r="B29" s="31"/>
      <c r="C29" s="6"/>
      <c r="E29" s="6"/>
      <c r="F29" s="6"/>
      <c r="G29" s="6"/>
      <c r="H29" s="6"/>
      <c r="I29" s="25"/>
      <c r="J29" s="6"/>
      <c r="K29" s="6"/>
      <c r="L29" s="6"/>
      <c r="M29" s="6"/>
      <c r="N29" s="6"/>
      <c r="O29" s="6"/>
      <c r="P29" s="6"/>
      <c r="Q29" s="35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1"/>
      <c r="AD29" s="21"/>
      <c r="AE29" s="21"/>
      <c r="AF29" s="9"/>
      <c r="AG29" s="9"/>
      <c r="AH29" s="9"/>
      <c r="AI29" s="9"/>
      <c r="AJ29" s="9"/>
      <c r="AK29" s="9"/>
    </row>
    <row r="30" spans="2:37" ht="14.25" customHeight="1" x14ac:dyDescent="0.2">
      <c r="B30" s="31"/>
      <c r="C30" s="6"/>
      <c r="E30" s="6"/>
      <c r="F30" s="6"/>
      <c r="G30" s="6"/>
      <c r="H30" s="6"/>
      <c r="I30" s="25"/>
      <c r="J30" s="6"/>
      <c r="K30" s="6"/>
      <c r="L30" s="6"/>
      <c r="M30" s="6"/>
      <c r="N30" s="6"/>
      <c r="O30" s="6"/>
      <c r="P30" s="6"/>
      <c r="Q30" s="35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1"/>
      <c r="AD30" s="21"/>
      <c r="AE30" s="21"/>
      <c r="AF30" s="9"/>
      <c r="AG30" s="9"/>
      <c r="AH30" s="9"/>
      <c r="AI30" s="9"/>
      <c r="AJ30" s="9"/>
      <c r="AK30" s="9"/>
    </row>
    <row r="31" spans="2:37" ht="14.25" customHeight="1" x14ac:dyDescent="0.2">
      <c r="B31" s="31"/>
      <c r="C31" s="6"/>
      <c r="E31" s="6"/>
      <c r="F31" s="6"/>
      <c r="G31" s="6"/>
      <c r="H31" s="6"/>
      <c r="I31" s="25"/>
      <c r="J31" s="6"/>
      <c r="K31" s="6"/>
      <c r="L31" s="6"/>
      <c r="M31" s="6"/>
      <c r="N31" s="6"/>
      <c r="O31" s="6"/>
      <c r="P31" s="6"/>
      <c r="Q31" s="35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1"/>
      <c r="AD31" s="21"/>
      <c r="AE31" s="21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5"/>
      <c r="J32" s="6"/>
      <c r="K32" s="6"/>
      <c r="L32" s="6"/>
      <c r="M32" s="6"/>
      <c r="N32" s="6"/>
      <c r="O32" s="6"/>
      <c r="P32" s="6"/>
      <c r="Q32" s="35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1"/>
      <c r="AD32" s="21"/>
      <c r="AE32" s="21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5"/>
      <c r="J33" s="6"/>
      <c r="K33" s="6"/>
      <c r="L33" s="6"/>
      <c r="M33" s="6"/>
      <c r="N33" s="6"/>
      <c r="O33" s="6"/>
      <c r="P33" s="6"/>
      <c r="Q33" s="35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1"/>
      <c r="AD33" s="21"/>
      <c r="AE33" s="21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5"/>
      <c r="J34" s="6"/>
      <c r="K34" s="6"/>
      <c r="L34" s="6"/>
      <c r="M34" s="6"/>
      <c r="N34" s="6"/>
      <c r="O34" s="6"/>
      <c r="P34" s="6"/>
      <c r="Q34" s="35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1"/>
      <c r="AD34" s="21"/>
      <c r="AE34" s="21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5"/>
      <c r="J35" s="6"/>
      <c r="K35" s="6"/>
      <c r="L35" s="6"/>
      <c r="M35" s="6"/>
      <c r="N35" s="6"/>
      <c r="O35" s="6"/>
      <c r="P35" s="6"/>
      <c r="Q35" s="3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1"/>
      <c r="AD35" s="21"/>
      <c r="AE35" s="21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5"/>
      <c r="J36" s="6"/>
      <c r="K36" s="6"/>
      <c r="L36" s="6"/>
      <c r="M36" s="6"/>
      <c r="N36" s="6"/>
      <c r="O36" s="6"/>
      <c r="P36" s="6"/>
      <c r="Q36" s="35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1"/>
      <c r="AD36" s="21"/>
      <c r="AE36" s="21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5"/>
      <c r="J37" s="6"/>
      <c r="K37" s="6"/>
      <c r="L37" s="6"/>
      <c r="M37" s="6"/>
      <c r="N37" s="6"/>
      <c r="O37" s="6"/>
      <c r="P37" s="6"/>
      <c r="Q37" s="3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1"/>
      <c r="AD37" s="21"/>
      <c r="AE37" s="21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5"/>
      <c r="J38" s="6"/>
      <c r="K38" s="6"/>
      <c r="L38" s="6"/>
      <c r="M38" s="6"/>
      <c r="N38" s="6"/>
      <c r="O38" s="6"/>
      <c r="P38" s="6"/>
      <c r="Q38" s="35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1"/>
      <c r="AD38" s="21"/>
      <c r="AE38" s="21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5"/>
      <c r="J39" s="6"/>
      <c r="K39" s="6"/>
      <c r="L39" s="6"/>
      <c r="M39" s="6"/>
      <c r="N39" s="6"/>
      <c r="O39" s="6"/>
      <c r="P39" s="6"/>
      <c r="Q39" s="35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1"/>
      <c r="AD39" s="21"/>
      <c r="AE39" s="21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5"/>
      <c r="J40" s="6"/>
      <c r="K40" s="6"/>
      <c r="L40" s="6"/>
      <c r="M40" s="6"/>
      <c r="N40" s="6"/>
      <c r="O40" s="6"/>
      <c r="P40" s="6"/>
      <c r="Q40" s="3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1"/>
      <c r="AD40" s="21"/>
      <c r="AE40" s="21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5"/>
      <c r="J41" s="6"/>
      <c r="K41" s="6"/>
      <c r="L41" s="6"/>
      <c r="M41" s="6"/>
      <c r="N41" s="6"/>
      <c r="O41" s="6"/>
      <c r="P41" s="6"/>
      <c r="Q41" s="35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1"/>
      <c r="AD41" s="21"/>
      <c r="AE41" s="21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5"/>
      <c r="J42" s="6"/>
      <c r="K42" s="6"/>
      <c r="L42" s="6"/>
      <c r="M42" s="6"/>
      <c r="N42" s="6"/>
      <c r="O42" s="6"/>
      <c r="P42" s="6"/>
      <c r="Q42" s="35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1"/>
      <c r="AD42" s="21"/>
      <c r="AE42" s="21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5"/>
      <c r="J43" s="6"/>
      <c r="K43" s="6"/>
      <c r="L43" s="6"/>
      <c r="M43" s="6"/>
      <c r="N43" s="6"/>
      <c r="O43" s="6"/>
      <c r="P43" s="6"/>
      <c r="Q43" s="35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1"/>
      <c r="AD43" s="21"/>
      <c r="AE43" s="21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5"/>
      <c r="J44" s="6"/>
      <c r="K44" s="6"/>
      <c r="L44" s="6"/>
      <c r="M44" s="6"/>
      <c r="N44" s="6"/>
      <c r="O44" s="6"/>
      <c r="P44" s="6"/>
      <c r="Q44" s="35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1"/>
      <c r="AD44" s="21"/>
      <c r="AE44" s="21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5"/>
      <c r="J45" s="6"/>
      <c r="K45" s="6"/>
      <c r="L45" s="6"/>
      <c r="M45" s="6"/>
      <c r="N45" s="6"/>
      <c r="O45" s="6"/>
      <c r="P45" s="6"/>
      <c r="Q45" s="35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1"/>
      <c r="AD45" s="21"/>
      <c r="AE45" s="21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5"/>
      <c r="J46" s="6"/>
      <c r="K46" s="6"/>
      <c r="L46" s="6"/>
      <c r="M46" s="6"/>
      <c r="N46" s="6"/>
      <c r="O46" s="6"/>
      <c r="P46" s="6"/>
      <c r="Q46" s="35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1"/>
      <c r="AD46" s="21"/>
      <c r="AE46" s="21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5"/>
      <c r="J47" s="6"/>
      <c r="K47" s="6"/>
      <c r="L47" s="6"/>
      <c r="M47" s="6"/>
      <c r="N47" s="6"/>
      <c r="O47" s="6"/>
      <c r="P47" s="6"/>
      <c r="Q47" s="35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1"/>
      <c r="AD47" s="21"/>
      <c r="AE47" s="21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5"/>
      <c r="J48" s="6"/>
      <c r="K48" s="6"/>
      <c r="L48" s="6"/>
      <c r="M48" s="6"/>
      <c r="N48" s="6"/>
      <c r="O48" s="6"/>
      <c r="P48" s="6"/>
      <c r="Q48" s="35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1"/>
      <c r="AD48" s="21"/>
      <c r="AE48" s="21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5"/>
      <c r="J49" s="6"/>
      <c r="K49" s="6"/>
      <c r="L49" s="6"/>
      <c r="M49" s="6"/>
      <c r="N49" s="6"/>
      <c r="O49" s="6"/>
      <c r="P49" s="6"/>
      <c r="Q49" s="35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1"/>
      <c r="AD49" s="21"/>
      <c r="AE49" s="21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5"/>
      <c r="J50" s="6"/>
      <c r="K50" s="6"/>
      <c r="L50" s="6"/>
      <c r="M50" s="6"/>
      <c r="N50" s="6"/>
      <c r="O50" s="6"/>
      <c r="P50" s="6"/>
      <c r="Q50" s="35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1"/>
      <c r="AD50" s="21"/>
      <c r="AE50" s="21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5"/>
      <c r="J51" s="6"/>
      <c r="K51" s="6"/>
      <c r="L51" s="6"/>
      <c r="M51" s="6"/>
      <c r="N51" s="6"/>
      <c r="O51" s="6"/>
      <c r="P51" s="6"/>
      <c r="Q51" s="35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1"/>
      <c r="AD51" s="21"/>
      <c r="AE51" s="21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5"/>
      <c r="J52" s="6"/>
      <c r="K52" s="6"/>
      <c r="L52" s="6"/>
      <c r="M52" s="6"/>
      <c r="N52" s="6"/>
      <c r="O52" s="6"/>
      <c r="P52" s="6"/>
      <c r="Q52" s="35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1"/>
      <c r="AD52" s="21"/>
      <c r="AE52" s="21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5"/>
      <c r="J53" s="6"/>
      <c r="K53" s="6"/>
      <c r="L53" s="6"/>
      <c r="M53" s="6"/>
      <c r="N53" s="6"/>
      <c r="O53" s="6"/>
      <c r="P53" s="6"/>
      <c r="Q53" s="35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1"/>
      <c r="AD53" s="21"/>
      <c r="AE53" s="21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5"/>
      <c r="J54" s="6"/>
      <c r="K54" s="6"/>
      <c r="L54" s="6"/>
      <c r="M54" s="6"/>
      <c r="N54" s="6"/>
      <c r="O54" s="6"/>
      <c r="P54" s="6"/>
      <c r="Q54" s="35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1"/>
      <c r="AD54" s="21"/>
      <c r="AE54" s="21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5"/>
      <c r="J55" s="6"/>
      <c r="K55" s="6"/>
      <c r="L55" s="6"/>
      <c r="M55" s="6"/>
      <c r="N55" s="6"/>
      <c r="O55" s="6"/>
      <c r="P55" s="6"/>
      <c r="Q55" s="35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1"/>
      <c r="AD55" s="21"/>
      <c r="AE55" s="21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5"/>
      <c r="J56" s="6"/>
      <c r="K56" s="6"/>
      <c r="L56" s="6"/>
      <c r="M56" s="6"/>
      <c r="N56" s="6"/>
      <c r="O56" s="6"/>
      <c r="P56" s="6"/>
      <c r="Q56" s="35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1"/>
      <c r="AD56" s="21"/>
      <c r="AE56" s="21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5"/>
      <c r="J57" s="6"/>
      <c r="K57" s="6"/>
      <c r="L57" s="6"/>
      <c r="M57" s="6"/>
      <c r="N57" s="6"/>
      <c r="O57" s="6"/>
      <c r="P57" s="6"/>
      <c r="Q57" s="35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1"/>
      <c r="AD57" s="21"/>
      <c r="AE57" s="21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5"/>
      <c r="J58" s="6"/>
      <c r="K58" s="6"/>
      <c r="L58" s="6"/>
      <c r="M58" s="6"/>
      <c r="N58" s="6"/>
      <c r="O58" s="6"/>
      <c r="P58" s="6"/>
      <c r="Q58" s="35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1"/>
      <c r="AD58" s="21"/>
      <c r="AE58" s="21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5"/>
      <c r="J59" s="6"/>
      <c r="K59" s="6"/>
      <c r="L59" s="6"/>
      <c r="M59" s="6"/>
      <c r="N59" s="6"/>
      <c r="O59" s="6"/>
      <c r="P59" s="6"/>
      <c r="Q59" s="35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1"/>
      <c r="AD59" s="21"/>
      <c r="AE59" s="21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5"/>
      <c r="J60" s="6"/>
      <c r="K60" s="6"/>
      <c r="L60" s="6"/>
      <c r="M60" s="6"/>
      <c r="N60" s="6"/>
      <c r="O60" s="6"/>
      <c r="P60" s="6"/>
      <c r="Q60" s="35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1"/>
      <c r="AD60" s="21"/>
      <c r="AE60" s="21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5"/>
      <c r="J61" s="6"/>
      <c r="K61" s="6"/>
      <c r="L61" s="6"/>
      <c r="M61" s="6"/>
      <c r="N61" s="6"/>
      <c r="O61" s="6"/>
      <c r="P61" s="6"/>
      <c r="Q61" s="35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1"/>
      <c r="AD61" s="21"/>
      <c r="AE61" s="21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5"/>
      <c r="J62" s="6"/>
      <c r="K62" s="6"/>
      <c r="L62" s="6"/>
      <c r="M62" s="6"/>
      <c r="N62" s="6"/>
      <c r="O62" s="6"/>
      <c r="P62" s="6"/>
      <c r="Q62" s="35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1"/>
      <c r="AD62" s="21"/>
      <c r="AE62" s="21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5"/>
      <c r="J63" s="6"/>
      <c r="K63" s="6"/>
      <c r="L63" s="6"/>
      <c r="M63" s="6"/>
      <c r="N63" s="6"/>
      <c r="O63" s="6"/>
      <c r="P63" s="6"/>
      <c r="Q63" s="35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1"/>
      <c r="AD63" s="21"/>
      <c r="AE63" s="21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5"/>
      <c r="J64" s="6"/>
      <c r="K64" s="6"/>
      <c r="L64" s="6"/>
      <c r="M64" s="6"/>
      <c r="N64" s="6"/>
      <c r="O64" s="6"/>
      <c r="P64" s="6"/>
      <c r="Q64" s="35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1"/>
      <c r="AD64" s="21"/>
      <c r="AE64" s="21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5"/>
      <c r="J65" s="6"/>
      <c r="K65" s="6"/>
      <c r="L65" s="6"/>
      <c r="M65" s="6"/>
      <c r="N65" s="6"/>
      <c r="O65" s="6"/>
      <c r="P65" s="6"/>
      <c r="Q65" s="35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1"/>
      <c r="AD65" s="21"/>
      <c r="AE65" s="21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5"/>
      <c r="J66" s="6"/>
      <c r="K66" s="6"/>
      <c r="L66" s="6"/>
      <c r="M66" s="6"/>
      <c r="N66" s="6"/>
      <c r="O66" s="6"/>
      <c r="P66" s="6"/>
      <c r="Q66" s="35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1"/>
      <c r="AD66" s="21"/>
      <c r="AE66" s="21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5"/>
      <c r="J67" s="6"/>
      <c r="K67" s="6"/>
      <c r="L67" s="6"/>
      <c r="M67" s="6"/>
      <c r="N67" s="6"/>
      <c r="O67" s="6"/>
      <c r="P67" s="6"/>
      <c r="Q67" s="35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1"/>
      <c r="AD67" s="21"/>
      <c r="AE67" s="21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5"/>
      <c r="J68" s="6"/>
      <c r="K68" s="6"/>
      <c r="L68" s="6"/>
      <c r="M68" s="6"/>
      <c r="N68" s="6"/>
      <c r="O68" s="6"/>
      <c r="P68" s="6"/>
      <c r="Q68" s="35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1"/>
      <c r="AD68" s="21"/>
      <c r="AE68" s="21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5"/>
      <c r="J69" s="6"/>
      <c r="K69" s="6"/>
      <c r="L69" s="6"/>
      <c r="M69" s="6"/>
      <c r="N69" s="6"/>
      <c r="O69" s="6"/>
      <c r="P69" s="6"/>
      <c r="Q69" s="35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1"/>
      <c r="AD69" s="21"/>
      <c r="AE69" s="21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5"/>
      <c r="J70" s="6"/>
      <c r="K70" s="6"/>
      <c r="L70" s="6"/>
      <c r="M70" s="6"/>
      <c r="N70" s="6"/>
      <c r="O70" s="6"/>
      <c r="P70" s="6"/>
      <c r="Q70" s="35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1"/>
      <c r="AD70" s="21"/>
      <c r="AE70" s="21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5"/>
      <c r="J71" s="6"/>
      <c r="K71" s="6"/>
      <c r="L71" s="6"/>
      <c r="M71" s="6"/>
      <c r="N71" s="6"/>
      <c r="O71" s="6"/>
      <c r="P71" s="6"/>
      <c r="Q71" s="35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1"/>
      <c r="AD71" s="21"/>
      <c r="AE71" s="21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5"/>
      <c r="J72" s="6"/>
      <c r="K72" s="6"/>
      <c r="L72" s="6"/>
      <c r="M72" s="6"/>
      <c r="N72" s="6"/>
      <c r="O72" s="6"/>
      <c r="P72" s="6"/>
      <c r="Q72" s="35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1"/>
      <c r="AD72" s="21"/>
      <c r="AE72" s="21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5"/>
      <c r="J73" s="6"/>
      <c r="K73" s="6"/>
      <c r="L73" s="6"/>
      <c r="M73" s="6"/>
      <c r="N73" s="6"/>
      <c r="O73" s="6"/>
      <c r="P73" s="6"/>
      <c r="Q73" s="35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1"/>
      <c r="AD73" s="21"/>
      <c r="AE73" s="21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5"/>
      <c r="J74" s="6"/>
      <c r="K74" s="6"/>
      <c r="L74" s="6"/>
      <c r="M74" s="6"/>
      <c r="N74" s="6"/>
      <c r="O74" s="6"/>
      <c r="P74" s="6"/>
      <c r="Q74" s="35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1"/>
      <c r="AD74" s="21"/>
      <c r="AE74" s="21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5"/>
      <c r="J75" s="6"/>
      <c r="K75" s="6"/>
      <c r="L75" s="6"/>
      <c r="M75" s="6"/>
      <c r="N75" s="6"/>
      <c r="O75" s="6"/>
      <c r="P75" s="6"/>
      <c r="Q75" s="35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1"/>
      <c r="AD75" s="21"/>
      <c r="AE75" s="21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5"/>
      <c r="J76" s="6"/>
      <c r="K76" s="6"/>
      <c r="L76" s="6"/>
      <c r="M76" s="6"/>
      <c r="N76" s="6"/>
      <c r="O76" s="6"/>
      <c r="P76" s="6"/>
      <c r="Q76" s="35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1"/>
      <c r="AD76" s="21"/>
      <c r="AE76" s="21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5"/>
      <c r="J77" s="6"/>
      <c r="K77" s="6"/>
      <c r="L77" s="6"/>
      <c r="M77" s="6"/>
      <c r="N77" s="6"/>
      <c r="O77" s="6"/>
      <c r="P77" s="6"/>
      <c r="Q77" s="35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1"/>
      <c r="AD77" s="21"/>
      <c r="AE77" s="21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5"/>
      <c r="J78" s="6"/>
      <c r="K78" s="6"/>
      <c r="L78" s="6"/>
      <c r="M78" s="6"/>
      <c r="N78" s="6"/>
      <c r="O78" s="6"/>
      <c r="P78" s="6"/>
      <c r="Q78" s="35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1"/>
      <c r="AD78" s="21"/>
      <c r="AE78" s="21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5"/>
      <c r="J79" s="6"/>
      <c r="K79" s="6"/>
      <c r="L79" s="6"/>
      <c r="M79" s="6"/>
      <c r="N79" s="6"/>
      <c r="O79" s="6"/>
      <c r="P79" s="6"/>
      <c r="Q79" s="35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1"/>
      <c r="AD79" s="21"/>
      <c r="AE79" s="21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5"/>
      <c r="J80" s="6"/>
      <c r="K80" s="6"/>
      <c r="L80" s="6"/>
      <c r="M80" s="6"/>
      <c r="N80" s="6"/>
      <c r="O80" s="6"/>
      <c r="P80" s="6"/>
      <c r="Q80" s="35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1"/>
      <c r="AD80" s="21"/>
      <c r="AE80" s="21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5"/>
      <c r="J81" s="6"/>
      <c r="K81" s="6"/>
      <c r="L81" s="6"/>
      <c r="M81" s="6"/>
      <c r="N81" s="6"/>
      <c r="O81" s="6"/>
      <c r="P81" s="6"/>
      <c r="Q81" s="35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1"/>
      <c r="AD81" s="21"/>
      <c r="AE81" s="21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5"/>
      <c r="J82" s="6"/>
      <c r="K82" s="6"/>
      <c r="L82" s="6"/>
      <c r="M82" s="6"/>
      <c r="N82" s="6"/>
      <c r="O82" s="6"/>
      <c r="P82" s="6"/>
      <c r="Q82" s="35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1"/>
      <c r="AD82" s="21"/>
      <c r="AE82" s="21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5"/>
      <c r="J83" s="6"/>
      <c r="K83" s="6"/>
      <c r="L83" s="6"/>
      <c r="M83" s="6"/>
      <c r="N83" s="6"/>
      <c r="O83" s="6"/>
      <c r="P83" s="6"/>
      <c r="Q83" s="35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1"/>
      <c r="AD83" s="21"/>
      <c r="AE83" s="21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5"/>
      <c r="J84" s="6"/>
      <c r="K84" s="6"/>
      <c r="L84" s="6"/>
      <c r="M84" s="6"/>
      <c r="N84" s="6"/>
      <c r="O84" s="6"/>
      <c r="P84" s="6"/>
      <c r="Q84" s="35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1"/>
      <c r="AD84" s="21"/>
      <c r="AE84" s="21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5"/>
      <c r="J85" s="6"/>
      <c r="K85" s="6"/>
      <c r="L85" s="6"/>
      <c r="M85" s="6"/>
      <c r="N85" s="6"/>
      <c r="O85" s="6"/>
      <c r="P85" s="6"/>
      <c r="Q85" s="35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1"/>
      <c r="AD85" s="21"/>
      <c r="AE85" s="21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5"/>
      <c r="J86" s="6"/>
      <c r="K86" s="6"/>
      <c r="L86" s="6"/>
      <c r="M86" s="6"/>
      <c r="N86" s="6"/>
      <c r="O86" s="6"/>
      <c r="P86" s="6"/>
      <c r="Q86" s="35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1"/>
      <c r="AD86" s="21"/>
      <c r="AE86" s="21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5"/>
      <c r="J87" s="6"/>
      <c r="K87" s="6"/>
      <c r="L87" s="6"/>
      <c r="M87" s="6"/>
      <c r="N87" s="6"/>
      <c r="O87" s="6"/>
      <c r="P87" s="6"/>
      <c r="Q87" s="35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1"/>
      <c r="AD87" s="21"/>
      <c r="AE87" s="21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5"/>
      <c r="J88" s="6"/>
      <c r="K88" s="6"/>
      <c r="L88" s="6"/>
      <c r="M88" s="6"/>
      <c r="N88" s="6"/>
      <c r="O88" s="6"/>
      <c r="P88" s="6"/>
      <c r="Q88" s="35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1"/>
      <c r="AD88" s="21"/>
      <c r="AE88" s="21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5"/>
      <c r="J89" s="6"/>
      <c r="K89" s="6"/>
      <c r="L89" s="6"/>
      <c r="M89" s="6"/>
      <c r="N89" s="6"/>
      <c r="O89" s="6"/>
      <c r="P89" s="6"/>
      <c r="Q89" s="35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1"/>
      <c r="AD89" s="21"/>
      <c r="AE89" s="21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5"/>
      <c r="J90" s="6"/>
      <c r="K90" s="6"/>
      <c r="L90" s="6"/>
      <c r="M90" s="6"/>
      <c r="N90" s="6"/>
      <c r="O90" s="6"/>
      <c r="P90" s="6"/>
      <c r="Q90" s="35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1"/>
      <c r="AD90" s="21"/>
      <c r="AE90" s="21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5"/>
      <c r="J91" s="6"/>
      <c r="K91" s="6"/>
      <c r="L91" s="6"/>
      <c r="M91" s="6"/>
      <c r="N91" s="6"/>
      <c r="O91" s="6"/>
      <c r="P91" s="6"/>
      <c r="Q91" s="35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1"/>
      <c r="AD91" s="21"/>
      <c r="AE91" s="21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5"/>
      <c r="J92" s="6"/>
      <c r="K92" s="6"/>
      <c r="L92" s="6"/>
      <c r="M92" s="6"/>
      <c r="N92" s="6"/>
      <c r="O92" s="6"/>
      <c r="P92" s="6"/>
      <c r="Q92" s="35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1"/>
      <c r="AD92" s="21"/>
      <c r="AE92" s="21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5"/>
      <c r="J93" s="6"/>
      <c r="K93" s="6"/>
      <c r="L93" s="6"/>
      <c r="M93" s="6"/>
      <c r="N93" s="6"/>
      <c r="O93" s="6"/>
      <c r="P93" s="6"/>
      <c r="Q93" s="35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1"/>
      <c r="AD93" s="21"/>
      <c r="AE93" s="21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5"/>
      <c r="J94" s="6"/>
      <c r="K94" s="6"/>
      <c r="L94" s="6"/>
      <c r="M94" s="6"/>
      <c r="N94" s="6"/>
      <c r="O94" s="6"/>
      <c r="P94" s="6"/>
      <c r="Q94" s="35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1"/>
      <c r="AD94" s="21"/>
      <c r="AE94" s="21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5"/>
      <c r="J95" s="6"/>
      <c r="K95" s="6"/>
      <c r="L95" s="6"/>
      <c r="M95" s="6"/>
      <c r="N95" s="6"/>
      <c r="O95" s="6"/>
      <c r="P95" s="6"/>
      <c r="Q95" s="35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1"/>
      <c r="AD95" s="21"/>
      <c r="AE95" s="21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5"/>
      <c r="J96" s="6"/>
      <c r="K96" s="6"/>
      <c r="L96" s="6"/>
      <c r="M96" s="6"/>
      <c r="N96" s="6"/>
      <c r="O96" s="6"/>
      <c r="P96" s="6"/>
      <c r="Q96" s="35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1"/>
      <c r="AD96" s="21"/>
      <c r="AE96" s="21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5"/>
      <c r="J97" s="6"/>
      <c r="K97" s="6"/>
      <c r="L97" s="6"/>
      <c r="M97" s="6"/>
      <c r="N97" s="6"/>
      <c r="O97" s="6"/>
      <c r="P97" s="6"/>
      <c r="Q97" s="35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1"/>
      <c r="AD97" s="21"/>
      <c r="AE97" s="21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5"/>
      <c r="J98" s="6"/>
      <c r="K98" s="6"/>
      <c r="L98" s="6"/>
      <c r="M98" s="6"/>
      <c r="N98" s="6"/>
      <c r="O98" s="6"/>
      <c r="P98" s="6"/>
      <c r="Q98" s="35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1"/>
      <c r="AD98" s="21"/>
      <c r="AE98" s="21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5"/>
      <c r="J99" s="6"/>
      <c r="K99" s="6"/>
      <c r="L99" s="6"/>
      <c r="M99" s="6"/>
      <c r="N99" s="6"/>
      <c r="O99" s="6"/>
      <c r="P99" s="6"/>
      <c r="Q99" s="35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1"/>
      <c r="AD99" s="21"/>
      <c r="AE99" s="21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5"/>
      <c r="J100" s="6"/>
      <c r="K100" s="6"/>
      <c r="L100" s="6"/>
      <c r="M100" s="6"/>
      <c r="N100" s="6"/>
      <c r="O100" s="6"/>
      <c r="P100" s="6"/>
      <c r="Q100" s="35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1"/>
      <c r="AD100" s="21"/>
      <c r="AE100" s="21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5"/>
      <c r="J101" s="6"/>
      <c r="K101" s="6"/>
      <c r="L101" s="6"/>
      <c r="M101" s="6"/>
      <c r="N101" s="6"/>
      <c r="O101" s="6"/>
      <c r="P101" s="6"/>
      <c r="Q101" s="35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1"/>
      <c r="AD101" s="21"/>
      <c r="AE101" s="21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5"/>
      <c r="J102" s="6"/>
      <c r="K102" s="6"/>
      <c r="L102" s="6"/>
      <c r="M102" s="6"/>
      <c r="N102" s="6"/>
      <c r="O102" s="6"/>
      <c r="P102" s="6"/>
      <c r="Q102" s="35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1"/>
      <c r="AD102" s="21"/>
      <c r="AE102" s="21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5"/>
      <c r="J103" s="6"/>
      <c r="K103" s="6"/>
      <c r="L103" s="6"/>
      <c r="M103" s="6"/>
      <c r="N103" s="6"/>
      <c r="O103" s="6"/>
      <c r="P103" s="6"/>
      <c r="Q103" s="35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1"/>
      <c r="AD103" s="21"/>
      <c r="AE103" s="21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5"/>
      <c r="J104" s="6"/>
      <c r="K104" s="6"/>
      <c r="L104" s="6"/>
      <c r="M104" s="6"/>
      <c r="N104" s="6"/>
      <c r="O104" s="6"/>
      <c r="P104" s="6"/>
      <c r="Q104" s="35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1"/>
      <c r="AD104" s="21"/>
      <c r="AE104" s="21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1"/>
      <c r="AD105" s="21"/>
      <c r="AE105" s="21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1"/>
      <c r="AD106" s="21"/>
      <c r="AE106" s="21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1"/>
      <c r="AD107" s="21"/>
      <c r="AE107" s="21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1"/>
      <c r="AD108" s="21"/>
      <c r="AE108" s="21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1"/>
      <c r="AD109" s="21"/>
      <c r="AE109" s="21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1"/>
      <c r="AD110" s="21"/>
      <c r="AE110" s="21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1"/>
      <c r="AD111" s="21"/>
      <c r="AE111" s="21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1"/>
      <c r="AD112" s="21"/>
      <c r="AE112" s="21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1"/>
      <c r="AD113" s="21"/>
      <c r="AE113" s="21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1"/>
      <c r="AD114" s="21"/>
      <c r="AE114" s="21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1"/>
      <c r="AD115" s="21"/>
      <c r="AE115" s="21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1"/>
      <c r="AD116" s="21"/>
      <c r="AE116" s="21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1"/>
      <c r="AD117" s="21"/>
      <c r="AE117" s="21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5"/>
      <c r="J118" s="6"/>
      <c r="K118" s="6"/>
      <c r="L118" s="6"/>
      <c r="M118" s="6"/>
      <c r="N118" s="6"/>
      <c r="O118" s="6"/>
      <c r="P118" s="6"/>
      <c r="Q118" s="35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1"/>
      <c r="AD118" s="21"/>
      <c r="AE118" s="21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P2" sqref="P2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107" t="s">
        <v>174</v>
      </c>
      <c r="B1" s="108"/>
      <c r="M1" s="3" t="s">
        <v>150</v>
      </c>
      <c r="N1" s="1" t="s">
        <v>246</v>
      </c>
      <c r="AC1" s="9"/>
    </row>
    <row r="2" spans="1:34" ht="14.25" customHeight="1" x14ac:dyDescent="0.2">
      <c r="A2" s="109"/>
      <c r="B2" s="110"/>
      <c r="M2" s="3" t="s">
        <v>179</v>
      </c>
      <c r="N2" s="1" t="s">
        <v>187</v>
      </c>
      <c r="O2" s="2" t="s">
        <v>192</v>
      </c>
      <c r="Y2" s="19">
        <f>角色设定!J26</f>
        <v>0.4</v>
      </c>
      <c r="Z2" s="19">
        <f>角色设定!K26</f>
        <v>1.5</v>
      </c>
      <c r="AC2" s="9"/>
    </row>
    <row r="3" spans="1:34" ht="14.25" customHeight="1" x14ac:dyDescent="0.2">
      <c r="C3" s="3" t="s">
        <v>184</v>
      </c>
      <c r="D3" s="2" t="s">
        <v>190</v>
      </c>
      <c r="L3" s="3" t="s">
        <v>185</v>
      </c>
      <c r="M3" s="3" t="s">
        <v>176</v>
      </c>
      <c r="N3" s="1">
        <v>1</v>
      </c>
      <c r="O3" s="126" t="str">
        <f>N2</f>
        <v>SSR</v>
      </c>
      <c r="P3" s="127"/>
      <c r="Q3" s="127"/>
      <c r="R3" s="127"/>
      <c r="S3" s="127"/>
      <c r="T3" s="34"/>
      <c r="U3" s="34"/>
      <c r="V3" s="126" t="s">
        <v>188</v>
      </c>
      <c r="W3" s="127"/>
      <c r="X3" s="127"/>
      <c r="Y3" s="127"/>
      <c r="Z3" s="127"/>
      <c r="AA3" s="127"/>
      <c r="AB3" s="128"/>
      <c r="AC3" s="9"/>
    </row>
    <row r="4" spans="1:34" s="3" customFormat="1" ht="14.25" customHeight="1" x14ac:dyDescent="0.2">
      <c r="D4" s="3" t="s">
        <v>150</v>
      </c>
      <c r="E4" s="3" t="s">
        <v>144</v>
      </c>
      <c r="F4" s="3" t="s">
        <v>146</v>
      </c>
      <c r="G4" s="3" t="s">
        <v>147</v>
      </c>
      <c r="H4" s="3" t="s">
        <v>139</v>
      </c>
      <c r="I4" s="3" t="s">
        <v>142</v>
      </c>
      <c r="J4" s="3" t="s">
        <v>167</v>
      </c>
      <c r="K4" s="1"/>
      <c r="L4" s="6">
        <f>MIN(L5:L104)</f>
        <v>1.4903929811649099</v>
      </c>
      <c r="M4" s="3" t="s">
        <v>186</v>
      </c>
      <c r="N4" s="3" t="s">
        <v>165</v>
      </c>
      <c r="O4" s="3" t="s">
        <v>166</v>
      </c>
      <c r="P4" s="3" t="s">
        <v>139</v>
      </c>
      <c r="Q4" s="3" t="s">
        <v>140</v>
      </c>
      <c r="R4" s="3" t="s">
        <v>141</v>
      </c>
      <c r="S4" s="3" t="s">
        <v>142</v>
      </c>
      <c r="T4" s="3" t="s">
        <v>83</v>
      </c>
      <c r="U4" s="3" t="s">
        <v>189</v>
      </c>
      <c r="V4" s="3" t="s">
        <v>165</v>
      </c>
      <c r="W4" s="3" t="s">
        <v>166</v>
      </c>
      <c r="X4" s="3" t="s">
        <v>139</v>
      </c>
      <c r="Y4" s="24" t="s">
        <v>140</v>
      </c>
      <c r="Z4" s="24" t="s">
        <v>141</v>
      </c>
      <c r="AA4" s="3" t="s">
        <v>142</v>
      </c>
      <c r="AB4" s="3" t="s">
        <v>167</v>
      </c>
      <c r="AC4" s="9"/>
    </row>
    <row r="5" spans="1:34" ht="14.25" customHeight="1" x14ac:dyDescent="0.2">
      <c r="D5" s="30" t="s">
        <v>246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0.15882352941176472</v>
      </c>
      <c r="G5" s="6">
        <f>VLOOKUP($D5,角色设定!$AB:$AJ,MATCH(G$4,角色设定!$AB$9:$AJ$9,0),0)*IF($E5=G$4,角色成长!$F$5,角色成长!$H$5)</f>
        <v>0.33333333333333331</v>
      </c>
      <c r="H5" s="6">
        <f>VLOOKUP($D5,角色设定!$AB:$AJ,MATCH(H$4,角色设定!$AB$9:$AJ$9,0),0)</f>
        <v>1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3.0055075926635553</v>
      </c>
      <c r="M5" s="1">
        <v>1</v>
      </c>
      <c r="N5" s="6">
        <f>VLOOKUP($N$2,角色品星!$C$16:$D$20,2,0)*VLOOKUP($N$3,角色品星!$C$3:$E$14,3,0)*V5</f>
        <v>45.496323529411768</v>
      </c>
      <c r="O5" s="6">
        <f>VLOOKUP($N$2,角色品星!$C$16:$D$20,2,0)*VLOOKUP($N$3,角色品星!$C$3:$E$14,3,0)*W5</f>
        <v>1363.7490701710883</v>
      </c>
      <c r="P5" s="6">
        <f>VLOOKUP($N$2,角色品星!$C$16:$D$20,2,0)*VLOOKUP($N$3,角色品星!$C$3:$E$14,3,0)*X5</f>
        <v>453.75000000000006</v>
      </c>
      <c r="Q5" s="23">
        <f>Y5</f>
        <v>0.05</v>
      </c>
      <c r="R5" s="23">
        <f t="shared" ref="R5:S5" si="0">Z5</f>
        <v>1.5</v>
      </c>
      <c r="S5" s="23">
        <f t="shared" si="0"/>
        <v>0.9</v>
      </c>
      <c r="T5" s="38">
        <f>N5*(1+Q5*(R5-1))*S5*战斗公式!$E$38+(P5*战斗公式!$E$39+1)*O5*战斗公式!$E$40</f>
        <v>2419.1960429740484</v>
      </c>
      <c r="U5" s="38">
        <f>T6-T5</f>
        <v>120.69628167757583</v>
      </c>
      <c r="V5" s="6">
        <f>VLOOKUP($N$1,$D$4:$J$15,MATCH(F$4,$D$4:$J$4,0),0)*角色成长!E18*角色成长!$L$15*AB5/AA5/(1+$Y$2*($Z$2-1))</f>
        <v>82.720588235294116</v>
      </c>
      <c r="W5" s="6">
        <f>VLOOKUP($N$1,$D$4:$J$15,MATCH(G$4,$D$4:$J$4,0),0)*角色成长!F18*角色成长!$L$15/(1+X5/角色成长!$N$16)</f>
        <v>2479.543763947433</v>
      </c>
      <c r="X5" s="6">
        <f>VLOOKUP($N$1,$D$4:$J$15,MATCH(H$4,$D$4:$J$4,0),0)*角色成长!G18*角色成长!$L$15</f>
        <v>825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30" t="s">
        <v>247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0.17647058823529413</v>
      </c>
      <c r="G6" s="6">
        <f>VLOOKUP($D6,角色设定!$AB:$AJ,MATCH(G$4,角色设定!$AB$9:$AJ$9,0),0)*IF($E6=G$4,角色成长!$F$5,角色成长!$H$5)</f>
        <v>0.3</v>
      </c>
      <c r="H6" s="6">
        <f>VLOOKUP($D6,角色设定!$AB:$AJ,MATCH(H$4,角色设定!$AB$9:$AJ$9,0),0)</f>
        <v>1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3.0042784680733443</v>
      </c>
      <c r="M6" s="1">
        <v>2</v>
      </c>
      <c r="N6" s="6">
        <f>VLOOKUP($N$2,角色品星!$C$16:$D$20,2,0)*VLOOKUP($N$3,角色品星!$C$3:$E$14,3,0)*V6</f>
        <v>47.771139705882355</v>
      </c>
      <c r="O6" s="6">
        <f>VLOOKUP($N$2,角色品星!$C$16:$D$20,2,0)*VLOOKUP($N$3,角色品星!$C$3:$E$14,3,0)*W6</f>
        <v>1431.3509226326942</v>
      </c>
      <c r="P6" s="6">
        <f>VLOOKUP($N$2,角色品星!$C$16:$D$20,2,0)*VLOOKUP($N$3,角色品星!$C$3:$E$14,3,0)*X6</f>
        <v>476.43750000000006</v>
      </c>
      <c r="Q6" s="23">
        <f t="shared" ref="Q6:Q69" si="3">Y6</f>
        <v>0.05</v>
      </c>
      <c r="R6" s="23">
        <f t="shared" ref="R6:R69" si="4">Z6</f>
        <v>1.5</v>
      </c>
      <c r="S6" s="23">
        <f t="shared" ref="S6:S69" si="5">AA6</f>
        <v>0.9</v>
      </c>
      <c r="T6" s="38">
        <f>N6*(1+Q6*(R6-1))*S6*战斗公式!$E$38+(P6*战斗公式!$E$39+1)*O6*战斗公式!$E$40</f>
        <v>2539.8923246516242</v>
      </c>
      <c r="U6" s="38">
        <f t="shared" ref="U6:U69" si="6">T7-T6</f>
        <v>126.70432837923499</v>
      </c>
      <c r="V6" s="6">
        <f>VLOOKUP($N$1,$D$4:$J$15,MATCH(F$4,$D$4:$J$4,0),0)*角色成长!E19*角色成长!$L$15*AB6/AA6/(1+$Y$2*($Z$2-1))</f>
        <v>86.856617647058826</v>
      </c>
      <c r="W6" s="6">
        <f>VLOOKUP($N$1,$D$4:$J$15,MATCH(G$4,$D$4:$J$4,0),0)*角色成长!F19*角色成长!$L$15/(1+X6/角色成长!$N$16)</f>
        <v>2602.4562229685348</v>
      </c>
      <c r="X6" s="6">
        <f>VLOOKUP($N$1,$D$4:$J$15,MATCH(H$4,$D$4:$J$4,0),0)*角色成长!G19*角色成长!$L$15</f>
        <v>866.25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30" t="s">
        <v>248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0.16500000000000001</v>
      </c>
      <c r="G7" s="6">
        <f>VLOOKUP($D7,角色设定!$AB:$AJ,MATCH(G$4,角色设定!$AB$9:$AJ$9,0),0)*IF($E7=G$4,角色成长!$F$5,角色成长!$H$5)</f>
        <v>0.32085561497326204</v>
      </c>
      <c r="H7" s="6">
        <f>VLOOKUP($D7,角色设定!$AB:$AJ,MATCH(H$4,角色设定!$AB$9:$AJ$9,0),0)</f>
        <v>0.81818181818181823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3.0029889687640154</v>
      </c>
      <c r="M7" s="1">
        <v>3</v>
      </c>
      <c r="N7" s="6">
        <f>VLOOKUP($N$2,角色品星!$C$16:$D$20,2,0)*VLOOKUP($N$3,角色品星!$C$3:$E$14,3,0)*V7</f>
        <v>50.159696691176485</v>
      </c>
      <c r="O7" s="6">
        <f>VLOOKUP($N$2,角色品星!$C$16:$D$20,2,0)*VLOOKUP($N$3,角色品星!$C$3:$E$14,3,0)*W7</f>
        <v>1502.2733846457811</v>
      </c>
      <c r="P7" s="6">
        <f>VLOOKUP($N$2,角色品星!$C$16:$D$20,2,0)*VLOOKUP($N$3,角色品星!$C$3:$E$14,3,0)*X7</f>
        <v>500.25937500000009</v>
      </c>
      <c r="Q7" s="23">
        <f t="shared" si="3"/>
        <v>0.05</v>
      </c>
      <c r="R7" s="23">
        <f t="shared" si="4"/>
        <v>1.5</v>
      </c>
      <c r="S7" s="23">
        <f t="shared" si="5"/>
        <v>0.9</v>
      </c>
      <c r="T7" s="38">
        <f>N7*(1+Q7*(R7-1))*S7*战斗公式!$E$38+(P7*战斗公式!$E$39+1)*O7*战斗公式!$E$40</f>
        <v>2666.5966530308592</v>
      </c>
      <c r="U7" s="38">
        <f t="shared" si="6"/>
        <v>133.0100717725968</v>
      </c>
      <c r="V7" s="6">
        <f>VLOOKUP($N$1,$D$4:$J$15,MATCH(F$4,$D$4:$J$4,0),0)*角色成长!E20*角色成长!$L$15*AB7/AA7/(1+$Y$2*($Z$2-1))</f>
        <v>91.199448529411782</v>
      </c>
      <c r="W7" s="6">
        <f>VLOOKUP($N$1,$D$4:$J$15,MATCH(G$4,$D$4:$J$4,0),0)*角色成长!F20*角色成长!$L$15/(1+X7/角色成长!$N$16)</f>
        <v>2731.4061539014201</v>
      </c>
      <c r="X7" s="6">
        <f>VLOOKUP($N$1,$D$4:$J$15,MATCH(H$4,$D$4:$J$4,0),0)*角色成长!G20*角色成长!$L$15</f>
        <v>909.56250000000011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30" t="s">
        <v>249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0.18</v>
      </c>
      <c r="G8" s="6">
        <f>VLOOKUP($D8,角色设定!$AB:$AJ,MATCH(G$4,角色设定!$AB$9:$AJ$9,0),0)*IF($E8=G$4,角色成长!$F$5,角色成长!$H$5)</f>
        <v>0.29411764705882354</v>
      </c>
      <c r="H8" s="6">
        <f>VLOOKUP($D8,角色设定!$AB:$AJ,MATCH(H$4,角色设定!$AB$9:$AJ$9,0),0)</f>
        <v>0.81818181818181823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3.0016361853185378</v>
      </c>
      <c r="M8" s="1">
        <v>4</v>
      </c>
      <c r="N8" s="6">
        <f>VLOOKUP($N$2,角色品星!$C$16:$D$20,2,0)*VLOOKUP($N$3,角色品星!$C$3:$E$14,3,0)*V8</f>
        <v>52.667681525735311</v>
      </c>
      <c r="O8" s="6">
        <f>VLOOKUP($N$2,角色品星!$C$16:$D$20,2,0)*VLOOKUP($N$3,角色品星!$C$3:$E$14,3,0)*W8</f>
        <v>1576.6764741470781</v>
      </c>
      <c r="P8" s="6">
        <f>VLOOKUP($N$2,角色品星!$C$16:$D$20,2,0)*VLOOKUP($N$3,角色品星!$C$3:$E$14,3,0)*X8</f>
        <v>525.27234375000012</v>
      </c>
      <c r="Q8" s="23">
        <f t="shared" si="3"/>
        <v>0.05</v>
      </c>
      <c r="R8" s="23">
        <f t="shared" si="4"/>
        <v>1.5</v>
      </c>
      <c r="S8" s="23">
        <f t="shared" si="5"/>
        <v>0.9</v>
      </c>
      <c r="T8" s="38">
        <f>N8*(1+Q8*(R8-1))*S8*战斗公式!$E$38+(P8*战斗公式!$E$39+1)*O8*战斗公式!$E$40</f>
        <v>2799.606724803456</v>
      </c>
      <c r="U8" s="38">
        <f t="shared" si="6"/>
        <v>139.62812527818369</v>
      </c>
      <c r="V8" s="6">
        <f>VLOOKUP($N$1,$D$4:$J$15,MATCH(F$4,$D$4:$J$4,0),0)*角色成长!E21*角色成长!$L$15*AB8/AA8/(1+$Y$2*($Z$2-1))</f>
        <v>95.759420955882376</v>
      </c>
      <c r="W8" s="6">
        <f>VLOOKUP($N$1,$D$4:$J$15,MATCH(G$4,$D$4:$J$4,0),0)*角色成长!F21*角色成长!$L$15/(1+X8/角色成长!$N$16)</f>
        <v>2866.6844984492327</v>
      </c>
      <c r="X8" s="6">
        <f>VLOOKUP($N$1,$D$4:$J$15,MATCH(H$4,$D$4:$J$4,0),0)*角色成长!G21*角色成长!$L$15</f>
        <v>955.04062500000009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30" t="s">
        <v>250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0.315</v>
      </c>
      <c r="G9" s="6">
        <f>VLOOKUP($D9,角色设定!$AB:$AJ,MATCH(G$4,角色设定!$AB$9:$AJ$9,0),0)*IF($E9=G$4,角色成长!$F$5,角色成长!$H$5)</f>
        <v>0.13445378151260504</v>
      </c>
      <c r="H9" s="6">
        <f>VLOOKUP($D9,角色设定!$AB:$AJ,MATCH(H$4,角色设定!$AB$9:$AJ$9,0),0)</f>
        <v>0.45454545454545453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3.0002170738152523</v>
      </c>
      <c r="M9" s="1">
        <v>5</v>
      </c>
      <c r="N9" s="6">
        <f>VLOOKUP($N$2,角色品星!$C$16:$D$20,2,0)*VLOOKUP($N$3,角色品星!$C$3:$E$14,3,0)*V9</f>
        <v>55.301065602022071</v>
      </c>
      <c r="O9" s="6">
        <f>VLOOKUP($N$2,角色品星!$C$16:$D$20,2,0)*VLOOKUP($N$3,角色品星!$C$3:$E$14,3,0)*W9</f>
        <v>1654.7276068277895</v>
      </c>
      <c r="P9" s="6">
        <f>VLOOKUP($N$2,角色品星!$C$16:$D$20,2,0)*VLOOKUP($N$3,角色品星!$C$3:$E$14,3,0)*X9</f>
        <v>551.53596093750002</v>
      </c>
      <c r="Q9" s="23">
        <f t="shared" si="3"/>
        <v>0.05</v>
      </c>
      <c r="R9" s="23">
        <f t="shared" si="4"/>
        <v>1.5</v>
      </c>
      <c r="S9" s="23">
        <f t="shared" si="5"/>
        <v>0.9</v>
      </c>
      <c r="T9" s="38">
        <f>N9*(1+Q9*(R9-1))*S9*战斗公式!$E$38+(P9*战斗公式!$E$39+1)*O9*战斗公式!$E$40</f>
        <v>2939.2348500816397</v>
      </c>
      <c r="U9" s="38">
        <f t="shared" si="6"/>
        <v>146.57380608337917</v>
      </c>
      <c r="V9" s="6">
        <f>VLOOKUP($N$1,$D$4:$J$15,MATCH(F$4,$D$4:$J$4,0),0)*角色成长!E22*角色成长!$L$15*AB9/AA9/(1+$Y$2*($Z$2-1))</f>
        <v>100.54739200367648</v>
      </c>
      <c r="W9" s="6">
        <f>VLOOKUP($N$1,$D$4:$J$15,MATCH(G$4,$D$4:$J$4,0),0)*角色成长!F22*角色成长!$L$15/(1+X9/角色成长!$N$16)</f>
        <v>3008.5956487777989</v>
      </c>
      <c r="X9" s="6">
        <f>VLOOKUP($N$1,$D$4:$J$15,MATCH(H$4,$D$4:$J$4,0),0)*角色成长!G22*角色成长!$L$15</f>
        <v>1002.7926562500001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30" t="s">
        <v>251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</v>
      </c>
      <c r="G10" s="6">
        <f>VLOOKUP($D10,角色设定!$AB:$AJ,MATCH(G$4,角色设定!$AB$9:$AJ$9,0),0)*IF($E10=G$4,角色成长!$F$5,角色成长!$H$5)</f>
        <v>0.14117647058823532</v>
      </c>
      <c r="H10" s="6">
        <f>VLOOKUP($D10,角色设定!$AB:$AJ,MATCH(H$4,角色设定!$AB$9:$AJ$9,0),0)</f>
        <v>0.45454545454545453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2.99872845018968</v>
      </c>
      <c r="M10" s="1">
        <v>6</v>
      </c>
      <c r="N10" s="6">
        <f>VLOOKUP($N$2,角色品星!$C$16:$D$20,2,0)*VLOOKUP($N$3,角色品星!$C$3:$E$14,3,0)*V10</f>
        <v>58.066118882123185</v>
      </c>
      <c r="O10" s="6">
        <f>VLOOKUP($N$2,角色品星!$C$16:$D$20,2,0)*VLOOKUP($N$3,角色品星!$C$3:$E$14,3,0)*W10</f>
        <v>1736.6019062342848</v>
      </c>
      <c r="P10" s="6">
        <f>VLOOKUP($N$2,角色品星!$C$16:$D$20,2,0)*VLOOKUP($N$3,角色品星!$C$3:$E$14,3,0)*X10</f>
        <v>579.11275898437509</v>
      </c>
      <c r="Q10" s="23">
        <f t="shared" si="3"/>
        <v>0.05</v>
      </c>
      <c r="R10" s="23">
        <f t="shared" si="4"/>
        <v>1.5</v>
      </c>
      <c r="S10" s="23">
        <f t="shared" si="5"/>
        <v>0.9</v>
      </c>
      <c r="T10" s="38">
        <f>N10*(1+Q10*(R10-1))*S10*战斗公式!$E$38+(P10*战斗公式!$E$39+1)*O10*战斗公式!$E$40</f>
        <v>3085.8086561650189</v>
      </c>
      <c r="U10" s="38">
        <f t="shared" si="6"/>
        <v>153.86316771394468</v>
      </c>
      <c r="V10" s="6">
        <f>VLOOKUP($N$1,$D$4:$J$15,MATCH(F$4,$D$4:$J$4,0),0)*角色成长!E23*角色成长!$L$15*AB10/AA10/(1+$Y$2*($Z$2-1))</f>
        <v>105.57476160386032</v>
      </c>
      <c r="W10" s="6">
        <f>VLOOKUP($N$1,$D$4:$J$15,MATCH(G$4,$D$4:$J$4,0),0)*角色成长!F23*角色成长!$L$15/(1+X10/角色成长!$N$16)</f>
        <v>3157.458011335063</v>
      </c>
      <c r="X10" s="6">
        <f>VLOOKUP($N$1,$D$4:$J$15,MATCH(H$4,$D$4:$J$4,0),0)*角色成长!G23*角色成长!$L$15</f>
        <v>1052.9322890625001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30" t="s">
        <v>252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0.28799999999999998</v>
      </c>
      <c r="G11" s="6">
        <f>VLOOKUP($D11,角色设定!$AB:$AJ,MATCH(G$4,角色设定!$AB$9:$AJ$9,0),0)*IF($E11=G$4,角色成长!$F$5,角色成长!$H$5)</f>
        <v>0.1470588235294118</v>
      </c>
      <c r="H11" s="6">
        <f>VLOOKUP($D11,角色设定!$AB:$AJ,MATCH(H$4,角色设定!$AB$9:$AJ$9,0),0)</f>
        <v>0.40909090909090912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2.9971669844201463</v>
      </c>
      <c r="M11" s="1">
        <v>7</v>
      </c>
      <c r="N11" s="6">
        <f>VLOOKUP($N$2,角色品星!$C$16:$D$20,2,0)*VLOOKUP($N$3,角色品星!$C$3:$E$14,3,0)*V11</f>
        <v>60.969424826229329</v>
      </c>
      <c r="O11" s="6">
        <f>VLOOKUP($N$2,角色品星!$C$16:$D$20,2,0)*VLOOKUP($N$3,角色品星!$C$3:$E$14,3,0)*W11</f>
        <v>1822.4825235586516</v>
      </c>
      <c r="P11" s="6">
        <f>VLOOKUP($N$2,角色品星!$C$16:$D$20,2,0)*VLOOKUP($N$3,角色品星!$C$3:$E$14,3,0)*X11</f>
        <v>608.0683969335937</v>
      </c>
      <c r="Q11" s="23">
        <f t="shared" si="3"/>
        <v>0.05</v>
      </c>
      <c r="R11" s="23">
        <f t="shared" si="4"/>
        <v>1.5</v>
      </c>
      <c r="S11" s="23">
        <f t="shared" si="5"/>
        <v>0.9</v>
      </c>
      <c r="T11" s="38">
        <f>N11*(1+Q11*(R11-1))*S11*战斗公式!$E$38+(P11*战斗公式!$E$39+1)*O11*战斗公式!$E$40</f>
        <v>3239.6718238789636</v>
      </c>
      <c r="U11" s="38">
        <f t="shared" si="6"/>
        <v>161.51303398735945</v>
      </c>
      <c r="V11" s="6">
        <f>VLOOKUP($N$1,$D$4:$J$15,MATCH(F$4,$D$4:$J$4,0),0)*角色成长!E24*角色成长!$L$15*AB11/AA11/(1+$Y$2*($Z$2-1))</f>
        <v>110.85349968405332</v>
      </c>
      <c r="W11" s="6">
        <f>VLOOKUP($N$1,$D$4:$J$15,MATCH(G$4,$D$4:$J$4,0),0)*角色成长!F24*角色成长!$L$15/(1+X11/角色成长!$N$16)</f>
        <v>3313.6045882884573</v>
      </c>
      <c r="X11" s="6">
        <f>VLOOKUP($N$1,$D$4:$J$15,MATCH(H$4,$D$4:$J$4,0),0)*角色成长!G24*角色成长!$L$15</f>
        <v>1105.5789035156249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30" t="s">
        <v>253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0.29400000000000004</v>
      </c>
      <c r="G12" s="6">
        <f>VLOOKUP($D12,角色设定!$AB:$AJ,MATCH(G$4,角色设定!$AB$9:$AJ$9,0),0)*IF($E12=G$4,角色成长!$F$5,角色成长!$H$5)</f>
        <v>0.14405762304921971</v>
      </c>
      <c r="H12" s="6">
        <f>VLOOKUP($D12,角色设定!$AB:$AJ,MATCH(H$4,角色设定!$AB$9:$AJ$9,0),0)</f>
        <v>0.40909090909090912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2.9955291945383888</v>
      </c>
      <c r="M12" s="1">
        <v>8</v>
      </c>
      <c r="N12" s="6">
        <f>VLOOKUP($N$2,角色品星!$C$16:$D$20,2,0)*VLOOKUP($N$3,角色品星!$C$3:$E$14,3,0)*V12</f>
        <v>64.017896067540832</v>
      </c>
      <c r="O12" s="6">
        <f>VLOOKUP($N$2,角色品星!$C$16:$D$20,2,0)*VLOOKUP($N$3,角色品星!$C$3:$E$14,3,0)*W12</f>
        <v>1912.5609670552749</v>
      </c>
      <c r="P12" s="6">
        <f>VLOOKUP($N$2,角色品星!$C$16:$D$20,2,0)*VLOOKUP($N$3,角色品星!$C$3:$E$14,3,0)*X12</f>
        <v>638.47181678027368</v>
      </c>
      <c r="Q12" s="23">
        <f t="shared" si="3"/>
        <v>0.05</v>
      </c>
      <c r="R12" s="23">
        <f t="shared" si="4"/>
        <v>1.5</v>
      </c>
      <c r="S12" s="23">
        <f t="shared" si="5"/>
        <v>0.9</v>
      </c>
      <c r="T12" s="38">
        <f>N12*(1+Q12*(R12-1))*S12*战斗公式!$E$38+(P12*战斗公式!$E$39+1)*O12*战斗公式!$E$40</f>
        <v>3401.184857866323</v>
      </c>
      <c r="U12" s="38">
        <f t="shared" si="6"/>
        <v>169.54103439499886</v>
      </c>
      <c r="V12" s="6">
        <f>VLOOKUP($N$1,$D$4:$J$15,MATCH(F$4,$D$4:$J$4,0),0)*角色成长!E25*角色成长!$L$15*AB12/AA12/(1+$Y$2*($Z$2-1))</f>
        <v>116.39617466825604</v>
      </c>
      <c r="W12" s="6">
        <f>VLOOKUP($N$1,$D$4:$J$15,MATCH(G$4,$D$4:$J$4,0),0)*角色成长!F25*角色成长!$L$15/(1+X12/角色成长!$N$16)</f>
        <v>3477.3835764641358</v>
      </c>
      <c r="X12" s="6">
        <f>VLOOKUP($N$1,$D$4:$J$15,MATCH(H$4,$D$4:$J$4,0),0)*角色成长!G25*角色成长!$L$15</f>
        <v>1160.8578486914066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30" t="s">
        <v>254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0.28199999999999992</v>
      </c>
      <c r="G13" s="6">
        <f>VLOOKUP($D13,角色设定!$AB:$AJ,MATCH(G$4,角色设定!$AB$9:$AJ$9,0),0)*IF($E13=G$4,角色成长!$F$5,角色成长!$H$5)</f>
        <v>0.15018773466833546</v>
      </c>
      <c r="H13" s="6">
        <f>VLOOKUP($D13,角色设定!$AB:$AJ,MATCH(H$4,角色设定!$AB$9:$AJ$9,0),0)</f>
        <v>0.63636363636363635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2.9938114404672604</v>
      </c>
      <c r="M13" s="1">
        <v>9</v>
      </c>
      <c r="N13" s="6">
        <f>VLOOKUP($N$2,角色品星!$C$16:$D$20,2,0)*VLOOKUP($N$3,角色品星!$C$3:$E$14,3,0)*V13</f>
        <v>67.218790870917843</v>
      </c>
      <c r="O13" s="6">
        <f>VLOOKUP($N$2,角色品星!$C$16:$D$20,2,0)*VLOOKUP($N$3,角色品星!$C$3:$E$14,3,0)*W13</f>
        <v>2007.0374409673345</v>
      </c>
      <c r="P13" s="6">
        <f>VLOOKUP($N$2,角色品星!$C$16:$D$20,2,0)*VLOOKUP($N$3,角色品星!$C$3:$E$14,3,0)*X13</f>
        <v>670.3954076192872</v>
      </c>
      <c r="Q13" s="23">
        <f t="shared" si="3"/>
        <v>0.05</v>
      </c>
      <c r="R13" s="23">
        <f t="shared" si="4"/>
        <v>1.5</v>
      </c>
      <c r="S13" s="23">
        <f t="shared" si="5"/>
        <v>0.9</v>
      </c>
      <c r="T13" s="38">
        <f>N13*(1+Q13*(R13-1))*S13*战斗公式!$E$38+(P13*战斗公式!$E$39+1)*O13*战斗公式!$E$40</f>
        <v>3570.7258922613219</v>
      </c>
      <c r="U13" s="38">
        <f t="shared" si="6"/>
        <v>177.96564096076145</v>
      </c>
      <c r="V13" s="6">
        <f>VLOOKUP($N$1,$D$4:$J$15,MATCH(F$4,$D$4:$J$4,0),0)*角色成长!E26*角色成长!$L$15*AB13/AA13/(1+$Y$2*($Z$2-1))</f>
        <v>122.21598340166881</v>
      </c>
      <c r="W13" s="6">
        <f>VLOOKUP($N$1,$D$4:$J$15,MATCH(G$4,$D$4:$J$4,0),0)*角色成长!F26*角色成长!$L$15/(1+X13/角色成长!$N$16)</f>
        <v>3649.1589835769714</v>
      </c>
      <c r="X13" s="6">
        <f>VLOOKUP($N$1,$D$4:$J$15,MATCH(H$4,$D$4:$J$4,0),0)*角色成长!G26*角色成长!$L$15</f>
        <v>1218.9007411259765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30" t="s">
        <v>255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0.27</v>
      </c>
      <c r="G14" s="6">
        <f>VLOOKUP($D14,角色设定!$AB:$AJ,MATCH(G$4,角色设定!$AB$9:$AJ$9,0),0)*IF($E14=G$4,角色成长!$F$5,角色成长!$H$5)</f>
        <v>0.15686274509803921</v>
      </c>
      <c r="H14" s="6">
        <f>VLOOKUP($D14,角色设定!$AB:$AJ,MATCH(H$4,角色设定!$AB$9:$AJ$9,0),0)</f>
        <v>0.63636363636363635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2.9920099176886961</v>
      </c>
      <c r="M14" s="1">
        <v>10</v>
      </c>
      <c r="N14" s="6">
        <f>VLOOKUP($N$2,角色品星!$C$16:$D$20,2,0)*VLOOKUP($N$3,角色品星!$C$3:$E$14,3,0)*V14</f>
        <v>70.579730414463754</v>
      </c>
      <c r="O14" s="6">
        <f>VLOOKUP($N$2,角色品星!$C$16:$D$20,2,0)*VLOOKUP($N$3,角色品星!$C$3:$E$14,3,0)*W14</f>
        <v>2106.1211937883568</v>
      </c>
      <c r="P14" s="6">
        <f>VLOOKUP($N$2,角色品星!$C$16:$D$20,2,0)*VLOOKUP($N$3,角色品星!$C$3:$E$14,3,0)*X14</f>
        <v>703.91517800025167</v>
      </c>
      <c r="Q14" s="23">
        <f t="shared" si="3"/>
        <v>0.05</v>
      </c>
      <c r="R14" s="23">
        <f t="shared" si="4"/>
        <v>1.5</v>
      </c>
      <c r="S14" s="23">
        <f t="shared" si="5"/>
        <v>0.9</v>
      </c>
      <c r="T14" s="38">
        <f>N14*(1+Q14*(R14-1))*S14*战斗公式!$E$38+(P14*战斗公式!$E$39+1)*O14*战斗公式!$E$40</f>
        <v>3748.6915332220833</v>
      </c>
      <c r="U14" s="38">
        <f t="shared" si="6"/>
        <v>186.80620662418551</v>
      </c>
      <c r="V14" s="6">
        <f>VLOOKUP($N$1,$D$4:$J$15,MATCH(F$4,$D$4:$J$4,0),0)*角色成长!E27*角色成长!$L$15*AB14/AA14/(1+$Y$2*($Z$2-1))</f>
        <v>128.32678257175226</v>
      </c>
      <c r="W14" s="6">
        <f>VLOOKUP($N$1,$D$4:$J$15,MATCH(G$4,$D$4:$J$4,0),0)*角色成长!F27*角色成长!$L$15/(1+X14/角色成长!$N$16)</f>
        <v>3829.3112614333754</v>
      </c>
      <c r="X14" s="6">
        <f>VLOOKUP($N$1,$D$4:$J$15,MATCH(H$4,$D$4:$J$4,0),0)*角色成长!G27*角色成长!$L$15</f>
        <v>1279.8457781822756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30" t="s">
        <v>256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0.12705882352941178</v>
      </c>
      <c r="G15" s="6">
        <f>VLOOKUP($D15,角色设定!$AB:$AJ,MATCH(G$4,角色设定!$AB$9:$AJ$9,0),0)*IF($E15=G$4,角色成长!$F$5,角色成长!$H$5)</f>
        <v>0.19607843137254904</v>
      </c>
      <c r="H15" s="6">
        <f>VLOOKUP($D15,角色设定!$AB:$AJ,MATCH(H$4,角色设定!$AB$9:$AJ$9,0),0)</f>
        <v>0.25454545454545452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2.9901206507463396</v>
      </c>
      <c r="M15" s="1">
        <v>11</v>
      </c>
      <c r="N15" s="6">
        <f>VLOOKUP($N$2,角色品星!$C$16:$D$20,2,0)*VLOOKUP($N$3,角色品星!$C$3:$E$14,3,0)*V15</f>
        <v>74.108716935186948</v>
      </c>
      <c r="O15" s="6">
        <f>VLOOKUP($N$2,角色品星!$C$16:$D$20,2,0)*VLOOKUP($N$3,角色品星!$C$3:$E$14,3,0)*W15</f>
        <v>2210.0308756179547</v>
      </c>
      <c r="P15" s="6">
        <f>VLOOKUP($N$2,角色品星!$C$16:$D$20,2,0)*VLOOKUP($N$3,角色品星!$C$3:$E$14,3,0)*X15</f>
        <v>739.11093690026416</v>
      </c>
      <c r="Q15" s="23">
        <f t="shared" si="3"/>
        <v>0.05</v>
      </c>
      <c r="R15" s="23">
        <f t="shared" si="4"/>
        <v>1.5</v>
      </c>
      <c r="S15" s="23">
        <f t="shared" si="5"/>
        <v>0.9</v>
      </c>
      <c r="T15" s="38">
        <f>N15*(1+Q15*(R15-1))*S15*战斗公式!$E$38+(P15*战斗公式!$E$39+1)*O15*战斗公式!$E$40</f>
        <v>3935.4977398462688</v>
      </c>
      <c r="U15" s="38">
        <f t="shared" si="6"/>
        <v>196.08300519656405</v>
      </c>
      <c r="V15" s="6">
        <f>VLOOKUP($N$1,$D$4:$J$15,MATCH(F$4,$D$4:$J$4,0),0)*角色成长!E28*角色成长!$L$15*AB15/AA15/(1+$Y$2*($Z$2-1))</f>
        <v>134.74312170033988</v>
      </c>
      <c r="W15" s="6">
        <f>VLOOKUP($N$1,$D$4:$J$15,MATCH(G$4,$D$4:$J$4,0),0)*角色成长!F28*角色成长!$L$15/(1+X15/角色成长!$N$16)</f>
        <v>4018.2379556690084</v>
      </c>
      <c r="X15" s="6">
        <f>VLOOKUP($N$1,$D$4:$J$15,MATCH(H$4,$D$4:$J$4,0),0)*角色成长!G28*角色成长!$L$15</f>
        <v>1343.8380670913893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5"/>
      <c r="F16" s="25"/>
      <c r="G16" s="25"/>
      <c r="L16" s="6">
        <f t="shared" si="2"/>
        <v>2.9881394865885373</v>
      </c>
      <c r="M16" s="1">
        <v>12</v>
      </c>
      <c r="N16" s="6">
        <f>VLOOKUP($N$2,角色品星!$C$16:$D$20,2,0)*VLOOKUP($N$3,角色品星!$C$3:$E$14,3,0)*V16</f>
        <v>77.814152781946291</v>
      </c>
      <c r="O16" s="6">
        <f>VLOOKUP($N$2,角色品星!$C$16:$D$20,2,0)*VLOOKUP($N$3,角色品星!$C$3:$E$14,3,0)*W16</f>
        <v>2318.9949042971843</v>
      </c>
      <c r="P16" s="6">
        <f>VLOOKUP($N$2,角色品星!$C$16:$D$20,2,0)*VLOOKUP($N$3,角色品星!$C$3:$E$14,3,0)*X16</f>
        <v>776.06648374527731</v>
      </c>
      <c r="Q16" s="23">
        <f t="shared" si="3"/>
        <v>0.05</v>
      </c>
      <c r="R16" s="23">
        <f t="shared" si="4"/>
        <v>1.5</v>
      </c>
      <c r="S16" s="23">
        <f t="shared" si="5"/>
        <v>0.9</v>
      </c>
      <c r="T16" s="38">
        <f>N16*(1+Q16*(R16-1))*S16*战斗公式!$E$38+(P16*战斗公式!$E$39+1)*O16*战斗公式!$E$40</f>
        <v>4131.5807450428329</v>
      </c>
      <c r="U16" s="38">
        <f t="shared" si="6"/>
        <v>205.8172729387552</v>
      </c>
      <c r="V16" s="6">
        <f>VLOOKUP($N$1,$D$4:$J$15,MATCH(F$4,$D$4:$J$4,0),0)*角色成长!E29*角色成长!$L$15*AB16/AA16/(1+$Y$2*($Z$2-1))</f>
        <v>141.48027778535689</v>
      </c>
      <c r="W16" s="6">
        <f>VLOOKUP($N$1,$D$4:$J$15,MATCH(G$4,$D$4:$J$4,0),0)*角色成长!F29*角色成长!$L$15/(1+X16/角色成长!$N$16)</f>
        <v>4216.3543714494253</v>
      </c>
      <c r="X16" s="6">
        <f>VLOOKUP($N$1,$D$4:$J$15,MATCH(H$4,$D$4:$J$4,0),0)*角色成长!G29*角色成长!$L$15</f>
        <v>1411.0299704459587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1"/>
    </row>
    <row r="17" spans="2:38" ht="14.25" customHeight="1" x14ac:dyDescent="0.2">
      <c r="C17" s="6"/>
      <c r="L17" s="6">
        <f t="shared" si="2"/>
        <v>2.9860620877589072</v>
      </c>
      <c r="M17" s="1">
        <v>13</v>
      </c>
      <c r="N17" s="6">
        <f>VLOOKUP($N$2,角色品星!$C$16:$D$20,2,0)*VLOOKUP($N$3,角色品星!$C$3:$E$14,3,0)*V17</f>
        <v>81.704860421043605</v>
      </c>
      <c r="O17" s="6">
        <f>VLOOKUP($N$2,角色品星!$C$16:$D$20,2,0)*VLOOKUP($N$3,角色品星!$C$3:$E$14,3,0)*W17</f>
        <v>2433.2518399267437</v>
      </c>
      <c r="P17" s="6">
        <f>VLOOKUP($N$2,角色品星!$C$16:$D$20,2,0)*VLOOKUP($N$3,角色品星!$C$3:$E$14,3,0)*X17</f>
        <v>814.86980793254122</v>
      </c>
      <c r="Q17" s="23">
        <f t="shared" si="3"/>
        <v>0.05</v>
      </c>
      <c r="R17" s="23">
        <f t="shared" si="4"/>
        <v>1.5</v>
      </c>
      <c r="S17" s="23">
        <f t="shared" si="5"/>
        <v>0.9</v>
      </c>
      <c r="T17" s="38">
        <f>N17*(1+Q17*(R17-1))*S17*战斗公式!$E$38+(P17*战斗公式!$E$39+1)*O17*战斗公式!$E$40</f>
        <v>4337.3980179815881</v>
      </c>
      <c r="U17" s="38">
        <f t="shared" si="6"/>
        <v>216.03125180969619</v>
      </c>
      <c r="V17" s="6">
        <f>VLOOKUP($N$1,$D$4:$J$15,MATCH(F$4,$D$4:$J$4,0),0)*角色成长!E30*角色成长!$L$15*AB17/AA17/(1+$Y$2*($Z$2-1))</f>
        <v>148.55429167462472</v>
      </c>
      <c r="W17" s="6">
        <f>VLOOKUP($N$1,$D$4:$J$15,MATCH(G$4,$D$4:$J$4,0),0)*角色成长!F30*角色成长!$L$15/(1+X17/角色成长!$N$16)</f>
        <v>4424.0942544122609</v>
      </c>
      <c r="X17" s="6">
        <f>VLOOKUP($N$1,$D$4:$J$15,MATCH(H$4,$D$4:$J$4,0),0)*角色成长!G30*角色成长!$L$15</f>
        <v>1481.5814689682566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5"/>
      <c r="J18" s="6"/>
      <c r="K18" s="6"/>
      <c r="L18" s="6">
        <f t="shared" si="2"/>
        <v>2.9838839254433931</v>
      </c>
      <c r="M18" s="1">
        <v>14</v>
      </c>
      <c r="N18" s="6">
        <f>VLOOKUP($N$2,角色品星!$C$16:$D$20,2,0)*VLOOKUP($N$3,角色品星!$C$3:$E$14,3,0)*V18</f>
        <v>85.79010344209577</v>
      </c>
      <c r="O18" s="6">
        <f>VLOOKUP($N$2,角色品星!$C$16:$D$20,2,0)*VLOOKUP($N$3,角色品星!$C$3:$E$14,3,0)*W18</f>
        <v>2553.0507672800081</v>
      </c>
      <c r="P18" s="6">
        <f>VLOOKUP($N$2,角色品星!$C$16:$D$20,2,0)*VLOOKUP($N$3,角色品星!$C$3:$E$14,3,0)*X18</f>
        <v>855.6132983291684</v>
      </c>
      <c r="Q18" s="23">
        <f t="shared" si="3"/>
        <v>0.05</v>
      </c>
      <c r="R18" s="23">
        <f t="shared" si="4"/>
        <v>1.5</v>
      </c>
      <c r="S18" s="23">
        <f t="shared" si="5"/>
        <v>0.9</v>
      </c>
      <c r="T18" s="38">
        <f>N18*(1+Q18*(R18-1))*S18*战斗公式!$E$38+(P18*战斗公式!$E$39+1)*O18*战斗公式!$E$40</f>
        <v>4553.4292697912842</v>
      </c>
      <c r="U18" s="38">
        <f t="shared" si="6"/>
        <v>226.74823443452897</v>
      </c>
      <c r="V18" s="6">
        <f>VLOOKUP($N$1,$D$4:$J$15,MATCH(F$4,$D$4:$J$4,0),0)*角色成长!E31*角色成长!$L$15*AB18/AA18/(1+$Y$2*($Z$2-1))</f>
        <v>155.98200625835594</v>
      </c>
      <c r="W18" s="6">
        <f>VLOOKUP($N$1,$D$4:$J$15,MATCH(G$4,$D$4:$J$4,0),0)*角色成长!F31*角色成长!$L$15/(1+X18/角色成长!$N$16)</f>
        <v>4641.9104859636509</v>
      </c>
      <c r="X18" s="6">
        <f>VLOOKUP($N$1,$D$4:$J$15,MATCH(H$4,$D$4:$J$4,0),0)*角色成长!G31*角色成长!$L$15</f>
        <v>1555.6605424166696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1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5"/>
      <c r="J19" s="6"/>
      <c r="K19" s="6"/>
      <c r="L19" s="6">
        <f t="shared" si="2"/>
        <v>2.981600272384453</v>
      </c>
      <c r="M19" s="1">
        <v>15</v>
      </c>
      <c r="N19" s="6">
        <f>VLOOKUP($N$2,角色品星!$C$16:$D$20,2,0)*VLOOKUP($N$3,角色品星!$C$3:$E$14,3,0)*V19</f>
        <v>90.079608614200538</v>
      </c>
      <c r="O19" s="6">
        <f>VLOOKUP($N$2,角色品星!$C$16:$D$20,2,0)*VLOOKUP($N$3,角色品星!$C$3:$E$14,3,0)*W19</f>
        <v>2678.6516855217092</v>
      </c>
      <c r="P19" s="6">
        <f>VLOOKUP($N$2,角色品星!$C$16:$D$20,2,0)*VLOOKUP($N$3,角色品星!$C$3:$E$14,3,0)*X19</f>
        <v>898.39396324562676</v>
      </c>
      <c r="Q19" s="23">
        <f t="shared" si="3"/>
        <v>0.05</v>
      </c>
      <c r="R19" s="23">
        <f t="shared" si="4"/>
        <v>1.5</v>
      </c>
      <c r="S19" s="23">
        <f t="shared" si="5"/>
        <v>0.9</v>
      </c>
      <c r="T19" s="38">
        <f>N19*(1+Q19*(R19-1))*S19*战斗公式!$E$38+(P19*战斗公式!$E$39+1)*O19*战斗公式!$E$40</f>
        <v>4780.1775042258132</v>
      </c>
      <c r="U19" s="38">
        <f t="shared" si="6"/>
        <v>237.99261084145201</v>
      </c>
      <c r="V19" s="6">
        <f>VLOOKUP($N$1,$D$4:$J$15,MATCH(F$4,$D$4:$J$4,0),0)*角色成长!E32*角色成长!$L$15*AB19/AA19/(1+$Y$2*($Z$2-1))</f>
        <v>163.78110657127368</v>
      </c>
      <c r="W19" s="6">
        <f>VLOOKUP($N$1,$D$4:$J$15,MATCH(G$4,$D$4:$J$4,0),0)*角色成长!F32*角色成长!$L$15/(1+X19/角色成长!$N$16)</f>
        <v>4870.2757918576526</v>
      </c>
      <c r="X19" s="6">
        <f>VLOOKUP($N$1,$D$4:$J$15,MATCH(H$4,$D$4:$J$4,0),0)*角色成长!G32*角色成长!$L$15</f>
        <v>1633.443569537503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1"/>
      <c r="AE19" s="21"/>
      <c r="AF19" s="21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5"/>
      <c r="J20" s="6"/>
      <c r="K20" s="6"/>
      <c r="L20" s="6">
        <f t="shared" si="2"/>
        <v>2.9792061956751854</v>
      </c>
      <c r="M20" s="1">
        <v>16</v>
      </c>
      <c r="N20" s="6">
        <f>VLOOKUP($N$2,角色品星!$C$16:$D$20,2,0)*VLOOKUP($N$3,角色品星!$C$3:$E$14,3,0)*V20</f>
        <v>94.583589044910568</v>
      </c>
      <c r="O20" s="6">
        <f>VLOOKUP($N$2,角色品星!$C$16:$D$20,2,0)*VLOOKUP($N$3,角色品星!$C$3:$E$14,3,0)*W20</f>
        <v>2810.3259045314844</v>
      </c>
      <c r="P20" s="6">
        <f>VLOOKUP($N$2,角色品星!$C$16:$D$20,2,0)*VLOOKUP($N$3,角色品星!$C$3:$E$14,3,0)*X20</f>
        <v>943.31366140790828</v>
      </c>
      <c r="Q20" s="23">
        <f t="shared" si="3"/>
        <v>0.05</v>
      </c>
      <c r="R20" s="23">
        <f t="shared" si="4"/>
        <v>1.5</v>
      </c>
      <c r="S20" s="23">
        <f t="shared" si="5"/>
        <v>0.9</v>
      </c>
      <c r="T20" s="38">
        <f>N20*(1+Q20*(R20-1))*S20*战斗公式!$E$38+(P20*战斗公式!$E$39+1)*O20*战斗公式!$E$40</f>
        <v>5018.1701150672652</v>
      </c>
      <c r="U20" s="38">
        <f t="shared" si="6"/>
        <v>249.78991701602172</v>
      </c>
      <c r="V20" s="6">
        <f>VLOOKUP($N$1,$D$4:$J$15,MATCH(F$4,$D$4:$J$4,0),0)*角色成长!E33*角色成长!$L$15*AB20/AA20/(1+$Y$2*($Z$2-1))</f>
        <v>171.97016189983739</v>
      </c>
      <c r="W20" s="6">
        <f>VLOOKUP($N$1,$D$4:$J$15,MATCH(G$4,$D$4:$J$4,0),0)*角色成长!F33*角色成长!$L$15/(1+X20/角色成长!$N$16)</f>
        <v>5109.6834627845165</v>
      </c>
      <c r="X20" s="6">
        <f>VLOOKUP($N$1,$D$4:$J$15,MATCH(H$4,$D$4:$J$4,0),0)*角色成长!G33*角色成长!$L$15</f>
        <v>1715.1157480143786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1"/>
      <c r="AE20" s="21"/>
      <c r="AF20" s="21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5"/>
      <c r="J21" s="6"/>
      <c r="K21" s="6"/>
      <c r="L21" s="6">
        <f t="shared" si="2"/>
        <v>2.9766965494483317</v>
      </c>
      <c r="M21" s="1">
        <v>17</v>
      </c>
      <c r="N21" s="6">
        <f>VLOOKUP($N$2,角色品星!$C$16:$D$20,2,0)*VLOOKUP($N$3,角色品星!$C$3:$E$14,3,0)*V21</f>
        <v>99.3127684971561</v>
      </c>
      <c r="O21" s="6">
        <f>VLOOKUP($N$2,角色品星!$C$16:$D$20,2,0)*VLOOKUP($N$3,角色品星!$C$3:$E$14,3,0)*W21</f>
        <v>2948.3564470084116</v>
      </c>
      <c r="P21" s="6">
        <f>VLOOKUP($N$2,角色品星!$C$16:$D$20,2,0)*VLOOKUP($N$3,角色品星!$C$3:$E$14,3,0)*X21</f>
        <v>990.47934447830357</v>
      </c>
      <c r="Q21" s="23">
        <f t="shared" si="3"/>
        <v>0.05</v>
      </c>
      <c r="R21" s="23">
        <f t="shared" si="4"/>
        <v>1.5</v>
      </c>
      <c r="S21" s="23">
        <f t="shared" si="5"/>
        <v>0.9</v>
      </c>
      <c r="T21" s="38">
        <f>N21*(1+Q21*(R21-1))*S21*战斗公式!$E$38+(P21*战斗公式!$E$39+1)*O21*战斗公式!$E$40</f>
        <v>5267.9600320832869</v>
      </c>
      <c r="U21" s="38">
        <f t="shared" si="6"/>
        <v>262.16688532160515</v>
      </c>
      <c r="V21" s="6">
        <f>VLOOKUP($N$1,$D$4:$J$15,MATCH(F$4,$D$4:$J$4,0),0)*角色成长!E34*角色成长!$L$15*AB21/AA21/(1+$Y$2*($Z$2-1))</f>
        <v>180.56866999482926</v>
      </c>
      <c r="W21" s="6">
        <f>VLOOKUP($N$1,$D$4:$J$15,MATCH(G$4,$D$4:$J$4,0),0)*角色成长!F34*角色成长!$L$15/(1+X21/角色成长!$N$16)</f>
        <v>5360.6480854698384</v>
      </c>
      <c r="X21" s="6">
        <f>VLOOKUP($N$1,$D$4:$J$15,MATCH(H$4,$D$4:$J$4,0),0)*角色成长!G34*角色成长!$L$15</f>
        <v>1800.8715354150972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1"/>
      <c r="AE21" s="21"/>
      <c r="AF21" s="21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5"/>
      <c r="J22" s="6"/>
      <c r="K22" s="6"/>
      <c r="L22" s="6">
        <f t="shared" si="2"/>
        <v>2.9740659674776198</v>
      </c>
      <c r="M22" s="1">
        <v>18</v>
      </c>
      <c r="N22" s="6">
        <f>VLOOKUP($N$2,角色品星!$C$16:$D$20,2,0)*VLOOKUP($N$3,角色品星!$C$3:$E$14,3,0)*V22</f>
        <v>104.27840692201394</v>
      </c>
      <c r="O22" s="6">
        <f>VLOOKUP($N$2,角色品星!$C$16:$D$20,2,0)*VLOOKUP($N$3,角色品星!$C$3:$E$14,3,0)*W22</f>
        <v>3093.0384553975878</v>
      </c>
      <c r="P22" s="6">
        <f>VLOOKUP($N$2,角色品星!$C$16:$D$20,2,0)*VLOOKUP($N$3,角色品星!$C$3:$E$14,3,0)*X22</f>
        <v>1040.0033117022188</v>
      </c>
      <c r="Q22" s="23">
        <f t="shared" si="3"/>
        <v>0.05</v>
      </c>
      <c r="R22" s="23">
        <f t="shared" si="4"/>
        <v>1.5</v>
      </c>
      <c r="S22" s="23">
        <f t="shared" si="5"/>
        <v>0.9</v>
      </c>
      <c r="T22" s="38">
        <f>N22*(1+Q22*(R22-1))*S22*战斗公式!$E$38+(P22*战斗公式!$E$39+1)*O22*战斗公式!$E$40</f>
        <v>5530.1269174048921</v>
      </c>
      <c r="U22" s="38">
        <f t="shared" si="6"/>
        <v>275.15149683412528</v>
      </c>
      <c r="V22" s="6">
        <f>VLOOKUP($N$1,$D$4:$J$15,MATCH(F$4,$D$4:$J$4,0),0)*角色成长!E35*角色成长!$L$15*AB22/AA22/(1+$Y$2*($Z$2-1))</f>
        <v>189.5971034945708</v>
      </c>
      <c r="W22" s="6">
        <f>VLOOKUP($N$1,$D$4:$J$15,MATCH(G$4,$D$4:$J$4,0),0)*角色成长!F35*角色成长!$L$15/(1+X22/角色成长!$N$16)</f>
        <v>5623.7062825410685</v>
      </c>
      <c r="X22" s="6">
        <f>VLOOKUP($N$1,$D$4:$J$15,MATCH(H$4,$D$4:$J$4,0),0)*角色成长!G35*角色成长!$L$15</f>
        <v>1890.9151121858522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1"/>
      <c r="AE22" s="21"/>
      <c r="AF22" s="21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5"/>
      <c r="J23" s="6"/>
      <c r="K23" s="6"/>
      <c r="L23" s="6">
        <f t="shared" si="2"/>
        <v>2.9713088557115461</v>
      </c>
      <c r="M23" s="1">
        <v>19</v>
      </c>
      <c r="N23" s="6">
        <f>VLOOKUP($N$2,角色品星!$C$16:$D$20,2,0)*VLOOKUP($N$3,角色品星!$C$3:$E$14,3,0)*V23</f>
        <v>109.49232726811465</v>
      </c>
      <c r="O23" s="6">
        <f>VLOOKUP($N$2,角色品星!$C$16:$D$20,2,0)*VLOOKUP($N$3,角色品星!$C$3:$E$14,3,0)*W23</f>
        <v>3244.6796025316453</v>
      </c>
      <c r="P23" s="6">
        <f>VLOOKUP($N$2,角色品星!$C$16:$D$20,2,0)*VLOOKUP($N$3,角色品星!$C$3:$E$14,3,0)*X23</f>
        <v>1092.0034772873298</v>
      </c>
      <c r="Q23" s="23">
        <f t="shared" si="3"/>
        <v>0.05</v>
      </c>
      <c r="R23" s="23">
        <f t="shared" si="4"/>
        <v>1.5</v>
      </c>
      <c r="S23" s="23">
        <f t="shared" si="5"/>
        <v>0.9</v>
      </c>
      <c r="T23" s="38">
        <f>N23*(1+Q23*(R23-1))*S23*战斗公式!$E$38+(P23*战斗公式!$E$39+1)*O23*战斗公式!$E$40</f>
        <v>5805.2784142390174</v>
      </c>
      <c r="U23" s="38">
        <f t="shared" si="6"/>
        <v>288.77303563901842</v>
      </c>
      <c r="V23" s="6">
        <f>VLOOKUP($N$1,$D$4:$J$15,MATCH(F$4,$D$4:$J$4,0),0)*角色成长!E36*角色成长!$L$15*AB23/AA23/(1+$Y$2*($Z$2-1))</f>
        <v>199.07695866929936</v>
      </c>
      <c r="W23" s="6">
        <f>VLOOKUP($N$1,$D$4:$J$15,MATCH(G$4,$D$4:$J$4,0),0)*角色成长!F36*角色成长!$L$15/(1+X23/角色成长!$N$16)</f>
        <v>5899.4174591484452</v>
      </c>
      <c r="X23" s="6">
        <f>VLOOKUP($N$1,$D$4:$J$15,MATCH(H$4,$D$4:$J$4,0),0)*角色成长!G36*角色成长!$L$15</f>
        <v>1985.4608677951451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1"/>
      <c r="AE23" s="21"/>
      <c r="AF23" s="21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5"/>
      <c r="J24" s="6"/>
      <c r="K24" s="6"/>
      <c r="L24" s="6">
        <f t="shared" si="2"/>
        <v>2.9684193847626958</v>
      </c>
      <c r="M24" s="1">
        <v>20</v>
      </c>
      <c r="N24" s="6">
        <f>VLOOKUP($N$2,角色品星!$C$16:$D$20,2,0)*VLOOKUP($N$3,角色品星!$C$3:$E$14,3,0)*V24</f>
        <v>114.96694363152037</v>
      </c>
      <c r="O24" s="6">
        <f>VLOOKUP($N$2,角色品星!$C$16:$D$20,2,0)*VLOOKUP($N$3,角色品星!$C$3:$E$14,3,0)*W24</f>
        <v>3403.6005047183789</v>
      </c>
      <c r="P24" s="6">
        <f>VLOOKUP($N$2,角色品星!$C$16:$D$20,2,0)*VLOOKUP($N$3,角色品星!$C$3:$E$14,3,0)*X24</f>
        <v>1146.6036511516963</v>
      </c>
      <c r="Q24" s="23">
        <f t="shared" si="3"/>
        <v>0.05</v>
      </c>
      <c r="R24" s="23">
        <f t="shared" si="4"/>
        <v>1.5</v>
      </c>
      <c r="S24" s="23">
        <f t="shared" si="5"/>
        <v>0.9</v>
      </c>
      <c r="T24" s="38">
        <f>N24*(1+Q24*(R24-1))*S24*战斗公式!$E$38+(P24*战斗公式!$E$39+1)*O24*战斗公式!$E$40</f>
        <v>6094.0514498780358</v>
      </c>
      <c r="U24" s="38">
        <f t="shared" si="6"/>
        <v>303.06214513762279</v>
      </c>
      <c r="V24" s="6">
        <f>VLOOKUP($N$1,$D$4:$J$15,MATCH(F$4,$D$4:$J$4,0),0)*角色成长!E37*角色成长!$L$15*AB24/AA24/(1+$Y$2*($Z$2-1))</f>
        <v>209.03080660276427</v>
      </c>
      <c r="W24" s="6">
        <f>VLOOKUP($N$1,$D$4:$J$15,MATCH(G$4,$D$4:$J$4,0),0)*角色成长!F37*角色成长!$L$15/(1+X24/角色成长!$N$16)</f>
        <v>6188.3645540334155</v>
      </c>
      <c r="X24" s="6">
        <f>VLOOKUP($N$1,$D$4:$J$15,MATCH(H$4,$D$4:$J$4,0),0)*角色成长!G37*角色成长!$L$15</f>
        <v>2084.7339111849024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1"/>
      <c r="AE24" s="21"/>
      <c r="AF24" s="21"/>
      <c r="AG24" s="9"/>
      <c r="AH24" s="9"/>
      <c r="AI24" s="9"/>
      <c r="AJ24" s="9"/>
      <c r="AK24" s="9"/>
      <c r="AL24" s="9"/>
    </row>
    <row r="25" spans="2:38" ht="14.25" customHeight="1" x14ac:dyDescent="0.2">
      <c r="B25" s="31"/>
      <c r="C25" s="6"/>
      <c r="E25" s="6"/>
      <c r="F25" s="6"/>
      <c r="G25" s="6"/>
      <c r="H25" s="6"/>
      <c r="I25" s="25"/>
      <c r="J25" s="6"/>
      <c r="K25" s="6"/>
      <c r="L25" s="6">
        <f t="shared" si="2"/>
        <v>2.9653914823788621</v>
      </c>
      <c r="M25" s="1">
        <v>21</v>
      </c>
      <c r="N25" s="6">
        <f>VLOOKUP($N$2,角色品星!$C$16:$D$20,2,0)*VLOOKUP($N$3,角色品星!$C$3:$E$14,3,0)*V25</f>
        <v>120.71529081309639</v>
      </c>
      <c r="O25" s="6">
        <f>VLOOKUP($N$2,角色品星!$C$16:$D$20,2,0)*VLOOKUP($N$3,角色品星!$C$3:$E$14,3,0)*W25</f>
        <v>3570.1351358292322</v>
      </c>
      <c r="P25" s="6">
        <f>VLOOKUP($N$2,角色品星!$C$16:$D$20,2,0)*VLOOKUP($N$3,角色品星!$C$3:$E$14,3,0)*X25</f>
        <v>1203.9338337092813</v>
      </c>
      <c r="Q25" s="23">
        <f t="shared" si="3"/>
        <v>0.05</v>
      </c>
      <c r="R25" s="23">
        <f t="shared" si="4"/>
        <v>1.5</v>
      </c>
      <c r="S25" s="23">
        <f t="shared" si="5"/>
        <v>0.9</v>
      </c>
      <c r="T25" s="38">
        <f>N25*(1+Q25*(R25-1))*S25*战斗公式!$E$38+(P25*战斗公式!$E$39+1)*O25*战斗公式!$E$40</f>
        <v>6397.1135950156586</v>
      </c>
      <c r="U25" s="38">
        <f t="shared" si="6"/>
        <v>318.0508864097319</v>
      </c>
      <c r="V25" s="6">
        <f>VLOOKUP($N$1,$D$4:$J$15,MATCH(F$4,$D$4:$J$4,0),0)*角色成长!E38*角色成长!$L$15*AB25/AA25/(1+$Y$2*($Z$2-1))</f>
        <v>219.48234693290252</v>
      </c>
      <c r="W25" s="6">
        <f>VLOOKUP($N$1,$D$4:$J$15,MATCH(G$4,$D$4:$J$4,0),0)*角色成长!F38*角色成长!$L$15/(1+X25/角色成长!$N$16)</f>
        <v>6491.1547924167853</v>
      </c>
      <c r="X25" s="6">
        <f>VLOOKUP($N$1,$D$4:$J$15,MATCH(H$4,$D$4:$J$4,0),0)*角色成长!G38*角色成长!$L$15</f>
        <v>2188.9706067441475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1"/>
      <c r="AE25" s="21"/>
      <c r="AF25" s="21"/>
      <c r="AG25" s="9"/>
      <c r="AH25" s="9"/>
      <c r="AI25" s="9"/>
      <c r="AJ25" s="9"/>
      <c r="AK25" s="9"/>
      <c r="AL25" s="9"/>
    </row>
    <row r="26" spans="2:38" ht="14.25" customHeight="1" x14ac:dyDescent="0.2">
      <c r="B26" s="31"/>
      <c r="C26" s="6"/>
      <c r="E26" s="6"/>
      <c r="F26" s="6"/>
      <c r="G26" s="6"/>
      <c r="H26" s="6"/>
      <c r="I26" s="25"/>
      <c r="J26" s="6"/>
      <c r="K26" s="6"/>
      <c r="L26" s="6">
        <f t="shared" si="2"/>
        <v>2.9622188259257265</v>
      </c>
      <c r="M26" s="1">
        <v>22</v>
      </c>
      <c r="N26" s="6">
        <f>VLOOKUP($N$2,角色品星!$C$16:$D$20,2,0)*VLOOKUP($N$3,角色品星!$C$3:$E$14,3,0)*V26</f>
        <v>126.7510553537512</v>
      </c>
      <c r="O26" s="6">
        <f>VLOOKUP($N$2,角色品星!$C$16:$D$20,2,0)*VLOOKUP($N$3,角色品星!$C$3:$E$14,3,0)*W26</f>
        <v>3744.6312407516934</v>
      </c>
      <c r="P26" s="6">
        <f>VLOOKUP($N$2,角色品星!$C$16:$D$20,2,0)*VLOOKUP($N$3,角色品星!$C$3:$E$14,3,0)*X26</f>
        <v>1264.1305253947451</v>
      </c>
      <c r="Q26" s="23">
        <f t="shared" si="3"/>
        <v>0.05</v>
      </c>
      <c r="R26" s="23">
        <f t="shared" si="4"/>
        <v>1.5</v>
      </c>
      <c r="S26" s="23">
        <f t="shared" si="5"/>
        <v>0.9</v>
      </c>
      <c r="T26" s="38">
        <f>N26*(1+Q26*(R26-1))*S26*战斗公式!$E$38+(P26*战斗公式!$E$39+1)*O26*战斗公式!$E$40</f>
        <v>6715.1644814253905</v>
      </c>
      <c r="U26" s="38">
        <f t="shared" si="6"/>
        <v>333.77279867848847</v>
      </c>
      <c r="V26" s="6">
        <f>VLOOKUP($N$1,$D$4:$J$15,MATCH(F$4,$D$4:$J$4,0),0)*角色成长!E39*角色成长!$L$15*AB26/AA26/(1+$Y$2*($Z$2-1))</f>
        <v>230.45646427954762</v>
      </c>
      <c r="W26" s="6">
        <f>VLOOKUP($N$1,$D$4:$J$15,MATCH(G$4,$D$4:$J$4,0),0)*角色成长!F39*角色成长!$L$15/(1+X26/角色成长!$N$16)</f>
        <v>6808.4204377303513</v>
      </c>
      <c r="X26" s="6">
        <f>VLOOKUP($N$1,$D$4:$J$15,MATCH(H$4,$D$4:$J$4,0),0)*角色成长!G39*角色成长!$L$15</f>
        <v>2298.4191370813546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1"/>
      <c r="AE26" s="21"/>
      <c r="AF26" s="21"/>
      <c r="AG26" s="9"/>
      <c r="AH26" s="9"/>
      <c r="AI26" s="9"/>
      <c r="AJ26" s="9"/>
      <c r="AK26" s="9"/>
      <c r="AL26" s="9"/>
    </row>
    <row r="27" spans="2:38" ht="14.25" customHeight="1" x14ac:dyDescent="0.2">
      <c r="B27" s="31"/>
      <c r="C27" s="6"/>
      <c r="E27" s="6"/>
      <c r="F27" s="6"/>
      <c r="G27" s="6"/>
      <c r="H27" s="6"/>
      <c r="I27" s="25"/>
      <c r="J27" s="6"/>
      <c r="K27" s="6"/>
      <c r="L27" s="6">
        <f t="shared" si="2"/>
        <v>2.9588948349146511</v>
      </c>
      <c r="M27" s="1">
        <v>23</v>
      </c>
      <c r="N27" s="6">
        <f>VLOOKUP($N$2,角色品星!$C$16:$D$20,2,0)*VLOOKUP($N$3,角色品星!$C$3:$E$14,3,0)*V27</f>
        <v>133.08860812143874</v>
      </c>
      <c r="O27" s="6">
        <f>VLOOKUP($N$2,角色品星!$C$16:$D$20,2,0)*VLOOKUP($N$3,角色品星!$C$3:$E$14,3,0)*W27</f>
        <v>3927.4507463608779</v>
      </c>
      <c r="P27" s="6">
        <f>VLOOKUP($N$2,角色品星!$C$16:$D$20,2,0)*VLOOKUP($N$3,角色品星!$C$3:$E$14,3,0)*X27</f>
        <v>1327.3370516644823</v>
      </c>
      <c r="Q27" s="23">
        <f t="shared" si="3"/>
        <v>0.05</v>
      </c>
      <c r="R27" s="23">
        <f t="shared" si="4"/>
        <v>1.5</v>
      </c>
      <c r="S27" s="23">
        <f t="shared" si="5"/>
        <v>0.9</v>
      </c>
      <c r="T27" s="38">
        <f>N27*(1+Q27*(R27-1))*S27*战斗公式!$E$38+(P27*战斗公式!$E$39+1)*O27*战斗公式!$E$40</f>
        <v>7048.9372801038789</v>
      </c>
      <c r="U27" s="38">
        <f t="shared" si="6"/>
        <v>350.26296192305381</v>
      </c>
      <c r="V27" s="6">
        <f>VLOOKUP($N$1,$D$4:$J$15,MATCH(F$4,$D$4:$J$4,0),0)*角色成长!E40*角色成长!$L$15*AB27/AA27/(1+$Y$2*($Z$2-1))</f>
        <v>241.97928749352496</v>
      </c>
      <c r="W27" s="6">
        <f>VLOOKUP($N$1,$D$4:$J$15,MATCH(G$4,$D$4:$J$4,0),0)*角色成长!F40*角色成长!$L$15/(1+X27/角色成长!$N$16)</f>
        <v>7140.819538837959</v>
      </c>
      <c r="X27" s="6">
        <f>VLOOKUP($N$1,$D$4:$J$15,MATCH(H$4,$D$4:$J$4,0),0)*角色成长!G40*角色成长!$L$15</f>
        <v>2413.3400939354219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1"/>
      <c r="AE27" s="21"/>
      <c r="AF27" s="21"/>
      <c r="AG27" s="9"/>
      <c r="AH27" s="9"/>
      <c r="AI27" s="9"/>
      <c r="AJ27" s="9"/>
      <c r="AK27" s="9"/>
      <c r="AL27" s="9"/>
    </row>
    <row r="28" spans="2:38" ht="14.25" customHeight="1" x14ac:dyDescent="0.2">
      <c r="B28" s="31"/>
      <c r="C28" s="6"/>
      <c r="E28" s="6"/>
      <c r="F28" s="6"/>
      <c r="G28" s="6"/>
      <c r="H28" s="6"/>
      <c r="I28" s="25"/>
      <c r="J28" s="6"/>
      <c r="K28" s="6"/>
      <c r="L28" s="6">
        <f t="shared" si="2"/>
        <v>2.9554126636131972</v>
      </c>
      <c r="M28" s="1">
        <v>24</v>
      </c>
      <c r="N28" s="6">
        <f>VLOOKUP($N$2,角色品星!$C$16:$D$20,2,0)*VLOOKUP($N$3,角色品星!$C$3:$E$14,3,0)*V28</f>
        <v>139.74303852751072</v>
      </c>
      <c r="O28" s="6">
        <f>VLOOKUP($N$2,角色品星!$C$16:$D$20,2,0)*VLOOKUP($N$3,角色品星!$C$3:$E$14,3,0)*W28</f>
        <v>4118.9701679408272</v>
      </c>
      <c r="P28" s="6">
        <f>VLOOKUP($N$2,角色品星!$C$16:$D$20,2,0)*VLOOKUP($N$3,角色品星!$C$3:$E$14,3,0)*X28</f>
        <v>1393.7039042477068</v>
      </c>
      <c r="Q28" s="23">
        <f t="shared" si="3"/>
        <v>0.05</v>
      </c>
      <c r="R28" s="23">
        <f t="shared" si="4"/>
        <v>1.5</v>
      </c>
      <c r="S28" s="23">
        <f t="shared" si="5"/>
        <v>0.9</v>
      </c>
      <c r="T28" s="38">
        <f>N28*(1+Q28*(R28-1))*S28*战斗公式!$E$38+(P28*战斗公式!$E$39+1)*O28*战斗公式!$E$40</f>
        <v>7399.2002420269328</v>
      </c>
      <c r="U28" s="38">
        <f t="shared" si="6"/>
        <v>367.55806168408799</v>
      </c>
      <c r="V28" s="6">
        <f>VLOOKUP($N$1,$D$4:$J$15,MATCH(F$4,$D$4:$J$4,0),0)*角色成长!E41*角色成长!$L$15*AB28/AA28/(1+$Y$2*($Z$2-1))</f>
        <v>254.07825186820131</v>
      </c>
      <c r="W28" s="6">
        <f>VLOOKUP($N$1,$D$4:$J$15,MATCH(G$4,$D$4:$J$4,0),0)*角色成长!F41*角色成长!$L$15/(1+X28/角色成长!$N$16)</f>
        <v>7489.0366689833209</v>
      </c>
      <c r="X28" s="6">
        <f>VLOOKUP($N$1,$D$4:$J$15,MATCH(H$4,$D$4:$J$4,0),0)*角色成长!G41*角色成长!$L$15</f>
        <v>2534.0070986321939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1"/>
      <c r="AE28" s="21"/>
      <c r="AF28" s="21"/>
      <c r="AG28" s="9"/>
      <c r="AH28" s="9"/>
      <c r="AI28" s="9"/>
      <c r="AJ28" s="9"/>
      <c r="AK28" s="9"/>
      <c r="AL28" s="9"/>
    </row>
    <row r="29" spans="2:38" ht="14.25" customHeight="1" x14ac:dyDescent="0.2">
      <c r="B29" s="31"/>
      <c r="C29" s="6"/>
      <c r="E29" s="6"/>
      <c r="F29" s="6"/>
      <c r="G29" s="6"/>
      <c r="H29" s="6"/>
      <c r="I29" s="25"/>
      <c r="J29" s="6"/>
      <c r="K29" s="6"/>
      <c r="L29" s="6">
        <f t="shared" si="2"/>
        <v>2.9517651937804135</v>
      </c>
      <c r="M29" s="1">
        <v>25</v>
      </c>
      <c r="N29" s="6">
        <f>VLOOKUP($N$2,角色品星!$C$16:$D$20,2,0)*VLOOKUP($N$3,角色品星!$C$3:$E$14,3,0)*V29</f>
        <v>146.73019045388622</v>
      </c>
      <c r="O29" s="6">
        <f>VLOOKUP($N$2,角色品星!$C$16:$D$20,2,0)*VLOOKUP($N$3,角色品星!$C$3:$E$14,3,0)*W29</f>
        <v>4319.5810087439622</v>
      </c>
      <c r="P29" s="6">
        <f>VLOOKUP($N$2,角色品星!$C$16:$D$20,2,0)*VLOOKUP($N$3,角色品星!$C$3:$E$14,3,0)*X29</f>
        <v>1463.3890994600918</v>
      </c>
      <c r="Q29" s="23">
        <f t="shared" si="3"/>
        <v>0.05</v>
      </c>
      <c r="R29" s="23">
        <f t="shared" si="4"/>
        <v>1.5</v>
      </c>
      <c r="S29" s="23">
        <f t="shared" si="5"/>
        <v>0.9</v>
      </c>
      <c r="T29" s="38">
        <f>N29*(1+Q29*(R29-1))*S29*战斗公式!$E$38+(P29*战斗公式!$E$39+1)*O29*战斗公式!$E$40</f>
        <v>7766.7583037110207</v>
      </c>
      <c r="U29" s="38">
        <f t="shared" si="6"/>
        <v>385.6964561065779</v>
      </c>
      <c r="V29" s="6">
        <f>VLOOKUP($N$1,$D$4:$J$15,MATCH(F$4,$D$4:$J$4,0),0)*角色成长!E42*角色成长!$L$15*AB29/AA29/(1+$Y$2*($Z$2-1))</f>
        <v>266.78216446161127</v>
      </c>
      <c r="W29" s="6">
        <f>VLOOKUP($N$1,$D$4:$J$15,MATCH(G$4,$D$4:$J$4,0),0)*角色成长!F42*角色成长!$L$15/(1+X29/角色成长!$N$16)</f>
        <v>7853.7836522617481</v>
      </c>
      <c r="X29" s="6">
        <f>VLOOKUP($N$1,$D$4:$J$15,MATCH(H$4,$D$4:$J$4,0),0)*角色成长!G42*角色成长!$L$15</f>
        <v>2660.707453563803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1"/>
      <c r="AE29" s="21"/>
      <c r="AF29" s="21"/>
      <c r="AG29" s="9"/>
      <c r="AH29" s="9"/>
      <c r="AI29" s="9"/>
      <c r="AJ29" s="9"/>
      <c r="AK29" s="9"/>
      <c r="AL29" s="9"/>
    </row>
    <row r="30" spans="2:38" ht="14.25" customHeight="1" x14ac:dyDescent="0.2">
      <c r="B30" s="31"/>
      <c r="C30" s="6"/>
      <c r="E30" s="6"/>
      <c r="F30" s="6"/>
      <c r="G30" s="6"/>
      <c r="H30" s="6"/>
      <c r="I30" s="25"/>
      <c r="J30" s="6"/>
      <c r="K30" s="6"/>
      <c r="L30" s="6">
        <f t="shared" si="2"/>
        <v>2.9479450275736343</v>
      </c>
      <c r="M30" s="1">
        <v>26</v>
      </c>
      <c r="N30" s="6">
        <f>VLOOKUP($N$2,角色品星!$C$16:$D$20,2,0)*VLOOKUP($N$3,角色品星!$C$3:$E$14,3,0)*V30</f>
        <v>154.06669997658054</v>
      </c>
      <c r="O30" s="6">
        <f>VLOOKUP($N$2,角色品星!$C$16:$D$20,2,0)*VLOOKUP($N$3,角色品星!$C$3:$E$14,3,0)*W30</f>
        <v>4529.6901501167777</v>
      </c>
      <c r="P30" s="6">
        <f>VLOOKUP($N$2,角色品星!$C$16:$D$20,2,0)*VLOOKUP($N$3,角色品星!$C$3:$E$14,3,0)*X30</f>
        <v>1536.5585544330963</v>
      </c>
      <c r="Q30" s="23">
        <f t="shared" si="3"/>
        <v>0.05</v>
      </c>
      <c r="R30" s="23">
        <f t="shared" si="4"/>
        <v>1.5</v>
      </c>
      <c r="S30" s="23">
        <f t="shared" si="5"/>
        <v>0.9</v>
      </c>
      <c r="T30" s="38">
        <f>N30*(1+Q30*(R30-1))*S30*战斗公式!$E$38+(P30*战斗公式!$E$39+1)*O30*战斗公式!$E$40</f>
        <v>8152.4547598175986</v>
      </c>
      <c r="U30" s="38">
        <f t="shared" si="6"/>
        <v>404.71824526416185</v>
      </c>
      <c r="V30" s="6">
        <f>VLOOKUP($N$1,$D$4:$J$15,MATCH(F$4,$D$4:$J$4,0),0)*角色成长!E43*角色成长!$L$15*AB30/AA30/(1+$Y$2*($Z$2-1))</f>
        <v>280.12127268469186</v>
      </c>
      <c r="W30" s="6">
        <f>VLOOKUP($N$1,$D$4:$J$15,MATCH(G$4,$D$4:$J$4,0),0)*角色成长!F43*角色成长!$L$15/(1+X30/角色成长!$N$16)</f>
        <v>8235.8002729395957</v>
      </c>
      <c r="X30" s="6">
        <f>VLOOKUP($N$1,$D$4:$J$15,MATCH(H$4,$D$4:$J$4,0),0)*角色成长!G43*角色成长!$L$15</f>
        <v>2793.742826241993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1"/>
      <c r="AE30" s="21"/>
      <c r="AF30" s="21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5"/>
      <c r="J31" s="6"/>
      <c r="K31" s="6"/>
      <c r="L31" s="6">
        <f t="shared" si="2"/>
        <v>2.9439444806786477</v>
      </c>
      <c r="M31" s="1">
        <v>27</v>
      </c>
      <c r="N31" s="6">
        <f>VLOOKUP($N$2,角色品星!$C$16:$D$20,2,0)*VLOOKUP($N$3,角色品星!$C$3:$E$14,3,0)*V31</f>
        <v>161.77003497540954</v>
      </c>
      <c r="O31" s="6">
        <f>VLOOKUP($N$2,角色品星!$C$16:$D$20,2,0)*VLOOKUP($N$3,角色品星!$C$3:$E$14,3,0)*W31</f>
        <v>4749.7202293410201</v>
      </c>
      <c r="P31" s="6">
        <f>VLOOKUP($N$2,角色品星!$C$16:$D$20,2,0)*VLOOKUP($N$3,角色品星!$C$3:$E$14,3,0)*X31</f>
        <v>1613.3864821547515</v>
      </c>
      <c r="Q31" s="23">
        <f t="shared" si="3"/>
        <v>0.05</v>
      </c>
      <c r="R31" s="23">
        <f t="shared" si="4"/>
        <v>1.5</v>
      </c>
      <c r="S31" s="23">
        <f t="shared" si="5"/>
        <v>0.9</v>
      </c>
      <c r="T31" s="38">
        <f>N31*(1+Q31*(R31-1))*S31*战斗公式!$E$38+(P31*战斗公式!$E$39+1)*O31*战斗公式!$E$40</f>
        <v>8557.1730050817605</v>
      </c>
      <c r="U31" s="38">
        <f t="shared" si="6"/>
        <v>424.66534280924861</v>
      </c>
      <c r="V31" s="6">
        <f>VLOOKUP($N$1,$D$4:$J$15,MATCH(F$4,$D$4:$J$4,0),0)*角色成长!E44*角色成长!$L$15*AB31/AA31/(1+$Y$2*($Z$2-1))</f>
        <v>294.12733631892644</v>
      </c>
      <c r="W31" s="6">
        <f>VLOOKUP($N$1,$D$4:$J$15,MATCH(G$4,$D$4:$J$4,0),0)*角色成长!F44*角色成长!$L$15/(1+X31/角色成长!$N$16)</f>
        <v>8635.8549624382176</v>
      </c>
      <c r="X31" s="6">
        <f>VLOOKUP($N$1,$D$4:$J$15,MATCH(H$4,$D$4:$J$4,0),0)*角色成长!G44*角色成长!$L$15</f>
        <v>2933.4299675540933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1"/>
      <c r="AE31" s="21"/>
      <c r="AF31" s="21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5"/>
      <c r="J32" s="6"/>
      <c r="K32" s="6"/>
      <c r="L32" s="6">
        <f t="shared" si="2"/>
        <v>2.9397555757204525</v>
      </c>
      <c r="M32" s="1">
        <v>28</v>
      </c>
      <c r="N32" s="6">
        <f>VLOOKUP($N$2,角色品星!$C$16:$D$20,2,0)*VLOOKUP($N$3,角色品星!$C$3:$E$14,3,0)*V32</f>
        <v>169.85853672418008</v>
      </c>
      <c r="O32" s="6">
        <f>VLOOKUP($N$2,角色品星!$C$16:$D$20,2,0)*VLOOKUP($N$3,角色品星!$C$3:$E$14,3,0)*W32</f>
        <v>4980.1100020417589</v>
      </c>
      <c r="P32" s="6">
        <f>VLOOKUP($N$2,角色品星!$C$16:$D$20,2,0)*VLOOKUP($N$3,角色品星!$C$3:$E$14,3,0)*X32</f>
        <v>1694.0558062624891</v>
      </c>
      <c r="Q32" s="23">
        <f t="shared" si="3"/>
        <v>0.05</v>
      </c>
      <c r="R32" s="23">
        <f t="shared" si="4"/>
        <v>1.5</v>
      </c>
      <c r="S32" s="23">
        <f t="shared" si="5"/>
        <v>0.9</v>
      </c>
      <c r="T32" s="38">
        <f>N32*(1+Q32*(R32-1))*S32*战斗公式!$E$38+(P32*战斗公式!$E$39+1)*O32*战斗公式!$E$40</f>
        <v>8981.8383478910091</v>
      </c>
      <c r="U32" s="38">
        <f t="shared" si="6"/>
        <v>445.58154999339422</v>
      </c>
      <c r="V32" s="6">
        <f>VLOOKUP($N$1,$D$4:$J$15,MATCH(F$4,$D$4:$J$4,0),0)*角色成长!E45*角色成长!$L$15*AB32/AA32/(1+$Y$2*($Z$2-1))</f>
        <v>308.83370313487285</v>
      </c>
      <c r="W32" s="6">
        <f>VLOOKUP($N$1,$D$4:$J$15,MATCH(G$4,$D$4:$J$4,0),0)*角色成长!F45*角色成长!$L$15/(1+X32/角色成长!$N$16)</f>
        <v>9054.7454582577429</v>
      </c>
      <c r="X32" s="6">
        <f>VLOOKUP($N$1,$D$4:$J$15,MATCH(H$4,$D$4:$J$4,0),0)*角色成长!G45*角色成长!$L$15</f>
        <v>3080.101465931798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1"/>
      <c r="AE32" s="21"/>
      <c r="AF32" s="21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5"/>
      <c r="J33" s="6"/>
      <c r="K33" s="6"/>
      <c r="L33" s="6">
        <f t="shared" si="2"/>
        <v>2.9353700360176327</v>
      </c>
      <c r="M33" s="1">
        <v>29</v>
      </c>
      <c r="N33" s="6">
        <f>VLOOKUP($N$2,角色品星!$C$16:$D$20,2,0)*VLOOKUP($N$3,角色品星!$C$3:$E$14,3,0)*V33</f>
        <v>178.35146356038905</v>
      </c>
      <c r="O33" s="6">
        <f>VLOOKUP($N$2,角色品星!$C$16:$D$20,2,0)*VLOOKUP($N$3,角色品星!$C$3:$E$14,3,0)*W33</f>
        <v>5221.3146856968324</v>
      </c>
      <c r="P33" s="6">
        <f>VLOOKUP($N$2,角色品星!$C$16:$D$20,2,0)*VLOOKUP($N$3,角色品星!$C$3:$E$14,3,0)*X33</f>
        <v>1778.7585965756134</v>
      </c>
      <c r="Q33" s="23">
        <f t="shared" si="3"/>
        <v>0.05</v>
      </c>
      <c r="R33" s="23">
        <f t="shared" si="4"/>
        <v>1.5</v>
      </c>
      <c r="S33" s="23">
        <f t="shared" si="5"/>
        <v>0.9</v>
      </c>
      <c r="T33" s="38">
        <f>N33*(1+Q33*(R33-1))*S33*战斗公式!$E$38+(P33*战斗公式!$E$39+1)*O33*战斗公式!$E$40</f>
        <v>9427.4198978844033</v>
      </c>
      <c r="U33" s="38">
        <f t="shared" si="6"/>
        <v>467.51263210318939</v>
      </c>
      <c r="V33" s="6">
        <f>VLOOKUP($N$1,$D$4:$J$15,MATCH(F$4,$D$4:$J$4,0),0)*角色成长!E46*角色成长!$L$15*AB33/AA33/(1+$Y$2*($Z$2-1))</f>
        <v>324.27538829161642</v>
      </c>
      <c r="W33" s="6">
        <f>VLOOKUP($N$1,$D$4:$J$15,MATCH(G$4,$D$4:$J$4,0),0)*角色成长!F46*角色成长!$L$15/(1+X33/角色成长!$N$16)</f>
        <v>9493.2994285396944</v>
      </c>
      <c r="X33" s="6">
        <f>VLOOKUP($N$1,$D$4:$J$15,MATCH(H$4,$D$4:$J$4,0),0)*角色成长!G46*角色成长!$L$15</f>
        <v>3234.1065392283876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1"/>
      <c r="AE33" s="21"/>
      <c r="AF33" s="21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5"/>
      <c r="J34" s="6"/>
      <c r="K34" s="6"/>
      <c r="L34" s="6">
        <f t="shared" si="2"/>
        <v>2.9307792797494656</v>
      </c>
      <c r="M34" s="1">
        <v>30</v>
      </c>
      <c r="N34" s="6">
        <f>VLOOKUP($N$2,角色品星!$C$16:$D$20,2,0)*VLOOKUP($N$3,角色品星!$C$3:$E$14,3,0)*V34</f>
        <v>187.26903673840857</v>
      </c>
      <c r="O34" s="6">
        <f>VLOOKUP($N$2,角色品星!$C$16:$D$20,2,0)*VLOOKUP($N$3,角色品星!$C$3:$E$14,3,0)*W34</f>
        <v>5473.8062804460496</v>
      </c>
      <c r="P34" s="6">
        <f>VLOOKUP($N$2,角色品星!$C$16:$D$20,2,0)*VLOOKUP($N$3,角色品星!$C$3:$E$14,3,0)*X34</f>
        <v>1867.6965264043943</v>
      </c>
      <c r="Q34" s="23">
        <f t="shared" si="3"/>
        <v>0.05</v>
      </c>
      <c r="R34" s="23">
        <f t="shared" si="4"/>
        <v>1.5</v>
      </c>
      <c r="S34" s="23">
        <f t="shared" si="5"/>
        <v>0.9</v>
      </c>
      <c r="T34" s="38">
        <f>N34*(1+Q34*(R34-1))*S34*战斗公式!$E$38+(P34*战斗公式!$E$39+1)*O34*战斗公式!$E$40</f>
        <v>9894.9325299875927</v>
      </c>
      <c r="U34" s="38">
        <f t="shared" si="6"/>
        <v>490.50639735823461</v>
      </c>
      <c r="V34" s="6">
        <f>VLOOKUP($N$1,$D$4:$J$15,MATCH(F$4,$D$4:$J$4,0),0)*角色成长!E47*角色成长!$L$15*AB34/AA34/(1+$Y$2*($Z$2-1))</f>
        <v>340.48915770619737</v>
      </c>
      <c r="W34" s="6">
        <f>VLOOKUP($N$1,$D$4:$J$15,MATCH(G$4,$D$4:$J$4,0),0)*角色成长!F47*角色成长!$L$15/(1+X34/角色成长!$N$16)</f>
        <v>9952.3750553564532</v>
      </c>
      <c r="X34" s="6">
        <f>VLOOKUP($N$1,$D$4:$J$15,MATCH(H$4,$D$4:$J$4,0),0)*角色成长!G47*角色成长!$L$15</f>
        <v>3395.8118661898075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1"/>
      <c r="AE34" s="21"/>
      <c r="AF34" s="21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5"/>
      <c r="J35" s="6"/>
      <c r="K35" s="6"/>
      <c r="L35" s="6">
        <f t="shared" si="2"/>
        <v>2.925974414611328</v>
      </c>
      <c r="M35" s="1">
        <v>31</v>
      </c>
      <c r="N35" s="6">
        <f>VLOOKUP($N$2,角色品星!$C$16:$D$20,2,0)*VLOOKUP($N$3,角色品星!$C$3:$E$14,3,0)*V35</f>
        <v>196.63248857532889</v>
      </c>
      <c r="O35" s="6">
        <f>VLOOKUP($N$2,角色品星!$C$16:$D$20,2,0)*VLOOKUP($N$3,角色品星!$C$3:$E$14,3,0)*W35</f>
        <v>5738.0738630435917</v>
      </c>
      <c r="P35" s="6">
        <f>VLOOKUP($N$2,角色品星!$C$16:$D$20,2,0)*VLOOKUP($N$3,角色品星!$C$3:$E$14,3,0)*X35</f>
        <v>1961.0813527246132</v>
      </c>
      <c r="Q35" s="23">
        <f t="shared" si="3"/>
        <v>0.05</v>
      </c>
      <c r="R35" s="23">
        <f t="shared" si="4"/>
        <v>1.5</v>
      </c>
      <c r="S35" s="23">
        <f t="shared" si="5"/>
        <v>0.9</v>
      </c>
      <c r="T35" s="38">
        <f>N35*(1+Q35*(R35-1))*S35*战斗公式!$E$38+(P35*战斗公式!$E$39+1)*O35*战斗公式!$E$40</f>
        <v>10385.438927345827</v>
      </c>
      <c r="U35" s="38">
        <f t="shared" si="6"/>
        <v>514.61277831992993</v>
      </c>
      <c r="V35" s="6">
        <f>VLOOKUP($N$1,$D$4:$J$15,MATCH(F$4,$D$4:$J$4,0),0)*角色成长!E48*角色成长!$L$15*AB35/AA35/(1+$Y$2*($Z$2-1))</f>
        <v>357.51361559150706</v>
      </c>
      <c r="W35" s="6">
        <f>VLOOKUP($N$1,$D$4:$J$15,MATCH(G$4,$D$4:$J$4,0),0)*角色成长!F48*角色成长!$L$15/(1+X35/角色成长!$N$16)</f>
        <v>10432.861569170165</v>
      </c>
      <c r="X35" s="6">
        <f>VLOOKUP($N$1,$D$4:$J$15,MATCH(H$4,$D$4:$J$4,0),0)*角色成长!G48*角色成长!$L$15</f>
        <v>3565.6024594992964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1"/>
      <c r="AE35" s="21"/>
      <c r="AF35" s="21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5"/>
      <c r="J36" s="6"/>
      <c r="K36" s="6"/>
      <c r="L36" s="6">
        <f t="shared" si="2"/>
        <v>2.9209462330407789</v>
      </c>
      <c r="M36" s="1">
        <v>32</v>
      </c>
      <c r="N36" s="6">
        <f>VLOOKUP($N$2,角色品星!$C$16:$D$20,2,0)*VLOOKUP($N$3,角色品星!$C$3:$E$14,3,0)*V36</f>
        <v>206.46411300409542</v>
      </c>
      <c r="O36" s="6">
        <f>VLOOKUP($N$2,角色品星!$C$16:$D$20,2,0)*VLOOKUP($N$3,角色品星!$C$3:$E$14,3,0)*W36</f>
        <v>6014.6238494238496</v>
      </c>
      <c r="P36" s="6">
        <f>VLOOKUP($N$2,角色品星!$C$16:$D$20,2,0)*VLOOKUP($N$3,角色品星!$C$3:$E$14,3,0)*X36</f>
        <v>2059.1354203608444</v>
      </c>
      <c r="Q36" s="23">
        <f t="shared" si="3"/>
        <v>0.05</v>
      </c>
      <c r="R36" s="23">
        <f t="shared" si="4"/>
        <v>1.5</v>
      </c>
      <c r="S36" s="23">
        <f t="shared" si="5"/>
        <v>0.9</v>
      </c>
      <c r="T36" s="38">
        <f>N36*(1+Q36*(R36-1))*S36*战斗公式!$E$38+(P36*战斗公式!$E$39+1)*O36*战斗公式!$E$40</f>
        <v>10900.051705665757</v>
      </c>
      <c r="U36" s="38">
        <f t="shared" si="6"/>
        <v>539.88391586254329</v>
      </c>
      <c r="V36" s="6">
        <f>VLOOKUP($N$1,$D$4:$J$15,MATCH(F$4,$D$4:$J$4,0),0)*角色成长!E49*角色成长!$L$15*AB36/AA36/(1+$Y$2*($Z$2-1))</f>
        <v>375.38929637108254</v>
      </c>
      <c r="W36" s="6">
        <f>VLOOKUP($N$1,$D$4:$J$15,MATCH(G$4,$D$4:$J$4,0),0)*角色成长!F49*角色成长!$L$15/(1+X36/角色成长!$N$16)</f>
        <v>10935.67972622518</v>
      </c>
      <c r="X36" s="6">
        <f>VLOOKUP($N$1,$D$4:$J$15,MATCH(H$4,$D$4:$J$4,0),0)*角色成长!G49*角色成长!$L$15</f>
        <v>3743.8825824742626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1"/>
      <c r="AE36" s="21"/>
      <c r="AF36" s="21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5"/>
      <c r="J37" s="6"/>
      <c r="K37" s="6"/>
      <c r="L37" s="6">
        <f t="shared" si="2"/>
        <v>2.9156852081037568</v>
      </c>
      <c r="M37" s="1">
        <v>33</v>
      </c>
      <c r="N37" s="6">
        <f>VLOOKUP($N$2,角色品星!$C$16:$D$20,2,0)*VLOOKUP($N$3,角色品星!$C$3:$E$14,3,0)*V37</f>
        <v>216.78731865430018</v>
      </c>
      <c r="O37" s="6">
        <f>VLOOKUP($N$2,角色品星!$C$16:$D$20,2,0)*VLOOKUP($N$3,角色品星!$C$3:$E$14,3,0)*W37</f>
        <v>6303.9802209600566</v>
      </c>
      <c r="P37" s="6">
        <f>VLOOKUP($N$2,角色品星!$C$16:$D$20,2,0)*VLOOKUP($N$3,角色品星!$C$3:$E$14,3,0)*X37</f>
        <v>2162.0921913788866</v>
      </c>
      <c r="Q37" s="23">
        <f t="shared" si="3"/>
        <v>0.05</v>
      </c>
      <c r="R37" s="23">
        <f t="shared" si="4"/>
        <v>1.5</v>
      </c>
      <c r="S37" s="23">
        <f t="shared" si="5"/>
        <v>0.9</v>
      </c>
      <c r="T37" s="38">
        <f>N37*(1+Q37*(R37-1))*S37*战斗公式!$E$38+(P37*战斗公式!$E$39+1)*O37*战斗公式!$E$40</f>
        <v>11439.935621528301</v>
      </c>
      <c r="U37" s="38">
        <f t="shared" si="6"/>
        <v>566.37424576256308</v>
      </c>
      <c r="V37" s="6">
        <f>VLOOKUP($N$1,$D$4:$J$15,MATCH(F$4,$D$4:$J$4,0),0)*角色成长!E50*角色成长!$L$15*AB37/AA37/(1+$Y$2*($Z$2-1))</f>
        <v>394.15876118963666</v>
      </c>
      <c r="W37" s="6">
        <f>VLOOKUP($N$1,$D$4:$J$15,MATCH(G$4,$D$4:$J$4,0),0)*角色成长!F50*角色成长!$L$15/(1+X37/角色成长!$N$16)</f>
        <v>11461.782219927374</v>
      </c>
      <c r="X37" s="6">
        <f>VLOOKUP($N$1,$D$4:$J$15,MATCH(H$4,$D$4:$J$4,0),0)*角色成长!G50*角色成长!$L$15</f>
        <v>3931.0767115979756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1"/>
      <c r="AE37" s="21"/>
      <c r="AF37" s="21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5"/>
      <c r="J38" s="6"/>
      <c r="K38" s="6"/>
      <c r="L38" s="6">
        <f t="shared" si="2"/>
        <v>2.910181490137786</v>
      </c>
      <c r="M38" s="1">
        <v>34</v>
      </c>
      <c r="N38" s="6">
        <f>VLOOKUP($N$2,角色品星!$C$16:$D$20,2,0)*VLOOKUP($N$3,角色品星!$C$3:$E$14,3,0)*V38</f>
        <v>227.62668458701515</v>
      </c>
      <c r="O38" s="6">
        <f>VLOOKUP($N$2,角色品星!$C$16:$D$20,2,0)*VLOOKUP($N$3,角色品星!$C$3:$E$14,3,0)*W38</f>
        <v>6606.6847090883948</v>
      </c>
      <c r="P38" s="6">
        <f>VLOOKUP($N$2,角色品星!$C$16:$D$20,2,0)*VLOOKUP($N$3,角色品星!$C$3:$E$14,3,0)*X38</f>
        <v>2270.1968009478314</v>
      </c>
      <c r="Q38" s="23">
        <f t="shared" si="3"/>
        <v>0.05</v>
      </c>
      <c r="R38" s="23">
        <f t="shared" si="4"/>
        <v>1.5</v>
      </c>
      <c r="S38" s="23">
        <f t="shared" si="5"/>
        <v>0.9</v>
      </c>
      <c r="T38" s="38">
        <f>N38*(1+Q38*(R38-1))*S38*战斗公式!$E$38+(P38*战斗公式!$E$39+1)*O38*战斗公式!$E$40</f>
        <v>12006.309867290864</v>
      </c>
      <c r="U38" s="38">
        <f t="shared" si="6"/>
        <v>594.14058796714562</v>
      </c>
      <c r="V38" s="6">
        <f>VLOOKUP($N$1,$D$4:$J$15,MATCH(F$4,$D$4:$J$4,0),0)*角色成长!E51*角色成长!$L$15*AB38/AA38/(1+$Y$2*($Z$2-1))</f>
        <v>413.86669924911843</v>
      </c>
      <c r="W38" s="6">
        <f>VLOOKUP($N$1,$D$4:$J$15,MATCH(G$4,$D$4:$J$4,0),0)*角色成长!F51*角色成长!$L$15/(1+X38/角色成长!$N$16)</f>
        <v>12012.154016524353</v>
      </c>
      <c r="X38" s="6">
        <f>VLOOKUP($N$1,$D$4:$J$15,MATCH(H$4,$D$4:$J$4,0),0)*角色成长!G51*角色成长!$L$15</f>
        <v>4127.6305471778751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1"/>
      <c r="AE38" s="21"/>
      <c r="AF38" s="21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5"/>
      <c r="J39" s="6"/>
      <c r="K39" s="6"/>
      <c r="L39" s="6">
        <f t="shared" si="2"/>
        <v>2.9044249042566928</v>
      </c>
      <c r="M39" s="1">
        <v>35</v>
      </c>
      <c r="N39" s="6">
        <f>VLOOKUP($N$2,角色品星!$C$16:$D$20,2,0)*VLOOKUP($N$3,角色品星!$C$3:$E$14,3,0)*V39</f>
        <v>239.00801881636588</v>
      </c>
      <c r="O39" s="6">
        <f>VLOOKUP($N$2,角色品星!$C$16:$D$20,2,0)*VLOOKUP($N$3,角色品星!$C$3:$E$14,3,0)*W39</f>
        <v>6923.296932548591</v>
      </c>
      <c r="P39" s="6">
        <f>VLOOKUP($N$2,角色品星!$C$16:$D$20,2,0)*VLOOKUP($N$3,角色品星!$C$3:$E$14,3,0)*X39</f>
        <v>2383.7066409952222</v>
      </c>
      <c r="Q39" s="23">
        <f t="shared" si="3"/>
        <v>0.05</v>
      </c>
      <c r="R39" s="23">
        <f t="shared" si="4"/>
        <v>1.5</v>
      </c>
      <c r="S39" s="23">
        <f t="shared" si="5"/>
        <v>0.9</v>
      </c>
      <c r="T39" s="38">
        <f>N39*(1+Q39*(R39-1))*S39*战斗公式!$E$38+(P39*战斗公式!$E$39+1)*O39*战斗公式!$E$40</f>
        <v>12600.450455258009</v>
      </c>
      <c r="U39" s="38">
        <f t="shared" si="6"/>
        <v>623.24223861004248</v>
      </c>
      <c r="V39" s="6">
        <f>VLOOKUP($N$1,$D$4:$J$15,MATCH(F$4,$D$4:$J$4,0),0)*角色成长!E52*角色成长!$L$15*AB39/AA39/(1+$Y$2*($Z$2-1))</f>
        <v>434.5600342115743</v>
      </c>
      <c r="W39" s="6">
        <f>VLOOKUP($N$1,$D$4:$J$15,MATCH(G$4,$D$4:$J$4,0),0)*角色成长!F52*角色成长!$L$15/(1+X39/角色成长!$N$16)</f>
        <v>12587.8126046338</v>
      </c>
      <c r="X39" s="6">
        <f>VLOOKUP($N$1,$D$4:$J$15,MATCH(H$4,$D$4:$J$4,0),0)*角色成长!G52*角色成长!$L$15</f>
        <v>4334.0120745367676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1"/>
      <c r="AE39" s="21"/>
      <c r="AF39" s="21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5"/>
      <c r="J40" s="6"/>
      <c r="K40" s="6"/>
      <c r="L40" s="6">
        <f t="shared" si="2"/>
        <v>2.8984049488292385</v>
      </c>
      <c r="M40" s="1">
        <v>36</v>
      </c>
      <c r="N40" s="6">
        <f>VLOOKUP($N$2,角色品星!$C$16:$D$20,2,0)*VLOOKUP($N$3,角色品星!$C$3:$E$14,3,0)*V40</f>
        <v>250.95841975718429</v>
      </c>
      <c r="O40" s="6">
        <f>VLOOKUP($N$2,角色品星!$C$16:$D$20,2,0)*VLOOKUP($N$3,角色品星!$C$3:$E$14,3,0)*W40</f>
        <v>7254.3944810585581</v>
      </c>
      <c r="P40" s="6">
        <f>VLOOKUP($N$2,角色品星!$C$16:$D$20,2,0)*VLOOKUP($N$3,角色品星!$C$3:$E$14,3,0)*X40</f>
        <v>2502.8919730449838</v>
      </c>
      <c r="Q40" s="23">
        <f t="shared" si="3"/>
        <v>0.05</v>
      </c>
      <c r="R40" s="23">
        <f t="shared" si="4"/>
        <v>1.5</v>
      </c>
      <c r="S40" s="23">
        <f t="shared" si="5"/>
        <v>0.9</v>
      </c>
      <c r="T40" s="38">
        <f>N40*(1+Q40*(R40-1))*S40*战斗公式!$E$38+(P40*战斗公式!$E$39+1)*O40*战斗公式!$E$40</f>
        <v>13223.692693868052</v>
      </c>
      <c r="U40" s="38">
        <f t="shared" si="6"/>
        <v>653.74106485208904</v>
      </c>
      <c r="V40" s="6">
        <f>VLOOKUP($N$1,$D$4:$J$15,MATCH(F$4,$D$4:$J$4,0),0)*角色成长!E53*角色成长!$L$15*AB40/AA40/(1+$Y$2*($Z$2-1))</f>
        <v>456.2880359221532</v>
      </c>
      <c r="W40" s="6">
        <f>VLOOKUP($N$1,$D$4:$J$15,MATCH(G$4,$D$4:$J$4,0),0)*角色成长!F53*角色成长!$L$15/(1+X40/角色成长!$N$16)</f>
        <v>13189.808147379195</v>
      </c>
      <c r="X40" s="6">
        <f>VLOOKUP($N$1,$D$4:$J$15,MATCH(H$4,$D$4:$J$4,0),0)*角色成长!G53*角色成长!$L$15</f>
        <v>4550.7126782636069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1"/>
      <c r="AE40" s="21"/>
      <c r="AF40" s="21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5"/>
      <c r="J41" s="6"/>
      <c r="K41" s="6"/>
      <c r="L41" s="6">
        <f t="shared" si="2"/>
        <v>2.8921107950521665</v>
      </c>
      <c r="M41" s="1">
        <v>37</v>
      </c>
      <c r="N41" s="6">
        <f>VLOOKUP($N$2,角色品星!$C$16:$D$20,2,0)*VLOOKUP($N$3,角色品星!$C$3:$E$14,3,0)*V41</f>
        <v>263.50634074504342</v>
      </c>
      <c r="O41" s="6">
        <f>VLOOKUP($N$2,角色品星!$C$16:$D$20,2,0)*VLOOKUP($N$3,角色品星!$C$3:$E$14,3,0)*W41</f>
        <v>7600.5729387974552</v>
      </c>
      <c r="P41" s="6">
        <f>VLOOKUP($N$2,角色品星!$C$16:$D$20,2,0)*VLOOKUP($N$3,角色品星!$C$3:$E$14,3,0)*X41</f>
        <v>2628.0365716972333</v>
      </c>
      <c r="Q41" s="23">
        <f t="shared" si="3"/>
        <v>0.05</v>
      </c>
      <c r="R41" s="23">
        <f t="shared" si="4"/>
        <v>1.5</v>
      </c>
      <c r="S41" s="23">
        <f t="shared" si="5"/>
        <v>0.9</v>
      </c>
      <c r="T41" s="38">
        <f>N41*(1+Q41*(R41-1))*S41*战斗公式!$E$38+(P41*战斗公式!$E$39+1)*O41*战斗公式!$E$40</f>
        <v>13877.433758720141</v>
      </c>
      <c r="U41" s="38">
        <f t="shared" si="6"/>
        <v>685.70160263432081</v>
      </c>
      <c r="V41" s="6">
        <f>VLOOKUP($N$1,$D$4:$J$15,MATCH(F$4,$D$4:$J$4,0),0)*角色成长!E54*角色成长!$L$15*AB41/AA41/(1+$Y$2*($Z$2-1))</f>
        <v>479.10243771826072</v>
      </c>
      <c r="W41" s="6">
        <f>VLOOKUP($N$1,$D$4:$J$15,MATCH(G$4,$D$4:$J$4,0),0)*角色成长!F54*角色成长!$L$15/(1+X41/角色成长!$N$16)</f>
        <v>13819.223525086281</v>
      </c>
      <c r="X41" s="6">
        <f>VLOOKUP($N$1,$D$4:$J$15,MATCH(H$4,$D$4:$J$4,0),0)*角色成长!G54*角色成长!$L$15</f>
        <v>4778.2483121767873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1"/>
      <c r="AE41" s="21"/>
      <c r="AF41" s="21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5"/>
      <c r="J42" s="6"/>
      <c r="K42" s="6"/>
      <c r="L42" s="6">
        <f t="shared" si="2"/>
        <v>2.8855312877462582</v>
      </c>
      <c r="M42" s="1">
        <v>38</v>
      </c>
      <c r="N42" s="6">
        <f>VLOOKUP($N$2,角色品星!$C$16:$D$20,2,0)*VLOOKUP($N$3,角色品星!$C$3:$E$14,3,0)*V42</f>
        <v>276.68165778229564</v>
      </c>
      <c r="O42" s="6">
        <f>VLOOKUP($N$2,角色品星!$C$16:$D$20,2,0)*VLOOKUP($N$3,角色品星!$C$3:$E$14,3,0)*W42</f>
        <v>7962.4458406224676</v>
      </c>
      <c r="P42" s="6">
        <f>VLOOKUP($N$2,角色品星!$C$16:$D$20,2,0)*VLOOKUP($N$3,角色品星!$C$3:$E$14,3,0)*X42</f>
        <v>2759.4384002820948</v>
      </c>
      <c r="Q42" s="23">
        <f t="shared" si="3"/>
        <v>0.05</v>
      </c>
      <c r="R42" s="23">
        <f t="shared" si="4"/>
        <v>1.5</v>
      </c>
      <c r="S42" s="23">
        <f t="shared" si="5"/>
        <v>0.9</v>
      </c>
      <c r="T42" s="38">
        <f>N42*(1+Q42*(R42-1))*S42*战斗公式!$E$38+(P42*战斗公式!$E$39+1)*O42*战斗公式!$E$40</f>
        <v>14563.135361354462</v>
      </c>
      <c r="U42" s="38">
        <f t="shared" si="6"/>
        <v>719.19115744575356</v>
      </c>
      <c r="V42" s="6">
        <f>VLOOKUP($N$1,$D$4:$J$15,MATCH(F$4,$D$4:$J$4,0),0)*角色成长!E55*角色成长!$L$15*AB42/AA42/(1+$Y$2*($Z$2-1))</f>
        <v>503.05755960417383</v>
      </c>
      <c r="W42" s="6">
        <f>VLOOKUP($N$1,$D$4:$J$15,MATCH(G$4,$D$4:$J$4,0),0)*角色成长!F55*角色成长!$L$15/(1+X42/角色成长!$N$16)</f>
        <v>14477.174255677213</v>
      </c>
      <c r="X42" s="6">
        <f>VLOOKUP($N$1,$D$4:$J$15,MATCH(H$4,$D$4:$J$4,0),0)*角色成长!G55*角色成长!$L$15</f>
        <v>5017.1607277856265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1"/>
      <c r="AE42" s="21"/>
      <c r="AF42" s="21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5"/>
      <c r="J43" s="6"/>
      <c r="K43" s="6"/>
      <c r="L43" s="6">
        <f t="shared" si="2"/>
        <v>2.8786549475122367</v>
      </c>
      <c r="M43" s="1">
        <v>39</v>
      </c>
      <c r="N43" s="6">
        <f>VLOOKUP($N$2,角色品星!$C$16:$D$20,2,0)*VLOOKUP($N$3,角色品星!$C$3:$E$14,3,0)*V43</f>
        <v>290.5157406714103</v>
      </c>
      <c r="O43" s="6">
        <f>VLOOKUP($N$2,角色品星!$C$16:$D$20,2,0)*VLOOKUP($N$3,角色品星!$C$3:$E$14,3,0)*W43</f>
        <v>8340.6445534936684</v>
      </c>
      <c r="P43" s="6">
        <f>VLOOKUP($N$2,角色品星!$C$16:$D$20,2,0)*VLOOKUP($N$3,角色品星!$C$3:$E$14,3,0)*X43</f>
        <v>2897.4103202961992</v>
      </c>
      <c r="Q43" s="23">
        <f t="shared" si="3"/>
        <v>0.05</v>
      </c>
      <c r="R43" s="23">
        <f t="shared" si="4"/>
        <v>1.5</v>
      </c>
      <c r="S43" s="23">
        <f t="shared" si="5"/>
        <v>0.9</v>
      </c>
      <c r="T43" s="38">
        <f>N43*(1+Q43*(R43-1))*S43*战斗公式!$E$38+(P43*战斗公式!$E$39+1)*O43*战斗公式!$E$40</f>
        <v>15282.326518800215</v>
      </c>
      <c r="U43" s="38">
        <f t="shared" si="6"/>
        <v>754.27990822444917</v>
      </c>
      <c r="V43" s="6">
        <f>VLOOKUP($N$1,$D$4:$J$15,MATCH(F$4,$D$4:$J$4,0),0)*角色成长!E56*角色成长!$L$15*AB43/AA43/(1+$Y$2*($Z$2-1))</f>
        <v>528.21043758438236</v>
      </c>
      <c r="W43" s="6">
        <f>VLOOKUP($N$1,$D$4:$J$15,MATCH(G$4,$D$4:$J$4,0),0)*角色成长!F56*角色成长!$L$15/(1+X43/角色成长!$N$16)</f>
        <v>15164.808279079394</v>
      </c>
      <c r="X43" s="6">
        <f>VLOOKUP($N$1,$D$4:$J$15,MATCH(H$4,$D$4:$J$4,0),0)*角色成长!G56*角色成长!$L$15</f>
        <v>5268.0187641749071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1"/>
      <c r="AE43" s="21"/>
      <c r="AF43" s="21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5"/>
      <c r="J44" s="6"/>
      <c r="K44" s="6"/>
      <c r="L44" s="6">
        <f t="shared" si="2"/>
        <v>2.8714699743915082</v>
      </c>
      <c r="M44" s="1">
        <v>40</v>
      </c>
      <c r="N44" s="6">
        <f>VLOOKUP($N$2,角色品星!$C$16:$D$20,2,0)*VLOOKUP($N$3,角色品星!$C$3:$E$14,3,0)*V44</f>
        <v>305.04152770498098</v>
      </c>
      <c r="O44" s="6">
        <f>VLOOKUP($N$2,角色品星!$C$16:$D$20,2,0)*VLOOKUP($N$3,角色品星!$C$3:$E$14,3,0)*W44</f>
        <v>8735.8180751337513</v>
      </c>
      <c r="P44" s="6">
        <f>VLOOKUP($N$2,角色品星!$C$16:$D$20,2,0)*VLOOKUP($N$3,角色品星!$C$3:$E$14,3,0)*X44</f>
        <v>3042.2808363110098</v>
      </c>
      <c r="Q44" s="23">
        <f t="shared" si="3"/>
        <v>0.05</v>
      </c>
      <c r="R44" s="23">
        <f t="shared" si="4"/>
        <v>1.5</v>
      </c>
      <c r="S44" s="23">
        <f t="shared" si="5"/>
        <v>0.9</v>
      </c>
      <c r="T44" s="38">
        <f>N44*(1+Q44*(R44-1))*S44*战斗公式!$E$38+(P44*战斗公式!$E$39+1)*O44*战斗公式!$E$40</f>
        <v>16036.606427024664</v>
      </c>
      <c r="U44" s="38">
        <f t="shared" si="6"/>
        <v>791.04101453031035</v>
      </c>
      <c r="V44" s="6">
        <f>VLOOKUP($N$1,$D$4:$J$15,MATCH(F$4,$D$4:$J$4,0),0)*角色成长!E57*角色成长!$L$15*AB44/AA44/(1+$Y$2*($Z$2-1))</f>
        <v>554.62095946360171</v>
      </c>
      <c r="W44" s="6">
        <f>VLOOKUP($N$1,$D$4:$J$15,MATCH(G$4,$D$4:$J$4,0),0)*角色成长!F57*角色成长!$L$15/(1+X44/角色成长!$N$16)</f>
        <v>15883.305591152273</v>
      </c>
      <c r="X44" s="6">
        <f>VLOOKUP($N$1,$D$4:$J$15,MATCH(H$4,$D$4:$J$4,0),0)*角色成长!G57*角色成长!$L$15</f>
        <v>5531.4197023836541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1"/>
      <c r="AE44" s="21"/>
      <c r="AF44" s="21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5"/>
      <c r="J45" s="6"/>
      <c r="K45" s="6"/>
      <c r="L45" s="6">
        <f t="shared" si="2"/>
        <v>2.8639642531846548</v>
      </c>
      <c r="M45" s="1">
        <v>41</v>
      </c>
      <c r="N45" s="6">
        <f>VLOOKUP($N$2,角色品星!$C$16:$D$20,2,0)*VLOOKUP($N$3,角色品星!$C$3:$E$14,3,0)*V45</f>
        <v>320.29360409023002</v>
      </c>
      <c r="O45" s="6">
        <f>VLOOKUP($N$2,角色品星!$C$16:$D$20,2,0)*VLOOKUP($N$3,角色品星!$C$3:$E$14,3,0)*W45</f>
        <v>9148.6327415106207</v>
      </c>
      <c r="P45" s="6">
        <f>VLOOKUP($N$2,角色品星!$C$16:$D$20,2,0)*VLOOKUP($N$3,角色品星!$C$3:$E$14,3,0)*X45</f>
        <v>3194.3948781265603</v>
      </c>
      <c r="Q45" s="23">
        <f t="shared" si="3"/>
        <v>0.05</v>
      </c>
      <c r="R45" s="23">
        <f t="shared" si="4"/>
        <v>1.5</v>
      </c>
      <c r="S45" s="23">
        <f t="shared" si="5"/>
        <v>0.9</v>
      </c>
      <c r="T45" s="38">
        <f>N45*(1+Q45*(R45-1))*S45*战斗公式!$E$38+(P45*战斗公式!$E$39+1)*O45*战斗公式!$E$40</f>
        <v>16827.647441554975</v>
      </c>
      <c r="U45" s="38">
        <f t="shared" si="6"/>
        <v>829.55072715270944</v>
      </c>
      <c r="V45" s="6">
        <f>VLOOKUP($N$1,$D$4:$J$15,MATCH(F$4,$D$4:$J$4,0),0)*角色成长!E58*角色成长!$L$15*AB45/AA45/(1+$Y$2*($Z$2-1))</f>
        <v>582.35200743678183</v>
      </c>
      <c r="W45" s="6">
        <f>VLOOKUP($N$1,$D$4:$J$15,MATCH(G$4,$D$4:$J$4,0),0)*角色成长!F58*角色成长!$L$15/(1+X45/角色成长!$N$16)</f>
        <v>16633.877711837489</v>
      </c>
      <c r="X45" s="6">
        <f>VLOOKUP($N$1,$D$4:$J$15,MATCH(H$4,$D$4:$J$4,0),0)*角色成长!G58*角色成长!$L$15</f>
        <v>5807.9906875028364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1"/>
      <c r="AE45" s="21"/>
      <c r="AF45" s="21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5"/>
      <c r="J46" s="6"/>
      <c r="K46" s="6"/>
      <c r="L46" s="6">
        <f t="shared" si="2"/>
        <v>2.8561253605883352</v>
      </c>
      <c r="M46" s="1">
        <v>42</v>
      </c>
      <c r="N46" s="6">
        <f>VLOOKUP($N$2,角色品星!$C$16:$D$20,2,0)*VLOOKUP($N$3,角色品星!$C$3:$E$14,3,0)*V46</f>
        <v>336.30828429474144</v>
      </c>
      <c r="O46" s="6">
        <f>VLOOKUP($N$2,角色品星!$C$16:$D$20,2,0)*VLOOKUP($N$3,角色品星!$C$3:$E$14,3,0)*W46</f>
        <v>9579.7718343082888</v>
      </c>
      <c r="P46" s="6">
        <f>VLOOKUP($N$2,角色品星!$C$16:$D$20,2,0)*VLOOKUP($N$3,角色品星!$C$3:$E$14,3,0)*X46</f>
        <v>3354.1146220328878</v>
      </c>
      <c r="Q46" s="23">
        <f t="shared" si="3"/>
        <v>0.05</v>
      </c>
      <c r="R46" s="23">
        <f t="shared" si="4"/>
        <v>1.5</v>
      </c>
      <c r="S46" s="23">
        <f t="shared" si="5"/>
        <v>0.9</v>
      </c>
      <c r="T46" s="38">
        <f>N46*(1+Q46*(R46-1))*S46*战斗公式!$E$38+(P46*战斗公式!$E$39+1)*O46*战斗公式!$E$40</f>
        <v>17657.198168707684</v>
      </c>
      <c r="U46" s="38">
        <f t="shared" si="6"/>
        <v>869.88850234327037</v>
      </c>
      <c r="V46" s="6">
        <f>VLOOKUP($N$1,$D$4:$J$15,MATCH(F$4,$D$4:$J$4,0),0)*角色成长!E59*角色成长!$L$15*AB46/AA46/(1+$Y$2*($Z$2-1))</f>
        <v>611.46960780862071</v>
      </c>
      <c r="W46" s="6">
        <f>VLOOKUP($N$1,$D$4:$J$15,MATCH(G$4,$D$4:$J$4,0),0)*角色成长!F59*角色成长!$L$15/(1+X46/角色成长!$N$16)</f>
        <v>17417.766971469613</v>
      </c>
      <c r="X46" s="6">
        <f>VLOOKUP($N$1,$D$4:$J$15,MATCH(H$4,$D$4:$J$4,0),0)*角色成长!G59*角色成长!$L$15</f>
        <v>6098.3902218779776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1"/>
      <c r="AE46" s="21"/>
      <c r="AF46" s="21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5"/>
      <c r="J47" s="6"/>
      <c r="K47" s="6"/>
      <c r="L47" s="6">
        <f t="shared" si="2"/>
        <v>2.8479405743184416</v>
      </c>
      <c r="M47" s="1">
        <v>43</v>
      </c>
      <c r="N47" s="6">
        <f>VLOOKUP($N$2,角色品星!$C$16:$D$20,2,0)*VLOOKUP($N$3,角色品星!$C$3:$E$14,3,0)*V47</f>
        <v>353.12369850947863</v>
      </c>
      <c r="O47" s="6">
        <f>VLOOKUP($N$2,角色品星!$C$16:$D$20,2,0)*VLOOKUP($N$3,角色品星!$C$3:$E$14,3,0)*W47</f>
        <v>10029.935079152337</v>
      </c>
      <c r="P47" s="6">
        <f>VLOOKUP($N$2,角色品星!$C$16:$D$20,2,0)*VLOOKUP($N$3,角色品星!$C$3:$E$14,3,0)*X47</f>
        <v>3521.8203531345325</v>
      </c>
      <c r="Q47" s="23">
        <f t="shared" si="3"/>
        <v>0.05</v>
      </c>
      <c r="R47" s="23">
        <f t="shared" si="4"/>
        <v>1.5</v>
      </c>
      <c r="S47" s="23">
        <f t="shared" si="5"/>
        <v>0.9</v>
      </c>
      <c r="T47" s="38">
        <f>N47*(1+Q47*(R47-1))*S47*战斗公式!$E$38+(P47*战斗公式!$E$39+1)*O47*战斗公式!$E$40</f>
        <v>18527.086671050954</v>
      </c>
      <c r="U47" s="38">
        <f t="shared" si="6"/>
        <v>912.13711989869262</v>
      </c>
      <c r="V47" s="6">
        <f>VLOOKUP($N$1,$D$4:$J$15,MATCH(F$4,$D$4:$J$4,0),0)*角色成长!E60*角色成长!$L$15*AB47/AA47/(1+$Y$2*($Z$2-1))</f>
        <v>642.04308819905202</v>
      </c>
      <c r="W47" s="6">
        <f>VLOOKUP($N$1,$D$4:$J$15,MATCH(G$4,$D$4:$J$4,0),0)*角色成长!F60*角色成长!$L$15/(1+X47/角色成长!$N$16)</f>
        <v>18236.245598458794</v>
      </c>
      <c r="X47" s="6">
        <f>VLOOKUP($N$1,$D$4:$J$15,MATCH(H$4,$D$4:$J$4,0),0)*角色成长!G60*角色成长!$L$15</f>
        <v>6403.3097329718767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1"/>
      <c r="AE47" s="21"/>
      <c r="AF47" s="21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5"/>
      <c r="J48" s="6"/>
      <c r="K48" s="6"/>
      <c r="L48" s="6">
        <f t="shared" si="2"/>
        <v>2.8393968843941155</v>
      </c>
      <c r="M48" s="1">
        <v>44</v>
      </c>
      <c r="N48" s="6">
        <f>VLOOKUP($N$2,角色品星!$C$16:$D$20,2,0)*VLOOKUP($N$3,角色品星!$C$3:$E$14,3,0)*V48</f>
        <v>370.77988343495258</v>
      </c>
      <c r="O48" s="6">
        <f>VLOOKUP($N$2,角色品星!$C$16:$D$20,2,0)*VLOOKUP($N$3,角色品星!$C$3:$E$14,3,0)*W48</f>
        <v>10499.838024990275</v>
      </c>
      <c r="P48" s="6">
        <f>VLOOKUP($N$2,角色品星!$C$16:$D$20,2,0)*VLOOKUP($N$3,角色品星!$C$3:$E$14,3,0)*X48</f>
        <v>3697.9113707912593</v>
      </c>
      <c r="Q48" s="23">
        <f t="shared" si="3"/>
        <v>0.05</v>
      </c>
      <c r="R48" s="23">
        <f t="shared" si="4"/>
        <v>1.5</v>
      </c>
      <c r="S48" s="23">
        <f t="shared" si="5"/>
        <v>0.9</v>
      </c>
      <c r="T48" s="38">
        <f>N48*(1+Q48*(R48-1))*S48*战斗公式!$E$38+(P48*战斗公式!$E$39+1)*O48*战斗公式!$E$40</f>
        <v>19439.223790949647</v>
      </c>
      <c r="U48" s="38">
        <f t="shared" si="6"/>
        <v>956.38280535608646</v>
      </c>
      <c r="V48" s="6">
        <f>VLOOKUP($N$1,$D$4:$J$15,MATCH(F$4,$D$4:$J$4,0),0)*角色成长!E61*角色成长!$L$15*AB48/AA48/(1+$Y$2*($Z$2-1))</f>
        <v>674.14524260900464</v>
      </c>
      <c r="W48" s="6">
        <f>VLOOKUP($N$1,$D$4:$J$15,MATCH(G$4,$D$4:$J$4,0),0)*角色成长!F61*角色成长!$L$15/(1+X48/角色成长!$N$16)</f>
        <v>19090.614590891408</v>
      </c>
      <c r="X48" s="6">
        <f>VLOOKUP($N$1,$D$4:$J$15,MATCH(H$4,$D$4:$J$4,0),0)*角色成长!G61*角色成长!$L$15</f>
        <v>6723.4752196204709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1"/>
      <c r="AE48" s="21"/>
      <c r="AF48" s="21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5"/>
      <c r="J49" s="6"/>
      <c r="K49" s="6"/>
      <c r="L49" s="6">
        <f t="shared" si="2"/>
        <v>2.83048100676297</v>
      </c>
      <c r="M49" s="1">
        <v>45</v>
      </c>
      <c r="N49" s="6">
        <f>VLOOKUP($N$2,角色品星!$C$16:$D$20,2,0)*VLOOKUP($N$3,角色品星!$C$3:$E$14,3,0)*V49</f>
        <v>389.3188776067002</v>
      </c>
      <c r="O49" s="6">
        <f>VLOOKUP($N$2,角色品星!$C$16:$D$20,2,0)*VLOOKUP($N$3,角色品星!$C$3:$E$14,3,0)*W49</f>
        <v>10990.211294703349</v>
      </c>
      <c r="P49" s="6">
        <f>VLOOKUP($N$2,角色品星!$C$16:$D$20,2,0)*VLOOKUP($N$3,角色品星!$C$3:$E$14,3,0)*X49</f>
        <v>3882.8069393308215</v>
      </c>
      <c r="Q49" s="23">
        <f t="shared" si="3"/>
        <v>0.05</v>
      </c>
      <c r="R49" s="23">
        <f t="shared" si="4"/>
        <v>1.5</v>
      </c>
      <c r="S49" s="23">
        <f t="shared" si="5"/>
        <v>0.9</v>
      </c>
      <c r="T49" s="38">
        <f>N49*(1+Q49*(R49-1))*S49*战斗公式!$E$38+(P49*战斗公式!$E$39+1)*O49*战斗公式!$E$40</f>
        <v>20395.606596305734</v>
      </c>
      <c r="U49" s="38">
        <f t="shared" si="6"/>
        <v>1002.7153566088273</v>
      </c>
      <c r="V49" s="6">
        <f>VLOOKUP($N$1,$D$4:$J$15,MATCH(F$4,$D$4:$J$4,0),0)*角色成长!E62*角色成长!$L$15*AB49/AA49/(1+$Y$2*($Z$2-1))</f>
        <v>707.85250473945484</v>
      </c>
      <c r="W49" s="6">
        <f>VLOOKUP($N$1,$D$4:$J$15,MATCH(G$4,$D$4:$J$4,0),0)*角色成长!F62*角色成长!$L$15/(1+X49/角色成长!$N$16)</f>
        <v>19982.202354006087</v>
      </c>
      <c r="X49" s="6">
        <f>VLOOKUP($N$1,$D$4:$J$15,MATCH(H$4,$D$4:$J$4,0),0)*角色成长!G62*角色成长!$L$15</f>
        <v>7059.6489806014933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1"/>
      <c r="AE49" s="21"/>
      <c r="AF49" s="21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5"/>
      <c r="J50" s="6"/>
      <c r="K50" s="6"/>
      <c r="L50" s="6">
        <f t="shared" si="2"/>
        <v>2.8211793994528933</v>
      </c>
      <c r="M50" s="1">
        <v>46</v>
      </c>
      <c r="N50" s="6">
        <f>VLOOKUP($N$2,角色品星!$C$16:$D$20,2,0)*VLOOKUP($N$3,角色品星!$C$3:$E$14,3,0)*V50</f>
        <v>408.78482148703517</v>
      </c>
      <c r="O50" s="6">
        <f>VLOOKUP($N$2,角色品星!$C$16:$D$20,2,0)*VLOOKUP($N$3,角色品星!$C$3:$E$14,3,0)*W50</f>
        <v>11501.7996967575</v>
      </c>
      <c r="P50" s="6">
        <f>VLOOKUP($N$2,角色品星!$C$16:$D$20,2,0)*VLOOKUP($N$3,角色品星!$C$3:$E$14,3,0)*X50</f>
        <v>4076.9472862973639</v>
      </c>
      <c r="Q50" s="23">
        <f t="shared" si="3"/>
        <v>0.05</v>
      </c>
      <c r="R50" s="23">
        <f t="shared" si="4"/>
        <v>1.5</v>
      </c>
      <c r="S50" s="23">
        <f t="shared" si="5"/>
        <v>0.9</v>
      </c>
      <c r="T50" s="38">
        <f>N50*(1+Q50*(R50-1))*S50*战斗公式!$E$38+(P50*战斗公式!$E$39+1)*O50*战斗公式!$E$40</f>
        <v>21398.321952914561</v>
      </c>
      <c r="U50" s="38">
        <f t="shared" si="6"/>
        <v>1051.2282753020736</v>
      </c>
      <c r="V50" s="6">
        <f>VLOOKUP($N$1,$D$4:$J$15,MATCH(F$4,$D$4:$J$4,0),0)*角色成长!E63*角色成长!$L$15*AB50/AA50/(1+$Y$2*($Z$2-1))</f>
        <v>743.24512997642751</v>
      </c>
      <c r="W50" s="6">
        <f>VLOOKUP($N$1,$D$4:$J$15,MATCH(G$4,$D$4:$J$4,0),0)*角色成长!F63*角色成长!$L$15/(1+X50/角色成长!$N$16)</f>
        <v>20912.363085013636</v>
      </c>
      <c r="X50" s="6">
        <f>VLOOKUP($N$1,$D$4:$J$15,MATCH(H$4,$D$4:$J$4,0),0)*角色成长!G63*角色成长!$L$15</f>
        <v>7412.6314296315704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1"/>
      <c r="AE50" s="21"/>
      <c r="AF50" s="21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5"/>
      <c r="J51" s="6"/>
      <c r="K51" s="6"/>
      <c r="L51" s="6">
        <f t="shared" si="2"/>
        <v>2.8114782814394239</v>
      </c>
      <c r="M51" s="1">
        <v>47</v>
      </c>
      <c r="N51" s="6">
        <f>VLOOKUP($N$2,角色品星!$C$16:$D$20,2,0)*VLOOKUP($N$3,角色品星!$C$3:$E$14,3,0)*V51</f>
        <v>429.22406256138697</v>
      </c>
      <c r="O51" s="6">
        <f>VLOOKUP($N$2,角色品星!$C$16:$D$20,2,0)*VLOOKUP($N$3,角色品星!$C$3:$E$14,3,0)*W51</f>
        <v>12035.361187498354</v>
      </c>
      <c r="P51" s="6">
        <f>VLOOKUP($N$2,角色品星!$C$16:$D$20,2,0)*VLOOKUP($N$3,角色品星!$C$3:$E$14,3,0)*X51</f>
        <v>4280.7946506122307</v>
      </c>
      <c r="Q51" s="23">
        <f t="shared" si="3"/>
        <v>0.05</v>
      </c>
      <c r="R51" s="23">
        <f t="shared" si="4"/>
        <v>1.5</v>
      </c>
      <c r="S51" s="23">
        <f t="shared" si="5"/>
        <v>0.9</v>
      </c>
      <c r="T51" s="38">
        <f>N51*(1+Q51*(R51-1))*S51*战斗公式!$E$38+(P51*战斗公式!$E$39+1)*O51*战斗公式!$E$40</f>
        <v>22449.550228216634</v>
      </c>
      <c r="U51" s="38">
        <f t="shared" si="6"/>
        <v>1102.0189034257855</v>
      </c>
      <c r="V51" s="6">
        <f>VLOOKUP($N$1,$D$4:$J$15,MATCH(F$4,$D$4:$J$4,0),0)*角色成长!E64*角色成长!$L$15*AB51/AA51/(1+$Y$2*($Z$2-1))</f>
        <v>780.40738647524893</v>
      </c>
      <c r="W51" s="6">
        <f>VLOOKUP($N$1,$D$4:$J$15,MATCH(G$4,$D$4:$J$4,0),0)*角色成长!F64*角色成长!$L$15/(1+X51/角色成长!$N$16)</f>
        <v>21882.474886360644</v>
      </c>
      <c r="X51" s="6">
        <f>VLOOKUP($N$1,$D$4:$J$15,MATCH(H$4,$D$4:$J$4,0),0)*角色成长!G64*角色成长!$L$15</f>
        <v>7783.2630011131459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1"/>
      <c r="AE51" s="21"/>
      <c r="AF51" s="21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5"/>
      <c r="J52" s="6"/>
      <c r="K52" s="6"/>
      <c r="L52" s="6">
        <f t="shared" si="2"/>
        <v>2.8013636544198812</v>
      </c>
      <c r="M52" s="1">
        <v>48</v>
      </c>
      <c r="N52" s="6">
        <f>VLOOKUP($N$2,角色品星!$C$16:$D$20,2,0)*VLOOKUP($N$3,角色品星!$C$3:$E$14,3,0)*V52</f>
        <v>450.68526568945634</v>
      </c>
      <c r="O52" s="6">
        <f>VLOOKUP($N$2,角色品星!$C$16:$D$20,2,0)*VLOOKUP($N$3,角色品星!$C$3:$E$14,3,0)*W52</f>
        <v>12591.665673573172</v>
      </c>
      <c r="P52" s="6">
        <f>VLOOKUP($N$2,角色品星!$C$16:$D$20,2,0)*VLOOKUP($N$3,角色品星!$C$3:$E$14,3,0)*X52</f>
        <v>4494.8343831428447</v>
      </c>
      <c r="Q52" s="23">
        <f t="shared" si="3"/>
        <v>0.05</v>
      </c>
      <c r="R52" s="23">
        <f t="shared" si="4"/>
        <v>1.5</v>
      </c>
      <c r="S52" s="23">
        <f t="shared" si="5"/>
        <v>0.9</v>
      </c>
      <c r="T52" s="38">
        <f>N52*(1+Q52*(R52-1))*S52*战斗公式!$E$38+(P52*战斗公式!$E$39+1)*O52*战斗公式!$E$40</f>
        <v>23551.56913164242</v>
      </c>
      <c r="U52" s="38">
        <f t="shared" si="6"/>
        <v>1155.1885655900041</v>
      </c>
      <c r="V52" s="6">
        <f>VLOOKUP($N$1,$D$4:$J$15,MATCH(F$4,$D$4:$J$4,0),0)*角色成长!E65*角色成长!$L$15*AB52/AA52/(1+$Y$2*($Z$2-1))</f>
        <v>819.42775579901149</v>
      </c>
      <c r="W52" s="6">
        <f>VLOOKUP($N$1,$D$4:$J$15,MATCH(G$4,$D$4:$J$4,0),0)*角色成长!F65*角色成长!$L$15/(1+X52/角色成长!$N$16)</f>
        <v>22893.937588314857</v>
      </c>
      <c r="X52" s="6">
        <f>VLOOKUP($N$1,$D$4:$J$15,MATCH(H$4,$D$4:$J$4,0),0)*角色成长!G65*角色成长!$L$15</f>
        <v>8172.4261511688073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1"/>
      <c r="AE52" s="21"/>
      <c r="AF52" s="21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5"/>
      <c r="J53" s="6"/>
      <c r="K53" s="6"/>
      <c r="L53" s="6">
        <f t="shared" si="2"/>
        <v>2.790821327686011</v>
      </c>
      <c r="M53" s="1">
        <v>49</v>
      </c>
      <c r="N53" s="6">
        <f>VLOOKUP($N$2,角色品星!$C$16:$D$20,2,0)*VLOOKUP($N$3,角色品星!$C$3:$E$14,3,0)*V53</f>
        <v>473.21952897392924</v>
      </c>
      <c r="O53" s="6">
        <f>VLOOKUP($N$2,角色品星!$C$16:$D$20,2,0)*VLOOKUP($N$3,角色品星!$C$3:$E$14,3,0)*W53</f>
        <v>13171.493643936015</v>
      </c>
      <c r="P53" s="6">
        <f>VLOOKUP($N$2,角色品星!$C$16:$D$20,2,0)*VLOOKUP($N$3,角色品星!$C$3:$E$14,3,0)*X53</f>
        <v>4719.5761022999859</v>
      </c>
      <c r="Q53" s="23">
        <f t="shared" si="3"/>
        <v>0.05</v>
      </c>
      <c r="R53" s="23">
        <f t="shared" si="4"/>
        <v>1.5</v>
      </c>
      <c r="S53" s="23">
        <f t="shared" si="5"/>
        <v>0.9</v>
      </c>
      <c r="T53" s="38">
        <f>N53*(1+Q53*(R53-1))*S53*战斗公式!$E$38+(P53*战斗公式!$E$39+1)*O53*战斗公式!$E$40</f>
        <v>24706.757697232424</v>
      </c>
      <c r="U53" s="38">
        <f t="shared" si="6"/>
        <v>1210.8427175416873</v>
      </c>
      <c r="V53" s="6">
        <f>VLOOKUP($N$1,$D$4:$J$15,MATCH(F$4,$D$4:$J$4,0),0)*角色成长!E66*角色成长!$L$15*AB53/AA53/(1+$Y$2*($Z$2-1))</f>
        <v>860.39914358896215</v>
      </c>
      <c r="W53" s="6">
        <f>VLOOKUP($N$1,$D$4:$J$15,MATCH(G$4,$D$4:$J$4,0),0)*角色成长!F66*角色成长!$L$15/(1+X53/角色成长!$N$16)</f>
        <v>23948.170261701845</v>
      </c>
      <c r="X53" s="6">
        <f>VLOOKUP($N$1,$D$4:$J$15,MATCH(H$4,$D$4:$J$4,0),0)*角色成长!G66*角色成长!$L$15</f>
        <v>8581.0474587272456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1"/>
      <c r="AE53" s="21"/>
      <c r="AF53" s="21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5"/>
      <c r="J54" s="6"/>
      <c r="K54" s="6"/>
      <c r="L54" s="6">
        <f t="shared" si="2"/>
        <v>2.7798369462852599</v>
      </c>
      <c r="M54" s="1">
        <v>50</v>
      </c>
      <c r="N54" s="6">
        <f>VLOOKUP($N$2,角色品星!$C$16:$D$20,2,0)*VLOOKUP($N$3,角色品星!$C$3:$E$14,3,0)*V54</f>
        <v>496.88050542262567</v>
      </c>
      <c r="O54" s="6">
        <f>VLOOKUP($N$2,角色品星!$C$16:$D$20,2,0)*VLOOKUP($N$3,角色品星!$C$3:$E$14,3,0)*W54</f>
        <v>13775.634620977406</v>
      </c>
      <c r="P54" s="6">
        <f>VLOOKUP($N$2,角色品星!$C$16:$D$20,2,0)*VLOOKUP($N$3,角色品星!$C$3:$E$14,3,0)*X54</f>
        <v>4955.5549074149849</v>
      </c>
      <c r="Q54" s="23">
        <f t="shared" si="3"/>
        <v>0.05</v>
      </c>
      <c r="R54" s="23">
        <f t="shared" si="4"/>
        <v>1.5</v>
      </c>
      <c r="S54" s="23">
        <f t="shared" si="5"/>
        <v>0.9</v>
      </c>
      <c r="T54" s="38">
        <f>N54*(1+Q54*(R54-1))*S54*战斗公式!$E$38+(P54*战斗公式!$E$39+1)*O54*战斗公式!$E$40</f>
        <v>25917.600414774111</v>
      </c>
      <c r="U54" s="38">
        <f t="shared" si="6"/>
        <v>1269.0911015668098</v>
      </c>
      <c r="V54" s="6">
        <f>VLOOKUP($N$1,$D$4:$J$15,MATCH(F$4,$D$4:$J$4,0),0)*角色成长!E67*角色成长!$L$15*AB54/AA54/(1+$Y$2*($Z$2-1))</f>
        <v>903.4191007684102</v>
      </c>
      <c r="W54" s="6">
        <f>VLOOKUP($N$1,$D$4:$J$15,MATCH(G$4,$D$4:$J$4,0),0)*角色成长!F67*角色成长!$L$15/(1+X54/角色成长!$N$16)</f>
        <v>25046.608401777099</v>
      </c>
      <c r="X54" s="6">
        <f>VLOOKUP($N$1,$D$4:$J$15,MATCH(H$4,$D$4:$J$4,0),0)*角色成长!G67*角色成长!$L$15</f>
        <v>9010.0998316636087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1"/>
      <c r="AE54" s="21"/>
      <c r="AF54" s="21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5"/>
      <c r="J55" s="6"/>
      <c r="K55" s="6"/>
      <c r="L55" s="6">
        <f t="shared" si="2"/>
        <v>2.7683960226569724</v>
      </c>
      <c r="M55" s="1">
        <v>51</v>
      </c>
      <c r="N55" s="6">
        <f>VLOOKUP($N$2,角色品星!$C$16:$D$20,2,0)*VLOOKUP($N$3,角色品星!$C$3:$E$14,3,0)*V55</f>
        <v>521.72453069375695</v>
      </c>
      <c r="O55" s="6">
        <f>VLOOKUP($N$2,角色品星!$C$16:$D$20,2,0)*VLOOKUP($N$3,角色品星!$C$3:$E$14,3,0)*W55</f>
        <v>14404.885420533179</v>
      </c>
      <c r="P55" s="6">
        <f>VLOOKUP($N$2,角色品星!$C$16:$D$20,2,0)*VLOOKUP($N$3,角色品星!$C$3:$E$14,3,0)*X55</f>
        <v>5203.3326527857344</v>
      </c>
      <c r="Q55" s="23">
        <f t="shared" si="3"/>
        <v>0.05</v>
      </c>
      <c r="R55" s="23">
        <f t="shared" si="4"/>
        <v>1.5</v>
      </c>
      <c r="S55" s="23">
        <f t="shared" si="5"/>
        <v>0.9</v>
      </c>
      <c r="T55" s="38">
        <f>N55*(1+Q55*(R55-1))*S55*战斗公式!$E$38+(P55*战斗公式!$E$39+1)*O55*战斗公式!$E$40</f>
        <v>27186.691516340921</v>
      </c>
      <c r="U55" s="38">
        <f t="shared" si="6"/>
        <v>1330.0479095148039</v>
      </c>
      <c r="V55" s="6">
        <f>VLOOKUP($N$1,$D$4:$J$15,MATCH(F$4,$D$4:$J$4,0),0)*角色成长!E68*角色成长!$L$15*AB55/AA55/(1+$Y$2*($Z$2-1))</f>
        <v>948.59005580683083</v>
      </c>
      <c r="W55" s="6">
        <f>VLOOKUP($N$1,$D$4:$J$15,MATCH(G$4,$D$4:$J$4,0),0)*角色成长!F68*角色成长!$L$15/(1+X55/角色成长!$N$16)</f>
        <v>26190.700764605779</v>
      </c>
      <c r="X55" s="6">
        <f>VLOOKUP($N$1,$D$4:$J$15,MATCH(H$4,$D$4:$J$4,0),0)*角色成长!G68*角色成长!$L$15</f>
        <v>9460.6048232467892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1"/>
      <c r="AE55" s="21"/>
      <c r="AF55" s="21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5"/>
      <c r="J56" s="6"/>
      <c r="K56" s="6"/>
      <c r="L56" s="6">
        <f t="shared" si="2"/>
        <v>2.7564839719232457</v>
      </c>
      <c r="M56" s="1">
        <v>52</v>
      </c>
      <c r="N56" s="6">
        <f>VLOOKUP($N$2,角色品星!$C$16:$D$20,2,0)*VLOOKUP($N$3,角色品星!$C$3:$E$14,3,0)*V56</f>
        <v>547.8107572284448</v>
      </c>
      <c r="O56" s="6">
        <f>VLOOKUP($N$2,角色品星!$C$16:$D$20,2,0)*VLOOKUP($N$3,角色品星!$C$3:$E$14,3,0)*W56</f>
        <v>15060.048210888177</v>
      </c>
      <c r="P56" s="6">
        <f>VLOOKUP($N$2,角色品星!$C$16:$D$20,2,0)*VLOOKUP($N$3,角色品星!$C$3:$E$14,3,0)*X56</f>
        <v>5463.4992854250213</v>
      </c>
      <c r="Q56" s="23">
        <f t="shared" si="3"/>
        <v>0.05</v>
      </c>
      <c r="R56" s="23">
        <f t="shared" si="4"/>
        <v>1.5</v>
      </c>
      <c r="S56" s="23">
        <f t="shared" si="5"/>
        <v>0.9</v>
      </c>
      <c r="T56" s="38">
        <f>N56*(1+Q56*(R56-1))*S56*战斗公式!$E$38+(P56*战斗公式!$E$39+1)*O56*战斗公式!$E$40</f>
        <v>28516.739425855725</v>
      </c>
      <c r="U56" s="38">
        <f t="shared" si="6"/>
        <v>1393.8319542853205</v>
      </c>
      <c r="V56" s="6">
        <f>VLOOKUP($N$1,$D$4:$J$15,MATCH(F$4,$D$4:$J$4,0),0)*角色成长!E69*角色成长!$L$15*AB56/AA56/(1+$Y$2*($Z$2-1))</f>
        <v>996.01955859717236</v>
      </c>
      <c r="W56" s="6">
        <f>VLOOKUP($N$1,$D$4:$J$15,MATCH(G$4,$D$4:$J$4,0),0)*角色成长!F69*角色成长!$L$15/(1+X56/角色成长!$N$16)</f>
        <v>27381.905837978502</v>
      </c>
      <c r="X56" s="6">
        <f>VLOOKUP($N$1,$D$4:$J$15,MATCH(H$4,$D$4:$J$4,0),0)*角色成长!G69*角色成长!$L$15</f>
        <v>9933.635064409129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1"/>
      <c r="AE56" s="21"/>
      <c r="AF56" s="21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5"/>
      <c r="J57" s="6"/>
      <c r="K57" s="6"/>
      <c r="L57" s="6">
        <f t="shared" si="2"/>
        <v>2.7440861510045575</v>
      </c>
      <c r="M57" s="1">
        <v>53</v>
      </c>
      <c r="N57" s="6">
        <f>VLOOKUP($N$2,角色品星!$C$16:$D$20,2,0)*VLOOKUP($N$3,角色品星!$C$3:$E$14,3,0)*V57</f>
        <v>575.20129508986702</v>
      </c>
      <c r="O57" s="6">
        <f>VLOOKUP($N$2,角色品星!$C$16:$D$20,2,0)*VLOOKUP($N$3,角色品星!$C$3:$E$14,3,0)*W57</f>
        <v>15741.928361416001</v>
      </c>
      <c r="P57" s="6">
        <f>VLOOKUP($N$2,角色品星!$C$16:$D$20,2,0)*VLOOKUP($N$3,角色品星!$C$3:$E$14,3,0)*X57</f>
        <v>5736.6742496962725</v>
      </c>
      <c r="Q57" s="23">
        <f t="shared" si="3"/>
        <v>0.05</v>
      </c>
      <c r="R57" s="23">
        <f t="shared" si="4"/>
        <v>1.5</v>
      </c>
      <c r="S57" s="23">
        <f t="shared" si="5"/>
        <v>0.9</v>
      </c>
      <c r="T57" s="38">
        <f>N57*(1+Q57*(R57-1))*S57*战斗公式!$E$38+(P57*战斗公式!$E$39+1)*O57*战斗公式!$E$40</f>
        <v>29910.571380141046</v>
      </c>
      <c r="U57" s="38">
        <f t="shared" si="6"/>
        <v>1460.5668507314258</v>
      </c>
      <c r="V57" s="6">
        <f>VLOOKUP($N$1,$D$4:$J$15,MATCH(F$4,$D$4:$J$4,0),0)*角色成长!E70*角色成长!$L$15*AB57/AA57/(1+$Y$2*($Z$2-1))</f>
        <v>1045.8205365270308</v>
      </c>
      <c r="W57" s="6">
        <f>VLOOKUP($N$1,$D$4:$J$15,MATCH(G$4,$D$4:$J$4,0),0)*角色成长!F70*角色成长!$L$15/(1+X57/角色成长!$N$16)</f>
        <v>28621.687929847274</v>
      </c>
      <c r="X57" s="6">
        <f>VLOOKUP($N$1,$D$4:$J$15,MATCH(H$4,$D$4:$J$4,0),0)*角色成长!G70*角色成长!$L$15</f>
        <v>10430.316817629586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1"/>
      <c r="AE57" s="21"/>
      <c r="AF57" s="21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5"/>
      <c r="J58" s="6"/>
      <c r="K58" s="6"/>
      <c r="L58" s="6">
        <f t="shared" si="2"/>
        <v>2.7311879017174365</v>
      </c>
      <c r="M58" s="1">
        <v>54</v>
      </c>
      <c r="N58" s="6">
        <f>VLOOKUP($N$2,角色品星!$C$16:$D$20,2,0)*VLOOKUP($N$3,角色品星!$C$3:$E$14,3,0)*V58</f>
        <v>603.96135984436046</v>
      </c>
      <c r="O58" s="6">
        <f>VLOOKUP($N$2,角色品星!$C$16:$D$20,2,0)*VLOOKUP($N$3,角色品星!$C$3:$E$14,3,0)*W58</f>
        <v>16451.332072207631</v>
      </c>
      <c r="P58" s="6">
        <f>VLOOKUP($N$2,角色品星!$C$16:$D$20,2,0)*VLOOKUP($N$3,角色品星!$C$3:$E$14,3,0)*X58</f>
        <v>6023.5079621810855</v>
      </c>
      <c r="Q58" s="23">
        <f t="shared" si="3"/>
        <v>0.05</v>
      </c>
      <c r="R58" s="23">
        <f t="shared" si="4"/>
        <v>1.5</v>
      </c>
      <c r="S58" s="23">
        <f t="shared" si="5"/>
        <v>0.9</v>
      </c>
      <c r="T58" s="38">
        <f>N58*(1+Q58*(R58-1))*S58*战斗公式!$E$38+(P58*战斗公式!$E$39+1)*O58*战斗公式!$E$40</f>
        <v>31371.138230872471</v>
      </c>
      <c r="U58" s="38">
        <f t="shared" si="6"/>
        <v>1530.3812070559361</v>
      </c>
      <c r="V58" s="6">
        <f>VLOOKUP($N$1,$D$4:$J$15,MATCH(F$4,$D$4:$J$4,0),0)*角色成长!E71*角色成长!$L$15*AB58/AA58/(1+$Y$2*($Z$2-1))</f>
        <v>1098.1115633533825</v>
      </c>
      <c r="W58" s="6">
        <f>VLOOKUP($N$1,$D$4:$J$15,MATCH(G$4,$D$4:$J$4,0),0)*角色成长!F71*角色成长!$L$15/(1+X58/角色成长!$N$16)</f>
        <v>29911.512858559327</v>
      </c>
      <c r="X58" s="6">
        <f>VLOOKUP($N$1,$D$4:$J$15,MATCH(H$4,$D$4:$J$4,0),0)*角色成长!G71*角色成长!$L$15</f>
        <v>10951.832658511064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1"/>
      <c r="AE58" s="21"/>
      <c r="AF58" s="21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5"/>
      <c r="J59" s="6"/>
      <c r="K59" s="6"/>
      <c r="L59" s="6">
        <f t="shared" si="2"/>
        <v>2.7177745979947305</v>
      </c>
      <c r="M59" s="1">
        <v>55</v>
      </c>
      <c r="N59" s="6">
        <f>VLOOKUP($N$2,角色品星!$C$16:$D$20,2,0)*VLOOKUP($N$3,角色品星!$C$3:$E$14,3,0)*V59</f>
        <v>634.15942783657829</v>
      </c>
      <c r="O59" s="6">
        <f>VLOOKUP($N$2,角色品星!$C$16:$D$20,2,0)*VLOOKUP($N$3,角色品星!$C$3:$E$14,3,0)*W59</f>
        <v>17189.063776956496</v>
      </c>
      <c r="P59" s="6">
        <f>VLOOKUP($N$2,角色品星!$C$16:$D$20,2,0)*VLOOKUP($N$3,角色品星!$C$3:$E$14,3,0)*X59</f>
        <v>6324.6833602901397</v>
      </c>
      <c r="Q59" s="23">
        <f t="shared" si="3"/>
        <v>0.05</v>
      </c>
      <c r="R59" s="23">
        <f t="shared" si="4"/>
        <v>1.5</v>
      </c>
      <c r="S59" s="23">
        <f t="shared" si="5"/>
        <v>0.9</v>
      </c>
      <c r="T59" s="38">
        <f>N59*(1+Q59*(R59-1))*S59*战斗公式!$E$38+(P59*战斗公式!$E$39+1)*O59*战斗公式!$E$40</f>
        <v>32901.519437928408</v>
      </c>
      <c r="U59" s="38">
        <f t="shared" si="6"/>
        <v>1603.4088279123971</v>
      </c>
      <c r="V59" s="6">
        <f>VLOOKUP($N$1,$D$4:$J$15,MATCH(F$4,$D$4:$J$4,0),0)*角色成长!E72*角色成长!$L$15*AB59/AA59/(1+$Y$2*($Z$2-1))</f>
        <v>1153.0171415210514</v>
      </c>
      <c r="W59" s="6">
        <f>VLOOKUP($N$1,$D$4:$J$15,MATCH(G$4,$D$4:$J$4,0),0)*角色成长!F72*角色成长!$L$15/(1+X59/角色成长!$N$16)</f>
        <v>31252.843230829989</v>
      </c>
      <c r="X59" s="6">
        <f>VLOOKUP($N$1,$D$4:$J$15,MATCH(H$4,$D$4:$J$4,0),0)*角色成长!G72*角色成长!$L$15</f>
        <v>11499.424291436617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1"/>
      <c r="AE59" s="21"/>
      <c r="AF59" s="21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5"/>
      <c r="J60" s="6"/>
      <c r="K60" s="6"/>
      <c r="L60" s="6">
        <f t="shared" si="2"/>
        <v>2.7038316973483676</v>
      </c>
      <c r="M60" s="1">
        <v>56</v>
      </c>
      <c r="N60" s="6">
        <f>VLOOKUP($N$2,角色品星!$C$16:$D$20,2,0)*VLOOKUP($N$3,角色品星!$C$3:$E$14,3,0)*V60</f>
        <v>665.86739922840729</v>
      </c>
      <c r="O60" s="6">
        <f>VLOOKUP($N$2,角色品星!$C$16:$D$20,2,0)*VLOOKUP($N$3,角色品星!$C$3:$E$14,3,0)*W60</f>
        <v>17955.923312506482</v>
      </c>
      <c r="P60" s="6">
        <f>VLOOKUP($N$2,角色品星!$C$16:$D$20,2,0)*VLOOKUP($N$3,角色品星!$C$3:$E$14,3,0)*X60</f>
        <v>6640.9175283046479</v>
      </c>
      <c r="Q60" s="23">
        <f t="shared" si="3"/>
        <v>0.05</v>
      </c>
      <c r="R60" s="23">
        <f t="shared" si="4"/>
        <v>1.5</v>
      </c>
      <c r="S60" s="23">
        <f t="shared" si="5"/>
        <v>0.9</v>
      </c>
      <c r="T60" s="38">
        <f>N60*(1+Q60*(R60-1))*S60*战斗公式!$E$38+(P60*战斗公式!$E$39+1)*O60*战斗公式!$E$40</f>
        <v>34504.928265840805</v>
      </c>
      <c r="U60" s="38">
        <f t="shared" si="6"/>
        <v>1679.7889305650242</v>
      </c>
      <c r="V60" s="6">
        <f>VLOOKUP($N$1,$D$4:$J$15,MATCH(F$4,$D$4:$J$4,0),0)*角色成长!E73*角色成长!$L$15*AB60/AA60/(1+$Y$2*($Z$2-1))</f>
        <v>1210.6679985971041</v>
      </c>
      <c r="W60" s="6">
        <f>VLOOKUP($N$1,$D$4:$J$15,MATCH(G$4,$D$4:$J$4,0),0)*角色成长!F73*角色成长!$L$15/(1+X60/角色成长!$N$16)</f>
        <v>32647.133295466327</v>
      </c>
      <c r="X60" s="6">
        <f>VLOOKUP($N$1,$D$4:$J$15,MATCH(H$4,$D$4:$J$4,0),0)*角色成长!G73*角色成长!$L$15</f>
        <v>12074.39550600845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1"/>
      <c r="AE60" s="21"/>
      <c r="AF60" s="21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5"/>
      <c r="J61" s="6"/>
      <c r="K61" s="6"/>
      <c r="L61" s="6">
        <f t="shared" si="2"/>
        <v>2.6893447966694017</v>
      </c>
      <c r="M61" s="1">
        <v>57</v>
      </c>
      <c r="N61" s="6">
        <f>VLOOKUP($N$2,角色品星!$C$16:$D$20,2,0)*VLOOKUP($N$3,角色品星!$C$3:$E$14,3,0)*V61</f>
        <v>699.16076918982753</v>
      </c>
      <c r="O61" s="6">
        <f>VLOOKUP($N$2,角色品星!$C$16:$D$20,2,0)*VLOOKUP($N$3,角色品星!$C$3:$E$14,3,0)*W61</f>
        <v>18752.70284984956</v>
      </c>
      <c r="P61" s="6">
        <f>VLOOKUP($N$2,角色品星!$C$16:$D$20,2,0)*VLOOKUP($N$3,角色品星!$C$3:$E$14,3,0)*X61</f>
        <v>6972.9634047198788</v>
      </c>
      <c r="Q61" s="23">
        <f t="shared" si="3"/>
        <v>0.05</v>
      </c>
      <c r="R61" s="23">
        <f t="shared" si="4"/>
        <v>1.5</v>
      </c>
      <c r="S61" s="23">
        <f t="shared" si="5"/>
        <v>0.9</v>
      </c>
      <c r="T61" s="38">
        <f>N61*(1+Q61*(R61-1))*S61*战斗公式!$E$38+(P61*战斗公式!$E$39+1)*O61*战斗公式!$E$40</f>
        <v>36184.717196405829</v>
      </c>
      <c r="U61" s="38">
        <f t="shared" si="6"/>
        <v>1759.6663756158378</v>
      </c>
      <c r="V61" s="6">
        <f>VLOOKUP($N$1,$D$4:$J$15,MATCH(F$4,$D$4:$J$4,0),0)*角色成长!E74*角色成长!$L$15*AB61/AA61/(1+$Y$2*($Z$2-1))</f>
        <v>1271.2013985269591</v>
      </c>
      <c r="W61" s="6">
        <f>VLOOKUP($N$1,$D$4:$J$15,MATCH(G$4,$D$4:$J$4,0),0)*角色成长!F74*角色成长!$L$15/(1+X61/角色成长!$N$16)</f>
        <v>34095.823363362833</v>
      </c>
      <c r="X61" s="6">
        <f>VLOOKUP($N$1,$D$4:$J$15,MATCH(H$4,$D$4:$J$4,0),0)*角色成长!G74*角色成长!$L$15</f>
        <v>12678.11528130887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1"/>
      <c r="AE61" s="21"/>
      <c r="AF61" s="21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5"/>
      <c r="J62" s="6"/>
      <c r="K62" s="6"/>
      <c r="L62" s="6">
        <f t="shared" si="2"/>
        <v>2.6742996924303242</v>
      </c>
      <c r="M62" s="1">
        <v>58</v>
      </c>
      <c r="N62" s="6">
        <f>VLOOKUP($N$2,角色品星!$C$16:$D$20,2,0)*VLOOKUP($N$3,角色品星!$C$3:$E$14,3,0)*V62</f>
        <v>734.11880764931891</v>
      </c>
      <c r="O62" s="6">
        <f>VLOOKUP($N$2,角色品星!$C$16:$D$20,2,0)*VLOOKUP($N$3,角色品星!$C$3:$E$14,3,0)*W62</f>
        <v>19580.183582998798</v>
      </c>
      <c r="P62" s="6">
        <f>VLOOKUP($N$2,角色品星!$C$16:$D$20,2,0)*VLOOKUP($N$3,角色品星!$C$3:$E$14,3,0)*X62</f>
        <v>7321.6115749558749</v>
      </c>
      <c r="Q62" s="23">
        <f t="shared" si="3"/>
        <v>0.05</v>
      </c>
      <c r="R62" s="23">
        <f t="shared" si="4"/>
        <v>1.5</v>
      </c>
      <c r="S62" s="23">
        <f t="shared" si="5"/>
        <v>0.9</v>
      </c>
      <c r="T62" s="38">
        <f>N62*(1+Q62*(R62-1))*S62*战斗公式!$E$38+(P62*战斗公式!$E$39+1)*O62*战斗公式!$E$40</f>
        <v>37944.383572021667</v>
      </c>
      <c r="U62" s="38">
        <f t="shared" si="6"/>
        <v>1843.1919139679303</v>
      </c>
      <c r="V62" s="6">
        <f>VLOOKUP($N$1,$D$4:$J$15,MATCH(F$4,$D$4:$J$4,0),0)*角色成长!E75*角色成长!$L$15*AB62/AA62/(1+$Y$2*($Z$2-1))</f>
        <v>1334.7614684533071</v>
      </c>
      <c r="W62" s="6">
        <f>VLOOKUP($N$1,$D$4:$J$15,MATCH(G$4,$D$4:$J$4,0),0)*角色成长!F75*角色成长!$L$15/(1+X62/角色成长!$N$16)</f>
        <v>35600.333787270538</v>
      </c>
      <c r="X62" s="6">
        <f>VLOOKUP($N$1,$D$4:$J$15,MATCH(H$4,$D$4:$J$4,0),0)*角色成长!G75*角色成长!$L$15</f>
        <v>13312.021045374317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1"/>
      <c r="AE62" s="21"/>
      <c r="AF62" s="21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5"/>
      <c r="J63" s="6"/>
      <c r="K63" s="6"/>
      <c r="L63" s="6">
        <f t="shared" si="2"/>
        <v>2.658682445319847</v>
      </c>
      <c r="M63" s="1">
        <v>59</v>
      </c>
      <c r="N63" s="6">
        <f>VLOOKUP($N$2,角色品星!$C$16:$D$20,2,0)*VLOOKUP($N$3,角色品星!$C$3:$E$14,3,0)*V63</f>
        <v>770.82474803178502</v>
      </c>
      <c r="O63" s="6">
        <f>VLOOKUP($N$2,角色品星!$C$16:$D$20,2,0)*VLOOKUP($N$3,角色品星!$C$3:$E$14,3,0)*W63</f>
        <v>20439.132174075072</v>
      </c>
      <c r="P63" s="6">
        <f>VLOOKUP($N$2,角色品星!$C$16:$D$20,2,0)*VLOOKUP($N$3,角色品星!$C$3:$E$14,3,0)*X63</f>
        <v>7687.6921537036687</v>
      </c>
      <c r="Q63" s="23">
        <f t="shared" si="3"/>
        <v>0.05</v>
      </c>
      <c r="R63" s="23">
        <f t="shared" si="4"/>
        <v>1.5</v>
      </c>
      <c r="S63" s="23">
        <f t="shared" si="5"/>
        <v>0.9</v>
      </c>
      <c r="T63" s="38">
        <f>N63*(1+Q63*(R63-1))*S63*战斗公式!$E$38+(P63*战斗公式!$E$39+1)*O63*战斗公式!$E$40</f>
        <v>39787.575485989597</v>
      </c>
      <c r="U63" s="38">
        <f t="shared" si="6"/>
        <v>1930.5224518643954</v>
      </c>
      <c r="V63" s="6">
        <f>VLOOKUP($N$1,$D$4:$J$15,MATCH(F$4,$D$4:$J$4,0),0)*角色成长!E76*角色成长!$L$15*AB63/AA63/(1+$Y$2*($Z$2-1))</f>
        <v>1401.4995418759727</v>
      </c>
      <c r="W63" s="6">
        <f>VLOOKUP($N$1,$D$4:$J$15,MATCH(G$4,$D$4:$J$4,0),0)*角色成长!F76*角色成长!$L$15/(1+X63/角色成长!$N$16)</f>
        <v>37162.058498318307</v>
      </c>
      <c r="X63" s="6">
        <f>VLOOKUP($N$1,$D$4:$J$15,MATCH(H$4,$D$4:$J$4,0),0)*角色成长!G76*角色成长!$L$15</f>
        <v>13977.622097643032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1"/>
      <c r="AE63" s="21"/>
      <c r="AF63" s="21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5"/>
      <c r="J64" s="6"/>
      <c r="K64" s="6"/>
      <c r="L64" s="6">
        <f t="shared" si="2"/>
        <v>2.6424794493003891</v>
      </c>
      <c r="M64" s="1">
        <v>60</v>
      </c>
      <c r="N64" s="6">
        <f>VLOOKUP($N$2,角色品星!$C$16:$D$20,2,0)*VLOOKUP($N$3,角色品星!$C$3:$E$14,3,0)*V64</f>
        <v>809.36598543337436</v>
      </c>
      <c r="O64" s="6">
        <f>VLOOKUP($N$2,角色品星!$C$16:$D$20,2,0)*VLOOKUP($N$3,角色品星!$C$3:$E$14,3,0)*W64</f>
        <v>21330.296955145281</v>
      </c>
      <c r="P64" s="6">
        <f>VLOOKUP($N$2,角色品星!$C$16:$D$20,2,0)*VLOOKUP($N$3,角色品星!$C$3:$E$14,3,0)*X64</f>
        <v>8072.076761388852</v>
      </c>
      <c r="Q64" s="23">
        <f t="shared" si="3"/>
        <v>0.05</v>
      </c>
      <c r="R64" s="23">
        <f t="shared" si="4"/>
        <v>1.5</v>
      </c>
      <c r="S64" s="23">
        <f t="shared" si="5"/>
        <v>0.9</v>
      </c>
      <c r="T64" s="38">
        <f>N64*(1+Q64*(R64-1))*S64*战斗公式!$E$38+(P64*战斗公式!$E$39+1)*O64*战斗公式!$E$40</f>
        <v>41718.097937853992</v>
      </c>
      <c r="U64" s="38">
        <f t="shared" si="6"/>
        <v>2021.8213360161171</v>
      </c>
      <c r="V64" s="6">
        <f>VLOOKUP($N$1,$D$4:$J$15,MATCH(F$4,$D$4:$J$4,0),0)*角色成长!E77*角色成长!$L$15*AB64/AA64/(1+$Y$2*($Z$2-1))</f>
        <v>1471.5745189697714</v>
      </c>
      <c r="W64" s="6">
        <f>VLOOKUP($N$1,$D$4:$J$15,MATCH(G$4,$D$4:$J$4,0),0)*角色成长!F77*角色成长!$L$15/(1+X64/角色成长!$N$16)</f>
        <v>38782.358100264144</v>
      </c>
      <c r="X64" s="6">
        <f>VLOOKUP($N$1,$D$4:$J$15,MATCH(H$4,$D$4:$J$4,0),0)*角色成长!G77*角色成长!$L$15</f>
        <v>14676.503202525184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1"/>
      <c r="AE64" s="21"/>
      <c r="AF64" s="21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5"/>
      <c r="J65" s="6"/>
      <c r="K65" s="6"/>
      <c r="L65" s="6">
        <f t="shared" si="2"/>
        <v>2.6256775050331482</v>
      </c>
      <c r="M65" s="1">
        <v>61</v>
      </c>
      <c r="N65" s="6">
        <f>VLOOKUP($N$2,角色品星!$C$16:$D$20,2,0)*VLOOKUP($N$3,角色品星!$C$3:$E$14,3,0)*V65</f>
        <v>849.83428470504282</v>
      </c>
      <c r="O65" s="6">
        <f>VLOOKUP($N$2,角色品星!$C$16:$D$20,2,0)*VLOOKUP($N$3,角色品星!$C$3:$E$14,3,0)*W65</f>
        <v>22254.40388984351</v>
      </c>
      <c r="P65" s="6">
        <f>VLOOKUP($N$2,角色品星!$C$16:$D$20,2,0)*VLOOKUP($N$3,角色品星!$C$3:$E$14,3,0)*X65</f>
        <v>8475.6805994582937</v>
      </c>
      <c r="Q65" s="23">
        <f t="shared" si="3"/>
        <v>0.05</v>
      </c>
      <c r="R65" s="23">
        <f t="shared" si="4"/>
        <v>1.5</v>
      </c>
      <c r="S65" s="23">
        <f t="shared" si="5"/>
        <v>0.9</v>
      </c>
      <c r="T65" s="38">
        <f>N65*(1+Q65*(R65-1))*S65*战斗公式!$E$38+(P65*战斗公式!$E$39+1)*O65*战斗公式!$E$40</f>
        <v>43739.919273870109</v>
      </c>
      <c r="U65" s="38">
        <f t="shared" si="6"/>
        <v>2117.2586610127619</v>
      </c>
      <c r="V65" s="6">
        <f>VLOOKUP($N$1,$D$4:$J$15,MATCH(F$4,$D$4:$J$4,0),0)*角色成长!E78*角色成长!$L$15*AB65/AA65/(1+$Y$2*($Z$2-1))</f>
        <v>1545.1532449182596</v>
      </c>
      <c r="W65" s="6">
        <f>VLOOKUP($N$1,$D$4:$J$15,MATCH(G$4,$D$4:$J$4,0),0)*角色成长!F78*角色成长!$L$15/(1+X65/角色成长!$N$16)</f>
        <v>40462.552526988198</v>
      </c>
      <c r="X65" s="6">
        <f>VLOOKUP($N$1,$D$4:$J$15,MATCH(H$4,$D$4:$J$4,0),0)*角色成长!G78*角色成长!$L$15</f>
        <v>15410.328362651442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1"/>
      <c r="AE65" s="21"/>
      <c r="AF65" s="21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5"/>
      <c r="J66" s="6"/>
      <c r="K66" s="6"/>
      <c r="L66" s="6">
        <f t="shared" si="2"/>
        <v>2.6082638975648367</v>
      </c>
      <c r="M66" s="1">
        <v>62</v>
      </c>
      <c r="N66" s="6">
        <f>VLOOKUP($N$2,角色品星!$C$16:$D$20,2,0)*VLOOKUP($N$3,角色品星!$C$3:$E$14,3,0)*V66</f>
        <v>892.32599894029522</v>
      </c>
      <c r="O66" s="6">
        <f>VLOOKUP($N$2,角色品星!$C$16:$D$20,2,0)*VLOOKUP($N$3,角色品星!$C$3:$E$14,3,0)*W66</f>
        <v>23212.152300600654</v>
      </c>
      <c r="P66" s="6">
        <f>VLOOKUP($N$2,角色品星!$C$16:$D$20,2,0)*VLOOKUP($N$3,角色品星!$C$3:$E$14,3,0)*X66</f>
        <v>8899.4646294312097</v>
      </c>
      <c r="Q66" s="23">
        <f t="shared" si="3"/>
        <v>0.05</v>
      </c>
      <c r="R66" s="23">
        <f t="shared" si="4"/>
        <v>1.5</v>
      </c>
      <c r="S66" s="23">
        <f t="shared" si="5"/>
        <v>0.9</v>
      </c>
      <c r="T66" s="38">
        <f>N66*(1+Q66*(R66-1))*S66*战斗公式!$E$38+(P66*战斗公式!$E$39+1)*O66*战斗公式!$E$40</f>
        <v>45857.177934882871</v>
      </c>
      <c r="U66" s="38">
        <f t="shared" si="6"/>
        <v>2217.0116013905936</v>
      </c>
      <c r="V66" s="6">
        <f>VLOOKUP($N$1,$D$4:$J$15,MATCH(F$4,$D$4:$J$4,0),0)*角色成长!E79*角色成长!$L$15*AB66/AA66/(1+$Y$2*($Z$2-1))</f>
        <v>1622.4109071641731</v>
      </c>
      <c r="W66" s="6">
        <f>VLOOKUP($N$1,$D$4:$J$15,MATCH(G$4,$D$4:$J$4,0),0)*角色成长!F79*角色成长!$L$15/(1+X66/角色成长!$N$16)</f>
        <v>42203.913273819366</v>
      </c>
      <c r="X66" s="6">
        <f>VLOOKUP($N$1,$D$4:$J$15,MATCH(H$4,$D$4:$J$4,0),0)*角色成长!G79*角色成长!$L$15</f>
        <v>16180.844780784017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1"/>
      <c r="AE66" s="21"/>
      <c r="AF66" s="21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5"/>
      <c r="J67" s="6"/>
      <c r="K67" s="6"/>
      <c r="L67" s="6">
        <f t="shared" si="2"/>
        <v>2.5902264781139279</v>
      </c>
      <c r="M67" s="1">
        <v>63</v>
      </c>
      <c r="N67" s="6">
        <f>VLOOKUP($N$2,角色品星!$C$16:$D$20,2,0)*VLOOKUP($N$3,角色品星!$C$3:$E$14,3,0)*V67</f>
        <v>936.94229888730956</v>
      </c>
      <c r="O67" s="6">
        <f>VLOOKUP($N$2,角色品星!$C$16:$D$20,2,0)*VLOOKUP($N$3,角色品星!$C$3:$E$14,3,0)*W67</f>
        <v>24204.210370400619</v>
      </c>
      <c r="P67" s="6">
        <f>VLOOKUP($N$2,角色品星!$C$16:$D$20,2,0)*VLOOKUP($N$3,角色品星!$C$3:$E$14,3,0)*X67</f>
        <v>9344.4378609027663</v>
      </c>
      <c r="Q67" s="23">
        <f t="shared" si="3"/>
        <v>0.05</v>
      </c>
      <c r="R67" s="23">
        <f t="shared" si="4"/>
        <v>1.5</v>
      </c>
      <c r="S67" s="23">
        <f t="shared" si="5"/>
        <v>0.9</v>
      </c>
      <c r="T67" s="38">
        <f>N67*(1+Q67*(R67-1))*S67*战斗公式!$E$38+(P67*战斗公式!$E$39+1)*O67*战斗公式!$E$40</f>
        <v>48074.189536273465</v>
      </c>
      <c r="U67" s="38">
        <f t="shared" si="6"/>
        <v>2321.264770914313</v>
      </c>
      <c r="V67" s="6">
        <f>VLOOKUP($N$1,$D$4:$J$15,MATCH(F$4,$D$4:$J$4,0),0)*角色成长!E80*角色成长!$L$15*AB67/AA67/(1+$Y$2*($Z$2-1))</f>
        <v>1703.531452522381</v>
      </c>
      <c r="W67" s="6">
        <f>VLOOKUP($N$1,$D$4:$J$15,MATCH(G$4,$D$4:$J$4,0),0)*角色成长!F80*角色成长!$L$15/(1+X67/角色成长!$N$16)</f>
        <v>44007.655218910215</v>
      </c>
      <c r="X67" s="6">
        <f>VLOOKUP($N$1,$D$4:$J$15,MATCH(H$4,$D$4:$J$4,0),0)*角色成长!G80*角色成长!$L$15</f>
        <v>16989.887019823211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1"/>
      <c r="AE67" s="21"/>
      <c r="AF67" s="21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5"/>
      <c r="J68" s="6"/>
      <c r="K68" s="6"/>
      <c r="L68" s="6">
        <f t="shared" si="2"/>
        <v>2.5715537497327308</v>
      </c>
      <c r="M68" s="1">
        <v>64</v>
      </c>
      <c r="N68" s="6">
        <f>VLOOKUP($N$2,角色品星!$C$16:$D$20,2,0)*VLOOKUP($N$3,角色品星!$C$3:$E$14,3,0)*V68</f>
        <v>983.78941383167546</v>
      </c>
      <c r="O68" s="6">
        <f>VLOOKUP($N$2,角色品星!$C$16:$D$20,2,0)*VLOOKUP($N$3,角色品星!$C$3:$E$14,3,0)*W68</f>
        <v>25231.210431366471</v>
      </c>
      <c r="P68" s="6">
        <f>VLOOKUP($N$2,角色品星!$C$16:$D$20,2,0)*VLOOKUP($N$3,角色品星!$C$3:$E$14,3,0)*X68</f>
        <v>9811.6597539479098</v>
      </c>
      <c r="Q68" s="23">
        <f t="shared" si="3"/>
        <v>0.05</v>
      </c>
      <c r="R68" s="23">
        <f t="shared" si="4"/>
        <v>1.5</v>
      </c>
      <c r="S68" s="23">
        <f t="shared" si="5"/>
        <v>0.9</v>
      </c>
      <c r="T68" s="38">
        <f>N68*(1+Q68*(R68-1))*S68*战斗公式!$E$38+(P68*战斗公式!$E$39+1)*O68*战斗公式!$E$40</f>
        <v>50395.454307187778</v>
      </c>
      <c r="U68" s="38">
        <f t="shared" si="6"/>
        <v>2430.2106118026713</v>
      </c>
      <c r="V68" s="6">
        <f>VLOOKUP($N$1,$D$4:$J$15,MATCH(F$4,$D$4:$J$4,0),0)*角色成长!E81*角色成长!$L$15*AB68/AA68/(1+$Y$2*($Z$2-1))</f>
        <v>1788.7080251485006</v>
      </c>
      <c r="W68" s="6">
        <f>VLOOKUP($N$1,$D$4:$J$15,MATCH(G$4,$D$4:$J$4,0),0)*角色成长!F81*角色成长!$L$15/(1+X68/角色成长!$N$16)</f>
        <v>45874.928057029945</v>
      </c>
      <c r="X68" s="6">
        <f>VLOOKUP($N$1,$D$4:$J$15,MATCH(H$4,$D$4:$J$4,0),0)*角色成长!G81*角色成长!$L$15</f>
        <v>17839.381370814379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1"/>
      <c r="AE68" s="21"/>
      <c r="AF68" s="21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5"/>
      <c r="J69" s="6"/>
      <c r="K69" s="6"/>
      <c r="L69" s="6">
        <f t="shared" si="2"/>
        <v>2.552234956554992</v>
      </c>
      <c r="M69" s="1">
        <v>65</v>
      </c>
      <c r="N69" s="6">
        <f>VLOOKUP($N$2,角色品星!$C$16:$D$20,2,0)*VLOOKUP($N$3,角色品星!$C$3:$E$14,3,0)*V69</f>
        <v>1032.9788845232595</v>
      </c>
      <c r="O69" s="6">
        <f>VLOOKUP($N$2,角色品星!$C$16:$D$20,2,0)*VLOOKUP($N$3,角色品星!$C$3:$E$14,3,0)*W69</f>
        <v>26293.744056142084</v>
      </c>
      <c r="P69" s="6">
        <f>VLOOKUP($N$2,角色品星!$C$16:$D$20,2,0)*VLOOKUP($N$3,角色品星!$C$3:$E$14,3,0)*X69</f>
        <v>10302.242741645305</v>
      </c>
      <c r="Q69" s="23">
        <f t="shared" si="3"/>
        <v>0.05</v>
      </c>
      <c r="R69" s="23">
        <f t="shared" si="4"/>
        <v>1.5</v>
      </c>
      <c r="S69" s="23">
        <f t="shared" si="5"/>
        <v>0.9</v>
      </c>
      <c r="T69" s="38">
        <f>N69*(1+Q69*(R69-1))*S69*战斗公式!$E$38+(P69*战斗公式!$E$39+1)*O69*战斗公式!$E$40</f>
        <v>52825.664918990449</v>
      </c>
      <c r="U69" s="38">
        <f t="shared" si="6"/>
        <v>2544.0498168019913</v>
      </c>
      <c r="V69" s="6">
        <f>VLOOKUP($N$1,$D$4:$J$15,MATCH(F$4,$D$4:$J$4,0),0)*角色成长!E82*角色成长!$L$15*AB69/AA69/(1+$Y$2*($Z$2-1))</f>
        <v>1878.143426405926</v>
      </c>
      <c r="W69" s="6">
        <f>VLOOKUP($N$1,$D$4:$J$15,MATCH(G$4,$D$4:$J$4,0),0)*角色成长!F82*角色成长!$L$15/(1+X69/角色成长!$N$16)</f>
        <v>47806.807374803786</v>
      </c>
      <c r="X69" s="6">
        <f>VLOOKUP($N$1,$D$4:$J$15,MATCH(H$4,$D$4:$J$4,0),0)*角色成长!G82*角色成长!$L$15</f>
        <v>18731.350439355097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1"/>
      <c r="AE69" s="21"/>
      <c r="AF69" s="21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5"/>
      <c r="J70" s="6"/>
      <c r="K70" s="6"/>
      <c r="L70" s="6">
        <f t="shared" ref="L70:L104" si="9">O70/P70</f>
        <v>2.5322601762674908</v>
      </c>
      <c r="M70" s="1">
        <v>66</v>
      </c>
      <c r="N70" s="6">
        <f>VLOOKUP($N$2,角色品星!$C$16:$D$20,2,0)*VLOOKUP($N$3,角色品星!$C$3:$E$14,3,0)*V70</f>
        <v>1084.6278287494224</v>
      </c>
      <c r="O70" s="6">
        <f>VLOOKUP($N$2,角色品星!$C$16:$D$20,2,0)*VLOOKUP($N$3,角色品星!$C$3:$E$14,3,0)*W70</f>
        <v>27392.356971954679</v>
      </c>
      <c r="P70" s="6">
        <f>VLOOKUP($N$2,角色品星!$C$16:$D$20,2,0)*VLOOKUP($N$3,角色品星!$C$3:$E$14,3,0)*X70</f>
        <v>10817.35487872757</v>
      </c>
      <c r="Q70" s="23">
        <f t="shared" ref="Q70:Q104" si="10">Y70</f>
        <v>0.05</v>
      </c>
      <c r="R70" s="23">
        <f t="shared" ref="R70:R104" si="11">Z70</f>
        <v>1.5</v>
      </c>
      <c r="S70" s="23">
        <f t="shared" ref="S70:S104" si="12">AA70</f>
        <v>0.9</v>
      </c>
      <c r="T70" s="38">
        <f>N70*(1+Q70*(R70-1))*S70*战斗公式!$E$38+(P70*战斗公式!$E$39+1)*O70*战斗公式!$E$40</f>
        <v>55369.71473579244</v>
      </c>
      <c r="U70" s="38">
        <f t="shared" ref="U70:U104" si="13">T71-T70</f>
        <v>2662.9917871646758</v>
      </c>
      <c r="V70" s="6">
        <f>VLOOKUP($N$1,$D$4:$J$15,MATCH(F$4,$D$4:$J$4,0),0)*角色成长!E83*角色成长!$L$15*AB70/AA70/(1+$Y$2*($Z$2-1))</f>
        <v>1972.0505977262223</v>
      </c>
      <c r="W70" s="6">
        <f>VLOOKUP($N$1,$D$4:$J$15,MATCH(G$4,$D$4:$J$4,0),0)*角色成长!F83*角色成长!$L$15/(1+X70/角色成长!$N$16)</f>
        <v>49804.285403553957</v>
      </c>
      <c r="X70" s="6">
        <f>VLOOKUP($N$1,$D$4:$J$15,MATCH(H$4,$D$4:$J$4,0),0)*角色成长!G83*角色成长!$L$15</f>
        <v>19667.917961322855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1"/>
      <c r="AE70" s="21"/>
      <c r="AF70" s="21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5"/>
      <c r="J71" s="6"/>
      <c r="K71" s="6"/>
      <c r="L71" s="6">
        <f t="shared" si="9"/>
        <v>2.5116204153687423</v>
      </c>
      <c r="M71" s="1">
        <v>67</v>
      </c>
      <c r="N71" s="6">
        <f>VLOOKUP($N$2,角色品星!$C$16:$D$20,2,0)*VLOOKUP($N$3,角色品星!$C$3:$E$14,3,0)*V71</f>
        <v>1138.8592201868935</v>
      </c>
      <c r="O71" s="6">
        <f>VLOOKUP($N$2,角色品星!$C$16:$D$20,2,0)*VLOOKUP($N$3,角色品星!$C$3:$E$14,3,0)*W71</f>
        <v>28527.543821385872</v>
      </c>
      <c r="P71" s="6">
        <f>VLOOKUP($N$2,角色品星!$C$16:$D$20,2,0)*VLOOKUP($N$3,角色品星!$C$3:$E$14,3,0)*X71</f>
        <v>11358.222622663949</v>
      </c>
      <c r="Q71" s="23">
        <f t="shared" si="10"/>
        <v>0.05</v>
      </c>
      <c r="R71" s="23">
        <f t="shared" si="11"/>
        <v>1.5</v>
      </c>
      <c r="S71" s="23">
        <f t="shared" si="12"/>
        <v>0.9</v>
      </c>
      <c r="T71" s="38">
        <f>N71*(1+Q71*(R71-1))*S71*战斗公式!$E$38+(P71*战斗公式!$E$39+1)*O71*战斗公式!$E$40</f>
        <v>58032.706522957116</v>
      </c>
      <c r="U71" s="38">
        <f t="shared" si="13"/>
        <v>2787.2551297362807</v>
      </c>
      <c r="V71" s="6">
        <f>VLOOKUP($N$1,$D$4:$J$15,MATCH(F$4,$D$4:$J$4,0),0)*角色成长!E84*角色成长!$L$15*AB71/AA71/(1+$Y$2*($Z$2-1))</f>
        <v>2070.6531276125334</v>
      </c>
      <c r="W71" s="6">
        <f>VLOOKUP($N$1,$D$4:$J$15,MATCH(G$4,$D$4:$J$4,0),0)*角色成长!F84*角色成长!$L$15/(1+X71/角色成长!$N$16)</f>
        <v>51868.261493428858</v>
      </c>
      <c r="X71" s="6">
        <f>VLOOKUP($N$1,$D$4:$J$15,MATCH(H$4,$D$4:$J$4,0),0)*角色成长!G84*角色成长!$L$15</f>
        <v>20651.313859388996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1"/>
      <c r="AE71" s="21"/>
      <c r="AF71" s="21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5"/>
      <c r="J72" s="6"/>
      <c r="K72" s="6"/>
      <c r="L72" s="6">
        <f t="shared" si="9"/>
        <v>2.4903077066992618</v>
      </c>
      <c r="M72" s="1">
        <v>68</v>
      </c>
      <c r="N72" s="6">
        <f>VLOOKUP($N$2,角色品星!$C$16:$D$20,2,0)*VLOOKUP($N$3,角色品星!$C$3:$E$14,3,0)*V72</f>
        <v>1195.8021811962381</v>
      </c>
      <c r="O72" s="6">
        <f>VLOOKUP($N$2,角色品星!$C$16:$D$20,2,0)*VLOOKUP($N$3,角色品星!$C$3:$E$14,3,0)*W72</f>
        <v>29699.742798207237</v>
      </c>
      <c r="P72" s="6">
        <f>VLOOKUP($N$2,角色品星!$C$16:$D$20,2,0)*VLOOKUP($N$3,角色品星!$C$3:$E$14,3,0)*X72</f>
        <v>11926.133753797149</v>
      </c>
      <c r="Q72" s="23">
        <f t="shared" si="10"/>
        <v>0.05</v>
      </c>
      <c r="R72" s="23">
        <f t="shared" si="11"/>
        <v>1.5</v>
      </c>
      <c r="S72" s="23">
        <f t="shared" si="12"/>
        <v>0.9</v>
      </c>
      <c r="T72" s="38">
        <f>N72*(1+Q72*(R72-1))*S72*战斗公式!$E$38+(P72*战斗公式!$E$39+1)*O72*战斗公式!$E$40</f>
        <v>60819.961652693397</v>
      </c>
      <c r="U72" s="38">
        <f t="shared" si="13"/>
        <v>2917.0681964747273</v>
      </c>
      <c r="V72" s="6">
        <f>VLOOKUP($N$1,$D$4:$J$15,MATCH(F$4,$D$4:$J$4,0),0)*角色成长!E85*角色成长!$L$15*AB72/AA72/(1+$Y$2*($Z$2-1))</f>
        <v>2174.1857839931599</v>
      </c>
      <c r="W72" s="6">
        <f>VLOOKUP($N$1,$D$4:$J$15,MATCH(G$4,$D$4:$J$4,0),0)*角色成长!F85*角色成长!$L$15/(1+X72/角色成长!$N$16)</f>
        <v>53999.53236037679</v>
      </c>
      <c r="X72" s="6">
        <f>VLOOKUP($N$1,$D$4:$J$15,MATCH(H$4,$D$4:$J$4,0),0)*角色成长!G85*角色成长!$L$15</f>
        <v>21683.879552358449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1"/>
      <c r="AE72" s="21"/>
      <c r="AF72" s="21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5"/>
      <c r="J73" s="6"/>
      <c r="K73" s="6"/>
      <c r="L73" s="6">
        <f t="shared" si="9"/>
        <v>2.4683152086467484</v>
      </c>
      <c r="M73" s="1">
        <v>69</v>
      </c>
      <c r="N73" s="6">
        <f>VLOOKUP($N$2,角色品星!$C$16:$D$20,2,0)*VLOOKUP($N$3,角色品星!$C$3:$E$14,3,0)*V73</f>
        <v>1255.5922902560503</v>
      </c>
      <c r="O73" s="6">
        <f>VLOOKUP($N$2,角色品星!$C$16:$D$20,2,0)*VLOOKUP($N$3,角色品星!$C$3:$E$14,3,0)*W73</f>
        <v>30909.330191095472</v>
      </c>
      <c r="P73" s="6">
        <f>VLOOKUP($N$2,角色品星!$C$16:$D$20,2,0)*VLOOKUP($N$3,角色品星!$C$3:$E$14,3,0)*X73</f>
        <v>12522.440441487004</v>
      </c>
      <c r="Q73" s="23">
        <f t="shared" si="10"/>
        <v>0.05</v>
      </c>
      <c r="R73" s="23">
        <f t="shared" si="11"/>
        <v>1.5</v>
      </c>
      <c r="S73" s="23">
        <f t="shared" si="12"/>
        <v>0.9</v>
      </c>
      <c r="T73" s="38">
        <f>N73*(1+Q73*(R73-1))*S73*战斗公式!$E$38+(P73*战斗公式!$E$39+1)*O73*战斗公式!$E$40</f>
        <v>63737.029849168124</v>
      </c>
      <c r="U73" s="38">
        <f t="shared" si="13"/>
        <v>3052.6696698236119</v>
      </c>
      <c r="V73" s="6">
        <f>VLOOKUP($N$1,$D$4:$J$15,MATCH(F$4,$D$4:$J$4,0),0)*角色成长!E86*角色成长!$L$15*AB73/AA73/(1+$Y$2*($Z$2-1))</f>
        <v>2282.8950731928185</v>
      </c>
      <c r="W73" s="6">
        <f>VLOOKUP($N$1,$D$4:$J$15,MATCH(G$4,$D$4:$J$4,0),0)*角色成长!F86*角色成长!$L$15/(1+X73/角色成长!$N$16)</f>
        <v>56198.78216562813</v>
      </c>
      <c r="X73" s="6">
        <f>VLOOKUP($N$1,$D$4:$J$15,MATCH(H$4,$D$4:$J$4,0),0)*角色成长!G86*角色成长!$L$15</f>
        <v>22768.073529976369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1"/>
      <c r="AE73" s="21"/>
      <c r="AF73" s="21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5"/>
      <c r="J74" s="6"/>
      <c r="K74" s="6"/>
      <c r="L74" s="6">
        <f t="shared" si="9"/>
        <v>2.4456373053471578</v>
      </c>
      <c r="M74" s="1">
        <v>70</v>
      </c>
      <c r="N74" s="6">
        <f>VLOOKUP($N$2,角色品星!$C$16:$D$20,2,0)*VLOOKUP($N$3,角色品星!$C$3:$E$14,3,0)*V74</f>
        <v>1318.3719047688523</v>
      </c>
      <c r="O74" s="6">
        <f>VLOOKUP($N$2,角色品星!$C$16:$D$20,2,0)*VLOOKUP($N$3,角色品星!$C$3:$E$14,3,0)*W74</f>
        <v>32156.614872572973</v>
      </c>
      <c r="P74" s="6">
        <f>VLOOKUP($N$2,角色品星!$C$16:$D$20,2,0)*VLOOKUP($N$3,角色品星!$C$3:$E$14,3,0)*X74</f>
        <v>13148.562463561353</v>
      </c>
      <c r="Q74" s="23">
        <f t="shared" si="10"/>
        <v>0.05</v>
      </c>
      <c r="R74" s="23">
        <f t="shared" si="11"/>
        <v>1.5</v>
      </c>
      <c r="S74" s="23">
        <f t="shared" si="12"/>
        <v>0.9</v>
      </c>
      <c r="T74" s="38">
        <f>N74*(1+Q74*(R74-1))*S74*战斗公式!$E$38+(P74*战斗公式!$E$39+1)*O74*战斗公式!$E$40</f>
        <v>66789.699518991736</v>
      </c>
      <c r="U74" s="38">
        <f t="shared" si="13"/>
        <v>3194.3091974302806</v>
      </c>
      <c r="V74" s="6">
        <f>VLOOKUP($N$1,$D$4:$J$15,MATCH(F$4,$D$4:$J$4,0),0)*角色成长!E87*角色成长!$L$15*AB74/AA74/(1+$Y$2*($Z$2-1))</f>
        <v>2397.0398268524586</v>
      </c>
      <c r="W74" s="6">
        <f>VLOOKUP($N$1,$D$4:$J$15,MATCH(G$4,$D$4:$J$4,0),0)*角色成长!F87*角色成长!$L$15/(1+X74/角色成长!$N$16)</f>
        <v>58466.572495587221</v>
      </c>
      <c r="X74" s="6">
        <f>VLOOKUP($N$1,$D$4:$J$15,MATCH(H$4,$D$4:$J$4,0),0)*角色成长!G87*角色成长!$L$15</f>
        <v>23906.477206475185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1"/>
      <c r="AE74" s="21"/>
      <c r="AF74" s="21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5"/>
      <c r="J75" s="6"/>
      <c r="K75" s="6"/>
      <c r="L75" s="6">
        <f t="shared" si="9"/>
        <v>2.4222697071203476</v>
      </c>
      <c r="M75" s="1">
        <v>71</v>
      </c>
      <c r="N75" s="6">
        <f>VLOOKUP($N$2,角色品星!$C$16:$D$20,2,0)*VLOOKUP($N$3,角色品星!$C$3:$E$14,3,0)*V75</f>
        <v>1384.2905000072951</v>
      </c>
      <c r="O75" s="6">
        <f>VLOOKUP($N$2,角色品星!$C$16:$D$20,2,0)*VLOOKUP($N$3,角色品星!$C$3:$E$14,3,0)*W75</f>
        <v>33441.832775047573</v>
      </c>
      <c r="P75" s="6">
        <f>VLOOKUP($N$2,角色品星!$C$16:$D$20,2,0)*VLOOKUP($N$3,角色品星!$C$3:$E$14,3,0)*X75</f>
        <v>13805.990586739421</v>
      </c>
      <c r="Q75" s="23">
        <f t="shared" si="10"/>
        <v>0.05</v>
      </c>
      <c r="R75" s="23">
        <f t="shared" si="11"/>
        <v>1.5</v>
      </c>
      <c r="S75" s="23">
        <f t="shared" si="12"/>
        <v>0.9</v>
      </c>
      <c r="T75" s="38">
        <f>N75*(1+Q75*(R75-1))*S75*战斗公式!$E$38+(P75*战斗公式!$E$39+1)*O75*战斗公式!$E$40</f>
        <v>69984.008716422017</v>
      </c>
      <c r="U75" s="38">
        <f t="shared" si="13"/>
        <v>3342.2480797314493</v>
      </c>
      <c r="V75" s="6">
        <f>VLOOKUP($N$1,$D$4:$J$15,MATCH(F$4,$D$4:$J$4,0),0)*角色成长!E88*角色成长!$L$15*AB75/AA75/(1+$Y$2*($Z$2-1))</f>
        <v>2516.8918181950817</v>
      </c>
      <c r="W75" s="6">
        <f>VLOOKUP($N$1,$D$4:$J$15,MATCH(G$4,$D$4:$J$4,0),0)*角色成长!F88*角色成长!$L$15/(1+X75/角色成长!$N$16)</f>
        <v>60803.332318268309</v>
      </c>
      <c r="X75" s="6">
        <f>VLOOKUP($N$1,$D$4:$J$15,MATCH(H$4,$D$4:$J$4,0),0)*角色成长!G88*角色成长!$L$15</f>
        <v>25101.801066798944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1"/>
      <c r="AE75" s="21"/>
      <c r="AF75" s="21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5"/>
      <c r="J76" s="6"/>
      <c r="K76" s="6"/>
      <c r="L76" s="6">
        <f t="shared" si="9"/>
        <v>2.3982095502981693</v>
      </c>
      <c r="M76" s="1">
        <v>72</v>
      </c>
      <c r="N76" s="6">
        <f>VLOOKUP($N$2,角色品星!$C$16:$D$20,2,0)*VLOOKUP($N$3,角色品星!$C$3:$E$14,3,0)*V76</f>
        <v>1453.5050250076599</v>
      </c>
      <c r="O76" s="6">
        <f>VLOOKUP($N$2,角色品星!$C$16:$D$20,2,0)*VLOOKUP($N$3,角色品星!$C$3:$E$14,3,0)*W76</f>
        <v>34765.141400267363</v>
      </c>
      <c r="P76" s="6">
        <f>VLOOKUP($N$2,角色品星!$C$16:$D$20,2,0)*VLOOKUP($N$3,角色品星!$C$3:$E$14,3,0)*X76</f>
        <v>14496.290116076394</v>
      </c>
      <c r="Q76" s="23">
        <f t="shared" si="10"/>
        <v>0.05</v>
      </c>
      <c r="R76" s="23">
        <f t="shared" si="11"/>
        <v>1.5</v>
      </c>
      <c r="S76" s="23">
        <f t="shared" si="12"/>
        <v>0.9</v>
      </c>
      <c r="T76" s="38">
        <f>N76*(1+Q76*(R76-1))*S76*战斗公式!$E$38+(P76*战斗公式!$E$39+1)*O76*战斗公式!$E$40</f>
        <v>73326.256796153466</v>
      </c>
      <c r="U76" s="38">
        <f t="shared" si="13"/>
        <v>3496.7600139273272</v>
      </c>
      <c r="V76" s="6">
        <f>VLOOKUP($N$1,$D$4:$J$15,MATCH(F$4,$D$4:$J$4,0),0)*角色成长!E89*角色成长!$L$15*AB76/AA76/(1+$Y$2*($Z$2-1))</f>
        <v>2642.7364091048362</v>
      </c>
      <c r="W76" s="6">
        <f>VLOOKUP($N$1,$D$4:$J$15,MATCH(G$4,$D$4:$J$4,0),0)*角色成长!F89*角色成长!$L$15/(1+X76/角色成长!$N$16)</f>
        <v>63209.348000486112</v>
      </c>
      <c r="X76" s="6">
        <f>VLOOKUP($N$1,$D$4:$J$15,MATCH(H$4,$D$4:$J$4,0),0)*角色成长!G89*角色成长!$L$15</f>
        <v>26356.891120138895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1"/>
      <c r="AE76" s="21"/>
      <c r="AF76" s="21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5"/>
      <c r="J77" s="6"/>
      <c r="K77" s="6"/>
      <c r="L77" s="6">
        <f t="shared" si="9"/>
        <v>2.3734554955254148</v>
      </c>
      <c r="M77" s="1">
        <v>73</v>
      </c>
      <c r="N77" s="6">
        <f>VLOOKUP($N$2,角色品星!$C$16:$D$20,2,0)*VLOOKUP($N$3,角色品星!$C$3:$E$14,3,0)*V77</f>
        <v>1526.1802762580428</v>
      </c>
      <c r="O77" s="6">
        <f>VLOOKUP($N$2,角色品星!$C$16:$D$20,2,0)*VLOOKUP($N$3,角色品星!$C$3:$E$14,3,0)*W77</f>
        <v>36126.614412768875</v>
      </c>
      <c r="P77" s="6">
        <f>VLOOKUP($N$2,角色品星!$C$16:$D$20,2,0)*VLOOKUP($N$3,角色品星!$C$3:$E$14,3,0)*X77</f>
        <v>15221.104621880211</v>
      </c>
      <c r="Q77" s="23">
        <f t="shared" si="10"/>
        <v>0.05</v>
      </c>
      <c r="R77" s="23">
        <f t="shared" si="11"/>
        <v>1.5</v>
      </c>
      <c r="S77" s="23">
        <f t="shared" si="12"/>
        <v>0.9</v>
      </c>
      <c r="T77" s="38">
        <f>N77*(1+Q77*(R77-1))*S77*战斗公式!$E$38+(P77*战斗公式!$E$39+1)*O77*战斗公式!$E$40</f>
        <v>76823.016810080793</v>
      </c>
      <c r="U77" s="38">
        <f t="shared" si="13"/>
        <v>3658.131897815183</v>
      </c>
      <c r="V77" s="6">
        <f>VLOOKUP($N$1,$D$4:$J$15,MATCH(F$4,$D$4:$J$4,0),0)*角色成长!E90*角色成长!$L$15*AB77/AA77/(1+$Y$2*($Z$2-1))</f>
        <v>2774.8732295600776</v>
      </c>
      <c r="W77" s="6">
        <f>VLOOKUP($N$1,$D$4:$J$15,MATCH(G$4,$D$4:$J$4,0),0)*角色成长!F90*角色成长!$L$15/(1+X77/角色成长!$N$16)</f>
        <v>65684.75347776158</v>
      </c>
      <c r="X77" s="6">
        <f>VLOOKUP($N$1,$D$4:$J$15,MATCH(H$4,$D$4:$J$4,0),0)*角色成长!G90*角色成长!$L$15</f>
        <v>27674.735676145836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1"/>
      <c r="AE77" s="21"/>
      <c r="AF77" s="21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5"/>
      <c r="J78" s="6"/>
      <c r="K78" s="6"/>
      <c r="L78" s="6">
        <f t="shared" si="9"/>
        <v>2.3480078235416388</v>
      </c>
      <c r="M78" s="1">
        <v>74</v>
      </c>
      <c r="N78" s="6">
        <f>VLOOKUP($N$2,角色品星!$C$16:$D$20,2,0)*VLOOKUP($N$3,角色品星!$C$3:$E$14,3,0)*V78</f>
        <v>1602.4892900709449</v>
      </c>
      <c r="O78" s="6">
        <f>VLOOKUP($N$2,角色品星!$C$16:$D$20,2,0)*VLOOKUP($N$3,角色品星!$C$3:$E$14,3,0)*W78</f>
        <v>37526.236371876555</v>
      </c>
      <c r="P78" s="6">
        <f>VLOOKUP($N$2,角色品星!$C$16:$D$20,2,0)*VLOOKUP($N$3,角色品星!$C$3:$E$14,3,0)*X78</f>
        <v>15982.15985297422</v>
      </c>
      <c r="Q78" s="23">
        <f t="shared" si="10"/>
        <v>0.05</v>
      </c>
      <c r="R78" s="23">
        <f t="shared" si="11"/>
        <v>1.5</v>
      </c>
      <c r="S78" s="23">
        <f t="shared" si="12"/>
        <v>0.9</v>
      </c>
      <c r="T78" s="38">
        <f>N78*(1+Q78*(R78-1))*S78*战斗公式!$E$38+(P78*战斗公式!$E$39+1)*O78*战斗公式!$E$40</f>
        <v>80481.148707895976</v>
      </c>
      <c r="U78" s="38">
        <f t="shared" si="13"/>
        <v>3826.6646968623681</v>
      </c>
      <c r="V78" s="6">
        <f>VLOOKUP($N$1,$D$4:$J$15,MATCH(F$4,$D$4:$J$4,0),0)*角色成长!E91*角色成长!$L$15*AB78/AA78/(1+$Y$2*($Z$2-1))</f>
        <v>2913.6168910380816</v>
      </c>
      <c r="W78" s="6">
        <f>VLOOKUP($N$1,$D$4:$J$15,MATCH(G$4,$D$4:$J$4,0),0)*角色成长!F91*角色成长!$L$15/(1+X78/角色成长!$N$16)</f>
        <v>68229.520676139189</v>
      </c>
      <c r="X78" s="6">
        <f>VLOOKUP($N$1,$D$4:$J$15,MATCH(H$4,$D$4:$J$4,0),0)*角色成长!G91*角色成长!$L$15</f>
        <v>29058.472459953126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1"/>
      <c r="AE78" s="21"/>
      <c r="AF78" s="21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5"/>
      <c r="J79" s="6"/>
      <c r="K79" s="6"/>
      <c r="L79" s="6">
        <f t="shared" si="9"/>
        <v>2.321868527386699</v>
      </c>
      <c r="M79" s="1">
        <v>75</v>
      </c>
      <c r="N79" s="6">
        <f>VLOOKUP($N$2,角色品星!$C$16:$D$20,2,0)*VLOOKUP($N$3,角色品星!$C$3:$E$14,3,0)*V79</f>
        <v>1682.6137545744923</v>
      </c>
      <c r="O79" s="6">
        <f>VLOOKUP($N$2,角色品星!$C$16:$D$20,2,0)*VLOOKUP($N$3,角色品星!$C$3:$E$14,3,0)*W79</f>
        <v>38963.897660398274</v>
      </c>
      <c r="P79" s="6">
        <f>VLOOKUP($N$2,角色品星!$C$16:$D$20,2,0)*VLOOKUP($N$3,角色品星!$C$3:$E$14,3,0)*X79</f>
        <v>16781.26784562293</v>
      </c>
      <c r="Q79" s="23">
        <f t="shared" si="10"/>
        <v>0.05</v>
      </c>
      <c r="R79" s="23">
        <f t="shared" si="11"/>
        <v>1.5</v>
      </c>
      <c r="S79" s="23">
        <f t="shared" si="12"/>
        <v>0.9</v>
      </c>
      <c r="T79" s="38">
        <f>N79*(1+Q79*(R79-1))*S79*战斗公式!$E$38+(P79*战斗公式!$E$39+1)*O79*战斗公式!$E$40</f>
        <v>84307.813404758344</v>
      </c>
      <c r="U79" s="38">
        <f t="shared" si="13"/>
        <v>4002.6743777570373</v>
      </c>
      <c r="V79" s="6">
        <f>VLOOKUP($N$1,$D$4:$J$15,MATCH(F$4,$D$4:$J$4,0),0)*角色成长!E92*角色成长!$L$15*AB79/AA79/(1+$Y$2*($Z$2-1))</f>
        <v>3059.2977355899857</v>
      </c>
      <c r="W79" s="6">
        <f>VLOOKUP($N$1,$D$4:$J$15,MATCH(G$4,$D$4:$J$4,0),0)*角色成长!F92*角色成长!$L$15/(1+X79/角色成长!$N$16)</f>
        <v>70843.450291633213</v>
      </c>
      <c r="X79" s="6">
        <f>VLOOKUP($N$1,$D$4:$J$15,MATCH(H$4,$D$4:$J$4,0),0)*角色成长!G92*角色成长!$L$15</f>
        <v>30511.396082950781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1"/>
      <c r="AE79" s="21"/>
      <c r="AF79" s="21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5"/>
      <c r="J80" s="6"/>
      <c r="K80" s="6"/>
      <c r="L80" s="6">
        <f t="shared" si="9"/>
        <v>2.2950413999168768</v>
      </c>
      <c r="M80" s="1">
        <v>76</v>
      </c>
      <c r="N80" s="6">
        <f>VLOOKUP($N$2,角色品星!$C$16:$D$20,2,0)*VLOOKUP($N$3,角色品星!$C$3:$E$14,3,0)*V80</f>
        <v>1766.7444423032171</v>
      </c>
      <c r="O80" s="6">
        <f>VLOOKUP($N$2,角色品星!$C$16:$D$20,2,0)*VLOOKUP($N$3,角色品星!$C$3:$E$14,3,0)*W80</f>
        <v>40439.389671238452</v>
      </c>
      <c r="P80" s="6">
        <f>VLOOKUP($N$2,角色品星!$C$16:$D$20,2,0)*VLOOKUP($N$3,角色品星!$C$3:$E$14,3,0)*X80</f>
        <v>17620.33123790408</v>
      </c>
      <c r="Q80" s="23">
        <f t="shared" si="10"/>
        <v>0.05</v>
      </c>
      <c r="R80" s="23">
        <f t="shared" si="11"/>
        <v>1.5</v>
      </c>
      <c r="S80" s="23">
        <f t="shared" si="12"/>
        <v>0.9</v>
      </c>
      <c r="T80" s="38">
        <f>N80*(1+Q80*(R80-1))*S80*战斗公式!$E$38+(P80*战斗公式!$E$39+1)*O80*战斗公式!$E$40</f>
        <v>88310.487782515382</v>
      </c>
      <c r="U80" s="38">
        <f t="shared" si="13"/>
        <v>4186.4929114848928</v>
      </c>
      <c r="V80" s="6">
        <f>VLOOKUP($N$1,$D$4:$J$15,MATCH(F$4,$D$4:$J$4,0),0)*角色成长!E93*角色成长!$L$15*AB80/AA80/(1+$Y$2*($Z$2-1))</f>
        <v>3212.2626223694851</v>
      </c>
      <c r="W80" s="6">
        <f>VLOOKUP($N$1,$D$4:$J$15,MATCH(G$4,$D$4:$J$4,0),0)*角色成长!F93*角色成长!$L$15/(1+X80/角色成长!$N$16)</f>
        <v>73526.163038615356</v>
      </c>
      <c r="X80" s="6">
        <f>VLOOKUP($N$1,$D$4:$J$15,MATCH(H$4,$D$4:$J$4,0),0)*角色成长!G93*角色成长!$L$15</f>
        <v>32036.965887098326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1"/>
      <c r="AE80" s="21"/>
      <c r="AF80" s="21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5"/>
      <c r="J81" s="6"/>
      <c r="K81" s="6"/>
      <c r="L81" s="6">
        <f t="shared" si="9"/>
        <v>2.2675321154739665</v>
      </c>
      <c r="M81" s="1">
        <v>77</v>
      </c>
      <c r="N81" s="6">
        <f>VLOOKUP($N$2,角色品星!$C$16:$D$20,2,0)*VLOOKUP($N$3,角色品星!$C$3:$E$14,3,0)*V81</f>
        <v>1855.0816644183776</v>
      </c>
      <c r="O81" s="6">
        <f>VLOOKUP($N$2,角色品星!$C$16:$D$20,2,0)*VLOOKUP($N$3,角色品星!$C$3:$E$14,3,0)*W81</f>
        <v>41952.400315598483</v>
      </c>
      <c r="P81" s="6">
        <f>VLOOKUP($N$2,角色品星!$C$16:$D$20,2,0)*VLOOKUP($N$3,角色品星!$C$3:$E$14,3,0)*X81</f>
        <v>18501.347799799281</v>
      </c>
      <c r="Q81" s="23">
        <f t="shared" si="10"/>
        <v>0.05</v>
      </c>
      <c r="R81" s="23">
        <f t="shared" si="11"/>
        <v>1.5</v>
      </c>
      <c r="S81" s="23">
        <f t="shared" si="12"/>
        <v>0.9</v>
      </c>
      <c r="T81" s="38">
        <f>N81*(1+Q81*(R81-1))*S81*战斗公式!$E$38+(P81*战斗公式!$E$39+1)*O81*战斗公式!$E$40</f>
        <v>92496.980694000275</v>
      </c>
      <c r="U81" s="38">
        <f t="shared" si="13"/>
        <v>4378.4693487394979</v>
      </c>
      <c r="V81" s="6">
        <f>VLOOKUP($N$1,$D$4:$J$15,MATCH(F$4,$D$4:$J$4,0),0)*角色成长!E94*角色成长!$L$15*AB81/AA81/(1+$Y$2*($Z$2-1))</f>
        <v>3372.8757534879592</v>
      </c>
      <c r="W81" s="6">
        <f>VLOOKUP($N$1,$D$4:$J$15,MATCH(G$4,$D$4:$J$4,0),0)*角色成长!F94*角色成长!$L$15/(1+X81/角色成长!$N$16)</f>
        <v>76277.091482906326</v>
      </c>
      <c r="X81" s="6">
        <f>VLOOKUP($N$1,$D$4:$J$15,MATCH(H$4,$D$4:$J$4,0),0)*角色成长!G94*角色成长!$L$15</f>
        <v>33638.814181453236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1"/>
      <c r="AE81" s="21"/>
      <c r="AF81" s="21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5"/>
      <c r="J82" s="6"/>
      <c r="K82" s="6"/>
      <c r="L82" s="6">
        <f t="shared" si="9"/>
        <v>2.2393483045187978</v>
      </c>
      <c r="M82" s="1">
        <v>78</v>
      </c>
      <c r="N82" s="6">
        <f>VLOOKUP($N$2,角色品星!$C$16:$D$20,2,0)*VLOOKUP($N$3,角色品星!$C$3:$E$14,3,0)*V82</f>
        <v>1947.8357476392966</v>
      </c>
      <c r="O82" s="6">
        <f>VLOOKUP($N$2,角色品星!$C$16:$D$20,2,0)*VLOOKUP($N$3,角色品星!$C$3:$E$14,3,0)*W82</f>
        <v>43502.509918132782</v>
      </c>
      <c r="P82" s="6">
        <f>VLOOKUP($N$2,角色品星!$C$16:$D$20,2,0)*VLOOKUP($N$3,角色品星!$C$3:$E$14,3,0)*X82</f>
        <v>19426.415189789252</v>
      </c>
      <c r="Q82" s="23">
        <f t="shared" si="10"/>
        <v>0.05</v>
      </c>
      <c r="R82" s="23">
        <f t="shared" si="11"/>
        <v>1.5</v>
      </c>
      <c r="S82" s="23">
        <f t="shared" si="12"/>
        <v>0.9</v>
      </c>
      <c r="T82" s="38">
        <f>N82*(1+Q82*(R82-1))*S82*战斗公式!$E$38+(P82*战斗公式!$E$39+1)*O82*战斗公式!$E$40</f>
        <v>96875.450042739772</v>
      </c>
      <c r="U82" s="38">
        <f t="shared" si="13"/>
        <v>4578.9709701871034</v>
      </c>
      <c r="V82" s="6">
        <f>VLOOKUP($N$1,$D$4:$J$15,MATCH(F$4,$D$4:$J$4,0),0)*角色成长!E95*角色成长!$L$15*AB82/AA82/(1+$Y$2*($Z$2-1))</f>
        <v>3541.5195411623572</v>
      </c>
      <c r="W82" s="6">
        <f>VLOOKUP($N$1,$D$4:$J$15,MATCH(G$4,$D$4:$J$4,0),0)*角色成长!F95*角色成长!$L$15/(1+X82/角色成长!$N$16)</f>
        <v>79095.472578423229</v>
      </c>
      <c r="X82" s="6">
        <f>VLOOKUP($N$1,$D$4:$J$15,MATCH(H$4,$D$4:$J$4,0),0)*角色成长!G95*角色成长!$L$15</f>
        <v>35320.75489052591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1"/>
      <c r="AE82" s="21"/>
      <c r="AF82" s="21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5"/>
      <c r="J83" s="6"/>
      <c r="K83" s="6"/>
      <c r="L83" s="6">
        <f t="shared" si="9"/>
        <v>2.2104996200255416</v>
      </c>
      <c r="M83" s="1">
        <v>79</v>
      </c>
      <c r="N83" s="6">
        <f>VLOOKUP($N$2,角色品星!$C$16:$D$20,2,0)*VLOOKUP($N$3,角色品星!$C$3:$E$14,3,0)*V83</f>
        <v>2045.227535021261</v>
      </c>
      <c r="O83" s="6">
        <f>VLOOKUP($N$2,角色品星!$C$16:$D$20,2,0)*VLOOKUP($N$3,角色品星!$C$3:$E$14,3,0)*W83</f>
        <v>45089.187565261906</v>
      </c>
      <c r="P83" s="6">
        <f>VLOOKUP($N$2,角色品星!$C$16:$D$20,2,0)*VLOOKUP($N$3,角色品星!$C$3:$E$14,3,0)*X83</f>
        <v>20397.735949278704</v>
      </c>
      <c r="Q83" s="23">
        <f t="shared" si="10"/>
        <v>0.05</v>
      </c>
      <c r="R83" s="23">
        <f t="shared" si="11"/>
        <v>1.5</v>
      </c>
      <c r="S83" s="23">
        <f t="shared" si="12"/>
        <v>0.9</v>
      </c>
      <c r="T83" s="38">
        <f>N83*(1+Q83*(R83-1))*S83*战斗公式!$E$38+(P83*战斗公式!$E$39+1)*O83*战斗公式!$E$40</f>
        <v>101454.42101292688</v>
      </c>
      <c r="U83" s="38">
        <f t="shared" si="13"/>
        <v>4788.3845137760363</v>
      </c>
      <c r="V83" s="6">
        <f>VLOOKUP($N$1,$D$4:$J$15,MATCH(F$4,$D$4:$J$4,0),0)*角色成长!E96*角色成长!$L$15*AB83/AA83/(1+$Y$2*($Z$2-1))</f>
        <v>3718.5955182204743</v>
      </c>
      <c r="W83" s="6">
        <f>VLOOKUP($N$1,$D$4:$J$15,MATCH(G$4,$D$4:$J$4,0),0)*角色成长!F96*角色成长!$L$15/(1+X83/角色成长!$N$16)</f>
        <v>81980.341027748917</v>
      </c>
      <c r="X83" s="6">
        <f>VLOOKUP($N$1,$D$4:$J$15,MATCH(H$4,$D$4:$J$4,0),0)*角色成长!G96*角色成长!$L$15</f>
        <v>37086.792635052188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1"/>
      <c r="AE83" s="21"/>
      <c r="AF83" s="21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5"/>
      <c r="J84" s="6"/>
      <c r="K84" s="6"/>
      <c r="L84" s="6">
        <f t="shared" si="9"/>
        <v>2.1809977944357199</v>
      </c>
      <c r="M84" s="1">
        <v>80</v>
      </c>
      <c r="N84" s="6">
        <f>VLOOKUP($N$2,角色品星!$C$16:$D$20,2,0)*VLOOKUP($N$3,角色品星!$C$3:$E$14,3,0)*V84</f>
        <v>2147.4889117723251</v>
      </c>
      <c r="O84" s="6">
        <f>VLOOKUP($N$2,角色品星!$C$16:$D$20,2,0)*VLOOKUP($N$3,角色品星!$C$3:$E$14,3,0)*W84</f>
        <v>46711.787972702034</v>
      </c>
      <c r="P84" s="6">
        <f>VLOOKUP($N$2,角色品星!$C$16:$D$20,2,0)*VLOOKUP($N$3,角色品星!$C$3:$E$14,3,0)*X84</f>
        <v>21417.622746742654</v>
      </c>
      <c r="Q84" s="23">
        <f t="shared" si="10"/>
        <v>0.05</v>
      </c>
      <c r="R84" s="23">
        <f t="shared" si="11"/>
        <v>1.5</v>
      </c>
      <c r="S84" s="23">
        <f t="shared" si="12"/>
        <v>0.9</v>
      </c>
      <c r="T84" s="38">
        <f>N84*(1+Q84*(R84-1))*S84*战斗公式!$E$38+(P84*战斗公式!$E$39+1)*O84*战斗公式!$E$40</f>
        <v>106242.80552670291</v>
      </c>
      <c r="U84" s="38">
        <f t="shared" si="13"/>
        <v>5007.1174809069635</v>
      </c>
      <c r="V84" s="6">
        <f>VLOOKUP($N$1,$D$4:$J$15,MATCH(F$4,$D$4:$J$4,0),0)*角色成长!E97*角色成长!$L$15*AB84/AA84/(1+$Y$2*($Z$2-1))</f>
        <v>3904.5252941315002</v>
      </c>
      <c r="W84" s="6">
        <f>VLOOKUP($N$1,$D$4:$J$15,MATCH(G$4,$D$4:$J$4,0),0)*角色成长!F97*角色成长!$L$15/(1+X84/角色成长!$N$16)</f>
        <v>84930.523586730968</v>
      </c>
      <c r="X84" s="6">
        <f>VLOOKUP($N$1,$D$4:$J$15,MATCH(H$4,$D$4:$J$4,0),0)*角色成长!G97*角色成长!$L$15</f>
        <v>38941.132266804823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1"/>
      <c r="AE84" s="21"/>
      <c r="AF84" s="21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5"/>
      <c r="J85" s="6"/>
      <c r="K85" s="6"/>
      <c r="L85" s="6">
        <f t="shared" si="9"/>
        <v>2.1508566859929887</v>
      </c>
      <c r="M85" s="1">
        <v>81</v>
      </c>
      <c r="N85" s="6">
        <f>VLOOKUP($N$2,角色品星!$C$16:$D$20,2,0)*VLOOKUP($N$3,角色品星!$C$3:$E$14,3,0)*V85</f>
        <v>2254.8633573609409</v>
      </c>
      <c r="O85" s="6">
        <f>VLOOKUP($N$2,角色品星!$C$16:$D$20,2,0)*VLOOKUP($N$3,角色品星!$C$3:$E$14,3,0)*W85</f>
        <v>48369.548937052299</v>
      </c>
      <c r="P85" s="6">
        <f>VLOOKUP($N$2,角色品星!$C$16:$D$20,2,0)*VLOOKUP($N$3,角色品星!$C$3:$E$14,3,0)*X85</f>
        <v>22488.503884079782</v>
      </c>
      <c r="Q85" s="23">
        <f t="shared" si="10"/>
        <v>0.05</v>
      </c>
      <c r="R85" s="23">
        <f t="shared" si="11"/>
        <v>1.5</v>
      </c>
      <c r="S85" s="23">
        <f t="shared" si="12"/>
        <v>0.9</v>
      </c>
      <c r="T85" s="38">
        <f>N85*(1+Q85*(R85-1))*S85*战斗公式!$E$38+(P85*战斗公式!$E$39+1)*O85*战斗公式!$E$40</f>
        <v>111249.92300760988</v>
      </c>
      <c r="U85" s="38">
        <f t="shared" si="13"/>
        <v>5235.5995228818501</v>
      </c>
      <c r="V85" s="6">
        <f>VLOOKUP($N$1,$D$4:$J$15,MATCH(F$4,$D$4:$J$4,0),0)*角色成长!E98*角色成长!$L$15*AB85/AA85/(1+$Y$2*($Z$2-1))</f>
        <v>4099.7515588380738</v>
      </c>
      <c r="W85" s="6">
        <f>VLOOKUP($N$1,$D$4:$J$15,MATCH(G$4,$D$4:$J$4,0),0)*角色成长!F98*角色成长!$L$15/(1+X85/角色成长!$N$16)</f>
        <v>87944.634431004175</v>
      </c>
      <c r="X85" s="6">
        <f>VLOOKUP($N$1,$D$4:$J$15,MATCH(H$4,$D$4:$J$4,0),0)*角色成长!G98*角色成长!$L$15</f>
        <v>40888.188880145055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1"/>
      <c r="AE85" s="21"/>
      <c r="AF85" s="21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5"/>
      <c r="J86" s="6"/>
      <c r="K86" s="6"/>
      <c r="L86" s="6">
        <f t="shared" si="9"/>
        <v>2.1200923133228864</v>
      </c>
      <c r="M86" s="1">
        <v>82</v>
      </c>
      <c r="N86" s="6">
        <f>VLOOKUP($N$2,角色品星!$C$16:$D$20,2,0)*VLOOKUP($N$3,角色品星!$C$3:$E$14,3,0)*V86</f>
        <v>2367.6065252289886</v>
      </c>
      <c r="O86" s="6">
        <f>VLOOKUP($N$2,角色品星!$C$16:$D$20,2,0)*VLOOKUP($N$3,角色品星!$C$3:$E$14,3,0)*W86</f>
        <v>50061.589433907895</v>
      </c>
      <c r="P86" s="6">
        <f>VLOOKUP($N$2,角色品星!$C$16:$D$20,2,0)*VLOOKUP($N$3,角色品星!$C$3:$E$14,3,0)*X86</f>
        <v>23612.929078283774</v>
      </c>
      <c r="Q86" s="23">
        <f t="shared" si="10"/>
        <v>0.05</v>
      </c>
      <c r="R86" s="23">
        <f t="shared" si="11"/>
        <v>1.5</v>
      </c>
      <c r="S86" s="23">
        <f t="shared" si="12"/>
        <v>0.9</v>
      </c>
      <c r="T86" s="38">
        <f>N86*(1+Q86*(R86-1))*S86*战斗公式!$E$38+(P86*战斗公式!$E$39+1)*O86*战斗公式!$E$40</f>
        <v>116485.52253049173</v>
      </c>
      <c r="U86" s="38">
        <f t="shared" si="13"/>
        <v>5474.2839086199237</v>
      </c>
      <c r="V86" s="6">
        <f>VLOOKUP($N$1,$D$4:$J$15,MATCH(F$4,$D$4:$J$4,0),0)*角色成长!E99*角色成长!$L$15*AB86/AA86/(1+$Y$2*($Z$2-1))</f>
        <v>4304.7391367799792</v>
      </c>
      <c r="W86" s="6">
        <f>VLOOKUP($N$1,$D$4:$J$15,MATCH(G$4,$D$4:$J$4,0),0)*角色成长!F99*角色成长!$L$15/(1+X86/角色成长!$N$16)</f>
        <v>91021.071698014348</v>
      </c>
      <c r="X86" s="6">
        <f>VLOOKUP($N$1,$D$4:$J$15,MATCH(H$4,$D$4:$J$4,0),0)*角色成长!G99*角色成长!$L$15</f>
        <v>42932.598324152314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1"/>
      <c r="AE86" s="21"/>
      <c r="AF86" s="21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5"/>
      <c r="J87" s="6"/>
      <c r="K87" s="6"/>
      <c r="L87" s="6">
        <f t="shared" si="9"/>
        <v>2.0887228771872</v>
      </c>
      <c r="M87" s="1">
        <v>83</v>
      </c>
      <c r="N87" s="6">
        <f>VLOOKUP($N$2,角色品星!$C$16:$D$20,2,0)*VLOOKUP($N$3,角色品星!$C$3:$E$14,3,0)*V87</f>
        <v>2485.9868514904379</v>
      </c>
      <c r="O87" s="6">
        <f>VLOOKUP($N$2,角色品星!$C$16:$D$20,2,0)*VLOOKUP($N$3,角色品星!$C$3:$E$14,3,0)*W87</f>
        <v>51786.908421370688</v>
      </c>
      <c r="P87" s="6">
        <f>VLOOKUP($N$2,角色品星!$C$16:$D$20,2,0)*VLOOKUP($N$3,角色品星!$C$3:$E$14,3,0)*X87</f>
        <v>24793.57553219796</v>
      </c>
      <c r="Q87" s="23">
        <f t="shared" si="10"/>
        <v>0.05</v>
      </c>
      <c r="R87" s="23">
        <f t="shared" si="11"/>
        <v>1.5</v>
      </c>
      <c r="S87" s="23">
        <f t="shared" si="12"/>
        <v>0.9</v>
      </c>
      <c r="T87" s="38">
        <f>N87*(1+Q87*(R87-1))*S87*战斗公式!$E$38+(P87*战斗公式!$E$39+1)*O87*战斗公式!$E$40</f>
        <v>121959.80643911165</v>
      </c>
      <c r="U87" s="38">
        <f t="shared" si="13"/>
        <v>5723.649074195564</v>
      </c>
      <c r="V87" s="6">
        <f>VLOOKUP($N$1,$D$4:$J$15,MATCH(F$4,$D$4:$J$4,0),0)*角色成长!E100*角色成长!$L$15*AB87/AA87/(1+$Y$2*($Z$2-1))</f>
        <v>4519.9760936189778</v>
      </c>
      <c r="W87" s="6">
        <f>VLOOKUP($N$1,$D$4:$J$15,MATCH(G$4,$D$4:$J$4,0),0)*角色成长!F100*角色成长!$L$15/(1+X87/角色成长!$N$16)</f>
        <v>94158.015311583062</v>
      </c>
      <c r="X87" s="6">
        <f>VLOOKUP($N$1,$D$4:$J$15,MATCH(H$4,$D$4:$J$4,0),0)*角色成长!G100*角色成长!$L$15</f>
        <v>45079.228240359924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1"/>
      <c r="AE87" s="21"/>
      <c r="AF87" s="21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5"/>
      <c r="J88" s="6"/>
      <c r="K88" s="6"/>
      <c r="L88" s="6">
        <f t="shared" si="9"/>
        <v>2.0567687684308011</v>
      </c>
      <c r="M88" s="1">
        <v>84</v>
      </c>
      <c r="N88" s="6">
        <f>VLOOKUP($N$2,角色品星!$C$16:$D$20,2,0)*VLOOKUP($N$3,角色品星!$C$3:$E$14,3,0)*V88</f>
        <v>2610.2861940649591</v>
      </c>
      <c r="O88" s="6">
        <f>VLOOKUP($N$2,角色品星!$C$16:$D$20,2,0)*VLOOKUP($N$3,角色品星!$C$3:$E$14,3,0)*W88</f>
        <v>53544.384402972588</v>
      </c>
      <c r="P88" s="6">
        <f>VLOOKUP($N$2,角色品星!$C$16:$D$20,2,0)*VLOOKUP($N$3,角色品星!$C$3:$E$14,3,0)*X88</f>
        <v>26033.25430880786</v>
      </c>
      <c r="Q88" s="23">
        <f t="shared" si="10"/>
        <v>0.05</v>
      </c>
      <c r="R88" s="23">
        <f t="shared" si="11"/>
        <v>1.5</v>
      </c>
      <c r="S88" s="23">
        <f t="shared" si="12"/>
        <v>0.9</v>
      </c>
      <c r="T88" s="38">
        <f>N88*(1+Q88*(R88-1))*S88*战斗公式!$E$38+(P88*战斗公式!$E$39+1)*O88*战斗公式!$E$40</f>
        <v>127683.45551330721</v>
      </c>
      <c r="U88" s="38">
        <f t="shared" si="13"/>
        <v>5984.2002543155395</v>
      </c>
      <c r="V88" s="6">
        <f>VLOOKUP($N$1,$D$4:$J$15,MATCH(F$4,$D$4:$J$4,0),0)*角色成长!E101*角色成长!$L$15*AB88/AA88/(1+$Y$2*($Z$2-1))</f>
        <v>4745.9748982999254</v>
      </c>
      <c r="W88" s="6">
        <f>VLOOKUP($N$1,$D$4:$J$15,MATCH(G$4,$D$4:$J$4,0),0)*角色成长!F101*角色成长!$L$15/(1+X88/角色成长!$N$16)</f>
        <v>97353.426187222882</v>
      </c>
      <c r="X88" s="6">
        <f>VLOOKUP($N$1,$D$4:$J$15,MATCH(H$4,$D$4:$J$4,0),0)*角色成长!G101*角色成长!$L$15</f>
        <v>47333.189652377921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1"/>
      <c r="AE88" s="21"/>
      <c r="AF88" s="21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5"/>
      <c r="J89" s="6"/>
      <c r="K89" s="6"/>
      <c r="L89" s="6">
        <f t="shared" si="9"/>
        <v>2.0242525612503148</v>
      </c>
      <c r="M89" s="1">
        <v>85</v>
      </c>
      <c r="N89" s="6">
        <f>VLOOKUP($N$2,角色品星!$C$16:$D$20,2,0)*VLOOKUP($N$3,角色品星!$C$3:$E$14,3,0)*V89</f>
        <v>2740.8005037682078</v>
      </c>
      <c r="O89" s="6">
        <f>VLOOKUP($N$2,角色品星!$C$16:$D$20,2,0)*VLOOKUP($N$3,角色品星!$C$3:$E$14,3,0)*W89</f>
        <v>55332.775797899354</v>
      </c>
      <c r="P89" s="6">
        <f>VLOOKUP($N$2,角色品星!$C$16:$D$20,2,0)*VLOOKUP($N$3,角色品星!$C$3:$E$14,3,0)*X89</f>
        <v>27334.917024248251</v>
      </c>
      <c r="Q89" s="23">
        <f t="shared" si="10"/>
        <v>0.05</v>
      </c>
      <c r="R89" s="23">
        <f t="shared" si="11"/>
        <v>1.5</v>
      </c>
      <c r="S89" s="23">
        <f t="shared" si="12"/>
        <v>0.9</v>
      </c>
      <c r="T89" s="38">
        <f>N89*(1+Q89*(R89-1))*S89*战斗公式!$E$38+(P89*战斗公式!$E$39+1)*O89*战斗公式!$E$40</f>
        <v>133667.65576762275</v>
      </c>
      <c r="U89" s="38">
        <f t="shared" si="13"/>
        <v>6256.4711954328232</v>
      </c>
      <c r="V89" s="6">
        <f>VLOOKUP($N$1,$D$4:$J$15,MATCH(F$4,$D$4:$J$4,0),0)*角色成长!E102*角色成长!$L$15*AB89/AA89/(1+$Y$2*($Z$2-1))</f>
        <v>4983.2736432149231</v>
      </c>
      <c r="W89" s="6">
        <f>VLOOKUP($N$1,$D$4:$J$15,MATCH(G$4,$D$4:$J$4,0),0)*角色成长!F102*角色成长!$L$15/(1+X89/角色成长!$N$16)</f>
        <v>100605.04690527155</v>
      </c>
      <c r="X89" s="6">
        <f>VLOOKUP($N$1,$D$4:$J$15,MATCH(H$4,$D$4:$J$4,0),0)*角色成长!G102*角色成长!$L$15</f>
        <v>49699.849134996817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1"/>
      <c r="AE89" s="21"/>
      <c r="AF89" s="21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5"/>
      <c r="J90" s="6"/>
      <c r="K90" s="6"/>
      <c r="L90" s="6">
        <f t="shared" si="9"/>
        <v>1.991198991048114</v>
      </c>
      <c r="M90" s="1">
        <v>86</v>
      </c>
      <c r="N90" s="6">
        <f>VLOOKUP($N$2,角色品星!$C$16:$D$20,2,0)*VLOOKUP($N$3,角色品星!$C$3:$E$14,3,0)*V90</f>
        <v>2877.8405289566181</v>
      </c>
      <c r="O90" s="6">
        <f>VLOOKUP($N$2,角色品星!$C$16:$D$20,2,0)*VLOOKUP($N$3,角色品星!$C$3:$E$14,3,0)*W90</f>
        <v>57150.722159020384</v>
      </c>
      <c r="P90" s="6">
        <f>VLOOKUP($N$2,角色品星!$C$16:$D$20,2,0)*VLOOKUP($N$3,角色品星!$C$3:$E$14,3,0)*X90</f>
        <v>28701.662875460665</v>
      </c>
      <c r="Q90" s="23">
        <f t="shared" si="10"/>
        <v>0.05</v>
      </c>
      <c r="R90" s="23">
        <f t="shared" si="11"/>
        <v>1.5</v>
      </c>
      <c r="S90" s="23">
        <f t="shared" si="12"/>
        <v>0.9</v>
      </c>
      <c r="T90" s="38">
        <f>N90*(1+Q90*(R90-1))*S90*战斗公式!$E$38+(P90*战斗公式!$E$39+1)*O90*战斗公式!$E$40</f>
        <v>139924.12696305558</v>
      </c>
      <c r="U90" s="38">
        <f t="shared" si="13"/>
        <v>6541.0259498087689</v>
      </c>
      <c r="V90" s="6">
        <f>VLOOKUP($N$1,$D$4:$J$15,MATCH(F$4,$D$4:$J$4,0),0)*角色成长!E103*角色成长!$L$15*AB90/AA90/(1+$Y$2*($Z$2-1))</f>
        <v>5232.4373253756685</v>
      </c>
      <c r="W90" s="6">
        <f>VLOOKUP($N$1,$D$4:$J$15,MATCH(G$4,$D$4:$J$4,0),0)*角色成长!F103*角色成长!$L$15/(1+X90/角色成长!$N$16)</f>
        <v>103910.4039254916</v>
      </c>
      <c r="X90" s="6">
        <f>VLOOKUP($N$1,$D$4:$J$15,MATCH(H$4,$D$4:$J$4,0),0)*角色成长!G103*角色成长!$L$15</f>
        <v>52184.841591746655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1"/>
      <c r="AE90" s="21"/>
      <c r="AF90" s="21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5"/>
      <c r="J91" s="6"/>
      <c r="K91" s="6"/>
      <c r="L91" s="6">
        <f t="shared" si="9"/>
        <v>1.9576349162911875</v>
      </c>
      <c r="M91" s="1">
        <v>87</v>
      </c>
      <c r="N91" s="6">
        <f>VLOOKUP($N$2,角色品星!$C$16:$D$20,2,0)*VLOOKUP($N$3,角色品星!$C$3:$E$14,3,0)*V91</f>
        <v>3021.7325554044482</v>
      </c>
      <c r="O91" s="6">
        <f>VLOOKUP($N$2,角色品星!$C$16:$D$20,2,0)*VLOOKUP($N$3,角色品星!$C$3:$E$14,3,0)*W91</f>
        <v>58996.746270651332</v>
      </c>
      <c r="P91" s="6">
        <f>VLOOKUP($N$2,角色品星!$C$16:$D$20,2,0)*VLOOKUP($N$3,角色品星!$C$3:$E$14,3,0)*X91</f>
        <v>30136.746019233695</v>
      </c>
      <c r="Q91" s="23">
        <f t="shared" si="10"/>
        <v>0.05</v>
      </c>
      <c r="R91" s="23">
        <f t="shared" si="11"/>
        <v>1.5</v>
      </c>
      <c r="S91" s="23">
        <f t="shared" si="12"/>
        <v>0.9</v>
      </c>
      <c r="T91" s="38">
        <f>N91*(1+Q91*(R91-1))*S91*战斗公式!$E$38+(P91*战斗公式!$E$39+1)*O91*战斗公式!$E$40</f>
        <v>146465.15291286435</v>
      </c>
      <c r="U91" s="38">
        <f t="shared" si="13"/>
        <v>6838.4607494890806</v>
      </c>
      <c r="V91" s="6">
        <f>VLOOKUP($N$1,$D$4:$J$15,MATCH(F$4,$D$4:$J$4,0),0)*角色成长!E104*角色成长!$L$15*AB91/AA91/(1+$Y$2*($Z$2-1))</f>
        <v>5494.0591916444509</v>
      </c>
      <c r="W91" s="6">
        <f>VLOOKUP($N$1,$D$4:$J$15,MATCH(G$4,$D$4:$J$4,0),0)*角色成长!F104*角色成长!$L$15/(1+X91/角色成长!$N$16)</f>
        <v>107266.81140118423</v>
      </c>
      <c r="X91" s="6">
        <f>VLOOKUP($N$1,$D$4:$J$15,MATCH(H$4,$D$4:$J$4,0),0)*角色成长!G104*角色成长!$L$15</f>
        <v>54794.083671333989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1"/>
      <c r="AE91" s="21"/>
      <c r="AF91" s="21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5"/>
      <c r="J92" s="6"/>
      <c r="K92" s="6"/>
      <c r="L92" s="6">
        <f t="shared" si="9"/>
        <v>1.9235892639705612</v>
      </c>
      <c r="M92" s="1">
        <v>88</v>
      </c>
      <c r="N92" s="6">
        <f>VLOOKUP($N$2,角色品星!$C$16:$D$20,2,0)*VLOOKUP($N$3,角色品星!$C$3:$E$14,3,0)*V92</f>
        <v>3172.8191831746713</v>
      </c>
      <c r="O92" s="6">
        <f>VLOOKUP($N$2,角色品星!$C$16:$D$20,2,0)*VLOOKUP($N$3,角色品星!$C$3:$E$14,3,0)*W92</f>
        <v>60869.257148285767</v>
      </c>
      <c r="P92" s="6">
        <f>VLOOKUP($N$2,角色品星!$C$16:$D$20,2,0)*VLOOKUP($N$3,角色品星!$C$3:$E$14,3,0)*X92</f>
        <v>31643.583320195386</v>
      </c>
      <c r="Q92" s="23">
        <f t="shared" si="10"/>
        <v>0.05</v>
      </c>
      <c r="R92" s="23">
        <f t="shared" si="11"/>
        <v>1.5</v>
      </c>
      <c r="S92" s="23">
        <f t="shared" si="12"/>
        <v>0.9</v>
      </c>
      <c r="T92" s="38">
        <f>N92*(1+Q92*(R92-1))*S92*战斗公式!$E$38+(P92*战斗公式!$E$39+1)*O92*战斗公式!$E$40</f>
        <v>153303.61366235343</v>
      </c>
      <c r="U92" s="38">
        <f t="shared" si="13"/>
        <v>7149.4059588886739</v>
      </c>
      <c r="V92" s="6">
        <f>VLOOKUP($N$1,$D$4:$J$15,MATCH(F$4,$D$4:$J$4,0),0)*角色成长!E105*角色成长!$L$15*AB92/AA92/(1+$Y$2*($Z$2-1))</f>
        <v>5768.7621512266742</v>
      </c>
      <c r="W92" s="6">
        <f>VLOOKUP($N$1,$D$4:$J$15,MATCH(G$4,$D$4:$J$4,0),0)*角色成长!F105*角色成长!$L$15/(1+X92/角色成长!$N$16)</f>
        <v>110671.37663324684</v>
      </c>
      <c r="X92" s="6">
        <f>VLOOKUP($N$1,$D$4:$J$15,MATCH(H$4,$D$4:$J$4,0),0)*角色成长!G105*角色成长!$L$15</f>
        <v>57533.7878549007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1"/>
      <c r="AE92" s="21"/>
      <c r="AF92" s="21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5"/>
      <c r="J93" s="6"/>
      <c r="K93" s="6"/>
      <c r="L93" s="6">
        <f t="shared" si="9"/>
        <v>1.8890929584510689</v>
      </c>
      <c r="M93" s="1">
        <v>89</v>
      </c>
      <c r="N93" s="6">
        <f>VLOOKUP($N$2,角色品星!$C$16:$D$20,2,0)*VLOOKUP($N$3,角色品星!$C$3:$E$14,3,0)*V93</f>
        <v>3331.4601423334047</v>
      </c>
      <c r="O93" s="6">
        <f>VLOOKUP($N$2,角色品星!$C$16:$D$20,2,0)*VLOOKUP($N$3,角色品星!$C$3:$E$14,3,0)*W93</f>
        <v>62766.553951857837</v>
      </c>
      <c r="P93" s="6">
        <f>VLOOKUP($N$2,角色品星!$C$16:$D$20,2,0)*VLOOKUP($N$3,角色品星!$C$3:$E$14,3,0)*X93</f>
        <v>33225.762486205153</v>
      </c>
      <c r="Q93" s="23">
        <f t="shared" si="10"/>
        <v>0.05</v>
      </c>
      <c r="R93" s="23">
        <f t="shared" si="11"/>
        <v>1.5</v>
      </c>
      <c r="S93" s="23">
        <f t="shared" si="12"/>
        <v>0.9</v>
      </c>
      <c r="T93" s="38">
        <f>N93*(1+Q93*(R93-1))*S93*战斗公式!$E$38+(P93*战斗公式!$E$39+1)*O93*战斗公式!$E$40</f>
        <v>160453.0196212421</v>
      </c>
      <c r="U93" s="38">
        <f t="shared" si="13"/>
        <v>7474.528104478668</v>
      </c>
      <c r="V93" s="6">
        <f>VLOOKUP($N$1,$D$4:$J$15,MATCH(F$4,$D$4:$J$4,0),0)*角色成长!E106*角色成长!$L$15*AB93/AA93/(1+$Y$2*($Z$2-1))</f>
        <v>6057.2002587880079</v>
      </c>
      <c r="W93" s="6">
        <f>VLOOKUP($N$1,$D$4:$J$15,MATCH(G$4,$D$4:$J$4,0),0)*角色成长!F106*角色成长!$L$15/(1+X93/角色成长!$N$16)</f>
        <v>114121.00718519605</v>
      </c>
      <c r="X93" s="6">
        <f>VLOOKUP($N$1,$D$4:$J$15,MATCH(H$4,$D$4:$J$4,0),0)*角色成长!G106*角色成长!$L$15</f>
        <v>60410.477247645729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1"/>
      <c r="AE93" s="21"/>
      <c r="AF93" s="21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5"/>
      <c r="J94" s="6"/>
      <c r="K94" s="6"/>
      <c r="L94" s="6">
        <f t="shared" si="9"/>
        <v>1.8541788337103282</v>
      </c>
      <c r="M94" s="1">
        <v>90</v>
      </c>
      <c r="N94" s="6">
        <f>VLOOKUP($N$2,角色品星!$C$16:$D$20,2,0)*VLOOKUP($N$3,角色品星!$C$3:$E$14,3,0)*V94</f>
        <v>3498.0331494500751</v>
      </c>
      <c r="O94" s="6">
        <f>VLOOKUP($N$2,角色品星!$C$16:$D$20,2,0)*VLOOKUP($N$3,角色品星!$C$3:$E$14,3,0)*W94</f>
        <v>64686.830812598651</v>
      </c>
      <c r="P94" s="6">
        <f>VLOOKUP($N$2,角色品星!$C$16:$D$20,2,0)*VLOOKUP($N$3,角色品星!$C$3:$E$14,3,0)*X94</f>
        <v>34887.050610515405</v>
      </c>
      <c r="Q94" s="23">
        <f t="shared" si="10"/>
        <v>0.05</v>
      </c>
      <c r="R94" s="23">
        <f t="shared" si="11"/>
        <v>1.5</v>
      </c>
      <c r="S94" s="23">
        <f t="shared" si="12"/>
        <v>0.9</v>
      </c>
      <c r="T94" s="38">
        <f>N94*(1+Q94*(R94-1))*S94*战斗公式!$E$38+(P94*战斗公式!$E$39+1)*O94*战斗公式!$E$40</f>
        <v>167927.54772572077</v>
      </c>
      <c r="U94" s="38">
        <f t="shared" si="13"/>
        <v>7814.5319799713616</v>
      </c>
      <c r="V94" s="6">
        <f>VLOOKUP($N$1,$D$4:$J$15,MATCH(F$4,$D$4:$J$4,0),0)*角色成长!E107*角色成长!$L$15*AB94/AA94/(1+$Y$2*($Z$2-1))</f>
        <v>6360.0602717274087</v>
      </c>
      <c r="W94" s="6">
        <f>VLOOKUP($N$1,$D$4:$J$15,MATCH(G$4,$D$4:$J$4,0),0)*角色成长!F107*角色成长!$L$15/(1+X94/角色成长!$N$16)</f>
        <v>117612.41965927026</v>
      </c>
      <c r="X94" s="6">
        <f>VLOOKUP($N$1,$D$4:$J$15,MATCH(H$4,$D$4:$J$4,0),0)*角色成长!G107*角色成长!$L$15</f>
        <v>63431.00111002801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1"/>
      <c r="AE94" s="21"/>
      <c r="AF94" s="21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5"/>
      <c r="J95" s="6"/>
      <c r="K95" s="6"/>
      <c r="L95" s="6">
        <f t="shared" si="9"/>
        <v>1.8188815291863367</v>
      </c>
      <c r="M95" s="1">
        <v>91</v>
      </c>
      <c r="N95" s="6">
        <f>VLOOKUP($N$2,角色品星!$C$16:$D$20,2,0)*VLOOKUP($N$3,角色品星!$C$3:$E$14,3,0)*V95</f>
        <v>3672.9348069225789</v>
      </c>
      <c r="O95" s="6">
        <f>VLOOKUP($N$2,角色品星!$C$16:$D$20,2,0)*VLOOKUP($N$3,角色品星!$C$3:$E$14,3,0)*W95</f>
        <v>66628.182561418158</v>
      </c>
      <c r="P95" s="6">
        <f>VLOOKUP($N$2,角色品星!$C$16:$D$20,2,0)*VLOOKUP($N$3,角色品星!$C$3:$E$14,3,0)*X95</f>
        <v>36631.403141041177</v>
      </c>
      <c r="Q95" s="23">
        <f t="shared" si="10"/>
        <v>0.05</v>
      </c>
      <c r="R95" s="23">
        <f t="shared" si="11"/>
        <v>1.5</v>
      </c>
      <c r="S95" s="23">
        <f t="shared" si="12"/>
        <v>0.9</v>
      </c>
      <c r="T95" s="38">
        <f>N95*(1+Q95*(R95-1))*S95*战斗公式!$E$38+(P95*战斗公式!$E$39+1)*O95*战斗公式!$E$40</f>
        <v>175742.07970569213</v>
      </c>
      <c r="U95" s="38">
        <f t="shared" si="13"/>
        <v>8170.1628254072857</v>
      </c>
      <c r="V95" s="6">
        <f>VLOOKUP($N$1,$D$4:$J$15,MATCH(F$4,$D$4:$J$4,0),0)*角色成长!E108*角色成长!$L$15*AB95/AA95/(1+$Y$2*($Z$2-1))</f>
        <v>6678.0632853137795</v>
      </c>
      <c r="W95" s="6">
        <f>VLOOKUP($N$1,$D$4:$J$15,MATCH(G$4,$D$4:$J$4,0),0)*角色成长!F108*角色成长!$L$15/(1+X95/角色成长!$N$16)</f>
        <v>121142.15011166937</v>
      </c>
      <c r="X95" s="6">
        <f>VLOOKUP($N$1,$D$4:$J$15,MATCH(H$4,$D$4:$J$4,0),0)*角色成长!G108*角色成长!$L$15</f>
        <v>66602.55116552941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1"/>
      <c r="AE95" s="21"/>
      <c r="AF95" s="21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5"/>
      <c r="J96" s="6"/>
      <c r="K96" s="6"/>
      <c r="L96" s="6">
        <f t="shared" si="9"/>
        <v>1.7832373696810995</v>
      </c>
      <c r="M96" s="1">
        <v>92</v>
      </c>
      <c r="N96" s="6">
        <f>VLOOKUP($N$2,角色品星!$C$16:$D$20,2,0)*VLOOKUP($N$3,角色品星!$C$3:$E$14,3,0)*V96</f>
        <v>3856.5815472687077</v>
      </c>
      <c r="O96" s="6">
        <f>VLOOKUP($N$2,角色品星!$C$16:$D$20,2,0)*VLOOKUP($N$3,角色品星!$C$3:$E$14,3,0)*W96</f>
        <v>68588.611334206173</v>
      </c>
      <c r="P96" s="6">
        <f>VLOOKUP($N$2,角色品星!$C$16:$D$20,2,0)*VLOOKUP($N$3,角色品星!$C$3:$E$14,3,0)*X96</f>
        <v>38462.973298093253</v>
      </c>
      <c r="Q96" s="23">
        <f t="shared" si="10"/>
        <v>0.05</v>
      </c>
      <c r="R96" s="23">
        <f t="shared" si="11"/>
        <v>1.5</v>
      </c>
      <c r="S96" s="23">
        <f t="shared" si="12"/>
        <v>0.9</v>
      </c>
      <c r="T96" s="38">
        <f>N96*(1+Q96*(R96-1))*S96*战斗公式!$E$38+(P96*战斗公式!$E$39+1)*O96*战斗公式!$E$40</f>
        <v>183912.24253109941</v>
      </c>
      <c r="U96" s="38">
        <f t="shared" si="13"/>
        <v>8542.2085786779353</v>
      </c>
      <c r="V96" s="6">
        <f>VLOOKUP($N$1,$D$4:$J$15,MATCH(F$4,$D$4:$J$4,0),0)*角色成长!E109*角色成长!$L$15*AB96/AA96/(1+$Y$2*($Z$2-1))</f>
        <v>7011.9664495794677</v>
      </c>
      <c r="W96" s="6">
        <f>VLOOKUP($N$1,$D$4:$J$15,MATCH(G$4,$D$4:$J$4,0),0)*角色成长!F109*角色成长!$L$15/(1+X96/角色成长!$N$16)</f>
        <v>124706.56606219303</v>
      </c>
      <c r="X96" s="6">
        <f>VLOOKUP($N$1,$D$4:$J$15,MATCH(H$4,$D$4:$J$4,0),0)*角色成长!G109*角色成长!$L$15</f>
        <v>69932.678723805904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1"/>
      <c r="AE96" s="21"/>
      <c r="AF96" s="21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5"/>
      <c r="J97" s="6"/>
      <c r="K97" s="6"/>
      <c r="L97" s="6">
        <f t="shared" si="9"/>
        <v>1.747284229998572</v>
      </c>
      <c r="M97" s="1">
        <v>93</v>
      </c>
      <c r="N97" s="6">
        <f>VLOOKUP($N$2,角色品星!$C$16:$D$20,2,0)*VLOOKUP($N$3,角色品星!$C$3:$E$14,3,0)*V97</f>
        <v>4049.4106246321444</v>
      </c>
      <c r="O97" s="6">
        <f>VLOOKUP($N$2,角色品星!$C$16:$D$20,2,0)*VLOOKUP($N$3,角色品星!$C$3:$E$14,3,0)*W97</f>
        <v>70566.034016745209</v>
      </c>
      <c r="P97" s="6">
        <f>VLOOKUP($N$2,角色品星!$C$16:$D$20,2,0)*VLOOKUP($N$3,角色品星!$C$3:$E$14,3,0)*X97</f>
        <v>40386.121962997902</v>
      </c>
      <c r="Q97" s="23">
        <f t="shared" si="10"/>
        <v>0.05</v>
      </c>
      <c r="R97" s="23">
        <f t="shared" si="11"/>
        <v>1.5</v>
      </c>
      <c r="S97" s="23">
        <f t="shared" si="12"/>
        <v>0.9</v>
      </c>
      <c r="T97" s="38">
        <f>N97*(1+Q97*(R97-1))*S97*战斗公式!$E$38+(P97*战斗公式!$E$39+1)*O97*战斗公式!$E$40</f>
        <v>192454.45110977735</v>
      </c>
      <c r="U97" s="38">
        <f t="shared" si="13"/>
        <v>8931.5021982770704</v>
      </c>
      <c r="V97" s="6">
        <f>VLOOKUP($N$1,$D$4:$J$15,MATCH(F$4,$D$4:$J$4,0),0)*角色成长!E110*角色成长!$L$15*AB97/AA97/(1+$Y$2*($Z$2-1))</f>
        <v>7362.5647720584439</v>
      </c>
      <c r="W97" s="6">
        <f>VLOOKUP($N$1,$D$4:$J$15,MATCH(G$4,$D$4:$J$4,0),0)*角色成长!F110*角色成长!$L$15/(1+X97/角色成长!$N$16)</f>
        <v>128301.88003044583</v>
      </c>
      <c r="X97" s="6">
        <f>VLOOKUP($N$1,$D$4:$J$15,MATCH(H$4,$D$4:$J$4,0),0)*角色成长!G110*角色成长!$L$15</f>
        <v>73429.312659996183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1"/>
      <c r="AE97" s="21"/>
      <c r="AF97" s="21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5"/>
      <c r="J98" s="6"/>
      <c r="K98" s="6"/>
      <c r="L98" s="6">
        <f t="shared" si="9"/>
        <v>1.7110613852242305</v>
      </c>
      <c r="M98" s="1">
        <v>94</v>
      </c>
      <c r="N98" s="6">
        <f>VLOOKUP($N$2,角色品星!$C$16:$D$20,2,0)*VLOOKUP($N$3,角色品星!$C$3:$E$14,3,0)*V98</f>
        <v>4251.8811558637517</v>
      </c>
      <c r="O98" s="6">
        <f>VLOOKUP($N$2,角色品星!$C$16:$D$20,2,0)*VLOOKUP($N$3,角色品星!$C$3:$E$14,3,0)*W98</f>
        <v>72558.290479334013</v>
      </c>
      <c r="P98" s="6">
        <f>VLOOKUP($N$2,角色品星!$C$16:$D$20,2,0)*VLOOKUP($N$3,角色品星!$C$3:$E$14,3,0)*X98</f>
        <v>42405.428061147803</v>
      </c>
      <c r="Q98" s="23">
        <f t="shared" si="10"/>
        <v>0.05</v>
      </c>
      <c r="R98" s="23">
        <f t="shared" si="11"/>
        <v>1.5</v>
      </c>
      <c r="S98" s="23">
        <f t="shared" si="12"/>
        <v>0.9</v>
      </c>
      <c r="T98" s="38">
        <f>N98*(1+Q98*(R98-1))*S98*战斗公式!$E$38+(P98*战斗公式!$E$39+1)*O98*战斗公式!$E$40</f>
        <v>201385.95330805442</v>
      </c>
      <c r="U98" s="38">
        <f t="shared" si="13"/>
        <v>9338.9240564702777</v>
      </c>
      <c r="V98" s="6">
        <f>VLOOKUP($N$1,$D$4:$J$15,MATCH(F$4,$D$4:$J$4,0),0)*角色成长!E111*角色成长!$L$15*AB98/AA98/(1+$Y$2*($Z$2-1))</f>
        <v>7730.6930106613654</v>
      </c>
      <c r="W98" s="6">
        <f>VLOOKUP($N$1,$D$4:$J$15,MATCH(G$4,$D$4:$J$4,0),0)*角色成长!F111*角色成长!$L$15/(1+X98/角色成长!$N$16)</f>
        <v>131924.16450788002</v>
      </c>
      <c r="X98" s="6">
        <f>VLOOKUP($N$1,$D$4:$J$15,MATCH(H$4,$D$4:$J$4,0),0)*角色成长!G111*角色成长!$L$15</f>
        <v>77100.778292995994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1"/>
      <c r="AE98" s="21"/>
      <c r="AF98" s="21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5"/>
      <c r="J99" s="6"/>
      <c r="K99" s="6"/>
      <c r="L99" s="6">
        <f t="shared" si="9"/>
        <v>1.6746093477756363</v>
      </c>
      <c r="M99" s="1">
        <v>95</v>
      </c>
      <c r="N99" s="6">
        <f>VLOOKUP($N$2,角色品星!$C$16:$D$20,2,0)*VLOOKUP($N$3,角色品星!$C$3:$E$14,3,0)*V99</f>
        <v>4464.4752136569368</v>
      </c>
      <c r="O99" s="6">
        <f>VLOOKUP($N$2,角色品星!$C$16:$D$20,2,0)*VLOOKUP($N$3,角色品星!$C$3:$E$14,3,0)*W99</f>
        <v>74563.152539006638</v>
      </c>
      <c r="P99" s="6">
        <f>VLOOKUP($N$2,角色品星!$C$16:$D$20,2,0)*VLOOKUP($N$3,角色品星!$C$3:$E$14,3,0)*X99</f>
        <v>44525.69946420518</v>
      </c>
      <c r="Q99" s="23">
        <f t="shared" si="10"/>
        <v>0.05</v>
      </c>
      <c r="R99" s="23">
        <f t="shared" si="11"/>
        <v>1.5</v>
      </c>
      <c r="S99" s="23">
        <f t="shared" si="12"/>
        <v>0.9</v>
      </c>
      <c r="T99" s="38">
        <f>N99*(1+Q99*(R99-1))*S99*战斗公式!$E$38+(P99*战斗公式!$E$39+1)*O99*战斗公式!$E$40</f>
        <v>210724.8773645247</v>
      </c>
      <c r="U99" s="38">
        <f t="shared" si="13"/>
        <v>9765.4044026021729</v>
      </c>
      <c r="V99" s="6">
        <f>VLOOKUP($N$1,$D$4:$J$15,MATCH(F$4,$D$4:$J$4,0),0)*角色成长!E112*角色成长!$L$15*AB99/AA99/(1+$Y$2*($Z$2-1))</f>
        <v>8117.2276611944308</v>
      </c>
      <c r="W99" s="6">
        <f>VLOOKUP($N$1,$D$4:$J$15,MATCH(G$4,$D$4:$J$4,0),0)*角色成长!F112*角色成长!$L$15/(1+X99/角色成长!$N$16)</f>
        <v>135569.36825273934</v>
      </c>
      <c r="X99" s="6">
        <f>VLOOKUP($N$1,$D$4:$J$15,MATCH(H$4,$D$4:$J$4,0),0)*角色成长!G112*角色成长!$L$15</f>
        <v>80955.81720764577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1"/>
      <c r="AE99" s="21"/>
      <c r="AF99" s="21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5"/>
      <c r="J100" s="6"/>
      <c r="K100" s="6"/>
      <c r="L100" s="6">
        <f t="shared" si="9"/>
        <v>1.6379696925633749</v>
      </c>
      <c r="M100" s="1">
        <v>96</v>
      </c>
      <c r="N100" s="6">
        <f>VLOOKUP($N$2,角色品星!$C$16:$D$20,2,0)*VLOOKUP($N$3,角色品星!$C$3:$E$14,3,0)*V100</f>
        <v>4687.6989743397853</v>
      </c>
      <c r="O100" s="6">
        <f>VLOOKUP($N$2,角色品星!$C$16:$D$20,2,0)*VLOOKUP($N$3,角色品星!$C$3:$E$14,3,0)*W100</f>
        <v>76578.33357568107</v>
      </c>
      <c r="P100" s="6">
        <f>VLOOKUP($N$2,角色品星!$C$16:$D$20,2,0)*VLOOKUP($N$3,角色品星!$C$3:$E$14,3,0)*X100</f>
        <v>46751.984437415449</v>
      </c>
      <c r="Q100" s="23">
        <f t="shared" si="10"/>
        <v>0.05</v>
      </c>
      <c r="R100" s="23">
        <f t="shared" si="11"/>
        <v>1.5</v>
      </c>
      <c r="S100" s="23">
        <f t="shared" si="12"/>
        <v>0.9</v>
      </c>
      <c r="T100" s="38">
        <f>N100*(1+Q100*(R100-1))*S100*战斗公式!$E$38+(P100*战斗公式!$E$39+1)*O100*战斗公式!$E$40</f>
        <v>220490.28176712687</v>
      </c>
      <c r="U100" s="38">
        <f t="shared" si="13"/>
        <v>10211.925896926085</v>
      </c>
      <c r="V100" s="6">
        <f>VLOOKUP($N$1,$D$4:$J$15,MATCH(F$4,$D$4:$J$4,0),0)*角色成长!E113*角色成长!$L$15*AB100/AA100/(1+$Y$2*($Z$2-1))</f>
        <v>8523.0890442541549</v>
      </c>
      <c r="W100" s="6">
        <f>VLOOKUP($N$1,$D$4:$J$15,MATCH(G$4,$D$4:$J$4,0),0)*角色成长!F113*角色成长!$L$15/(1+X100/角色成长!$N$16)</f>
        <v>139233.33377396557</v>
      </c>
      <c r="X100" s="6">
        <f>VLOOKUP($N$1,$D$4:$J$15,MATCH(H$4,$D$4:$J$4,0),0)*角色成长!G113*角色成长!$L$15</f>
        <v>85003.608068028087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1"/>
      <c r="AE100" s="21"/>
      <c r="AF100" s="21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5"/>
      <c r="J101" s="6"/>
      <c r="K101" s="6"/>
      <c r="L101" s="6">
        <f t="shared" si="9"/>
        <v>1.6011848717947836</v>
      </c>
      <c r="M101" s="1">
        <v>97</v>
      </c>
      <c r="N101" s="6">
        <f>VLOOKUP($N$2,角色品星!$C$16:$D$20,2,0)*VLOOKUP($N$3,角色品星!$C$3:$E$14,3,0)*V101</f>
        <v>4922.0839230567753</v>
      </c>
      <c r="O101" s="6">
        <f>VLOOKUP($N$2,角色品星!$C$16:$D$20,2,0)*VLOOKUP($N$3,角色品星!$C$3:$E$14,3,0)*W101</f>
        <v>78601.498717953524</v>
      </c>
      <c r="P101" s="6">
        <f>VLOOKUP($N$2,角色品星!$C$16:$D$20,2,0)*VLOOKUP($N$3,角色品星!$C$3:$E$14,3,0)*X101</f>
        <v>49089.583659286225</v>
      </c>
      <c r="Q101" s="23">
        <f t="shared" si="10"/>
        <v>0.05</v>
      </c>
      <c r="R101" s="23">
        <f t="shared" si="11"/>
        <v>1.5</v>
      </c>
      <c r="S101" s="23">
        <f t="shared" si="12"/>
        <v>0.9</v>
      </c>
      <c r="T101" s="38">
        <f>N101*(1+Q101*(R101-1))*S101*战斗公式!$E$38+(P101*战斗公式!$E$39+1)*O101*战斗公式!$E$40</f>
        <v>230702.20766405296</v>
      </c>
      <c r="U101" s="38">
        <f t="shared" si="13"/>
        <v>10679.526216145256</v>
      </c>
      <c r="V101" s="6">
        <f>VLOOKUP($N$1,$D$4:$J$15,MATCH(F$4,$D$4:$J$4,0),0)*角色成长!E114*角色成长!$L$15*AB101/AA101/(1+$Y$2*($Z$2-1))</f>
        <v>8949.2434964668628</v>
      </c>
      <c r="W101" s="6">
        <f>VLOOKUP($N$1,$D$4:$J$15,MATCH(G$4,$D$4:$J$4,0),0)*角色成长!F114*角色成长!$L$15/(1+X101/角色成长!$N$16)</f>
        <v>142911.81585082458</v>
      </c>
      <c r="X101" s="6">
        <f>VLOOKUP($N$1,$D$4:$J$15,MATCH(H$4,$D$4:$J$4,0),0)*角色成长!G114*角色成长!$L$15</f>
        <v>89253.788471429492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1"/>
      <c r="AE101" s="21"/>
      <c r="AF101" s="21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5"/>
      <c r="J102" s="6"/>
      <c r="K102" s="6"/>
      <c r="L102" s="6">
        <f t="shared" si="9"/>
        <v>1.5642980211242159</v>
      </c>
      <c r="M102" s="1">
        <v>98</v>
      </c>
      <c r="N102" s="6">
        <f>VLOOKUP($N$2,角色品星!$C$16:$D$20,2,0)*VLOOKUP($N$3,角色品星!$C$3:$E$14,3,0)*V102</f>
        <v>5168.1881192096134</v>
      </c>
      <c r="O102" s="6">
        <f>VLOOKUP($N$2,角色品星!$C$16:$D$20,2,0)*VLOOKUP($N$3,角色品星!$C$3:$E$14,3,0)*W102</f>
        <v>80630.275504834746</v>
      </c>
      <c r="P102" s="6">
        <f>VLOOKUP($N$2,角色品星!$C$16:$D$20,2,0)*VLOOKUP($N$3,角色品星!$C$3:$E$14,3,0)*X102</f>
        <v>51544.06284225054</v>
      </c>
      <c r="Q102" s="23">
        <f t="shared" si="10"/>
        <v>0.05</v>
      </c>
      <c r="R102" s="23">
        <f t="shared" si="11"/>
        <v>1.5</v>
      </c>
      <c r="S102" s="23">
        <f t="shared" si="12"/>
        <v>0.9</v>
      </c>
      <c r="T102" s="38">
        <f>N102*(1+Q102*(R102-1))*S102*战斗公式!$E$38+(P102*战斗公式!$E$39+1)*O102*战斗公式!$E$40</f>
        <v>241381.73388019821</v>
      </c>
      <c r="U102" s="38">
        <f t="shared" si="13"/>
        <v>11169.300732753414</v>
      </c>
      <c r="V102" s="6">
        <f>VLOOKUP($N$1,$D$4:$J$15,MATCH(F$4,$D$4:$J$4,0),0)*角色成长!E115*角色成长!$L$15*AB102/AA102/(1+$Y$2*($Z$2-1))</f>
        <v>9396.7056712902049</v>
      </c>
      <c r="W102" s="6">
        <f>VLOOKUP($N$1,$D$4:$J$15,MATCH(G$4,$D$4:$J$4,0),0)*角色成长!F115*角色成长!$L$15/(1+X102/角色成长!$N$16)</f>
        <v>146600.50091788135</v>
      </c>
      <c r="X102" s="6">
        <f>VLOOKUP($N$1,$D$4:$J$15,MATCH(H$4,$D$4:$J$4,0),0)*角色成长!G115*角色成长!$L$15</f>
        <v>93716.477895000979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1"/>
      <c r="AE102" s="21"/>
      <c r="AF102" s="21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5"/>
      <c r="J103" s="6"/>
      <c r="K103" s="6"/>
      <c r="L103" s="6">
        <f t="shared" si="9"/>
        <v>1.5273527589988718</v>
      </c>
      <c r="M103" s="1">
        <v>99</v>
      </c>
      <c r="N103" s="6">
        <f>VLOOKUP($N$2,角色品星!$C$16:$D$20,2,0)*VLOOKUP($N$3,角色品星!$C$3:$E$14,3,0)*V103</f>
        <v>5426.5975251700947</v>
      </c>
      <c r="O103" s="6">
        <f>VLOOKUP($N$2,角色品星!$C$16:$D$20,2,0)*VLOOKUP($N$3,角色品星!$C$3:$E$14,3,0)*W103</f>
        <v>82662.264921728711</v>
      </c>
      <c r="P103" s="6">
        <f>VLOOKUP($N$2,角色品星!$C$16:$D$20,2,0)*VLOOKUP($N$3,角色品星!$C$3:$E$14,3,0)*X103</f>
        <v>54121.265984363061</v>
      </c>
      <c r="Q103" s="23">
        <f t="shared" si="10"/>
        <v>0.05</v>
      </c>
      <c r="R103" s="23">
        <f t="shared" si="11"/>
        <v>1.5</v>
      </c>
      <c r="S103" s="23">
        <f t="shared" si="12"/>
        <v>0.9</v>
      </c>
      <c r="T103" s="38">
        <f>N103*(1+Q103*(R103-1))*S103*战斗公式!$E$38+(P103*战斗公式!$E$39+1)*O103*战斗公式!$E$40</f>
        <v>252551.03461295163</v>
      </c>
      <c r="U103" s="38">
        <f t="shared" si="13"/>
        <v>11682.405271299358</v>
      </c>
      <c r="V103" s="6">
        <f>VLOOKUP($N$1,$D$4:$J$15,MATCH(F$4,$D$4:$J$4,0),0)*角色成长!E116*角色成长!$L$15*AB103/AA103/(1+$Y$2*($Z$2-1))</f>
        <v>9866.5409548547177</v>
      </c>
      <c r="W103" s="6">
        <f>VLOOKUP($N$1,$D$4:$J$15,MATCH(G$4,$D$4:$J$4,0),0)*角色成长!F116*角色成长!$L$15/(1+X103/角色成长!$N$16)</f>
        <v>150295.02713041584</v>
      </c>
      <c r="X103" s="6">
        <f>VLOOKUP($N$1,$D$4:$J$15,MATCH(H$4,$D$4:$J$4,0),0)*角色成长!G116*角色成长!$L$15</f>
        <v>98402.301789751014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1"/>
      <c r="AE103" s="21"/>
      <c r="AF103" s="21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5"/>
      <c r="J104" s="6"/>
      <c r="K104" s="6"/>
      <c r="L104" s="6">
        <f t="shared" si="9"/>
        <v>1.4903929811649099</v>
      </c>
      <c r="M104" s="1">
        <v>100</v>
      </c>
      <c r="N104" s="6">
        <f>VLOOKUP($N$2,角色品星!$C$16:$D$20,2,0)*VLOOKUP($N$3,角色品星!$C$3:$E$14,3,0)*V104</f>
        <v>5697.9274014286002</v>
      </c>
      <c r="O104" s="6">
        <f>VLOOKUP($N$2,角色品星!$C$16:$D$20,2,0)*VLOOKUP($N$3,角色品星!$C$3:$E$14,3,0)*W104</f>
        <v>84695.052702596615</v>
      </c>
      <c r="P104" s="6">
        <f>VLOOKUP($N$2,角色品星!$C$16:$D$20,2,0)*VLOOKUP($N$3,角色品星!$C$3:$E$14,3,0)*X104</f>
        <v>56827.329283581232</v>
      </c>
      <c r="Q104" s="23">
        <f t="shared" si="10"/>
        <v>0.05</v>
      </c>
      <c r="R104" s="23">
        <f t="shared" si="11"/>
        <v>1.5</v>
      </c>
      <c r="S104" s="23">
        <f t="shared" si="12"/>
        <v>0.9</v>
      </c>
      <c r="T104" s="38">
        <f>N104*(1+Q104*(R104-1))*S104*战斗公式!$E$38+(P104*战斗公式!$E$39+1)*O104*战斗公式!$E$40</f>
        <v>264233.43988425098</v>
      </c>
      <c r="U104" s="38">
        <f t="shared" si="13"/>
        <v>-264233.43988425098</v>
      </c>
      <c r="V104" s="6">
        <f>VLOOKUP($N$1,$D$4:$J$15,MATCH(F$4,$D$4:$J$4,0),0)*角色成长!E117*角色成长!$L$15*AB104/AA104/(1+$Y$2*($Z$2-1))</f>
        <v>10359.868002597454</v>
      </c>
      <c r="W104" s="6">
        <f>VLOOKUP($N$1,$D$4:$J$15,MATCH(G$4,$D$4:$J$4,0),0)*角色成长!F117*角色成长!$L$15/(1+X104/角色成长!$N$16)</f>
        <v>153991.00491381201</v>
      </c>
      <c r="X104" s="6">
        <f>VLOOKUP($N$1,$D$4:$J$15,MATCH(H$4,$D$4:$J$4,0),0)*角色成长!G117*角色成长!$L$15</f>
        <v>103322.41687923859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1"/>
      <c r="AE104" s="21"/>
      <c r="AF104" s="21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1"/>
      <c r="AE105" s="21"/>
      <c r="AF105" s="21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1"/>
      <c r="AE106" s="21"/>
      <c r="AF106" s="21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1"/>
      <c r="AE107" s="21"/>
      <c r="AF107" s="21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1"/>
      <c r="AE108" s="21"/>
      <c r="AF108" s="21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1"/>
      <c r="AE109" s="21"/>
      <c r="AF109" s="21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1"/>
      <c r="AE110" s="21"/>
      <c r="AF110" s="21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1"/>
      <c r="AE111" s="21"/>
      <c r="AF111" s="21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1"/>
      <c r="AE112" s="21"/>
      <c r="AF112" s="21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1"/>
      <c r="AE113" s="21"/>
      <c r="AF113" s="21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1"/>
      <c r="AE114" s="21"/>
      <c r="AF114" s="21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1"/>
      <c r="AE115" s="21"/>
      <c r="AF115" s="21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1"/>
      <c r="AE116" s="21"/>
      <c r="AF116" s="21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1"/>
      <c r="AE117" s="21"/>
      <c r="AF117" s="21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O23" sqref="O23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107" t="s">
        <v>193</v>
      </c>
      <c r="B1" s="108"/>
    </row>
    <row r="2" spans="1:21" ht="14.25" customHeight="1" x14ac:dyDescent="0.2">
      <c r="A2" s="109"/>
      <c r="B2" s="110"/>
      <c r="Q2" s="33">
        <f>Q5+Q6+Q7+Q8+Q10</f>
        <v>1.0959999999999999</v>
      </c>
      <c r="R2" s="33">
        <f>R5+R6+R7+R8+R10</f>
        <v>1.0960000000000001</v>
      </c>
    </row>
    <row r="3" spans="1:21" s="3" customFormat="1" ht="14.25" customHeight="1" x14ac:dyDescent="0.2">
      <c r="C3" s="3" t="s">
        <v>211</v>
      </c>
    </row>
    <row r="4" spans="1:21" s="3" customFormat="1" ht="14.25" customHeight="1" x14ac:dyDescent="0.2">
      <c r="D4" s="3" t="s">
        <v>197</v>
      </c>
      <c r="E4" s="3" t="s">
        <v>194</v>
      </c>
      <c r="F4" s="3" t="s">
        <v>145</v>
      </c>
      <c r="G4" s="3" t="s">
        <v>167</v>
      </c>
      <c r="H4" s="3" t="s">
        <v>195</v>
      </c>
      <c r="I4" s="3" t="s">
        <v>196</v>
      </c>
      <c r="J4" s="24" t="s">
        <v>204</v>
      </c>
      <c r="K4" s="3" t="s">
        <v>140</v>
      </c>
      <c r="L4" s="3" t="s">
        <v>141</v>
      </c>
      <c r="M4" s="3" t="s">
        <v>11</v>
      </c>
      <c r="N4" s="3" t="s">
        <v>5</v>
      </c>
      <c r="O4" s="3" t="s">
        <v>206</v>
      </c>
      <c r="P4" s="3" t="s">
        <v>207</v>
      </c>
      <c r="Q4" s="3" t="s">
        <v>208</v>
      </c>
      <c r="R4" s="3" t="s">
        <v>209</v>
      </c>
    </row>
    <row r="5" spans="1:21" ht="14.25" customHeight="1" x14ac:dyDescent="0.2">
      <c r="D5" s="1" t="s">
        <v>151</v>
      </c>
      <c r="E5" s="1" t="s">
        <v>122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5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0.21076923076923076</v>
      </c>
      <c r="S5" s="6">
        <f>N5*(1+R5)</f>
        <v>6.0538461538461537</v>
      </c>
      <c r="T5" s="86">
        <f>1+J5</f>
        <v>1.5</v>
      </c>
    </row>
    <row r="6" spans="1:21" ht="14.25" customHeight="1" x14ac:dyDescent="0.2">
      <c r="D6" s="1" t="s">
        <v>152</v>
      </c>
      <c r="E6" s="1" t="s">
        <v>122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0.21076923076923076</v>
      </c>
      <c r="S6" s="6">
        <f t="shared" ref="S6:S10" si="2">N6*(1+R6)</f>
        <v>6.0538461538461537</v>
      </c>
      <c r="T6" s="86">
        <f t="shared" ref="T6:T10" si="3">1+J6</f>
        <v>1.5</v>
      </c>
    </row>
    <row r="7" spans="1:21" ht="14.25" customHeight="1" x14ac:dyDescent="0.2">
      <c r="D7" s="1" t="s">
        <v>153</v>
      </c>
      <c r="E7" s="1" t="s">
        <v>123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  <c r="T7" s="86">
        <f t="shared" si="3"/>
        <v>1.35</v>
      </c>
    </row>
    <row r="8" spans="1:21" ht="14.25" customHeight="1" x14ac:dyDescent="0.2">
      <c r="D8" s="1" t="s">
        <v>154</v>
      </c>
      <c r="E8" s="1" t="s">
        <v>123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  <c r="T8" s="86">
        <f t="shared" si="3"/>
        <v>1.35</v>
      </c>
    </row>
    <row r="9" spans="1:21" ht="14.25" customHeight="1" x14ac:dyDescent="0.2">
      <c r="D9" s="1" t="s">
        <v>155</v>
      </c>
      <c r="E9" s="1" t="s">
        <v>123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  <c r="T9" s="86">
        <f t="shared" si="3"/>
        <v>1.35</v>
      </c>
    </row>
    <row r="10" spans="1:21" ht="14.25" customHeight="1" x14ac:dyDescent="0.2">
      <c r="D10" s="1" t="s">
        <v>156</v>
      </c>
      <c r="E10" s="1" t="s">
        <v>124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16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0.67446153846153845</v>
      </c>
      <c r="S10" s="6">
        <f t="shared" si="2"/>
        <v>26.791384615384615</v>
      </c>
      <c r="T10" s="86">
        <f t="shared" si="3"/>
        <v>1.35</v>
      </c>
    </row>
    <row r="11" spans="1:21" ht="14.25" customHeight="1" x14ac:dyDescent="0.2"/>
    <row r="12" spans="1:21" ht="14.25" customHeight="1" x14ac:dyDescent="0.2">
      <c r="I12" s="1">
        <v>0.5</v>
      </c>
      <c r="J12" s="2"/>
    </row>
    <row r="13" spans="1:21" ht="14.25" customHeight="1" x14ac:dyDescent="0.2">
      <c r="C13" s="3"/>
      <c r="D13" s="3" t="s">
        <v>197</v>
      </c>
      <c r="E13" s="3" t="s">
        <v>194</v>
      </c>
      <c r="F13" s="3" t="s">
        <v>32</v>
      </c>
      <c r="G13" s="3" t="s">
        <v>205</v>
      </c>
      <c r="H13" s="24" t="s">
        <v>198</v>
      </c>
      <c r="I13" s="24" t="s">
        <v>262</v>
      </c>
      <c r="J13" s="3" t="s">
        <v>199</v>
      </c>
      <c r="K13" s="3" t="s">
        <v>201</v>
      </c>
      <c r="L13" s="3" t="s">
        <v>203</v>
      </c>
      <c r="M13" s="3" t="s">
        <v>210</v>
      </c>
      <c r="N13" s="3" t="s">
        <v>226</v>
      </c>
      <c r="O13" s="3" t="s">
        <v>227</v>
      </c>
      <c r="P13" s="3" t="s">
        <v>228</v>
      </c>
      <c r="Q13" s="3" t="s">
        <v>229</v>
      </c>
      <c r="R13" s="3" t="s">
        <v>234</v>
      </c>
      <c r="S13" s="3" t="s">
        <v>235</v>
      </c>
      <c r="T13" s="3" t="s">
        <v>236</v>
      </c>
      <c r="U13" s="3" t="s">
        <v>237</v>
      </c>
    </row>
    <row r="14" spans="1:21" ht="14.25" customHeight="1" x14ac:dyDescent="0.2">
      <c r="D14" s="1" t="s">
        <v>151</v>
      </c>
      <c r="E14" s="1" t="s">
        <v>122</v>
      </c>
      <c r="F14" s="6">
        <f>H5*G5/M5/(1+K5*(L5-1))</f>
        <v>3.125</v>
      </c>
      <c r="G14" s="6">
        <f t="shared" ref="G14:G19" si="4">I5*(1-J5)</f>
        <v>55.555555555555557</v>
      </c>
      <c r="H14" s="1">
        <v>10</v>
      </c>
      <c r="I14" s="1">
        <f>H14*$I$12</f>
        <v>5</v>
      </c>
      <c r="J14" s="5">
        <f>H5*(1-G5)/(1/H14)/(1+K5*(L5-1))/F14</f>
        <v>3</v>
      </c>
      <c r="K14" s="4">
        <f>N5/H5*H14/(1+0.4*0.5)</f>
        <v>9.2592592592592595</v>
      </c>
      <c r="L14" s="5">
        <f>N5*H14/G14/(1+J5)</f>
        <v>0.6</v>
      </c>
      <c r="M14" s="33">
        <f>N5*H14/SUMPRODUCT($G$14:$G$19,$T$5:$T$10)</f>
        <v>0.16663374362542405</v>
      </c>
      <c r="N14" s="5">
        <f t="shared" ref="N14:N19" si="5">H5*(1-P5)/(1/H14)/(1+K5*(L5-1))/F14</f>
        <v>4.8</v>
      </c>
      <c r="O14" s="23">
        <f t="shared" ref="O14:O19" si="6">S5/H5*H14</f>
        <v>13.452991452991451</v>
      </c>
      <c r="P14" s="5">
        <f t="shared" ref="P14:P19" si="7">S5*H14/G14</f>
        <v>1.0896923076923075</v>
      </c>
      <c r="Q14" s="5">
        <f>S5*H14/(G14+G15+G16+G17+G19)</f>
        <v>0.32884316924668705</v>
      </c>
      <c r="R14" s="6">
        <f>N14/J14</f>
        <v>1.5999999999999999</v>
      </c>
      <c r="S14" s="6">
        <f t="shared" ref="S14:U14" si="8">O14/K14</f>
        <v>1.4529230769230768</v>
      </c>
      <c r="T14" s="6">
        <f t="shared" si="8"/>
        <v>1.816153846153846</v>
      </c>
      <c r="U14" s="6">
        <f t="shared" si="8"/>
        <v>1.9734488471068232</v>
      </c>
    </row>
    <row r="15" spans="1:21" ht="14.25" customHeight="1" x14ac:dyDescent="0.2">
      <c r="D15" s="1" t="s">
        <v>152</v>
      </c>
      <c r="E15" s="1" t="s">
        <v>122</v>
      </c>
      <c r="F15" s="6">
        <f t="shared" ref="F15:F19" si="9">H6*G6/M6/(1+K6*(L6-1))</f>
        <v>3.9526315789473694</v>
      </c>
      <c r="G15" s="6">
        <f t="shared" si="4"/>
        <v>41.666666666666664</v>
      </c>
      <c r="H15" s="1">
        <v>8</v>
      </c>
      <c r="I15" s="1">
        <f t="shared" ref="I15:I19" si="10">H15*$I$12</f>
        <v>4</v>
      </c>
      <c r="J15" s="5">
        <f t="shared" ref="J15:J19" si="11">H6*(1-G6)/(1/H15)/(1+K6*(L6-1))/F15</f>
        <v>2.5198402130492674</v>
      </c>
      <c r="K15" s="4">
        <f t="shared" ref="K15:K18" si="12">N6/H6*H15/(1+0.4*0.5)</f>
        <v>5.5555555555555562</v>
      </c>
      <c r="L15" s="5">
        <f t="shared" ref="L15:L18" si="13">N6*H15/G15/(1+J6)</f>
        <v>0.64</v>
      </c>
      <c r="M15" s="33"/>
      <c r="N15" s="5">
        <f t="shared" si="5"/>
        <v>4.0349723187338151</v>
      </c>
      <c r="O15" s="23">
        <f t="shared" si="6"/>
        <v>8.0717948717948715</v>
      </c>
      <c r="P15" s="5">
        <f t="shared" si="7"/>
        <v>1.1623384615384615</v>
      </c>
      <c r="R15" s="6">
        <f t="shared" ref="R15:R19" si="14">N15/J15</f>
        <v>1.6012810248198559</v>
      </c>
      <c r="S15" s="6">
        <f t="shared" ref="S15:S19" si="15">O15/K15</f>
        <v>1.4529230769230768</v>
      </c>
      <c r="T15" s="6">
        <f t="shared" ref="T15:T19" si="16">P15/L15</f>
        <v>1.8161538461538462</v>
      </c>
      <c r="U15" s="6"/>
    </row>
    <row r="16" spans="1:21" ht="14.25" customHeight="1" x14ac:dyDescent="0.2">
      <c r="D16" s="1" t="s">
        <v>153</v>
      </c>
      <c r="E16" s="1" t="s">
        <v>123</v>
      </c>
      <c r="F16" s="6">
        <f t="shared" si="9"/>
        <v>7.0000000000000009</v>
      </c>
      <c r="G16" s="6">
        <f t="shared" si="4"/>
        <v>24.761904761904763</v>
      </c>
      <c r="H16" s="1">
        <v>20</v>
      </c>
      <c r="I16" s="1">
        <f t="shared" si="10"/>
        <v>10</v>
      </c>
      <c r="J16" s="5">
        <f t="shared" si="11"/>
        <v>4.9999999999999982</v>
      </c>
      <c r="K16" s="4">
        <f t="shared" si="12"/>
        <v>0</v>
      </c>
      <c r="L16" s="5">
        <f t="shared" si="13"/>
        <v>0</v>
      </c>
      <c r="M16" s="33"/>
      <c r="N16" s="5">
        <f t="shared" si="5"/>
        <v>8.3333333333333304</v>
      </c>
      <c r="O16" s="23">
        <f t="shared" si="6"/>
        <v>0</v>
      </c>
      <c r="P16" s="5">
        <f t="shared" si="7"/>
        <v>0</v>
      </c>
      <c r="R16" s="6">
        <f>N16/J16</f>
        <v>1.6666666666666667</v>
      </c>
      <c r="S16" s="6"/>
      <c r="T16" s="6"/>
      <c r="U16" s="6"/>
    </row>
    <row r="17" spans="2:21" ht="14.25" customHeight="1" x14ac:dyDescent="0.2">
      <c r="D17" s="1" t="s">
        <v>154</v>
      </c>
      <c r="E17" s="1" t="s">
        <v>123</v>
      </c>
      <c r="F17" s="6">
        <f t="shared" si="9"/>
        <v>6.0984848484848486</v>
      </c>
      <c r="G17" s="6">
        <f t="shared" si="4"/>
        <v>26</v>
      </c>
      <c r="H17" s="1">
        <v>15</v>
      </c>
      <c r="I17" s="1">
        <f t="shared" si="10"/>
        <v>7.5</v>
      </c>
      <c r="J17" s="5">
        <f t="shared" si="11"/>
        <v>3.9968944099378874</v>
      </c>
      <c r="K17" s="4">
        <f t="shared" si="12"/>
        <v>0</v>
      </c>
      <c r="L17" s="5">
        <f t="shared" si="13"/>
        <v>0</v>
      </c>
      <c r="M17" s="33"/>
      <c r="N17" s="5">
        <f t="shared" si="5"/>
        <v>6.6893630291847472</v>
      </c>
      <c r="O17" s="23">
        <f t="shared" si="6"/>
        <v>0</v>
      </c>
      <c r="P17" s="5">
        <f t="shared" si="7"/>
        <v>0</v>
      </c>
      <c r="R17" s="6">
        <f t="shared" si="14"/>
        <v>1.6736401673640164</v>
      </c>
      <c r="S17" s="6"/>
      <c r="T17" s="6"/>
      <c r="U17" s="6"/>
    </row>
    <row r="18" spans="2:21" ht="14.25" customHeight="1" x14ac:dyDescent="0.2">
      <c r="D18" s="1" t="s">
        <v>155</v>
      </c>
      <c r="E18" s="1" t="s">
        <v>123</v>
      </c>
      <c r="F18" s="6">
        <f t="shared" si="9"/>
        <v>5.1062500000000002</v>
      </c>
      <c r="G18" s="6">
        <f t="shared" si="4"/>
        <v>27.368421052631582</v>
      </c>
      <c r="H18" s="1">
        <v>10</v>
      </c>
      <c r="I18" s="1">
        <f t="shared" si="10"/>
        <v>5</v>
      </c>
      <c r="J18" s="5">
        <f t="shared" si="11"/>
        <v>3.5038759689922472</v>
      </c>
      <c r="K18" s="4">
        <f t="shared" si="12"/>
        <v>0</v>
      </c>
      <c r="L18" s="5">
        <f t="shared" si="13"/>
        <v>0</v>
      </c>
      <c r="M18" s="33"/>
      <c r="N18" s="5">
        <f t="shared" si="5"/>
        <v>5.7159477471325415</v>
      </c>
      <c r="O18" s="23">
        <f t="shared" si="6"/>
        <v>0</v>
      </c>
      <c r="P18" s="5">
        <f t="shared" si="7"/>
        <v>0</v>
      </c>
      <c r="R18" s="6">
        <f t="shared" si="14"/>
        <v>1.6313213703099514</v>
      </c>
      <c r="S18" s="6"/>
      <c r="T18" s="6"/>
      <c r="U18" s="6"/>
    </row>
    <row r="19" spans="2:21" ht="14.25" customHeight="1" x14ac:dyDescent="0.2">
      <c r="D19" s="1" t="s">
        <v>156</v>
      </c>
      <c r="E19" s="1" t="s">
        <v>124</v>
      </c>
      <c r="F19" s="6">
        <f t="shared" si="9"/>
        <v>2.66</v>
      </c>
      <c r="G19" s="6">
        <f t="shared" si="4"/>
        <v>36.111111111111114</v>
      </c>
      <c r="H19" s="1">
        <v>11</v>
      </c>
      <c r="I19" s="1">
        <f t="shared" si="10"/>
        <v>5.5</v>
      </c>
      <c r="J19" s="5">
        <f t="shared" si="11"/>
        <v>2.5060150375939845</v>
      </c>
      <c r="K19" s="4">
        <f>N10/H10*H19/(1+0.4*0.5)</f>
        <v>40.740740740740748</v>
      </c>
      <c r="L19" s="5">
        <f>N10*H19/G19/(1+J10)</f>
        <v>3.6102564102564094</v>
      </c>
      <c r="M19" s="33">
        <f>N10*H19/SUMPRODUCT($G$14:$G$19,$T$5:$T$10)</f>
        <v>0.58655077756149265</v>
      </c>
      <c r="N19" s="5">
        <f t="shared" si="5"/>
        <v>4.1697421590582104</v>
      </c>
      <c r="O19" s="23">
        <f t="shared" si="6"/>
        <v>81.862564102564107</v>
      </c>
      <c r="P19" s="5">
        <f t="shared" si="7"/>
        <v>8.1610679289940808</v>
      </c>
      <c r="Q19" s="5">
        <f>S10*H19/(G14+G15+G16+G17+G19)</f>
        <v>1.6008302757769906</v>
      </c>
      <c r="R19" s="6">
        <f t="shared" si="14"/>
        <v>1.6638935108153079</v>
      </c>
      <c r="S19" s="6">
        <f t="shared" si="15"/>
        <v>2.009353846153846</v>
      </c>
      <c r="T19" s="6">
        <f t="shared" si="16"/>
        <v>2.2605230769230769</v>
      </c>
      <c r="U19" s="6">
        <f t="shared" ref="U19" si="17">Q19/M19</f>
        <v>2.7292270968120285</v>
      </c>
    </row>
    <row r="20" spans="2:21" ht="14.25" customHeight="1" x14ac:dyDescent="0.2">
      <c r="C20" s="21"/>
      <c r="D20" s="21"/>
      <c r="E20" s="21"/>
      <c r="F20" s="21"/>
      <c r="G20" s="21"/>
      <c r="H20" s="9"/>
      <c r="I20" s="9"/>
      <c r="J20" s="9"/>
      <c r="K20" s="9"/>
      <c r="L20" s="2" t="s">
        <v>317</v>
      </c>
      <c r="M20" s="9"/>
    </row>
    <row r="21" spans="2:21" ht="14.25" customHeight="1" x14ac:dyDescent="0.2">
      <c r="C21" s="21"/>
      <c r="D21" s="21"/>
      <c r="E21" s="21"/>
      <c r="F21" s="21"/>
      <c r="G21" s="21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39" t="s">
        <v>212</v>
      </c>
      <c r="D22" s="2" t="s">
        <v>276</v>
      </c>
      <c r="E22" s="21"/>
      <c r="F22" s="21"/>
      <c r="G22" s="21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1"/>
      <c r="D23" s="10">
        <v>0.2</v>
      </c>
      <c r="E23" s="2" t="s">
        <v>219</v>
      </c>
      <c r="F23" s="21"/>
      <c r="G23" s="21"/>
      <c r="H23" s="9"/>
      <c r="I23" s="9"/>
      <c r="J23" s="9"/>
      <c r="K23" s="9"/>
      <c r="L23" s="9"/>
      <c r="M23" s="9"/>
    </row>
    <row r="24" spans="2:21" ht="14.25" customHeight="1" x14ac:dyDescent="0.2">
      <c r="C24" s="21"/>
      <c r="D24" s="21" t="s">
        <v>32</v>
      </c>
      <c r="E24" s="5">
        <f>D23</f>
        <v>0.2</v>
      </c>
      <c r="F24" s="21"/>
      <c r="G24" s="21"/>
      <c r="H24" s="9"/>
      <c r="I24" s="9"/>
      <c r="J24" s="9"/>
      <c r="K24" s="9"/>
      <c r="L24" s="9"/>
      <c r="M24" s="9"/>
    </row>
    <row r="25" spans="2:21" ht="14.25" customHeight="1" x14ac:dyDescent="0.2">
      <c r="C25" s="21"/>
      <c r="D25" s="21" t="s">
        <v>35</v>
      </c>
      <c r="E25" s="5">
        <f>((1+$D$23)*(1+F25*(G25-1))-1)/(G25-1)-F25</f>
        <v>0.47999999999999987</v>
      </c>
      <c r="F25" s="23">
        <v>0.4</v>
      </c>
      <c r="G25" s="23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1"/>
      <c r="C26" s="21"/>
      <c r="D26" s="21" t="s">
        <v>84</v>
      </c>
      <c r="E26" s="5">
        <f>((1+$D$23)*(1+F26*(G26-1))-1)/F26+1-G26</f>
        <v>0.59999999999999964</v>
      </c>
      <c r="F26" s="23">
        <v>0.4</v>
      </c>
      <c r="G26" s="23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1"/>
      <c r="C27" s="21"/>
      <c r="D27" s="21" t="s">
        <v>205</v>
      </c>
      <c r="E27" s="5">
        <f>D23</f>
        <v>0.2</v>
      </c>
      <c r="G27" s="21"/>
      <c r="H27" s="9"/>
      <c r="I27" s="9"/>
      <c r="J27" s="9"/>
      <c r="K27" s="9"/>
      <c r="L27" s="9"/>
      <c r="M27" s="9"/>
    </row>
    <row r="28" spans="2:21" ht="14.25" customHeight="1" x14ac:dyDescent="0.2">
      <c r="B28" s="31"/>
      <c r="C28" s="21"/>
      <c r="D28" s="21" t="s">
        <v>204</v>
      </c>
      <c r="E28" s="4">
        <f>1-(1-(1+$D$23)*(1-F28))-F28</f>
        <v>9.9999999999999978E-2</v>
      </c>
      <c r="F28" s="22">
        <v>0.5</v>
      </c>
      <c r="G28" s="21"/>
      <c r="H28" s="9"/>
      <c r="I28" s="9"/>
      <c r="J28" s="9"/>
      <c r="K28" s="9"/>
      <c r="L28" s="9"/>
      <c r="M28" s="6"/>
    </row>
    <row r="29" spans="2:21" ht="14.25" customHeight="1" x14ac:dyDescent="0.2">
      <c r="B29" s="31"/>
      <c r="C29" s="21"/>
      <c r="D29" s="21" t="s">
        <v>33</v>
      </c>
      <c r="E29" s="21">
        <f>100000/(1-E28-F28)-100000</f>
        <v>150000</v>
      </c>
      <c r="F29" s="22">
        <f>E29/G29</f>
        <v>1.5</v>
      </c>
      <c r="G29" s="21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1"/>
      <c r="C30" s="21"/>
      <c r="D30" s="21"/>
      <c r="E30" s="21"/>
      <c r="F30" s="21"/>
      <c r="G30" s="21"/>
      <c r="H30" s="9"/>
      <c r="I30" s="9"/>
      <c r="J30" s="9"/>
      <c r="K30" s="9"/>
      <c r="L30" s="9"/>
      <c r="M30" s="9"/>
    </row>
    <row r="31" spans="2:21" ht="14.25" customHeight="1" x14ac:dyDescent="0.2">
      <c r="B31" s="31"/>
      <c r="C31" s="21"/>
      <c r="D31" s="21"/>
      <c r="E31" s="21"/>
      <c r="F31" s="21"/>
      <c r="G31" s="21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1"/>
      <c r="D32" s="21"/>
      <c r="E32" s="21"/>
      <c r="F32" s="21"/>
      <c r="G32" s="21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1"/>
      <c r="D33" s="21"/>
      <c r="E33" s="21"/>
      <c r="F33" s="21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1"/>
      <c r="D34" s="21"/>
      <c r="E34" s="21"/>
      <c r="F34" s="21"/>
      <c r="G34" s="21"/>
      <c r="H34" s="9"/>
      <c r="I34" s="9"/>
      <c r="J34" s="9"/>
      <c r="K34" s="9"/>
      <c r="L34" s="9"/>
      <c r="M34" s="9"/>
    </row>
    <row r="35" spans="2:13" ht="14.25" customHeight="1" x14ac:dyDescent="0.2">
      <c r="C35" s="21"/>
      <c r="D35" s="21"/>
      <c r="E35" s="21"/>
      <c r="F35" s="21"/>
      <c r="G35" s="21"/>
      <c r="H35" s="9"/>
      <c r="I35" s="9"/>
      <c r="J35" s="9"/>
      <c r="K35" s="9"/>
      <c r="L35" s="9"/>
      <c r="M35" s="9"/>
    </row>
    <row r="36" spans="2:13" ht="14.25" customHeight="1" x14ac:dyDescent="0.2">
      <c r="C36" s="21"/>
      <c r="D36" s="21"/>
      <c r="E36" s="21"/>
      <c r="F36" s="21"/>
      <c r="G36" s="21"/>
      <c r="H36" s="9"/>
      <c r="I36" s="9"/>
      <c r="J36" s="9"/>
      <c r="K36" s="9"/>
      <c r="L36" s="9"/>
      <c r="M36" s="9"/>
    </row>
    <row r="37" spans="2:13" ht="14.25" customHeight="1" x14ac:dyDescent="0.2">
      <c r="C37" s="21"/>
      <c r="D37" s="21"/>
      <c r="E37" s="21"/>
      <c r="F37" s="21"/>
      <c r="G37" s="21"/>
      <c r="H37" s="9"/>
      <c r="I37" s="9"/>
      <c r="J37" s="9"/>
      <c r="K37" s="9"/>
      <c r="L37" s="9"/>
      <c r="M37" s="9"/>
    </row>
    <row r="38" spans="2:13" ht="14.25" customHeight="1" x14ac:dyDescent="0.2">
      <c r="C38" s="21"/>
      <c r="D38" s="21"/>
      <c r="E38" s="21"/>
      <c r="F38" s="21"/>
      <c r="G38" s="21"/>
      <c r="H38" s="9"/>
      <c r="I38" s="9"/>
      <c r="J38" s="9"/>
      <c r="K38" s="9"/>
      <c r="L38" s="9"/>
      <c r="M38" s="9"/>
    </row>
    <row r="39" spans="2:13" ht="14.25" customHeight="1" x14ac:dyDescent="0.2">
      <c r="C39" s="21"/>
      <c r="D39" s="21"/>
      <c r="E39" s="21"/>
      <c r="F39" s="21"/>
      <c r="G39" s="21"/>
      <c r="H39" s="9"/>
      <c r="I39" s="9"/>
      <c r="J39" s="9"/>
      <c r="K39" s="9"/>
      <c r="L39" s="9"/>
      <c r="M39" s="9"/>
    </row>
    <row r="40" spans="2:13" ht="14.25" customHeight="1" x14ac:dyDescent="0.2">
      <c r="C40" s="21"/>
      <c r="D40" s="21"/>
      <c r="E40" s="21"/>
      <c r="F40" s="21"/>
      <c r="G40" s="21"/>
      <c r="H40" s="9"/>
      <c r="I40" s="9"/>
      <c r="J40" s="9"/>
      <c r="K40" s="9"/>
      <c r="L40" s="9"/>
      <c r="M40" s="9"/>
    </row>
    <row r="41" spans="2:13" ht="14.25" customHeight="1" x14ac:dyDescent="0.2">
      <c r="C41" s="21"/>
      <c r="D41" s="21"/>
      <c r="E41" s="21"/>
      <c r="F41" s="21"/>
      <c r="G41" s="21"/>
      <c r="H41" s="9"/>
      <c r="I41" s="9"/>
      <c r="J41" s="9"/>
      <c r="K41" s="9"/>
      <c r="L41" s="9"/>
      <c r="M41" s="9"/>
    </row>
    <row r="42" spans="2:13" ht="14.25" customHeight="1" x14ac:dyDescent="0.2">
      <c r="C42" s="21"/>
      <c r="D42" s="21"/>
      <c r="E42" s="21"/>
      <c r="F42" s="21"/>
      <c r="G42" s="21"/>
      <c r="H42" s="9"/>
      <c r="I42" s="9"/>
      <c r="J42" s="9"/>
      <c r="K42" s="9"/>
      <c r="L42" s="9"/>
      <c r="M42" s="9"/>
    </row>
    <row r="43" spans="2:13" ht="14.25" customHeight="1" x14ac:dyDescent="0.2">
      <c r="C43" s="21"/>
      <c r="D43" s="21"/>
      <c r="E43" s="21"/>
      <c r="F43" s="21"/>
      <c r="G43" s="21"/>
      <c r="H43" s="9"/>
      <c r="I43" s="9"/>
      <c r="J43" s="9"/>
      <c r="K43" s="9"/>
      <c r="L43" s="9"/>
      <c r="M43" s="9"/>
    </row>
    <row r="44" spans="2:13" ht="14.25" customHeight="1" x14ac:dyDescent="0.2">
      <c r="C44" s="21"/>
      <c r="D44" s="21"/>
      <c r="E44" s="21"/>
      <c r="F44" s="21"/>
      <c r="G44" s="21"/>
      <c r="H44" s="9"/>
      <c r="I44" s="9"/>
      <c r="J44" s="9"/>
      <c r="K44" s="9"/>
      <c r="L44" s="9"/>
      <c r="M44" s="9"/>
    </row>
    <row r="45" spans="2:13" ht="14.25" customHeight="1" x14ac:dyDescent="0.2">
      <c r="C45" s="21"/>
      <c r="D45" s="21"/>
      <c r="E45" s="21"/>
      <c r="F45" s="21"/>
      <c r="G45" s="21"/>
      <c r="H45" s="9"/>
      <c r="I45" s="9"/>
      <c r="J45" s="9"/>
      <c r="K45" s="9"/>
      <c r="L45" s="9"/>
      <c r="M45" s="9"/>
    </row>
    <row r="46" spans="2:13" ht="14.25" customHeight="1" x14ac:dyDescent="0.2">
      <c r="C46" s="21"/>
      <c r="D46" s="21"/>
      <c r="E46" s="21"/>
      <c r="F46" s="21"/>
      <c r="G46" s="21"/>
      <c r="H46" s="9"/>
      <c r="I46" s="9"/>
      <c r="J46" s="9"/>
      <c r="K46" s="9"/>
      <c r="L46" s="9"/>
      <c r="M46" s="9"/>
    </row>
    <row r="47" spans="2:13" ht="14.25" customHeight="1" x14ac:dyDescent="0.2">
      <c r="C47" s="21"/>
      <c r="D47" s="21"/>
      <c r="E47" s="21"/>
      <c r="F47" s="21"/>
      <c r="G47" s="21"/>
      <c r="H47" s="9"/>
      <c r="I47" s="9"/>
      <c r="J47" s="9"/>
      <c r="K47" s="9"/>
      <c r="L47" s="9"/>
      <c r="M47" s="9"/>
    </row>
    <row r="48" spans="2:13" ht="14.25" customHeight="1" x14ac:dyDescent="0.2">
      <c r="C48" s="21"/>
      <c r="D48" s="21"/>
      <c r="E48" s="21"/>
      <c r="F48" s="21"/>
      <c r="G48" s="21"/>
      <c r="H48" s="9"/>
      <c r="I48" s="9"/>
      <c r="J48" s="9"/>
      <c r="K48" s="9"/>
      <c r="L48" s="9"/>
      <c r="M48" s="9"/>
    </row>
    <row r="49" spans="3:13" ht="14.25" customHeight="1" x14ac:dyDescent="0.2">
      <c r="C49" s="21"/>
      <c r="D49" s="21"/>
      <c r="E49" s="21"/>
      <c r="F49" s="21"/>
      <c r="G49" s="21"/>
      <c r="H49" s="9"/>
      <c r="I49" s="9"/>
      <c r="J49" s="9"/>
      <c r="K49" s="9"/>
      <c r="L49" s="9"/>
      <c r="M49" s="9"/>
    </row>
    <row r="50" spans="3:13" ht="14.25" customHeight="1" x14ac:dyDescent="0.2">
      <c r="C50" s="21"/>
      <c r="D50" s="21"/>
      <c r="E50" s="21"/>
      <c r="F50" s="21"/>
      <c r="G50" s="21"/>
      <c r="H50" s="9"/>
      <c r="I50" s="9"/>
      <c r="J50" s="9"/>
      <c r="K50" s="9"/>
      <c r="L50" s="9"/>
      <c r="M50" s="9"/>
    </row>
    <row r="51" spans="3:13" ht="14.25" customHeight="1" x14ac:dyDescent="0.2">
      <c r="C51" s="21"/>
      <c r="D51" s="21"/>
      <c r="E51" s="21"/>
      <c r="F51" s="21"/>
      <c r="G51" s="21"/>
      <c r="H51" s="9"/>
      <c r="I51" s="9"/>
      <c r="J51" s="9"/>
      <c r="K51" s="9"/>
      <c r="L51" s="9"/>
      <c r="M51" s="9"/>
    </row>
    <row r="52" spans="3:13" ht="14.25" customHeight="1" x14ac:dyDescent="0.2">
      <c r="C52" s="21"/>
      <c r="D52" s="21"/>
      <c r="E52" s="21"/>
      <c r="F52" s="21"/>
      <c r="G52" s="21"/>
      <c r="H52" s="9"/>
      <c r="I52" s="9"/>
      <c r="J52" s="9"/>
      <c r="K52" s="9"/>
      <c r="L52" s="9"/>
      <c r="M52" s="9"/>
    </row>
    <row r="53" spans="3:13" ht="14.25" customHeight="1" x14ac:dyDescent="0.2">
      <c r="C53" s="21"/>
      <c r="D53" s="21"/>
      <c r="E53" s="21"/>
      <c r="F53" s="21"/>
      <c r="G53" s="21"/>
      <c r="H53" s="9"/>
      <c r="I53" s="9"/>
      <c r="J53" s="9"/>
      <c r="K53" s="9"/>
      <c r="L53" s="9"/>
      <c r="M53" s="9"/>
    </row>
    <row r="54" spans="3:13" ht="14.25" customHeight="1" x14ac:dyDescent="0.2">
      <c r="C54" s="21"/>
      <c r="D54" s="21"/>
      <c r="E54" s="21"/>
      <c r="F54" s="21"/>
      <c r="G54" s="21"/>
      <c r="H54" s="9"/>
      <c r="I54" s="9"/>
      <c r="J54" s="9"/>
      <c r="K54" s="9"/>
      <c r="L54" s="9"/>
      <c r="M54" s="9"/>
    </row>
    <row r="55" spans="3:13" ht="14.25" customHeight="1" x14ac:dyDescent="0.2">
      <c r="C55" s="21"/>
      <c r="D55" s="21"/>
      <c r="E55" s="21"/>
      <c r="F55" s="21"/>
      <c r="G55" s="21"/>
      <c r="H55" s="9"/>
      <c r="I55" s="9"/>
      <c r="J55" s="9"/>
      <c r="K55" s="9"/>
      <c r="L55" s="9"/>
      <c r="M55" s="9"/>
    </row>
    <row r="56" spans="3:13" ht="14.25" customHeight="1" x14ac:dyDescent="0.2">
      <c r="C56" s="21"/>
      <c r="D56" s="21"/>
      <c r="E56" s="21"/>
      <c r="F56" s="21"/>
      <c r="G56" s="21"/>
      <c r="H56" s="9"/>
      <c r="I56" s="9"/>
      <c r="J56" s="9"/>
      <c r="K56" s="9"/>
      <c r="L56" s="9"/>
      <c r="M56" s="9"/>
    </row>
    <row r="57" spans="3:13" ht="14.25" customHeight="1" x14ac:dyDescent="0.2">
      <c r="C57" s="21"/>
      <c r="D57" s="21"/>
      <c r="E57" s="21"/>
      <c r="F57" s="21"/>
      <c r="G57" s="21"/>
      <c r="H57" s="9"/>
      <c r="I57" s="9"/>
      <c r="J57" s="9"/>
      <c r="K57" s="9"/>
      <c r="L57" s="9"/>
      <c r="M57" s="9"/>
    </row>
    <row r="58" spans="3:13" ht="14.25" customHeight="1" x14ac:dyDescent="0.2">
      <c r="C58" s="21"/>
      <c r="D58" s="21"/>
      <c r="E58" s="21"/>
      <c r="F58" s="21"/>
      <c r="G58" s="21"/>
      <c r="H58" s="9"/>
      <c r="I58" s="9"/>
      <c r="J58" s="9"/>
      <c r="K58" s="9"/>
      <c r="L58" s="9"/>
      <c r="M58" s="9"/>
    </row>
    <row r="59" spans="3:13" ht="14.25" customHeight="1" x14ac:dyDescent="0.2">
      <c r="C59" s="21"/>
      <c r="D59" s="21"/>
      <c r="E59" s="21"/>
      <c r="F59" s="21"/>
      <c r="G59" s="21"/>
      <c r="H59" s="9"/>
      <c r="I59" s="9"/>
      <c r="J59" s="9"/>
      <c r="K59" s="9"/>
      <c r="L59" s="9"/>
      <c r="M59" s="9"/>
    </row>
    <row r="60" spans="3:13" ht="14.25" customHeight="1" x14ac:dyDescent="0.2">
      <c r="C60" s="21"/>
      <c r="D60" s="21"/>
      <c r="E60" s="21"/>
      <c r="F60" s="21"/>
      <c r="G60" s="21"/>
      <c r="H60" s="9"/>
      <c r="I60" s="9"/>
      <c r="J60" s="9"/>
      <c r="K60" s="9"/>
      <c r="L60" s="9"/>
      <c r="M60" s="9"/>
    </row>
    <row r="61" spans="3:13" ht="14.25" customHeight="1" x14ac:dyDescent="0.2">
      <c r="C61" s="21"/>
      <c r="D61" s="21"/>
      <c r="E61" s="21"/>
      <c r="F61" s="21"/>
      <c r="G61" s="21"/>
      <c r="H61" s="9"/>
      <c r="I61" s="9"/>
      <c r="J61" s="9"/>
      <c r="K61" s="9"/>
      <c r="L61" s="9"/>
      <c r="M61" s="9"/>
    </row>
    <row r="62" spans="3:13" ht="14.25" customHeight="1" x14ac:dyDescent="0.2">
      <c r="C62" s="21"/>
      <c r="D62" s="21"/>
      <c r="E62" s="21"/>
      <c r="F62" s="21"/>
      <c r="G62" s="21"/>
      <c r="H62" s="9"/>
      <c r="I62" s="9"/>
      <c r="J62" s="9"/>
      <c r="K62" s="9"/>
      <c r="L62" s="9"/>
      <c r="M62" s="9"/>
    </row>
    <row r="63" spans="3:13" ht="14.25" customHeight="1" x14ac:dyDescent="0.2">
      <c r="C63" s="21"/>
      <c r="D63" s="21"/>
      <c r="E63" s="21"/>
      <c r="F63" s="21"/>
      <c r="G63" s="21"/>
      <c r="H63" s="9"/>
      <c r="I63" s="9"/>
      <c r="J63" s="9"/>
      <c r="K63" s="9"/>
      <c r="L63" s="9"/>
      <c r="M63" s="9"/>
    </row>
    <row r="64" spans="3:13" ht="14.25" customHeight="1" x14ac:dyDescent="0.2">
      <c r="C64" s="21"/>
      <c r="D64" s="21"/>
      <c r="E64" s="21"/>
      <c r="F64" s="21"/>
      <c r="G64" s="21"/>
      <c r="H64" s="9"/>
      <c r="I64" s="9"/>
      <c r="J64" s="9"/>
      <c r="K64" s="9"/>
      <c r="L64" s="9"/>
      <c r="M64" s="9"/>
    </row>
    <row r="65" spans="3:13" ht="14.25" customHeight="1" x14ac:dyDescent="0.2">
      <c r="C65" s="21"/>
      <c r="D65" s="21"/>
      <c r="E65" s="21"/>
      <c r="F65" s="21"/>
      <c r="G65" s="21"/>
      <c r="H65" s="9"/>
      <c r="I65" s="9"/>
      <c r="J65" s="9"/>
      <c r="K65" s="9"/>
      <c r="L65" s="9"/>
      <c r="M65" s="9"/>
    </row>
    <row r="66" spans="3:13" ht="14.25" customHeight="1" x14ac:dyDescent="0.2">
      <c r="C66" s="21"/>
      <c r="D66" s="21"/>
      <c r="E66" s="21"/>
      <c r="F66" s="21"/>
      <c r="G66" s="21"/>
      <c r="H66" s="9"/>
      <c r="I66" s="9"/>
      <c r="J66" s="9"/>
      <c r="K66" s="9"/>
      <c r="L66" s="9"/>
      <c r="M66" s="9"/>
    </row>
    <row r="67" spans="3:13" ht="14.25" customHeight="1" x14ac:dyDescent="0.2">
      <c r="C67" s="21"/>
      <c r="D67" s="21"/>
      <c r="E67" s="21"/>
      <c r="F67" s="21"/>
      <c r="G67" s="21"/>
      <c r="H67" s="9"/>
      <c r="I67" s="9"/>
      <c r="J67" s="9"/>
      <c r="K67" s="9"/>
      <c r="L67" s="9"/>
      <c r="M67" s="9"/>
    </row>
    <row r="68" spans="3:13" ht="14.25" customHeight="1" x14ac:dyDescent="0.2">
      <c r="C68" s="21"/>
      <c r="D68" s="21"/>
      <c r="E68" s="21"/>
      <c r="F68" s="21"/>
      <c r="G68" s="21"/>
      <c r="H68" s="9"/>
      <c r="I68" s="9"/>
      <c r="J68" s="9"/>
      <c r="K68" s="9"/>
      <c r="L68" s="9"/>
      <c r="M68" s="9"/>
    </row>
    <row r="69" spans="3:13" ht="14.25" customHeight="1" x14ac:dyDescent="0.2">
      <c r="C69" s="21"/>
      <c r="D69" s="21"/>
      <c r="E69" s="21"/>
      <c r="F69" s="21"/>
      <c r="G69" s="21"/>
      <c r="H69" s="9"/>
      <c r="I69" s="9"/>
      <c r="J69" s="9"/>
      <c r="K69" s="9"/>
      <c r="L69" s="9"/>
      <c r="M69" s="9"/>
    </row>
    <row r="70" spans="3:13" ht="14.25" customHeight="1" x14ac:dyDescent="0.2">
      <c r="C70" s="21"/>
      <c r="D70" s="21"/>
      <c r="E70" s="21"/>
      <c r="F70" s="21"/>
      <c r="G70" s="21"/>
      <c r="H70" s="9"/>
      <c r="I70" s="9"/>
      <c r="J70" s="9"/>
      <c r="K70" s="9"/>
      <c r="L70" s="9"/>
      <c r="M70" s="9"/>
    </row>
    <row r="71" spans="3:13" ht="14.25" customHeight="1" x14ac:dyDescent="0.2">
      <c r="C71" s="21"/>
      <c r="D71" s="21"/>
      <c r="E71" s="21"/>
      <c r="F71" s="21"/>
      <c r="G71" s="21"/>
      <c r="H71" s="9"/>
      <c r="I71" s="9"/>
      <c r="J71" s="9"/>
      <c r="K71" s="9"/>
      <c r="L71" s="9"/>
      <c r="M71" s="9"/>
    </row>
    <row r="72" spans="3:13" ht="14.25" customHeight="1" x14ac:dyDescent="0.2">
      <c r="C72" s="21"/>
      <c r="D72" s="21"/>
      <c r="E72" s="21"/>
      <c r="F72" s="21"/>
      <c r="G72" s="21"/>
      <c r="H72" s="9"/>
      <c r="I72" s="9"/>
      <c r="J72" s="9"/>
      <c r="K72" s="9"/>
      <c r="L72" s="9"/>
      <c r="M72" s="9"/>
    </row>
    <row r="73" spans="3:13" ht="14.25" customHeight="1" x14ac:dyDescent="0.2">
      <c r="C73" s="21"/>
      <c r="D73" s="21"/>
      <c r="E73" s="21"/>
      <c r="F73" s="21"/>
      <c r="G73" s="21"/>
      <c r="H73" s="9"/>
      <c r="I73" s="9"/>
      <c r="J73" s="9"/>
      <c r="K73" s="9"/>
      <c r="L73" s="9"/>
      <c r="M73" s="9"/>
    </row>
    <row r="74" spans="3:13" ht="14.25" customHeight="1" x14ac:dyDescent="0.2">
      <c r="C74" s="21"/>
      <c r="D74" s="21"/>
      <c r="E74" s="21"/>
      <c r="F74" s="21"/>
      <c r="G74" s="21"/>
      <c r="H74" s="9"/>
      <c r="I74" s="9"/>
      <c r="J74" s="9"/>
      <c r="K74" s="9"/>
      <c r="L74" s="9"/>
      <c r="M74" s="9"/>
    </row>
    <row r="75" spans="3:13" ht="14.25" customHeight="1" x14ac:dyDescent="0.2">
      <c r="C75" s="21"/>
      <c r="D75" s="21"/>
      <c r="E75" s="21"/>
      <c r="F75" s="21"/>
      <c r="G75" s="21"/>
      <c r="H75" s="9"/>
      <c r="I75" s="9"/>
      <c r="J75" s="9"/>
      <c r="K75" s="9"/>
      <c r="L75" s="9"/>
      <c r="M75" s="9"/>
    </row>
    <row r="76" spans="3:13" ht="14.25" customHeight="1" x14ac:dyDescent="0.2">
      <c r="C76" s="21"/>
      <c r="D76" s="21"/>
      <c r="E76" s="21"/>
      <c r="F76" s="21"/>
      <c r="G76" s="21"/>
      <c r="H76" s="9"/>
      <c r="I76" s="9"/>
      <c r="J76" s="9"/>
      <c r="K76" s="9"/>
      <c r="L76" s="9"/>
      <c r="M76" s="9"/>
    </row>
    <row r="77" spans="3:13" ht="14.25" customHeight="1" x14ac:dyDescent="0.2">
      <c r="C77" s="21"/>
      <c r="D77" s="21"/>
      <c r="E77" s="21"/>
      <c r="F77" s="21"/>
      <c r="G77" s="21"/>
      <c r="H77" s="9"/>
      <c r="I77" s="9"/>
      <c r="J77" s="9"/>
      <c r="K77" s="9"/>
      <c r="L77" s="9"/>
      <c r="M77" s="9"/>
    </row>
    <row r="78" spans="3:13" ht="14.25" customHeight="1" x14ac:dyDescent="0.2">
      <c r="C78" s="21"/>
      <c r="D78" s="21"/>
      <c r="E78" s="21"/>
      <c r="F78" s="21"/>
      <c r="G78" s="21"/>
      <c r="H78" s="9"/>
      <c r="I78" s="9"/>
      <c r="J78" s="9"/>
      <c r="K78" s="9"/>
      <c r="L78" s="9"/>
      <c r="M78" s="9"/>
    </row>
    <row r="79" spans="3:13" ht="14.25" customHeight="1" x14ac:dyDescent="0.2">
      <c r="C79" s="21"/>
      <c r="D79" s="21"/>
      <c r="E79" s="21"/>
      <c r="F79" s="21"/>
      <c r="G79" s="21"/>
      <c r="H79" s="9"/>
      <c r="I79" s="9"/>
      <c r="J79" s="9"/>
      <c r="K79" s="9"/>
      <c r="L79" s="9"/>
      <c r="M79" s="9"/>
    </row>
    <row r="80" spans="3:13" ht="14.25" customHeight="1" x14ac:dyDescent="0.2">
      <c r="C80" s="21"/>
      <c r="D80" s="21"/>
      <c r="E80" s="21"/>
      <c r="F80" s="21"/>
      <c r="G80" s="21"/>
      <c r="H80" s="9"/>
      <c r="I80" s="9"/>
      <c r="J80" s="9"/>
      <c r="K80" s="9"/>
      <c r="L80" s="9"/>
      <c r="M80" s="9"/>
    </row>
    <row r="81" spans="3:13" ht="14.25" customHeight="1" x14ac:dyDescent="0.2">
      <c r="C81" s="21"/>
      <c r="D81" s="21"/>
      <c r="E81" s="21"/>
      <c r="F81" s="21"/>
      <c r="G81" s="21"/>
      <c r="H81" s="9"/>
      <c r="I81" s="9"/>
      <c r="J81" s="9"/>
      <c r="K81" s="9"/>
      <c r="L81" s="9"/>
      <c r="M81" s="9"/>
    </row>
    <row r="82" spans="3:13" ht="14.25" customHeight="1" x14ac:dyDescent="0.2">
      <c r="C82" s="21"/>
      <c r="D82" s="21"/>
      <c r="E82" s="21"/>
      <c r="F82" s="21"/>
      <c r="G82" s="21"/>
      <c r="H82" s="9"/>
      <c r="I82" s="9"/>
      <c r="J82" s="9"/>
      <c r="K82" s="9"/>
      <c r="L82" s="9"/>
      <c r="M82" s="9"/>
    </row>
    <row r="83" spans="3:13" ht="14.25" customHeight="1" x14ac:dyDescent="0.2">
      <c r="C83" s="21"/>
      <c r="D83" s="21"/>
      <c r="E83" s="21"/>
      <c r="F83" s="21"/>
      <c r="G83" s="21"/>
      <c r="H83" s="9"/>
      <c r="I83" s="9"/>
      <c r="J83" s="9"/>
      <c r="K83" s="9"/>
      <c r="L83" s="9"/>
      <c r="M83" s="9"/>
    </row>
    <row r="84" spans="3:13" ht="14.25" customHeight="1" x14ac:dyDescent="0.2">
      <c r="C84" s="21"/>
      <c r="D84" s="21"/>
      <c r="E84" s="21"/>
      <c r="F84" s="21"/>
      <c r="G84" s="21"/>
      <c r="H84" s="9"/>
      <c r="I84" s="9"/>
      <c r="J84" s="9"/>
      <c r="K84" s="9"/>
      <c r="L84" s="9"/>
      <c r="M84" s="9"/>
    </row>
    <row r="85" spans="3:13" ht="14.25" customHeight="1" x14ac:dyDescent="0.2">
      <c r="C85" s="21"/>
      <c r="D85" s="21"/>
      <c r="E85" s="21"/>
      <c r="F85" s="21"/>
      <c r="G85" s="21"/>
      <c r="H85" s="9"/>
      <c r="I85" s="9"/>
      <c r="J85" s="9"/>
      <c r="K85" s="9"/>
      <c r="L85" s="9"/>
      <c r="M85" s="9"/>
    </row>
    <row r="86" spans="3:13" ht="14.25" customHeight="1" x14ac:dyDescent="0.2">
      <c r="C86" s="21"/>
      <c r="D86" s="21"/>
      <c r="E86" s="21"/>
      <c r="F86" s="21"/>
      <c r="G86" s="21"/>
      <c r="H86" s="9"/>
      <c r="I86" s="9"/>
      <c r="J86" s="9"/>
      <c r="K86" s="9"/>
      <c r="L86" s="9"/>
      <c r="M86" s="9"/>
    </row>
    <row r="87" spans="3:13" ht="14.25" customHeight="1" x14ac:dyDescent="0.2">
      <c r="C87" s="21"/>
      <c r="D87" s="21"/>
      <c r="E87" s="21"/>
      <c r="F87" s="21"/>
      <c r="G87" s="21"/>
      <c r="H87" s="9"/>
      <c r="I87" s="9"/>
      <c r="J87" s="9"/>
      <c r="K87" s="9"/>
      <c r="L87" s="9"/>
      <c r="M87" s="9"/>
    </row>
    <row r="88" spans="3:13" ht="14.25" customHeight="1" x14ac:dyDescent="0.2">
      <c r="C88" s="21"/>
      <c r="D88" s="21"/>
      <c r="E88" s="21"/>
      <c r="F88" s="21"/>
      <c r="G88" s="21"/>
      <c r="H88" s="9"/>
      <c r="I88" s="9"/>
      <c r="J88" s="9"/>
      <c r="K88" s="9"/>
      <c r="L88" s="9"/>
      <c r="M88" s="9"/>
    </row>
    <row r="89" spans="3:13" ht="14.25" customHeight="1" x14ac:dyDescent="0.2">
      <c r="C89" s="21"/>
      <c r="D89" s="21"/>
      <c r="E89" s="21"/>
      <c r="F89" s="21"/>
      <c r="G89" s="21"/>
      <c r="H89" s="9"/>
      <c r="I89" s="9"/>
      <c r="J89" s="9"/>
      <c r="K89" s="9"/>
      <c r="L89" s="9"/>
      <c r="M89" s="9"/>
    </row>
    <row r="90" spans="3:13" ht="14.25" customHeight="1" x14ac:dyDescent="0.2">
      <c r="C90" s="21"/>
      <c r="D90" s="21"/>
      <c r="E90" s="21"/>
      <c r="F90" s="21"/>
      <c r="G90" s="21"/>
      <c r="H90" s="9"/>
      <c r="I90" s="9"/>
      <c r="J90" s="9"/>
      <c r="K90" s="9"/>
      <c r="L90" s="9"/>
      <c r="M90" s="9"/>
    </row>
    <row r="91" spans="3:13" ht="14.25" customHeight="1" x14ac:dyDescent="0.2">
      <c r="C91" s="21"/>
      <c r="D91" s="21"/>
      <c r="E91" s="21"/>
      <c r="F91" s="21"/>
      <c r="G91" s="21"/>
      <c r="H91" s="9"/>
      <c r="I91" s="9"/>
      <c r="J91" s="9"/>
      <c r="K91" s="9"/>
      <c r="L91" s="9"/>
      <c r="M91" s="9"/>
    </row>
    <row r="92" spans="3:13" ht="14.25" customHeight="1" x14ac:dyDescent="0.2">
      <c r="C92" s="21"/>
      <c r="D92" s="21"/>
      <c r="E92" s="21"/>
      <c r="F92" s="21"/>
      <c r="G92" s="21"/>
      <c r="H92" s="9"/>
      <c r="I92" s="9"/>
      <c r="J92" s="9"/>
      <c r="K92" s="9"/>
      <c r="L92" s="9"/>
      <c r="M92" s="9"/>
    </row>
    <row r="93" spans="3:13" ht="14.25" customHeight="1" x14ac:dyDescent="0.2">
      <c r="C93" s="21"/>
      <c r="D93" s="21"/>
      <c r="E93" s="21"/>
      <c r="F93" s="21"/>
      <c r="G93" s="21"/>
      <c r="H93" s="9"/>
      <c r="I93" s="9"/>
      <c r="J93" s="9"/>
      <c r="K93" s="9"/>
      <c r="L93" s="9"/>
      <c r="M93" s="9"/>
    </row>
    <row r="94" spans="3:13" ht="14.25" customHeight="1" x14ac:dyDescent="0.2">
      <c r="C94" s="21"/>
      <c r="D94" s="21"/>
      <c r="E94" s="21"/>
      <c r="F94" s="21"/>
      <c r="G94" s="21"/>
      <c r="H94" s="9"/>
      <c r="I94" s="9"/>
      <c r="J94" s="9"/>
      <c r="K94" s="9"/>
      <c r="L94" s="9"/>
      <c r="M94" s="9"/>
    </row>
    <row r="95" spans="3:13" ht="14.25" customHeight="1" x14ac:dyDescent="0.2">
      <c r="C95" s="21"/>
      <c r="D95" s="21"/>
      <c r="E95" s="21"/>
      <c r="F95" s="21"/>
      <c r="G95" s="21"/>
      <c r="H95" s="9"/>
      <c r="I95" s="9"/>
      <c r="J95" s="9"/>
      <c r="K95" s="9"/>
      <c r="L95" s="9"/>
      <c r="M95" s="9"/>
    </row>
    <row r="96" spans="3:13" ht="14.25" customHeight="1" x14ac:dyDescent="0.2">
      <c r="C96" s="21"/>
      <c r="D96" s="21"/>
      <c r="E96" s="21"/>
      <c r="F96" s="21"/>
      <c r="G96" s="21"/>
      <c r="H96" s="9"/>
      <c r="I96" s="9"/>
      <c r="J96" s="9"/>
      <c r="K96" s="9"/>
      <c r="L96" s="9"/>
      <c r="M96" s="9"/>
    </row>
    <row r="97" spans="3:13" ht="14.25" customHeight="1" x14ac:dyDescent="0.2">
      <c r="C97" s="21"/>
      <c r="D97" s="21"/>
      <c r="E97" s="21"/>
      <c r="F97" s="21"/>
      <c r="G97" s="21"/>
      <c r="H97" s="9"/>
      <c r="I97" s="9"/>
      <c r="J97" s="9"/>
      <c r="K97" s="9"/>
      <c r="L97" s="9"/>
      <c r="M97" s="9"/>
    </row>
    <row r="98" spans="3:13" ht="14.25" customHeight="1" x14ac:dyDescent="0.2">
      <c r="C98" s="21"/>
      <c r="D98" s="21"/>
      <c r="E98" s="21"/>
      <c r="F98" s="21"/>
      <c r="G98" s="21"/>
      <c r="H98" s="9"/>
      <c r="I98" s="9"/>
      <c r="J98" s="9"/>
      <c r="K98" s="9"/>
      <c r="L98" s="9"/>
      <c r="M98" s="9"/>
    </row>
    <row r="99" spans="3:13" ht="14.25" customHeight="1" x14ac:dyDescent="0.2">
      <c r="C99" s="21"/>
      <c r="D99" s="21"/>
      <c r="E99" s="21"/>
      <c r="F99" s="21"/>
      <c r="G99" s="21"/>
      <c r="H99" s="9"/>
      <c r="I99" s="9"/>
      <c r="J99" s="9"/>
      <c r="K99" s="9"/>
      <c r="L99" s="9"/>
      <c r="M99" s="9"/>
    </row>
    <row r="100" spans="3:13" ht="14.25" customHeight="1" x14ac:dyDescent="0.2">
      <c r="C100" s="21"/>
      <c r="D100" s="21"/>
      <c r="E100" s="21"/>
      <c r="F100" s="21"/>
      <c r="G100" s="21"/>
      <c r="H100" s="9"/>
      <c r="I100" s="9"/>
      <c r="J100" s="9"/>
      <c r="K100" s="9"/>
      <c r="L100" s="9"/>
      <c r="M100" s="9"/>
    </row>
    <row r="101" spans="3:13" ht="14.25" customHeight="1" x14ac:dyDescent="0.2">
      <c r="C101" s="21"/>
      <c r="D101" s="21"/>
      <c r="E101" s="21"/>
      <c r="F101" s="21"/>
      <c r="G101" s="21"/>
      <c r="H101" s="9"/>
      <c r="I101" s="9"/>
      <c r="J101" s="9"/>
      <c r="K101" s="9"/>
      <c r="L101" s="9"/>
      <c r="M101" s="9"/>
    </row>
    <row r="102" spans="3:13" ht="14.25" customHeight="1" x14ac:dyDescent="0.2">
      <c r="C102" s="21"/>
      <c r="D102" s="21"/>
      <c r="E102" s="21"/>
      <c r="F102" s="21"/>
      <c r="G102" s="21"/>
      <c r="H102" s="9"/>
      <c r="I102" s="9"/>
      <c r="J102" s="9"/>
      <c r="K102" s="9"/>
      <c r="L102" s="9"/>
      <c r="M102" s="9"/>
    </row>
    <row r="103" spans="3:13" ht="14.25" customHeight="1" x14ac:dyDescent="0.2">
      <c r="C103" s="21"/>
      <c r="D103" s="21"/>
      <c r="E103" s="21"/>
      <c r="F103" s="21"/>
      <c r="G103" s="21"/>
      <c r="H103" s="9"/>
      <c r="I103" s="9"/>
      <c r="J103" s="9"/>
      <c r="K103" s="9"/>
      <c r="L103" s="9"/>
      <c r="M103" s="9"/>
    </row>
    <row r="104" spans="3:13" ht="14.25" customHeight="1" x14ac:dyDescent="0.2">
      <c r="C104" s="21"/>
      <c r="D104" s="21"/>
      <c r="E104" s="21"/>
      <c r="F104" s="21"/>
      <c r="G104" s="21"/>
      <c r="H104" s="9"/>
      <c r="I104" s="9"/>
      <c r="J104" s="9"/>
      <c r="K104" s="9"/>
      <c r="L104" s="9"/>
      <c r="M104" s="9"/>
    </row>
    <row r="105" spans="3:13" ht="14.25" customHeight="1" x14ac:dyDescent="0.2">
      <c r="C105" s="21"/>
      <c r="D105" s="21"/>
      <c r="E105" s="21"/>
      <c r="F105" s="21"/>
      <c r="G105" s="21"/>
      <c r="H105" s="9"/>
      <c r="I105" s="9"/>
      <c r="J105" s="9"/>
      <c r="K105" s="9"/>
      <c r="L105" s="9"/>
      <c r="M105" s="9"/>
    </row>
    <row r="106" spans="3:13" ht="14.25" customHeight="1" x14ac:dyDescent="0.2">
      <c r="C106" s="21"/>
      <c r="D106" s="21"/>
      <c r="E106" s="21"/>
      <c r="F106" s="21"/>
      <c r="G106" s="21"/>
      <c r="H106" s="9"/>
      <c r="I106" s="9"/>
      <c r="J106" s="9"/>
      <c r="K106" s="9"/>
      <c r="L106" s="9"/>
      <c r="M106" s="9"/>
    </row>
    <row r="107" spans="3:13" ht="14.25" customHeight="1" x14ac:dyDescent="0.2">
      <c r="C107" s="21"/>
      <c r="D107" s="21"/>
      <c r="E107" s="21"/>
      <c r="F107" s="21"/>
      <c r="G107" s="21"/>
      <c r="H107" s="9"/>
      <c r="I107" s="9"/>
      <c r="J107" s="9"/>
      <c r="K107" s="9"/>
      <c r="L107" s="9"/>
      <c r="M107" s="9"/>
    </row>
    <row r="108" spans="3:13" ht="14.25" customHeight="1" x14ac:dyDescent="0.2">
      <c r="C108" s="21"/>
      <c r="D108" s="21"/>
      <c r="E108" s="21"/>
      <c r="F108" s="21"/>
      <c r="G108" s="21"/>
      <c r="H108" s="9"/>
      <c r="I108" s="9"/>
      <c r="J108" s="9"/>
      <c r="K108" s="9"/>
      <c r="L108" s="9"/>
      <c r="M108" s="9"/>
    </row>
    <row r="109" spans="3:13" ht="14.25" customHeight="1" x14ac:dyDescent="0.2">
      <c r="C109" s="21"/>
      <c r="D109" s="21"/>
      <c r="E109" s="21"/>
      <c r="F109" s="21"/>
      <c r="G109" s="21"/>
      <c r="H109" s="9"/>
      <c r="I109" s="9"/>
      <c r="J109" s="9"/>
      <c r="K109" s="9"/>
      <c r="L109" s="9"/>
      <c r="M109" s="9"/>
    </row>
    <row r="110" spans="3:13" ht="14.25" customHeight="1" x14ac:dyDescent="0.2">
      <c r="C110" s="21"/>
      <c r="D110" s="21"/>
      <c r="E110" s="21"/>
      <c r="F110" s="21"/>
      <c r="G110" s="21"/>
      <c r="H110" s="9"/>
      <c r="I110" s="9"/>
      <c r="J110" s="9"/>
      <c r="K110" s="9"/>
      <c r="L110" s="9"/>
      <c r="M110" s="9"/>
    </row>
    <row r="111" spans="3:13" ht="14.25" customHeight="1" x14ac:dyDescent="0.2">
      <c r="C111" s="21"/>
      <c r="D111" s="21"/>
      <c r="E111" s="21"/>
      <c r="F111" s="21"/>
      <c r="G111" s="21"/>
      <c r="H111" s="9"/>
      <c r="I111" s="9"/>
      <c r="J111" s="9"/>
      <c r="K111" s="9"/>
      <c r="L111" s="9"/>
      <c r="M111" s="9"/>
    </row>
    <row r="112" spans="3:13" ht="14.25" customHeight="1" x14ac:dyDescent="0.2">
      <c r="C112" s="21"/>
      <c r="D112" s="21"/>
      <c r="E112" s="21"/>
      <c r="F112" s="21"/>
      <c r="G112" s="21"/>
      <c r="H112" s="9"/>
      <c r="I112" s="9"/>
      <c r="J112" s="9"/>
      <c r="K112" s="9"/>
      <c r="L112" s="9"/>
      <c r="M112" s="9"/>
    </row>
    <row r="113" spans="3:13" ht="14.25" customHeight="1" x14ac:dyDescent="0.2">
      <c r="C113" s="21"/>
      <c r="D113" s="21"/>
      <c r="E113" s="21"/>
      <c r="F113" s="21"/>
      <c r="G113" s="21"/>
      <c r="H113" s="9"/>
      <c r="I113" s="9"/>
      <c r="J113" s="9"/>
      <c r="K113" s="9"/>
      <c r="L113" s="9"/>
      <c r="M113" s="9"/>
    </row>
    <row r="114" spans="3:13" ht="14.25" customHeight="1" x14ac:dyDescent="0.2">
      <c r="C114" s="21"/>
      <c r="D114" s="21"/>
      <c r="E114" s="21"/>
      <c r="F114" s="21"/>
      <c r="G114" s="21"/>
      <c r="H114" s="9"/>
      <c r="I114" s="9"/>
      <c r="J114" s="9"/>
      <c r="K114" s="9"/>
      <c r="L114" s="9"/>
      <c r="M114" s="9"/>
    </row>
    <row r="115" spans="3:13" ht="14.25" customHeight="1" x14ac:dyDescent="0.2">
      <c r="C115" s="21"/>
      <c r="D115" s="21"/>
      <c r="E115" s="21"/>
      <c r="F115" s="21"/>
      <c r="G115" s="21"/>
      <c r="H115" s="9"/>
      <c r="I115" s="9"/>
      <c r="J115" s="9"/>
      <c r="K115" s="9"/>
      <c r="L115" s="9"/>
      <c r="M115" s="9"/>
    </row>
    <row r="116" spans="3:13" ht="14.25" customHeight="1" x14ac:dyDescent="0.2">
      <c r="C116" s="21"/>
      <c r="D116" s="21"/>
      <c r="E116" s="21"/>
      <c r="F116" s="21"/>
      <c r="G116" s="21"/>
      <c r="H116" s="9"/>
      <c r="I116" s="9"/>
      <c r="J116" s="9"/>
      <c r="K116" s="9"/>
      <c r="L116" s="9"/>
      <c r="M116" s="9"/>
    </row>
    <row r="117" spans="3:13" ht="14.25" customHeight="1" x14ac:dyDescent="0.2">
      <c r="C117" s="21"/>
      <c r="D117" s="21"/>
      <c r="E117" s="21"/>
      <c r="F117" s="21"/>
      <c r="G117" s="21"/>
      <c r="H117" s="9"/>
      <c r="I117" s="9"/>
      <c r="J117" s="9"/>
      <c r="K117" s="9"/>
      <c r="L117" s="9"/>
      <c r="M117" s="9"/>
    </row>
    <row r="118" spans="3:13" ht="14.25" customHeight="1" x14ac:dyDescent="0.2">
      <c r="C118" s="21"/>
      <c r="D118" s="21"/>
      <c r="E118" s="21"/>
      <c r="F118" s="21"/>
      <c r="G118" s="21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K5" sqref="K5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107" t="s">
        <v>211</v>
      </c>
      <c r="B1" s="108"/>
    </row>
    <row r="2" spans="1:14" ht="14.25" customHeight="1" x14ac:dyDescent="0.2">
      <c r="A2" s="109"/>
      <c r="B2" s="110"/>
    </row>
    <row r="4" spans="1:14" ht="14.25" customHeight="1" x14ac:dyDescent="0.2">
      <c r="D4" s="3" t="s">
        <v>150</v>
      </c>
      <c r="E4" s="3" t="s">
        <v>87</v>
      </c>
      <c r="F4" s="3" t="s">
        <v>88</v>
      </c>
      <c r="G4" s="1" t="s">
        <v>198</v>
      </c>
      <c r="H4" s="1" t="s">
        <v>262</v>
      </c>
      <c r="I4" s="1" t="s">
        <v>199</v>
      </c>
      <c r="J4" s="1" t="s">
        <v>201</v>
      </c>
      <c r="K4" s="1" t="s">
        <v>203</v>
      </c>
      <c r="L4" s="1" t="s">
        <v>210</v>
      </c>
      <c r="N4" s="3" t="s">
        <v>225</v>
      </c>
    </row>
    <row r="5" spans="1:14" ht="14.25" customHeight="1" x14ac:dyDescent="0.2">
      <c r="D5" s="1" t="s">
        <v>246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</v>
      </c>
      <c r="J5" s="5"/>
      <c r="K5" s="5">
        <f>VLOOKUP($E5,技能模板!$D$13:$U$19,MATCH(K$4,技能模板!$D$13:$U$13,0),0)/VLOOKUP($E5,技能模板!$D$13:$U$19,MATCH($G$4,技能模板!$D$13:$U$13,0),0)*$G5</f>
        <v>0.6</v>
      </c>
      <c r="L5" s="5"/>
      <c r="N5" s="41" t="s">
        <v>231</v>
      </c>
    </row>
    <row r="6" spans="1:14" ht="14.25" customHeight="1" x14ac:dyDescent="0.2">
      <c r="D6" s="1" t="s">
        <v>247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</v>
      </c>
      <c r="J6" s="5"/>
      <c r="K6" s="5">
        <f>VLOOKUP($E6,技能模板!$D$13:$U$19,MATCH(K$4,技能模板!$D$13:$U$13,0),0)/VLOOKUP($E6,技能模板!$D$13:$U$19,MATCH($G$4,技能模板!$D$13:$U$13,0),0)*$G6</f>
        <v>0.6</v>
      </c>
      <c r="L6" s="5"/>
    </row>
    <row r="7" spans="1:14" ht="14.25" customHeight="1" x14ac:dyDescent="0.2">
      <c r="D7" s="1" t="s">
        <v>248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2.5198402130492674</v>
      </c>
      <c r="J7" s="5"/>
      <c r="K7" s="5">
        <f>VLOOKUP($E7,技能模板!$D$13:$U$19,MATCH(K$4,技能模板!$D$13:$U$13,0),0)/VLOOKUP($E7,技能模板!$D$13:$U$19,MATCH($G$4,技能模板!$D$13:$U$13,0),0)*$G7</f>
        <v>0.64</v>
      </c>
      <c r="L7" s="5"/>
    </row>
    <row r="8" spans="1:14" ht="14.25" customHeight="1" x14ac:dyDescent="0.2">
      <c r="D8" s="1" t="s">
        <v>249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2.5198402130492674</v>
      </c>
      <c r="J8" s="5"/>
      <c r="K8" s="5">
        <f>VLOOKUP($E8,技能模板!$D$13:$U$19,MATCH(K$4,技能模板!$D$13:$U$13,0),0)/VLOOKUP($E8,技能模板!$D$13:$U$19,MATCH($G$4,技能模板!$D$13:$U$13,0),0)*$G8</f>
        <v>0.64</v>
      </c>
      <c r="L8" s="5"/>
    </row>
    <row r="9" spans="1:14" ht="14.25" customHeight="1" x14ac:dyDescent="0.2">
      <c r="D9" s="1" t="s">
        <v>250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251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252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5.3291925465838492</v>
      </c>
      <c r="J11" s="5"/>
      <c r="K11" s="5"/>
      <c r="L11" s="5"/>
    </row>
    <row r="12" spans="1:14" ht="14.25" customHeight="1" x14ac:dyDescent="0.2">
      <c r="D12" s="1" t="s">
        <v>253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5.3291925465838492</v>
      </c>
      <c r="J12" s="5"/>
      <c r="K12" s="5"/>
      <c r="L12" s="5"/>
    </row>
    <row r="13" spans="1:14" ht="14.25" customHeight="1" x14ac:dyDescent="0.2">
      <c r="D13" s="1" t="s">
        <v>254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7.0077519379844944</v>
      </c>
      <c r="J13" s="5"/>
      <c r="K13" s="5"/>
      <c r="L13" s="5"/>
    </row>
    <row r="14" spans="1:14" ht="14.25" customHeight="1" x14ac:dyDescent="0.2">
      <c r="D14" s="1" t="s">
        <v>255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7.0077519379844944</v>
      </c>
      <c r="J14" s="5"/>
      <c r="K14" s="5"/>
      <c r="L14" s="5"/>
    </row>
    <row r="15" spans="1:14" ht="14.25" customHeight="1" x14ac:dyDescent="0.2">
      <c r="D15" s="1" t="s">
        <v>256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2.2781954887218041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0.53322797960135704</v>
      </c>
    </row>
    <row r="16" spans="1:14" ht="14.25" customHeight="1" x14ac:dyDescent="0.2">
      <c r="D16" s="1" t="s">
        <v>257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2.2781954887218041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0.53322797960135704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tabSelected="1" zoomScaleNormal="100" workbookViewId="0">
      <selection activeCell="T8" sqref="T8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107" t="s">
        <v>293</v>
      </c>
      <c r="B1" s="108"/>
    </row>
    <row r="2" spans="1:17" ht="14.25" customHeight="1" x14ac:dyDescent="0.2">
      <c r="A2" s="109"/>
      <c r="B2" s="110"/>
      <c r="D2" s="2" t="s">
        <v>294</v>
      </c>
    </row>
    <row r="3" spans="1:17" ht="14.25" customHeight="1" x14ac:dyDescent="0.2">
      <c r="D3" s="2" t="s">
        <v>295</v>
      </c>
    </row>
    <row r="4" spans="1:17" ht="14.25" customHeight="1" x14ac:dyDescent="0.2">
      <c r="C4" s="3" t="s">
        <v>300</v>
      </c>
      <c r="I4" s="2" t="s">
        <v>314</v>
      </c>
    </row>
    <row r="5" spans="1:17" ht="14.25" customHeight="1" x14ac:dyDescent="0.2">
      <c r="C5" s="3" t="s">
        <v>216</v>
      </c>
      <c r="D5" s="3" t="s">
        <v>217</v>
      </c>
      <c r="E5" s="3" t="s">
        <v>146</v>
      </c>
      <c r="F5" s="3" t="s">
        <v>147</v>
      </c>
      <c r="G5" s="3" t="s">
        <v>124</v>
      </c>
    </row>
    <row r="6" spans="1:17" ht="14.25" customHeight="1" x14ac:dyDescent="0.2">
      <c r="C6" s="1" t="s">
        <v>296</v>
      </c>
      <c r="D6" s="1" t="s">
        <v>122</v>
      </c>
      <c r="E6" s="1">
        <f>基础模型!E17</f>
        <v>5</v>
      </c>
      <c r="F6" s="1">
        <f>基础模型!F17</f>
        <v>100</v>
      </c>
      <c r="G6" s="1">
        <f>基础模型!G17</f>
        <v>2</v>
      </c>
    </row>
    <row r="7" spans="1:17" ht="14.25" customHeight="1" x14ac:dyDescent="0.2">
      <c r="C7" s="1" t="s">
        <v>297</v>
      </c>
      <c r="D7" s="1" t="s">
        <v>123</v>
      </c>
      <c r="E7" s="1">
        <f>基础模型!E18</f>
        <v>10</v>
      </c>
      <c r="F7" s="1">
        <f>基础模型!F18</f>
        <v>40</v>
      </c>
      <c r="G7" s="1">
        <f>基础模型!G18</f>
        <v>0</v>
      </c>
    </row>
    <row r="8" spans="1:17" ht="14.25" customHeight="1" x14ac:dyDescent="0.2">
      <c r="C8" s="1" t="s">
        <v>298</v>
      </c>
      <c r="D8" s="1" t="s">
        <v>122</v>
      </c>
      <c r="E8" s="1">
        <f>基础模型!E19</f>
        <v>5</v>
      </c>
      <c r="F8" s="1">
        <f>基础模型!F19</f>
        <v>100</v>
      </c>
      <c r="G8" s="1">
        <f>基础模型!G19</f>
        <v>2</v>
      </c>
    </row>
    <row r="9" spans="1:17" ht="14.25" customHeight="1" x14ac:dyDescent="0.2">
      <c r="C9" s="1" t="s">
        <v>299</v>
      </c>
      <c r="D9" s="1" t="s">
        <v>123</v>
      </c>
      <c r="E9" s="1">
        <f>基础模型!E20</f>
        <v>10</v>
      </c>
      <c r="F9" s="1">
        <f>基础模型!F20</f>
        <v>40</v>
      </c>
      <c r="G9" s="1">
        <f>基础模型!G20</f>
        <v>0</v>
      </c>
    </row>
    <row r="10" spans="1:17" ht="14.25" customHeight="1" x14ac:dyDescent="0.2">
      <c r="C10" s="1">
        <v>0</v>
      </c>
      <c r="D10" s="1" t="s">
        <v>124</v>
      </c>
      <c r="E10" s="1">
        <f>基础模型!E21</f>
        <v>4</v>
      </c>
      <c r="F10" s="1">
        <f>基础模型!F21</f>
        <v>50</v>
      </c>
      <c r="G10" s="1">
        <f>基础模型!G21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302</v>
      </c>
      <c r="D12" s="2" t="s">
        <v>310</v>
      </c>
      <c r="I12" s="3" t="s">
        <v>303</v>
      </c>
      <c r="Q12" s="2"/>
    </row>
    <row r="13" spans="1:17" ht="14.25" customHeight="1" x14ac:dyDescent="0.2">
      <c r="D13" s="3" t="s">
        <v>301</v>
      </c>
      <c r="E13" s="3" t="s">
        <v>146</v>
      </c>
      <c r="F13" s="3" t="s">
        <v>147</v>
      </c>
      <c r="G13" s="3" t="s">
        <v>124</v>
      </c>
      <c r="H13" s="76" t="s">
        <v>15</v>
      </c>
      <c r="J13" s="24" t="s">
        <v>13</v>
      </c>
      <c r="K13" s="3" t="s">
        <v>147</v>
      </c>
    </row>
    <row r="14" spans="1:17" ht="14.25" customHeight="1" x14ac:dyDescent="0.2">
      <c r="D14" s="1">
        <v>5</v>
      </c>
      <c r="E14" s="1">
        <f>SUM(E6:$E$10)</f>
        <v>34</v>
      </c>
      <c r="F14" s="1">
        <f>F6</f>
        <v>100</v>
      </c>
      <c r="G14" s="1">
        <f>SUM(G6:G10)</f>
        <v>10</v>
      </c>
      <c r="H14" s="6">
        <f>F14/(J14-G14)</f>
        <v>10.575296108291033</v>
      </c>
      <c r="J14" s="1">
        <v>19.456</v>
      </c>
      <c r="K14" s="6">
        <f>E14*H14</f>
        <v>359.56006768189513</v>
      </c>
    </row>
    <row r="15" spans="1:17" ht="14.25" customHeight="1" x14ac:dyDescent="0.2">
      <c r="D15" s="1">
        <v>4</v>
      </c>
      <c r="E15" s="1">
        <f>SUM(E7:$E$10)</f>
        <v>29</v>
      </c>
      <c r="F15" s="1">
        <f>F8</f>
        <v>100</v>
      </c>
      <c r="G15" s="1">
        <f>G14-G8</f>
        <v>8</v>
      </c>
      <c r="H15" s="6">
        <f t="shared" ref="H15:H18" si="0">F15/(J15-G15)</f>
        <v>8.7290502793296092</v>
      </c>
      <c r="J15" s="1">
        <f>J14</f>
        <v>19.456</v>
      </c>
      <c r="K15" s="6">
        <f t="shared" ref="K15:K18" si="1">E15*H15</f>
        <v>253.14245810055866</v>
      </c>
    </row>
    <row r="16" spans="1:17" ht="14.25" customHeight="1" x14ac:dyDescent="0.2">
      <c r="D16" s="1">
        <v>3</v>
      </c>
      <c r="E16" s="1">
        <f>SUM(E8:$E$10)</f>
        <v>19</v>
      </c>
      <c r="F16" s="1">
        <f>F7</f>
        <v>40</v>
      </c>
      <c r="G16" s="1">
        <f>G15-G7</f>
        <v>8</v>
      </c>
      <c r="H16" s="6">
        <f t="shared" si="0"/>
        <v>3.4916201117318435</v>
      </c>
      <c r="J16" s="1">
        <f t="shared" ref="J16:J18" si="2">J15</f>
        <v>19.456</v>
      </c>
      <c r="K16" s="6">
        <f t="shared" si="1"/>
        <v>66.340782122905026</v>
      </c>
    </row>
    <row r="17" spans="3:32" ht="14.25" customHeight="1" x14ac:dyDescent="0.2">
      <c r="D17" s="1">
        <v>2</v>
      </c>
      <c r="E17" s="1">
        <f>SUM(E9:$E$10)</f>
        <v>14</v>
      </c>
      <c r="F17" s="1">
        <f>F9</f>
        <v>40</v>
      </c>
      <c r="G17" s="1">
        <f>G16-G9</f>
        <v>8</v>
      </c>
      <c r="H17" s="6">
        <f t="shared" si="0"/>
        <v>3.4916201117318435</v>
      </c>
      <c r="J17" s="1">
        <f t="shared" si="2"/>
        <v>19.456</v>
      </c>
      <c r="K17" s="6">
        <f t="shared" si="1"/>
        <v>48.882681564245807</v>
      </c>
    </row>
    <row r="18" spans="3:32" ht="14.25" customHeight="1" x14ac:dyDescent="0.2">
      <c r="D18" s="1">
        <v>1</v>
      </c>
      <c r="E18" s="1">
        <f>SUM(E10:$E$10)</f>
        <v>4</v>
      </c>
      <c r="F18" s="1">
        <f>F10</f>
        <v>50</v>
      </c>
      <c r="G18" s="1">
        <f>G10</f>
        <v>6</v>
      </c>
      <c r="H18" s="6">
        <f t="shared" si="0"/>
        <v>3.7158145065398336</v>
      </c>
      <c r="J18" s="1">
        <f t="shared" si="2"/>
        <v>19.456</v>
      </c>
      <c r="K18" s="6">
        <f t="shared" si="1"/>
        <v>14.863258026159334</v>
      </c>
    </row>
    <row r="19" spans="3:32" ht="14.25" customHeight="1" x14ac:dyDescent="0.2">
      <c r="H19" s="6">
        <f>SUM(H14:H18)</f>
        <v>30.003401117624161</v>
      </c>
      <c r="I19" s="1" t="s">
        <v>304</v>
      </c>
      <c r="J19" s="1">
        <f>MAX(J14:J18)</f>
        <v>19.456</v>
      </c>
      <c r="K19" s="6">
        <f>SUM(K14:K18)</f>
        <v>742.7892474957639</v>
      </c>
    </row>
    <row r="21" spans="3:32" ht="14.25" customHeight="1" x14ac:dyDescent="0.2">
      <c r="C21" s="3" t="s">
        <v>162</v>
      </c>
      <c r="E21" s="1">
        <f>J19</f>
        <v>19.456</v>
      </c>
      <c r="F21" s="6">
        <f>K19</f>
        <v>742.7892474957639</v>
      </c>
      <c r="G21" s="17">
        <v>5</v>
      </c>
      <c r="J21" s="1" t="s">
        <v>306</v>
      </c>
      <c r="K21" s="1">
        <f>角色成长!L15</f>
        <v>75</v>
      </c>
      <c r="L21" s="3" t="s">
        <v>305</v>
      </c>
      <c r="P21" s="6">
        <f>MAX(P24:P123)</f>
        <v>46964.734945108452</v>
      </c>
      <c r="X21" s="1" t="s">
        <v>309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55709.193562182292</v>
      </c>
      <c r="P22" s="1">
        <f>10000</f>
        <v>10000</v>
      </c>
      <c r="X22" s="1">
        <v>9</v>
      </c>
    </row>
    <row r="23" spans="3:32" ht="14.25" customHeight="1" outlineLevel="1" x14ac:dyDescent="0.2">
      <c r="D23" s="1" t="s">
        <v>186</v>
      </c>
      <c r="E23" s="1" t="s">
        <v>146</v>
      </c>
      <c r="F23" s="1" t="s">
        <v>147</v>
      </c>
      <c r="G23" s="1" t="s">
        <v>139</v>
      </c>
      <c r="H23" s="17" t="s">
        <v>140</v>
      </c>
      <c r="I23" s="17" t="s">
        <v>141</v>
      </c>
      <c r="J23" s="17" t="s">
        <v>142</v>
      </c>
      <c r="M23" s="1" t="s">
        <v>164</v>
      </c>
      <c r="N23" s="1" t="s">
        <v>165</v>
      </c>
      <c r="O23" s="1" t="s">
        <v>166</v>
      </c>
      <c r="P23" s="1" t="s">
        <v>139</v>
      </c>
      <c r="Q23" s="17" t="s">
        <v>140</v>
      </c>
      <c r="R23" s="17" t="s">
        <v>141</v>
      </c>
      <c r="S23" s="17" t="s">
        <v>142</v>
      </c>
      <c r="T23" s="17" t="s">
        <v>167</v>
      </c>
      <c r="U23" s="17" t="s">
        <v>198</v>
      </c>
      <c r="V23" s="1" t="s">
        <v>308</v>
      </c>
      <c r="X23" s="1" t="s">
        <v>164</v>
      </c>
      <c r="Y23" s="1" t="s">
        <v>165</v>
      </c>
      <c r="Z23" s="1" t="s">
        <v>166</v>
      </c>
      <c r="AA23" s="1" t="s">
        <v>139</v>
      </c>
      <c r="AB23" s="1" t="s">
        <v>140</v>
      </c>
      <c r="AC23" s="1" t="s">
        <v>141</v>
      </c>
      <c r="AD23" s="1" t="s">
        <v>142</v>
      </c>
      <c r="AE23" s="1" t="s">
        <v>307</v>
      </c>
      <c r="AF23" s="1" t="s">
        <v>199</v>
      </c>
    </row>
    <row r="24" spans="3:32" ht="14.25" customHeight="1" outlineLevel="1" x14ac:dyDescent="0.2">
      <c r="D24" s="1">
        <v>1</v>
      </c>
      <c r="E24" s="6">
        <f>E$21*E$22^($D24-1)</f>
        <v>19.456</v>
      </c>
      <c r="F24" s="6">
        <f t="shared" ref="F24:G39" si="3">F$21*F$22^($D24-1)</f>
        <v>742.7892474957639</v>
      </c>
      <c r="G24" s="6">
        <f t="shared" si="3"/>
        <v>5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972.8</v>
      </c>
      <c r="O24" s="6">
        <f>F24*$K$21/(1+P24/$P$22)</f>
        <v>53695.608252705817</v>
      </c>
      <c r="P24" s="6">
        <f>G24*$K$21</f>
        <v>375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2.4999999999999996</v>
      </c>
      <c r="X24" s="1">
        <v>1</v>
      </c>
      <c r="Y24" s="6">
        <f>2*N24/(1+$X$22)</f>
        <v>194.56</v>
      </c>
      <c r="Z24" s="6">
        <f>O24/$X$22</f>
        <v>5966.178694745091</v>
      </c>
      <c r="AA24" s="6">
        <f>P24</f>
        <v>375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3">
        <f>V24</f>
        <v>2.4999999999999996</v>
      </c>
    </row>
    <row r="25" spans="3:32" ht="14.25" customHeight="1" outlineLevel="1" x14ac:dyDescent="0.2">
      <c r="D25" s="1">
        <v>2</v>
      </c>
      <c r="E25" s="6">
        <f>E$21*E$22^($D25-1)</f>
        <v>20.428799999999999</v>
      </c>
      <c r="F25" s="6">
        <f t="shared" si="3"/>
        <v>779.9287098705521</v>
      </c>
      <c r="G25" s="6">
        <f t="shared" si="3"/>
        <v>5.25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1021.4399999999999</v>
      </c>
      <c r="O25" s="6">
        <f t="shared" ref="O25:O88" si="5">F25*$K$21/(1+P25/$P$22)</f>
        <v>56278.680207135454</v>
      </c>
      <c r="P25" s="6">
        <f t="shared" ref="P25:P88" si="6">G25*$K$21</f>
        <v>393.75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2.4999999999999991</v>
      </c>
      <c r="X25" s="1">
        <v>2</v>
      </c>
      <c r="Y25" s="6">
        <f>2*N25/(1+$X$22)</f>
        <v>204.28799999999998</v>
      </c>
      <c r="Z25" s="6">
        <f>O25/$X$22</f>
        <v>6253.1866896817173</v>
      </c>
      <c r="AA25" s="6">
        <f>P25</f>
        <v>393.75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3">
        <f>V25</f>
        <v>2.4999999999999991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21.450240000000001</v>
      </c>
      <c r="F26" s="6">
        <f t="shared" si="3"/>
        <v>818.92514536407975</v>
      </c>
      <c r="G26" s="6">
        <f t="shared" si="3"/>
        <v>5.5125000000000002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1072.5120000000002</v>
      </c>
      <c r="O26" s="6">
        <f t="shared" si="5"/>
        <v>58980.894543522234</v>
      </c>
      <c r="P26" s="6">
        <f t="shared" si="6"/>
        <v>413.4375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2.4999999999999991</v>
      </c>
      <c r="X26" s="1">
        <v>3</v>
      </c>
      <c r="Y26" s="6">
        <f t="shared" ref="Y26:Y89" si="12">2*N26/(1+$X$22)</f>
        <v>214.50240000000002</v>
      </c>
      <c r="Z26" s="6">
        <f t="shared" ref="Z26:Z89" si="13">O26/$X$22</f>
        <v>6553.4327270580261</v>
      </c>
      <c r="AA26" s="6">
        <f t="shared" ref="AA26:AA89" si="14">P26</f>
        <v>413.4375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3">
        <f t="shared" ref="AF26:AF89" si="17">V26</f>
        <v>2.4999999999999991</v>
      </c>
    </row>
    <row r="27" spans="3:32" ht="14.25" customHeight="1" outlineLevel="1" x14ac:dyDescent="0.2">
      <c r="D27" s="1">
        <v>4</v>
      </c>
      <c r="E27" s="6">
        <f t="shared" si="10"/>
        <v>22.522752000000001</v>
      </c>
      <c r="F27" s="6">
        <f t="shared" si="3"/>
        <v>859.87140263228378</v>
      </c>
      <c r="G27" s="6">
        <f t="shared" si="3"/>
        <v>5.7881250000000009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1126.1376000000002</v>
      </c>
      <c r="O27" s="6">
        <f t="shared" si="5"/>
        <v>61807.244758176865</v>
      </c>
      <c r="P27" s="6">
        <f t="shared" si="6"/>
        <v>434.10937500000006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225.22752000000006</v>
      </c>
      <c r="Z27" s="6">
        <f t="shared" si="13"/>
        <v>6867.4716397974298</v>
      </c>
      <c r="AA27" s="6">
        <f t="shared" si="14"/>
        <v>434.10937500000006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3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23.6488896</v>
      </c>
      <c r="F28" s="6">
        <f t="shared" si="3"/>
        <v>902.86497276389787</v>
      </c>
      <c r="G28" s="6">
        <f t="shared" si="3"/>
        <v>6.0775312499999998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1182.4444800000001</v>
      </c>
      <c r="O28" s="6">
        <f t="shared" si="5"/>
        <v>64762.884547223155</v>
      </c>
      <c r="P28" s="6">
        <f t="shared" si="6"/>
        <v>455.81484374999997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236.48889600000001</v>
      </c>
      <c r="Z28" s="6">
        <f t="shared" si="13"/>
        <v>7195.8760608025732</v>
      </c>
      <c r="AA28" s="6">
        <f t="shared" si="14"/>
        <v>455.81484374999997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3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24.831334080000001</v>
      </c>
      <c r="F29" s="6">
        <f t="shared" si="3"/>
        <v>948.00822140209289</v>
      </c>
      <c r="G29" s="6">
        <f t="shared" si="3"/>
        <v>6.3814078125000009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1241.5667040000003</v>
      </c>
      <c r="O29" s="6">
        <f t="shared" si="5"/>
        <v>67853.127996892479</v>
      </c>
      <c r="P29" s="6">
        <f t="shared" si="6"/>
        <v>478.60558593750005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2.4999999999999987</v>
      </c>
      <c r="X29" s="1">
        <v>6</v>
      </c>
      <c r="Y29" s="6">
        <f t="shared" si="12"/>
        <v>248.31334080000005</v>
      </c>
      <c r="Z29" s="6">
        <f t="shared" si="13"/>
        <v>7539.2364440991641</v>
      </c>
      <c r="AA29" s="6">
        <f t="shared" si="14"/>
        <v>478.60558593750005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3">
        <f t="shared" si="17"/>
        <v>2.4999999999999987</v>
      </c>
    </row>
    <row r="30" spans="3:32" ht="14.25" customHeight="1" outlineLevel="1" x14ac:dyDescent="0.2">
      <c r="D30" s="1">
        <v>7</v>
      </c>
      <c r="E30" s="6">
        <f t="shared" si="10"/>
        <v>26.072900783999998</v>
      </c>
      <c r="F30" s="6">
        <f t="shared" si="3"/>
        <v>995.40863247219738</v>
      </c>
      <c r="G30" s="6">
        <f t="shared" si="3"/>
        <v>6.7004782031249999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1303.6450392000002</v>
      </c>
      <c r="O30" s="6">
        <f t="shared" si="5"/>
        <v>71083.449172062217</v>
      </c>
      <c r="P30" s="6">
        <f t="shared" si="6"/>
        <v>502.53586523437497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260.72900784000001</v>
      </c>
      <c r="Z30" s="6">
        <f t="shared" si="13"/>
        <v>7898.1610191180243</v>
      </c>
      <c r="AA30" s="6">
        <f t="shared" si="14"/>
        <v>502.53586523437497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3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27.376545823200004</v>
      </c>
      <c r="F31" s="6">
        <f t="shared" si="3"/>
        <v>1045.1790640958075</v>
      </c>
      <c r="G31" s="6">
        <f t="shared" si="3"/>
        <v>7.0355021132812512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1368.8272911600004</v>
      </c>
      <c r="O31" s="6">
        <f t="shared" si="5"/>
        <v>74459.481035825258</v>
      </c>
      <c r="P31" s="6">
        <f t="shared" si="6"/>
        <v>527.66265849609385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273.76545823200007</v>
      </c>
      <c r="Z31" s="6">
        <f t="shared" si="13"/>
        <v>8273.2756706472501</v>
      </c>
      <c r="AA31" s="6">
        <f t="shared" si="14"/>
        <v>527.66265849609385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3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28.74537311436</v>
      </c>
      <c r="F32" s="6">
        <f t="shared" si="3"/>
        <v>1097.4380173005977</v>
      </c>
      <c r="G32" s="6">
        <f t="shared" si="3"/>
        <v>7.3872772189453126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1437.2686557180002</v>
      </c>
      <c r="O32" s="6">
        <f t="shared" si="5"/>
        <v>77987.013628887871</v>
      </c>
      <c r="P32" s="6">
        <f t="shared" si="6"/>
        <v>554.04579142089847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2.4999999999999987</v>
      </c>
      <c r="X32" s="1">
        <v>9</v>
      </c>
      <c r="Y32" s="6">
        <f t="shared" si="12"/>
        <v>287.45373114360007</v>
      </c>
      <c r="Z32" s="6">
        <f t="shared" si="13"/>
        <v>8665.2237365430974</v>
      </c>
      <c r="AA32" s="6">
        <f t="shared" si="14"/>
        <v>554.04579142089847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3">
        <f t="shared" si="17"/>
        <v>2.4999999999999987</v>
      </c>
    </row>
    <row r="33" spans="4:32" ht="14.25" customHeight="1" outlineLevel="1" x14ac:dyDescent="0.2">
      <c r="D33" s="1">
        <v>10</v>
      </c>
      <c r="E33" s="6">
        <f t="shared" si="10"/>
        <v>30.182641770078003</v>
      </c>
      <c r="F33" s="6">
        <f t="shared" si="3"/>
        <v>1152.3099181656276</v>
      </c>
      <c r="G33" s="6">
        <f t="shared" si="3"/>
        <v>7.7566410798925789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1509.1320885039004</v>
      </c>
      <c r="O33" s="6">
        <f t="shared" si="5"/>
        <v>81671.991433688207</v>
      </c>
      <c r="P33" s="6">
        <f t="shared" si="6"/>
        <v>581.74808099194343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301.8264177007801</v>
      </c>
      <c r="Z33" s="6">
        <f t="shared" si="13"/>
        <v>9074.6657148542454</v>
      </c>
      <c r="AA33" s="6">
        <f t="shared" si="14"/>
        <v>581.74808099194343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3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31.691773858581904</v>
      </c>
      <c r="F34" s="6">
        <f t="shared" si="3"/>
        <v>1209.925414073909</v>
      </c>
      <c r="G34" s="6">
        <f t="shared" si="3"/>
        <v>8.1444731338872085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1584.5886929290953</v>
      </c>
      <c r="O34" s="6">
        <f t="shared" si="5"/>
        <v>85520.509844364933</v>
      </c>
      <c r="P34" s="6">
        <f t="shared" si="6"/>
        <v>610.83548504154066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316.91773858581905</v>
      </c>
      <c r="Z34" s="6">
        <f t="shared" si="13"/>
        <v>9502.2788715961033</v>
      </c>
      <c r="AA34" s="6">
        <f t="shared" si="14"/>
        <v>610.83548504154066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3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33.276362551510999</v>
      </c>
      <c r="F35" s="6">
        <f t="shared" si="3"/>
        <v>1270.4216847776045</v>
      </c>
      <c r="G35" s="6">
        <f t="shared" si="3"/>
        <v>8.5516967905815697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1663.8181275755503</v>
      </c>
      <c r="O35" s="6">
        <f t="shared" si="5"/>
        <v>89538.810660158095</v>
      </c>
      <c r="P35" s="6">
        <f t="shared" si="6"/>
        <v>641.37725929361773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332.76362551511005</v>
      </c>
      <c r="Z35" s="6">
        <f t="shared" si="13"/>
        <v>9948.7567400175667</v>
      </c>
      <c r="AA35" s="6">
        <f t="shared" si="14"/>
        <v>641.37725929361773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3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34.940180679086545</v>
      </c>
      <c r="F36" s="6">
        <f t="shared" si="3"/>
        <v>1333.9427690164846</v>
      </c>
      <c r="G36" s="6">
        <f t="shared" si="3"/>
        <v>8.9792816301106466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1747.0090339543274</v>
      </c>
      <c r="O36" s="6">
        <f t="shared" si="5"/>
        <v>93733.276516571364</v>
      </c>
      <c r="P36" s="6">
        <f t="shared" si="6"/>
        <v>673.44612225829849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2.4999999999999991</v>
      </c>
      <c r="X36" s="1">
        <v>13</v>
      </c>
      <c r="Y36" s="6">
        <f t="shared" si="12"/>
        <v>349.40180679086546</v>
      </c>
      <c r="Z36" s="6">
        <f t="shared" si="13"/>
        <v>10414.808501841262</v>
      </c>
      <c r="AA36" s="6">
        <f t="shared" si="14"/>
        <v>673.44612225829849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3">
        <f t="shared" si="17"/>
        <v>2.4999999999999991</v>
      </c>
    </row>
    <row r="37" spans="4:32" ht="14.25" customHeight="1" outlineLevel="1" x14ac:dyDescent="0.2">
      <c r="D37" s="1">
        <v>14</v>
      </c>
      <c r="E37" s="6">
        <f t="shared" si="10"/>
        <v>36.68718971304088</v>
      </c>
      <c r="F37" s="6">
        <f t="shared" si="3"/>
        <v>1400.6399074673091</v>
      </c>
      <c r="G37" s="6">
        <f t="shared" si="3"/>
        <v>9.4282457116161797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1834.359485652044</v>
      </c>
      <c r="O37" s="6">
        <f t="shared" si="5"/>
        <v>98110.424165755918</v>
      </c>
      <c r="P37" s="6">
        <f t="shared" si="6"/>
        <v>707.11842837121344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2.4999999999999991</v>
      </c>
      <c r="X37" s="1">
        <v>14</v>
      </c>
      <c r="Y37" s="6">
        <f t="shared" si="12"/>
        <v>366.8718971304088</v>
      </c>
      <c r="Z37" s="6">
        <f t="shared" si="13"/>
        <v>10901.158240639546</v>
      </c>
      <c r="AA37" s="6">
        <f t="shared" si="14"/>
        <v>707.11842837121344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3">
        <f t="shared" si="17"/>
        <v>2.4999999999999991</v>
      </c>
    </row>
    <row r="38" spans="4:32" ht="14.25" customHeight="1" outlineLevel="1" x14ac:dyDescent="0.2">
      <c r="D38" s="1">
        <v>15</v>
      </c>
      <c r="E38" s="6">
        <f t="shared" si="10"/>
        <v>38.521549198692917</v>
      </c>
      <c r="F38" s="6">
        <f t="shared" si="3"/>
        <v>1470.6719028406742</v>
      </c>
      <c r="G38" s="6">
        <f t="shared" si="3"/>
        <v>9.8996579971969858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1926.077459934646</v>
      </c>
      <c r="O38" s="6">
        <f t="shared" si="5"/>
        <v>102676.89651519539</v>
      </c>
      <c r="P38" s="6">
        <f t="shared" si="6"/>
        <v>742.4743497897739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385.21549198692918</v>
      </c>
      <c r="Z38" s="6">
        <f t="shared" si="13"/>
        <v>11408.544057243933</v>
      </c>
      <c r="AA38" s="6">
        <f t="shared" si="14"/>
        <v>742.4743497897739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3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40.44762665862757</v>
      </c>
      <c r="F39" s="6">
        <f t="shared" si="3"/>
        <v>1544.2054979827085</v>
      </c>
      <c r="G39" s="6">
        <f t="shared" si="3"/>
        <v>10.394640897056838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2022.3813329313787</v>
      </c>
      <c r="O39" s="6">
        <f t="shared" si="5"/>
        <v>107439.45333198733</v>
      </c>
      <c r="P39" s="6">
        <f t="shared" si="6"/>
        <v>779.59806727926286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404.47626658627576</v>
      </c>
      <c r="Z39" s="6">
        <f t="shared" si="13"/>
        <v>11937.717036887481</v>
      </c>
      <c r="AA39" s="6">
        <f t="shared" si="14"/>
        <v>779.59806727926286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3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42.470007991558944</v>
      </c>
      <c r="F40" s="6">
        <f t="shared" si="10"/>
        <v>1621.4157728818436</v>
      </c>
      <c r="G40" s="6">
        <f t="shared" si="10"/>
        <v>10.914372941909679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2123.5003995779471</v>
      </c>
      <c r="O40" s="6">
        <f t="shared" si="5"/>
        <v>112404.9605189545</v>
      </c>
      <c r="P40" s="6">
        <f t="shared" si="6"/>
        <v>818.57797064322597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424.70007991558941</v>
      </c>
      <c r="Z40" s="6">
        <f t="shared" si="13"/>
        <v>12489.44005766161</v>
      </c>
      <c r="AA40" s="6">
        <f t="shared" si="14"/>
        <v>818.57797064322597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3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44.593508391136901</v>
      </c>
      <c r="F41" s="6">
        <f t="shared" si="10"/>
        <v>1702.4865615259362</v>
      </c>
      <c r="G41" s="6">
        <f t="shared" si="10"/>
        <v>11.460091589005167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2229.6754195568451</v>
      </c>
      <c r="O41" s="6">
        <f t="shared" si="5"/>
        <v>117580.37786861406</v>
      </c>
      <c r="P41" s="6">
        <f t="shared" si="6"/>
        <v>859.50686917538746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445.93508391136902</v>
      </c>
      <c r="Z41" s="6">
        <f t="shared" si="13"/>
        <v>13064.486429846007</v>
      </c>
      <c r="AA41" s="6">
        <f t="shared" si="14"/>
        <v>859.50686917538746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3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46.823183810693742</v>
      </c>
      <c r="F42" s="6">
        <f t="shared" si="10"/>
        <v>1787.6108896022329</v>
      </c>
      <c r="G42" s="6">
        <f t="shared" si="10"/>
        <v>12.033096168455424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2341.1591905346877</v>
      </c>
      <c r="O42" s="6">
        <f t="shared" si="5"/>
        <v>122972.74520182365</v>
      </c>
      <c r="P42" s="6">
        <f t="shared" si="6"/>
        <v>902.48221263415678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2.4999999999999987</v>
      </c>
      <c r="X42" s="1">
        <v>19</v>
      </c>
      <c r="Y42" s="6">
        <f t="shared" si="12"/>
        <v>468.23183810693752</v>
      </c>
      <c r="Z42" s="6">
        <f t="shared" si="13"/>
        <v>13663.638355758183</v>
      </c>
      <c r="AA42" s="6">
        <f t="shared" si="14"/>
        <v>902.48221263415678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3">
        <f t="shared" si="17"/>
        <v>2.4999999999999987</v>
      </c>
    </row>
    <row r="43" spans="4:32" ht="14.25" customHeight="1" outlineLevel="1" x14ac:dyDescent="0.2">
      <c r="D43" s="1">
        <v>20</v>
      </c>
      <c r="E43" s="6">
        <f t="shared" si="10"/>
        <v>49.164343001228431</v>
      </c>
      <c r="F43" s="6">
        <f t="shared" si="10"/>
        <v>1876.9914340823445</v>
      </c>
      <c r="G43" s="6">
        <f t="shared" si="10"/>
        <v>12.634750976878195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2458.2171500614222</v>
      </c>
      <c r="O43" s="6">
        <f t="shared" si="5"/>
        <v>128589.16679987116</v>
      </c>
      <c r="P43" s="6">
        <f t="shared" si="6"/>
        <v>947.6063232658646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491.64343001228445</v>
      </c>
      <c r="Z43" s="6">
        <f t="shared" si="13"/>
        <v>14287.685199985684</v>
      </c>
      <c r="AA43" s="6">
        <f t="shared" si="14"/>
        <v>947.6063232658646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3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51.622560151289854</v>
      </c>
      <c r="F44" s="6">
        <f t="shared" si="10"/>
        <v>1970.8410057864617</v>
      </c>
      <c r="G44" s="6">
        <f t="shared" si="10"/>
        <v>13.266488525722105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2581.1280075644931</v>
      </c>
      <c r="O44" s="6">
        <f t="shared" si="5"/>
        <v>134436.79404203338</v>
      </c>
      <c r="P44" s="6">
        <f t="shared" si="6"/>
        <v>994.98663942915789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516.22560151289861</v>
      </c>
      <c r="Z44" s="6">
        <f t="shared" si="13"/>
        <v>14937.42156022593</v>
      </c>
      <c r="AA44" s="6">
        <f t="shared" si="14"/>
        <v>994.98663942915789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3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54.203688158854341</v>
      </c>
      <c r="F45" s="6">
        <f t="shared" si="10"/>
        <v>2069.3830560757847</v>
      </c>
      <c r="G45" s="6">
        <f t="shared" si="10"/>
        <v>13.929812952008209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2710.1844079427174</v>
      </c>
      <c r="O45" s="6">
        <f t="shared" si="5"/>
        <v>140522.80616537185</v>
      </c>
      <c r="P45" s="6">
        <f t="shared" si="6"/>
        <v>1044.7359714006157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542.03688158854345</v>
      </c>
      <c r="Z45" s="6">
        <f t="shared" si="13"/>
        <v>15613.645129485762</v>
      </c>
      <c r="AA45" s="6">
        <f t="shared" si="14"/>
        <v>1044.7359714006157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3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56.913872566797053</v>
      </c>
      <c r="F46" s="6">
        <f t="shared" si="10"/>
        <v>2172.8522088795739</v>
      </c>
      <c r="G46" s="6">
        <f t="shared" si="10"/>
        <v>14.626303599608619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2845.6936283398531</v>
      </c>
      <c r="O46" s="6">
        <f t="shared" si="5"/>
        <v>146854.38906992934</v>
      </c>
      <c r="P46" s="6">
        <f t="shared" si="6"/>
        <v>1096.9727699706464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2.4999999999999987</v>
      </c>
      <c r="X46" s="1">
        <v>23</v>
      </c>
      <c r="Y46" s="6">
        <f t="shared" si="12"/>
        <v>569.13872566797068</v>
      </c>
      <c r="Z46" s="6">
        <f t="shared" si="13"/>
        <v>16317.15434110326</v>
      </c>
      <c r="AA46" s="6">
        <f t="shared" si="14"/>
        <v>1096.9727699706464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3">
        <f t="shared" si="17"/>
        <v>2.4999999999999987</v>
      </c>
    </row>
    <row r="47" spans="4:32" ht="14.25" customHeight="1" outlineLevel="1" x14ac:dyDescent="0.2">
      <c r="D47" s="1">
        <v>24</v>
      </c>
      <c r="E47" s="6">
        <f t="shared" si="10"/>
        <v>59.759566195136919</v>
      </c>
      <c r="F47" s="6">
        <f t="shared" si="10"/>
        <v>2281.4948193235527</v>
      </c>
      <c r="G47" s="6">
        <f t="shared" si="10"/>
        <v>15.357618779589053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2987.9783097568461</v>
      </c>
      <c r="O47" s="6">
        <f t="shared" si="5"/>
        <v>153438.71210071252</v>
      </c>
      <c r="P47" s="6">
        <f t="shared" si="6"/>
        <v>1151.821408469179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597.59566195136927</v>
      </c>
      <c r="Z47" s="6">
        <f t="shared" si="13"/>
        <v>17048.745788968059</v>
      </c>
      <c r="AA47" s="6">
        <f t="shared" si="14"/>
        <v>1151.821408469179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3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62.74754450489376</v>
      </c>
      <c r="F48" s="6">
        <f t="shared" si="10"/>
        <v>2395.5695602897304</v>
      </c>
      <c r="G48" s="6">
        <f t="shared" si="10"/>
        <v>16.125499718568502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3137.3772252446879</v>
      </c>
      <c r="O48" s="6">
        <f t="shared" si="5"/>
        <v>160282.90274806524</v>
      </c>
      <c r="P48" s="6">
        <f t="shared" si="6"/>
        <v>1209.4124788926376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2.5</v>
      </c>
      <c r="X48" s="1">
        <v>25</v>
      </c>
      <c r="Y48" s="6">
        <f t="shared" si="12"/>
        <v>627.47544504893756</v>
      </c>
      <c r="Z48" s="6">
        <f t="shared" si="13"/>
        <v>17809.211416451693</v>
      </c>
      <c r="AA48" s="6">
        <f t="shared" si="14"/>
        <v>1209.4124788926376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3">
        <f t="shared" si="17"/>
        <v>2.5</v>
      </c>
    </row>
    <row r="49" spans="4:32" ht="14.25" customHeight="1" outlineLevel="1" x14ac:dyDescent="0.2">
      <c r="D49" s="1">
        <v>26</v>
      </c>
      <c r="E49" s="6">
        <f t="shared" si="10"/>
        <v>65.884921730138444</v>
      </c>
      <c r="F49" s="6">
        <f t="shared" si="10"/>
        <v>2515.348038304217</v>
      </c>
      <c r="G49" s="6">
        <f t="shared" si="10"/>
        <v>16.931774704496931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3294.2460865069224</v>
      </c>
      <c r="O49" s="6">
        <f t="shared" si="5"/>
        <v>167394.01922041413</v>
      </c>
      <c r="P49" s="6">
        <f t="shared" si="6"/>
        <v>1269.8831028372699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2.4999999999999996</v>
      </c>
      <c r="X49" s="1">
        <v>26</v>
      </c>
      <c r="Y49" s="6">
        <f t="shared" si="12"/>
        <v>658.84921730138444</v>
      </c>
      <c r="Z49" s="6">
        <f t="shared" si="13"/>
        <v>18599.335468934903</v>
      </c>
      <c r="AA49" s="6">
        <f t="shared" si="14"/>
        <v>1269.8831028372699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3">
        <f t="shared" si="17"/>
        <v>2.4999999999999996</v>
      </c>
    </row>
    <row r="50" spans="4:32" ht="14.25" customHeight="1" outlineLevel="1" x14ac:dyDescent="0.2">
      <c r="D50" s="1">
        <v>27</v>
      </c>
      <c r="E50" s="6">
        <f t="shared" si="10"/>
        <v>69.179167816645375</v>
      </c>
      <c r="F50" s="6">
        <f t="shared" si="10"/>
        <v>2641.1154402194279</v>
      </c>
      <c r="G50" s="6">
        <f t="shared" si="10"/>
        <v>17.778363439721776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3458.9583908322693</v>
      </c>
      <c r="O50" s="6">
        <f t="shared" si="5"/>
        <v>174779.02085805763</v>
      </c>
      <c r="P50" s="6">
        <f t="shared" si="6"/>
        <v>1333.3772579791332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691.79167816645383</v>
      </c>
      <c r="Z50" s="6">
        <f t="shared" si="13"/>
        <v>19419.891206450848</v>
      </c>
      <c r="AA50" s="6">
        <f t="shared" si="14"/>
        <v>1333.3772579791332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3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72.638126207477654</v>
      </c>
      <c r="F51" s="6">
        <f t="shared" si="10"/>
        <v>2773.1712122303993</v>
      </c>
      <c r="G51" s="6">
        <f t="shared" si="10"/>
        <v>18.667281611707867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3631.9063103738831</v>
      </c>
      <c r="O51" s="6">
        <f t="shared" si="5"/>
        <v>182444.73637380305</v>
      </c>
      <c r="P51" s="6">
        <f t="shared" si="6"/>
        <v>1400.0461208780901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2.4999999999999996</v>
      </c>
      <c r="X51" s="1">
        <v>28</v>
      </c>
      <c r="Y51" s="6">
        <f t="shared" si="12"/>
        <v>726.3812620747766</v>
      </c>
      <c r="Z51" s="6">
        <f t="shared" si="13"/>
        <v>20271.637374867005</v>
      </c>
      <c r="AA51" s="6">
        <f t="shared" si="14"/>
        <v>1400.0461208780901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3">
        <f t="shared" si="17"/>
        <v>2.4999999999999996</v>
      </c>
    </row>
    <row r="52" spans="4:32" ht="14.25" customHeight="1" outlineLevel="1" x14ac:dyDescent="0.2">
      <c r="D52" s="1">
        <v>29</v>
      </c>
      <c r="E52" s="6">
        <f t="shared" si="10"/>
        <v>76.270032517851519</v>
      </c>
      <c r="F52" s="6">
        <f t="shared" si="10"/>
        <v>2911.8297728419188</v>
      </c>
      <c r="G52" s="6">
        <f t="shared" si="10"/>
        <v>19.600645692293256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3813.5016258925766</v>
      </c>
      <c r="O52" s="6">
        <f t="shared" si="5"/>
        <v>190397.8299259443</v>
      </c>
      <c r="P52" s="6">
        <f t="shared" si="6"/>
        <v>1470.0484269219942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2.4999999999999987</v>
      </c>
      <c r="X52" s="1">
        <v>29</v>
      </c>
      <c r="Y52" s="6">
        <f t="shared" si="12"/>
        <v>762.7003251785153</v>
      </c>
      <c r="Z52" s="6">
        <f t="shared" si="13"/>
        <v>21155.314436216035</v>
      </c>
      <c r="AA52" s="6">
        <f t="shared" si="14"/>
        <v>1470.0484269219942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3">
        <f t="shared" si="17"/>
        <v>2.4999999999999987</v>
      </c>
    </row>
    <row r="53" spans="4:32" ht="14.25" customHeight="1" outlineLevel="1" x14ac:dyDescent="0.2">
      <c r="D53" s="1">
        <v>30</v>
      </c>
      <c r="E53" s="6">
        <f t="shared" si="10"/>
        <v>80.083534143744117</v>
      </c>
      <c r="F53" s="6">
        <f t="shared" si="10"/>
        <v>3057.4212614840153</v>
      </c>
      <c r="G53" s="6">
        <f t="shared" si="10"/>
        <v>20.580677976907925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4004.1767071872059</v>
      </c>
      <c r="O53" s="6">
        <f t="shared" si="5"/>
        <v>198644.76505139194</v>
      </c>
      <c r="P53" s="6">
        <f t="shared" si="6"/>
        <v>1543.5508482680943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2.4999999999999991</v>
      </c>
      <c r="X53" s="1">
        <v>30</v>
      </c>
      <c r="Y53" s="6">
        <f t="shared" si="12"/>
        <v>800.83534143744123</v>
      </c>
      <c r="Z53" s="6">
        <f t="shared" si="13"/>
        <v>22071.640561265769</v>
      </c>
      <c r="AA53" s="6">
        <f t="shared" si="14"/>
        <v>1543.5508482680943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3">
        <f t="shared" si="17"/>
        <v>2.4999999999999991</v>
      </c>
    </row>
    <row r="54" spans="4:32" ht="14.25" customHeight="1" outlineLevel="1" x14ac:dyDescent="0.2">
      <c r="D54" s="1">
        <v>31</v>
      </c>
      <c r="E54" s="6">
        <f t="shared" si="10"/>
        <v>84.087710850931288</v>
      </c>
      <c r="F54" s="6">
        <f t="shared" si="10"/>
        <v>3210.2923245582151</v>
      </c>
      <c r="G54" s="6">
        <f t="shared" si="10"/>
        <v>21.609711875753312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4204.3855425465645</v>
      </c>
      <c r="O54" s="6">
        <f t="shared" si="5"/>
        <v>207191.76651175998</v>
      </c>
      <c r="P54" s="6">
        <f t="shared" si="6"/>
        <v>1620.7283906814985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2.5</v>
      </c>
      <c r="X54" s="1">
        <v>31</v>
      </c>
      <c r="Y54" s="6">
        <f t="shared" si="12"/>
        <v>840.87710850931285</v>
      </c>
      <c r="Z54" s="6">
        <f t="shared" si="13"/>
        <v>23021.307390195554</v>
      </c>
      <c r="AA54" s="6">
        <f t="shared" si="14"/>
        <v>1620.7283906814985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3">
        <f t="shared" si="17"/>
        <v>2.5</v>
      </c>
    </row>
    <row r="55" spans="4:32" ht="14.25" customHeight="1" outlineLevel="1" x14ac:dyDescent="0.2">
      <c r="D55" s="1">
        <v>32</v>
      </c>
      <c r="E55" s="6">
        <f t="shared" si="10"/>
        <v>88.292096393477891</v>
      </c>
      <c r="F55" s="6">
        <f t="shared" si="10"/>
        <v>3370.8069407861271</v>
      </c>
      <c r="G55" s="6">
        <f t="shared" si="10"/>
        <v>22.690197469540987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4414.6048196738948</v>
      </c>
      <c r="O55" s="6">
        <f t="shared" si="5"/>
        <v>216044.78013287141</v>
      </c>
      <c r="P55" s="6">
        <f t="shared" si="6"/>
        <v>1701.764810215574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2.4999999999999991</v>
      </c>
      <c r="X55" s="1">
        <v>32</v>
      </c>
      <c r="Y55" s="6">
        <f t="shared" si="12"/>
        <v>882.92096393477891</v>
      </c>
      <c r="Z55" s="6">
        <f t="shared" si="13"/>
        <v>24004.975570319046</v>
      </c>
      <c r="AA55" s="6">
        <f t="shared" si="14"/>
        <v>1701.764810215574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3">
        <f t="shared" si="17"/>
        <v>2.4999999999999991</v>
      </c>
    </row>
    <row r="56" spans="4:32" ht="14.25" customHeight="1" outlineLevel="1" x14ac:dyDescent="0.2">
      <c r="D56" s="1">
        <v>33</v>
      </c>
      <c r="E56" s="6">
        <f t="shared" si="10"/>
        <v>92.706701213151774</v>
      </c>
      <c r="F56" s="6">
        <f t="shared" si="10"/>
        <v>3539.3472878254333</v>
      </c>
      <c r="G56" s="6">
        <f t="shared" si="10"/>
        <v>23.824707343018034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4635.3350606575887</v>
      </c>
      <c r="O56" s="6">
        <f t="shared" si="5"/>
        <v>225209.43074839585</v>
      </c>
      <c r="P56" s="6">
        <f t="shared" si="6"/>
        <v>1786.8530507263524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2.4999999999999996</v>
      </c>
      <c r="X56" s="1">
        <v>33</v>
      </c>
      <c r="Y56" s="6">
        <f t="shared" si="12"/>
        <v>927.06701213151769</v>
      </c>
      <c r="Z56" s="6">
        <f t="shared" si="13"/>
        <v>25023.270083155094</v>
      </c>
      <c r="AA56" s="6">
        <f t="shared" si="14"/>
        <v>1786.8530507263524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3">
        <f t="shared" si="17"/>
        <v>2.4999999999999996</v>
      </c>
    </row>
    <row r="57" spans="4:32" ht="14.25" customHeight="1" outlineLevel="1" x14ac:dyDescent="0.2">
      <c r="D57" s="1">
        <v>34</v>
      </c>
      <c r="E57" s="6">
        <f t="shared" si="10"/>
        <v>97.34203627380937</v>
      </c>
      <c r="F57" s="6">
        <f t="shared" si="10"/>
        <v>3716.3146522167049</v>
      </c>
      <c r="G57" s="6">
        <f t="shared" si="10"/>
        <v>25.015942710168936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4867.1018136904686</v>
      </c>
      <c r="O57" s="6">
        <f t="shared" si="5"/>
        <v>234690.97839106919</v>
      </c>
      <c r="P57" s="6">
        <f t="shared" si="6"/>
        <v>1876.1957032626701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2.4999999999999991</v>
      </c>
      <c r="X57" s="1">
        <v>34</v>
      </c>
      <c r="Y57" s="6">
        <f t="shared" si="12"/>
        <v>973.42036273809367</v>
      </c>
      <c r="Z57" s="6">
        <f t="shared" si="13"/>
        <v>26076.775376785467</v>
      </c>
      <c r="AA57" s="6">
        <f t="shared" si="14"/>
        <v>1876.1957032626701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3">
        <f t="shared" si="17"/>
        <v>2.4999999999999991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102.20913808749982</v>
      </c>
      <c r="F58" s="6">
        <f t="shared" si="20"/>
        <v>3902.1303848275402</v>
      </c>
      <c r="G58" s="6">
        <f t="shared" si="20"/>
        <v>26.266739845677382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5110.4569043749916</v>
      </c>
      <c r="O58" s="6">
        <f t="shared" si="5"/>
        <v>244494.27290993975</v>
      </c>
      <c r="P58" s="6">
        <f t="shared" si="6"/>
        <v>1970.0054884258036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2.4999999999999991</v>
      </c>
      <c r="X58" s="1">
        <v>35</v>
      </c>
      <c r="Y58" s="6">
        <f t="shared" si="12"/>
        <v>1022.0913808749983</v>
      </c>
      <c r="Z58" s="6">
        <f t="shared" si="13"/>
        <v>27166.030323326639</v>
      </c>
      <c r="AA58" s="6">
        <f t="shared" si="14"/>
        <v>1970.0054884258036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3">
        <f t="shared" si="17"/>
        <v>2.4999999999999991</v>
      </c>
    </row>
    <row r="59" spans="4:32" ht="14.25" customHeight="1" outlineLevel="1" x14ac:dyDescent="0.2">
      <c r="D59" s="1">
        <v>36</v>
      </c>
      <c r="E59" s="6">
        <f t="shared" si="20"/>
        <v>107.31959499187484</v>
      </c>
      <c r="F59" s="6">
        <f t="shared" si="20"/>
        <v>4097.2369040689182</v>
      </c>
      <c r="G59" s="6">
        <f t="shared" si="20"/>
        <v>27.580076837961258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5365.9797495937428</v>
      </c>
      <c r="O59" s="6">
        <f t="shared" si="5"/>
        <v>254623.70722908375</v>
      </c>
      <c r="P59" s="6">
        <f t="shared" si="6"/>
        <v>2068.5057628470945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2.4999999999999991</v>
      </c>
      <c r="X59" s="1">
        <v>36</v>
      </c>
      <c r="Y59" s="6">
        <f t="shared" si="12"/>
        <v>1073.1959499187485</v>
      </c>
      <c r="Z59" s="6">
        <f t="shared" si="13"/>
        <v>28291.523025453749</v>
      </c>
      <c r="AA59" s="6">
        <f t="shared" si="14"/>
        <v>2068.5057628470945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3">
        <f t="shared" si="17"/>
        <v>2.4999999999999991</v>
      </c>
    </row>
    <row r="60" spans="4:32" ht="14.25" customHeight="1" outlineLevel="1" x14ac:dyDescent="0.2">
      <c r="D60" s="1">
        <v>37</v>
      </c>
      <c r="E60" s="6">
        <f t="shared" si="20"/>
        <v>112.68557474146856</v>
      </c>
      <c r="F60" s="6">
        <f t="shared" si="20"/>
        <v>4302.0987492723634</v>
      </c>
      <c r="G60" s="6">
        <f t="shared" si="20"/>
        <v>28.959080679859316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5634.2787370734286</v>
      </c>
      <c r="O60" s="6">
        <f t="shared" si="5"/>
        <v>265083.16950185044</v>
      </c>
      <c r="P60" s="6">
        <f t="shared" si="6"/>
        <v>2171.9310509894485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1126.8557474146858</v>
      </c>
      <c r="Z60" s="6">
        <f t="shared" si="13"/>
        <v>29453.685500205604</v>
      </c>
      <c r="AA60" s="6">
        <f t="shared" si="14"/>
        <v>2171.9310509894485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3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118.319853478542</v>
      </c>
      <c r="F61" s="6">
        <f t="shared" si="20"/>
        <v>4517.203686735982</v>
      </c>
      <c r="G61" s="6">
        <f t="shared" si="20"/>
        <v>30.407034713852283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5915.9926739271004</v>
      </c>
      <c r="O61" s="6">
        <f t="shared" si="5"/>
        <v>275875.99445447954</v>
      </c>
      <c r="P61" s="6">
        <f t="shared" si="6"/>
        <v>2280.5276035389211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2.4999999999999987</v>
      </c>
      <c r="X61" s="1">
        <v>38</v>
      </c>
      <c r="Y61" s="6">
        <f t="shared" si="12"/>
        <v>1183.1985347854202</v>
      </c>
      <c r="Z61" s="6">
        <f t="shared" si="13"/>
        <v>30652.888272719949</v>
      </c>
      <c r="AA61" s="6">
        <f t="shared" si="14"/>
        <v>2280.5276035389211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3">
        <f t="shared" si="17"/>
        <v>2.4999999999999987</v>
      </c>
    </row>
    <row r="62" spans="4:32" ht="14.25" customHeight="1" outlineLevel="1" x14ac:dyDescent="0.2">
      <c r="D62" s="1">
        <v>39</v>
      </c>
      <c r="E62" s="6">
        <f t="shared" si="20"/>
        <v>124.23584615246908</v>
      </c>
      <c r="F62" s="6">
        <f t="shared" si="20"/>
        <v>4743.0638710727799</v>
      </c>
      <c r="G62" s="6">
        <f t="shared" si="20"/>
        <v>31.92738644954489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6211.7923076234547</v>
      </c>
      <c r="O62" s="6">
        <f t="shared" si="5"/>
        <v>287004.91425332543</v>
      </c>
      <c r="P62" s="6">
        <f t="shared" si="6"/>
        <v>2394.5539837158667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2.4999999999999991</v>
      </c>
      <c r="X62" s="1">
        <v>39</v>
      </c>
      <c r="Y62" s="6">
        <f t="shared" si="12"/>
        <v>1242.3584615246909</v>
      </c>
      <c r="Z62" s="6">
        <f t="shared" si="13"/>
        <v>31889.43491703616</v>
      </c>
      <c r="AA62" s="6">
        <f t="shared" si="14"/>
        <v>2394.5539837158667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3">
        <f t="shared" si="17"/>
        <v>2.4999999999999991</v>
      </c>
    </row>
    <row r="63" spans="4:32" ht="14.25" customHeight="1" outlineLevel="1" x14ac:dyDescent="0.2">
      <c r="D63" s="1">
        <v>40</v>
      </c>
      <c r="E63" s="6">
        <f t="shared" si="20"/>
        <v>130.44763846009255</v>
      </c>
      <c r="F63" s="6">
        <f t="shared" si="20"/>
        <v>4980.2170646264203</v>
      </c>
      <c r="G63" s="6">
        <f t="shared" si="20"/>
        <v>33.523755772022142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6522.3819230046274</v>
      </c>
      <c r="O63" s="6">
        <f t="shared" si="5"/>
        <v>298472.00927027164</v>
      </c>
      <c r="P63" s="6">
        <f t="shared" si="6"/>
        <v>2514.2816829016606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2.4999999999999996</v>
      </c>
      <c r="X63" s="1">
        <v>40</v>
      </c>
      <c r="Y63" s="6">
        <f t="shared" si="12"/>
        <v>1304.4763846009255</v>
      </c>
      <c r="Z63" s="6">
        <f t="shared" si="13"/>
        <v>33163.556585585735</v>
      </c>
      <c r="AA63" s="6">
        <f t="shared" si="14"/>
        <v>2514.2816829016606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3">
        <f t="shared" si="17"/>
        <v>2.4999999999999996</v>
      </c>
    </row>
    <row r="64" spans="4:32" ht="14.25" customHeight="1" outlineLevel="1" x14ac:dyDescent="0.2">
      <c r="D64" s="1">
        <v>41</v>
      </c>
      <c r="E64" s="6">
        <f t="shared" si="20"/>
        <v>136.97002038309716</v>
      </c>
      <c r="F64" s="6">
        <f t="shared" si="20"/>
        <v>5229.2279178577401</v>
      </c>
      <c r="G64" s="6">
        <f t="shared" si="20"/>
        <v>35.199943560623247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6848.501019154859</v>
      </c>
      <c r="O64" s="6">
        <f t="shared" si="5"/>
        <v>310278.65916047199</v>
      </c>
      <c r="P64" s="6">
        <f t="shared" si="6"/>
        <v>2639.9957670467434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2.4999999999999987</v>
      </c>
      <c r="X64" s="1">
        <v>41</v>
      </c>
      <c r="Y64" s="6">
        <f t="shared" si="12"/>
        <v>1369.7002038309718</v>
      </c>
      <c r="Z64" s="6">
        <f t="shared" si="13"/>
        <v>34475.406573385779</v>
      </c>
      <c r="AA64" s="6">
        <f t="shared" si="14"/>
        <v>2639.9957670467434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3">
        <f t="shared" si="17"/>
        <v>2.4999999999999987</v>
      </c>
    </row>
    <row r="65" spans="4:32" ht="14.25" customHeight="1" outlineLevel="1" x14ac:dyDescent="0.2">
      <c r="D65" s="1">
        <v>42</v>
      </c>
      <c r="E65" s="6">
        <f t="shared" si="20"/>
        <v>143.81852140225203</v>
      </c>
      <c r="F65" s="6">
        <f t="shared" si="20"/>
        <v>5490.6893137506277</v>
      </c>
      <c r="G65" s="6">
        <f t="shared" si="20"/>
        <v>36.95994073865441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7190.9260701126022</v>
      </c>
      <c r="O65" s="6">
        <f t="shared" si="5"/>
        <v>322425.49470448022</v>
      </c>
      <c r="P65" s="6">
        <f t="shared" si="6"/>
        <v>2771.9955553990808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2.4999999999999996</v>
      </c>
      <c r="X65" s="1">
        <v>42</v>
      </c>
      <c r="Y65" s="6">
        <f t="shared" si="12"/>
        <v>1438.1852140225205</v>
      </c>
      <c r="Z65" s="6">
        <f t="shared" si="13"/>
        <v>35825.054967164469</v>
      </c>
      <c r="AA65" s="6">
        <f t="shared" si="14"/>
        <v>2771.9955553990808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3">
        <f t="shared" si="17"/>
        <v>2.4999999999999996</v>
      </c>
    </row>
    <row r="66" spans="4:32" ht="14.25" customHeight="1" outlineLevel="1" x14ac:dyDescent="0.2">
      <c r="D66" s="1">
        <v>43</v>
      </c>
      <c r="E66" s="6">
        <f t="shared" si="20"/>
        <v>151.00944747236466</v>
      </c>
      <c r="F66" s="6">
        <f t="shared" si="20"/>
        <v>5765.223779438159</v>
      </c>
      <c r="G66" s="6">
        <f t="shared" si="20"/>
        <v>38.807937775587135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7550.4723736182332</v>
      </c>
      <c r="O66" s="6">
        <f t="shared" si="5"/>
        <v>334912.35090220044</v>
      </c>
      <c r="P66" s="6">
        <f t="shared" si="6"/>
        <v>2910.5953331690353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2.4999999999999996</v>
      </c>
      <c r="X66" s="1">
        <v>43</v>
      </c>
      <c r="Y66" s="6">
        <f t="shared" si="12"/>
        <v>1510.0944747236467</v>
      </c>
      <c r="Z66" s="6">
        <f t="shared" si="13"/>
        <v>37212.483433577829</v>
      </c>
      <c r="AA66" s="6">
        <f t="shared" si="14"/>
        <v>2910.5953331690353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3">
        <f t="shared" si="17"/>
        <v>2.4999999999999996</v>
      </c>
    </row>
    <row r="67" spans="4:32" ht="14.25" customHeight="1" outlineLevel="1" x14ac:dyDescent="0.2">
      <c r="D67" s="1">
        <v>44</v>
      </c>
      <c r="E67" s="6">
        <f t="shared" si="20"/>
        <v>158.5599198459829</v>
      </c>
      <c r="F67" s="6">
        <f t="shared" si="20"/>
        <v>6053.4849684100673</v>
      </c>
      <c r="G67" s="6">
        <f t="shared" si="20"/>
        <v>40.748334664366496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7927.9959922991447</v>
      </c>
      <c r="O67" s="6">
        <f t="shared" si="5"/>
        <v>347738.22183792799</v>
      </c>
      <c r="P67" s="6">
        <f t="shared" si="6"/>
        <v>3056.1250998274872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2.4999999999999996</v>
      </c>
      <c r="X67" s="1">
        <v>44</v>
      </c>
      <c r="Y67" s="6">
        <f t="shared" si="12"/>
        <v>1585.599198459829</v>
      </c>
      <c r="Z67" s="6">
        <f t="shared" si="13"/>
        <v>38637.580204214224</v>
      </c>
      <c r="AA67" s="6">
        <f t="shared" si="14"/>
        <v>3056.1250998274872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3">
        <f t="shared" si="17"/>
        <v>2.4999999999999996</v>
      </c>
    </row>
    <row r="68" spans="4:32" ht="14.25" customHeight="1" outlineLevel="1" x14ac:dyDescent="0.2">
      <c r="D68" s="1">
        <v>45</v>
      </c>
      <c r="E68" s="6">
        <f t="shared" si="20"/>
        <v>166.48791583828202</v>
      </c>
      <c r="F68" s="6">
        <f t="shared" si="20"/>
        <v>6356.1592168305706</v>
      </c>
      <c r="G68" s="6">
        <f t="shared" si="20"/>
        <v>42.785751397584811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8324.3957919141012</v>
      </c>
      <c r="O68" s="6">
        <f t="shared" si="5"/>
        <v>360901.21786300262</v>
      </c>
      <c r="P68" s="6">
        <f t="shared" si="6"/>
        <v>3208.9313548188607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2.4999999999999991</v>
      </c>
      <c r="X68" s="1">
        <v>45</v>
      </c>
      <c r="Y68" s="6">
        <f t="shared" si="12"/>
        <v>1664.8791583828202</v>
      </c>
      <c r="Z68" s="6">
        <f t="shared" si="13"/>
        <v>40100.135318111403</v>
      </c>
      <c r="AA68" s="6">
        <f t="shared" si="14"/>
        <v>3208.9313548188607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3">
        <f t="shared" si="17"/>
        <v>2.4999999999999991</v>
      </c>
    </row>
    <row r="69" spans="4:32" ht="14.25" customHeight="1" outlineLevel="1" x14ac:dyDescent="0.2">
      <c r="D69" s="1">
        <v>46</v>
      </c>
      <c r="E69" s="6">
        <f t="shared" si="20"/>
        <v>174.81231163019615</v>
      </c>
      <c r="F69" s="6">
        <f t="shared" si="20"/>
        <v>6673.9671776720998</v>
      </c>
      <c r="G69" s="6">
        <f t="shared" si="20"/>
        <v>44.925038967464062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8740.6155815098082</v>
      </c>
      <c r="O69" s="6">
        <f t="shared" si="5"/>
        <v>374398.5256642134</v>
      </c>
      <c r="P69" s="6">
        <f t="shared" si="6"/>
        <v>3369.3779225598046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1748.1231163019615</v>
      </c>
      <c r="Z69" s="6">
        <f t="shared" si="13"/>
        <v>41599.836184912601</v>
      </c>
      <c r="AA69" s="6">
        <f t="shared" si="14"/>
        <v>3369.3779225598046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3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183.55292721170591</v>
      </c>
      <c r="F70" s="6">
        <f t="shared" si="20"/>
        <v>7007.6655365557035</v>
      </c>
      <c r="G70" s="6">
        <f t="shared" si="20"/>
        <v>47.171290915837254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9177.6463605852969</v>
      </c>
      <c r="O70" s="6">
        <f t="shared" si="5"/>
        <v>388226.37180099305</v>
      </c>
      <c r="P70" s="6">
        <f t="shared" si="6"/>
        <v>3537.846818687794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1835.5292721170595</v>
      </c>
      <c r="Z70" s="6">
        <f t="shared" si="13"/>
        <v>43136.263533443671</v>
      </c>
      <c r="AA70" s="6">
        <f t="shared" si="14"/>
        <v>3537.846818687794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3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192.73057357229126</v>
      </c>
      <c r="F71" s="6">
        <f t="shared" si="20"/>
        <v>7358.0488133834906</v>
      </c>
      <c r="G71" s="6">
        <f t="shared" si="20"/>
        <v>49.529855461629133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9636.5286786145643</v>
      </c>
      <c r="O71" s="6">
        <f t="shared" si="5"/>
        <v>402379.99030159053</v>
      </c>
      <c r="P71" s="6">
        <f t="shared" si="6"/>
        <v>3714.7391596221851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2.4999999999999996</v>
      </c>
      <c r="X71" s="1">
        <v>48</v>
      </c>
      <c r="Y71" s="6">
        <f t="shared" si="12"/>
        <v>1927.3057357229129</v>
      </c>
      <c r="Z71" s="6">
        <f t="shared" si="13"/>
        <v>44708.887811287837</v>
      </c>
      <c r="AA71" s="6">
        <f t="shared" si="14"/>
        <v>3714.7391596221851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3">
        <f t="shared" si="17"/>
        <v>2.4999999999999996</v>
      </c>
    </row>
    <row r="72" spans="4:32" ht="14.25" customHeight="1" outlineLevel="1" x14ac:dyDescent="0.2">
      <c r="D72" s="1">
        <v>49</v>
      </c>
      <c r="E72" s="6">
        <f t="shared" si="20"/>
        <v>202.36710225090582</v>
      </c>
      <c r="F72" s="6">
        <f t="shared" si="20"/>
        <v>7725.9512540526648</v>
      </c>
      <c r="G72" s="6">
        <f t="shared" si="20"/>
        <v>52.006348234710586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10118.355112545292</v>
      </c>
      <c r="O72" s="6">
        <f t="shared" si="5"/>
        <v>416853.59490683215</v>
      </c>
      <c r="P72" s="6">
        <f t="shared" si="6"/>
        <v>3900.4761176032939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2023.6710225090585</v>
      </c>
      <c r="Z72" s="6">
        <f t="shared" si="13"/>
        <v>46317.066100759126</v>
      </c>
      <c r="AA72" s="6">
        <f t="shared" si="14"/>
        <v>3900.4761176032939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3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212.48545736345113</v>
      </c>
      <c r="F73" s="6">
        <f t="shared" si="20"/>
        <v>8112.2488167552983</v>
      </c>
      <c r="G73" s="6">
        <f t="shared" si="20"/>
        <v>54.606665646446118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10624.272868172557</v>
      </c>
      <c r="O73" s="6">
        <f t="shared" si="5"/>
        <v>431640.3565389025</v>
      </c>
      <c r="P73" s="6">
        <f t="shared" si="6"/>
        <v>4095.4999234834586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2.4999999999999991</v>
      </c>
      <c r="X73" s="1">
        <v>50</v>
      </c>
      <c r="Y73" s="6">
        <f t="shared" si="12"/>
        <v>2124.8545736345113</v>
      </c>
      <c r="Z73" s="6">
        <f t="shared" si="13"/>
        <v>47960.039615433612</v>
      </c>
      <c r="AA73" s="6">
        <f t="shared" si="14"/>
        <v>4095.4999234834586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3">
        <f t="shared" si="17"/>
        <v>2.4999999999999991</v>
      </c>
    </row>
    <row r="74" spans="4:32" ht="14.25" customHeight="1" outlineLevel="1" x14ac:dyDescent="0.2">
      <c r="D74" s="1">
        <v>51</v>
      </c>
      <c r="E74" s="6">
        <f t="shared" si="20"/>
        <v>223.10973023162367</v>
      </c>
      <c r="F74" s="6">
        <f t="shared" si="20"/>
        <v>8517.8612575930638</v>
      </c>
      <c r="G74" s="6">
        <f t="shared" si="20"/>
        <v>57.336998928768423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11155.486511581184</v>
      </c>
      <c r="O74" s="6">
        <f t="shared" si="5"/>
        <v>446732.38655105134</v>
      </c>
      <c r="P74" s="6">
        <f t="shared" si="6"/>
        <v>4300.2749196576315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2231.0973023162369</v>
      </c>
      <c r="Z74" s="6">
        <f t="shared" si="13"/>
        <v>49636.931839005701</v>
      </c>
      <c r="AA74" s="6">
        <f t="shared" si="14"/>
        <v>4300.2749196576315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3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234.26521674320486</v>
      </c>
      <c r="F75" s="6">
        <f t="shared" si="20"/>
        <v>8943.7543204727172</v>
      </c>
      <c r="G75" s="6">
        <f t="shared" si="20"/>
        <v>60.203848875206845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11713.260837160244</v>
      </c>
      <c r="O75" s="6">
        <f t="shared" si="5"/>
        <v>462120.72628171492</v>
      </c>
      <c r="P75" s="6">
        <f t="shared" si="6"/>
        <v>4515.2886656405135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2342.6521674320488</v>
      </c>
      <c r="Z75" s="6">
        <f t="shared" si="13"/>
        <v>51346.74736463499</v>
      </c>
      <c r="AA75" s="6">
        <f t="shared" si="14"/>
        <v>4515.2886656405135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3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245.97847758036511</v>
      </c>
      <c r="F76" s="6">
        <f t="shared" si="20"/>
        <v>9390.9420364963535</v>
      </c>
      <c r="G76" s="6">
        <f t="shared" si="20"/>
        <v>63.21404131896719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12298.923879018255</v>
      </c>
      <c r="O76" s="6">
        <f t="shared" si="5"/>
        <v>477795.34339287272</v>
      </c>
      <c r="P76" s="6">
        <f t="shared" si="6"/>
        <v>4741.053098922539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2459.784775803651</v>
      </c>
      <c r="Z76" s="6">
        <f t="shared" si="13"/>
        <v>53088.371488096971</v>
      </c>
      <c r="AA76" s="6">
        <f t="shared" si="14"/>
        <v>4741.053098922539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3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258.27740145938333</v>
      </c>
      <c r="F77" s="6">
        <f t="shared" si="20"/>
        <v>9860.4891383211689</v>
      </c>
      <c r="G77" s="6">
        <f t="shared" si="20"/>
        <v>66.374743384915547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12913.870072969168</v>
      </c>
      <c r="O77" s="6">
        <f t="shared" si="5"/>
        <v>493745.13541745697</v>
      </c>
      <c r="P77" s="6">
        <f t="shared" si="6"/>
        <v>4978.1057538686664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2582.7740145938337</v>
      </c>
      <c r="Z77" s="6">
        <f t="shared" si="13"/>
        <v>54860.57060193966</v>
      </c>
      <c r="AA77" s="6">
        <f t="shared" si="14"/>
        <v>4978.1057538686664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3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271.19127153235252</v>
      </c>
      <c r="F78" s="6">
        <f t="shared" si="20"/>
        <v>10353.513595237227</v>
      </c>
      <c r="G78" s="6">
        <f t="shared" si="20"/>
        <v>69.693480554161312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13559.563576617627</v>
      </c>
      <c r="O78" s="6">
        <f t="shared" si="5"/>
        <v>509957.94087447616</v>
      </c>
      <c r="P78" s="6">
        <f t="shared" si="6"/>
        <v>5227.0110415620984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2.4999999999999991</v>
      </c>
      <c r="X78" s="1">
        <v>55</v>
      </c>
      <c r="Y78" s="6">
        <f t="shared" si="12"/>
        <v>2711.9127153235254</v>
      </c>
      <c r="Z78" s="6">
        <f t="shared" si="13"/>
        <v>56661.99343049735</v>
      </c>
      <c r="AA78" s="6">
        <f t="shared" si="14"/>
        <v>5227.0110415620984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3">
        <f t="shared" si="17"/>
        <v>2.4999999999999991</v>
      </c>
    </row>
    <row r="79" spans="4:32" ht="14.25" customHeight="1" outlineLevel="1" x14ac:dyDescent="0.2">
      <c r="D79" s="1">
        <v>56</v>
      </c>
      <c r="E79" s="6">
        <f t="shared" si="20"/>
        <v>284.75083510897019</v>
      </c>
      <c r="F79" s="6">
        <f t="shared" si="20"/>
        <v>10871.189274999091</v>
      </c>
      <c r="G79" s="6">
        <f t="shared" si="20"/>
        <v>73.178154581869393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14237.54175544851</v>
      </c>
      <c r="O79" s="6">
        <f t="shared" si="5"/>
        <v>526420.55823368975</v>
      </c>
      <c r="P79" s="6">
        <f t="shared" si="6"/>
        <v>5488.3615936402048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2.4999999999999991</v>
      </c>
      <c r="X79" s="1">
        <v>56</v>
      </c>
      <c r="Y79" s="6">
        <f t="shared" si="12"/>
        <v>2847.508351089702</v>
      </c>
      <c r="Z79" s="6">
        <f t="shared" si="13"/>
        <v>58491.173137076636</v>
      </c>
      <c r="AA79" s="6">
        <f t="shared" si="14"/>
        <v>5488.3615936402048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3">
        <f t="shared" si="17"/>
        <v>2.4999999999999991</v>
      </c>
    </row>
    <row r="80" spans="4:32" ht="14.25" customHeight="1" outlineLevel="1" x14ac:dyDescent="0.2">
      <c r="D80" s="1">
        <v>57</v>
      </c>
      <c r="E80" s="6">
        <f t="shared" si="20"/>
        <v>298.98837686441863</v>
      </c>
      <c r="F80" s="6">
        <f t="shared" si="20"/>
        <v>11414.748738749044</v>
      </c>
      <c r="G80" s="6">
        <f t="shared" si="20"/>
        <v>76.83706231096285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14949.418843220932</v>
      </c>
      <c r="O80" s="6">
        <f t="shared" si="5"/>
        <v>543118.77292499307</v>
      </c>
      <c r="P80" s="6">
        <f t="shared" si="6"/>
        <v>5762.779673322214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2989.8837686441866</v>
      </c>
      <c r="Z80" s="6">
        <f t="shared" si="13"/>
        <v>60346.530324999228</v>
      </c>
      <c r="AA80" s="6">
        <f t="shared" si="14"/>
        <v>5762.779673322214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3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313.93779570763962</v>
      </c>
      <c r="F81" s="6">
        <f t="shared" si="20"/>
        <v>11985.486175686498</v>
      </c>
      <c r="G81" s="6">
        <f t="shared" si="20"/>
        <v>80.678915426510997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15696.889785381982</v>
      </c>
      <c r="O81" s="6">
        <f t="shared" si="5"/>
        <v>560037.3924922453</v>
      </c>
      <c r="P81" s="6">
        <f t="shared" si="6"/>
        <v>6050.918656988325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3139.3779570763963</v>
      </c>
      <c r="Z81" s="6">
        <f t="shared" si="13"/>
        <v>62226.376943582814</v>
      </c>
      <c r="AA81" s="6">
        <f t="shared" si="14"/>
        <v>6050.918656988325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3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329.63468549302161</v>
      </c>
      <c r="F82" s="6">
        <f t="shared" si="20"/>
        <v>12584.760484470822</v>
      </c>
      <c r="G82" s="6">
        <f t="shared" si="20"/>
        <v>84.71286119783656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16481.73427465108</v>
      </c>
      <c r="O82" s="6">
        <f t="shared" si="5"/>
        <v>577160.28988856392</v>
      </c>
      <c r="P82" s="6">
        <f t="shared" si="6"/>
        <v>6353.4645898377421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2.4999999999999991</v>
      </c>
      <c r="X82" s="1">
        <v>59</v>
      </c>
      <c r="Y82" s="6">
        <f t="shared" si="12"/>
        <v>3296.3468549302161</v>
      </c>
      <c r="Z82" s="6">
        <f t="shared" si="13"/>
        <v>64128.921098729326</v>
      </c>
      <c r="AA82" s="6">
        <f t="shared" si="14"/>
        <v>6353.4645898377421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3">
        <f t="shared" si="17"/>
        <v>2.4999999999999991</v>
      </c>
    </row>
    <row r="83" spans="4:32" ht="14.25" customHeight="1" outlineLevel="1" x14ac:dyDescent="0.2">
      <c r="D83" s="1">
        <v>60</v>
      </c>
      <c r="E83" s="6">
        <f t="shared" si="20"/>
        <v>346.11641976767271</v>
      </c>
      <c r="F83" s="6">
        <f t="shared" si="20"/>
        <v>13213.998508694365</v>
      </c>
      <c r="G83" s="6">
        <f t="shared" si="20"/>
        <v>88.948504257728388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17305.820988383635</v>
      </c>
      <c r="O83" s="6">
        <f t="shared" si="5"/>
        <v>594470.45480182406</v>
      </c>
      <c r="P83" s="6">
        <f t="shared" si="6"/>
        <v>6671.1378193296287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3461.1641976767269</v>
      </c>
      <c r="Z83" s="6">
        <f t="shared" si="13"/>
        <v>66052.272755758226</v>
      </c>
      <c r="AA83" s="6">
        <f t="shared" si="14"/>
        <v>6671.1378193296287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3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363.42224075605628</v>
      </c>
      <c r="F84" s="6">
        <f t="shared" si="20"/>
        <v>13874.698434129081</v>
      </c>
      <c r="G84" s="6">
        <f t="shared" si="20"/>
        <v>93.395929470614789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18171.112037802814</v>
      </c>
      <c r="O84" s="6">
        <f t="shared" si="5"/>
        <v>611950.05278725212</v>
      </c>
      <c r="P84" s="6">
        <f t="shared" si="6"/>
        <v>7004.6947102961094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2.4999999999999996</v>
      </c>
      <c r="X84" s="1">
        <v>61</v>
      </c>
      <c r="Y84" s="6">
        <f t="shared" si="12"/>
        <v>3634.2224075605627</v>
      </c>
      <c r="Z84" s="6">
        <f t="shared" si="13"/>
        <v>67994.450309694686</v>
      </c>
      <c r="AA84" s="6">
        <f t="shared" si="14"/>
        <v>7004.6947102961094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3">
        <f t="shared" si="17"/>
        <v>2.4999999999999996</v>
      </c>
    </row>
    <row r="85" spans="4:32" ht="14.25" customHeight="1" outlineLevel="1" x14ac:dyDescent="0.2">
      <c r="D85" s="1">
        <v>62</v>
      </c>
      <c r="E85" s="6">
        <f t="shared" si="20"/>
        <v>381.5933527938592</v>
      </c>
      <c r="F85" s="6">
        <f t="shared" si="20"/>
        <v>14568.433355835537</v>
      </c>
      <c r="G85" s="6">
        <f t="shared" si="20"/>
        <v>98.065725944145555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19079.667639692962</v>
      </c>
      <c r="O85" s="6">
        <f t="shared" si="5"/>
        <v>629580.4918707991</v>
      </c>
      <c r="P85" s="6">
        <f t="shared" si="6"/>
        <v>7354.9294458109171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3815.9335279385923</v>
      </c>
      <c r="Z85" s="6">
        <f t="shared" si="13"/>
        <v>69953.387985644338</v>
      </c>
      <c r="AA85" s="6">
        <f t="shared" si="14"/>
        <v>7354.9294458109171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3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400.67302043355198</v>
      </c>
      <c r="F86" s="6">
        <f t="shared" si="20"/>
        <v>15296.855023627308</v>
      </c>
      <c r="G86" s="6">
        <f t="shared" si="20"/>
        <v>102.9690122413528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20033.651021677601</v>
      </c>
      <c r="O86" s="6">
        <f t="shared" si="5"/>
        <v>647342.49617478123</v>
      </c>
      <c r="P86" s="6">
        <f t="shared" si="6"/>
        <v>7722.6759181014604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4006.7302043355203</v>
      </c>
      <c r="Z86" s="6">
        <f t="shared" si="13"/>
        <v>71926.944019420131</v>
      </c>
      <c r="AA86" s="6">
        <f t="shared" si="14"/>
        <v>7722.6759181014604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3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420.70667145522975</v>
      </c>
      <c r="F87" s="6">
        <f t="shared" si="20"/>
        <v>16061.697774808681</v>
      </c>
      <c r="G87" s="6">
        <f t="shared" si="20"/>
        <v>108.11746285342048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21035.33357276149</v>
      </c>
      <c r="O87" s="6">
        <f t="shared" si="5"/>
        <v>665216.1860085777</v>
      </c>
      <c r="P87" s="6">
        <f t="shared" si="6"/>
        <v>8108.8097140065356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4207.0667145522984</v>
      </c>
      <c r="Z87" s="6">
        <f t="shared" si="13"/>
        <v>73912.909556508632</v>
      </c>
      <c r="AA87" s="6">
        <f t="shared" si="14"/>
        <v>8108.8097140065356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3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441.74200502799124</v>
      </c>
      <c r="F88" s="6">
        <f t="shared" si="20"/>
        <v>16864.782663549115</v>
      </c>
      <c r="G88" s="6">
        <f t="shared" si="20"/>
        <v>113.5233359960915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22087.100251399563</v>
      </c>
      <c r="O88" s="6">
        <f t="shared" si="5"/>
        <v>683181.16376444453</v>
      </c>
      <c r="P88" s="6">
        <f t="shared" si="6"/>
        <v>8514.250199706863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4417.4200502799122</v>
      </c>
      <c r="Z88" s="6">
        <f t="shared" si="13"/>
        <v>75909.018196049394</v>
      </c>
      <c r="AA88" s="6">
        <f t="shared" si="14"/>
        <v>8514.250199706863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3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463.82910527939083</v>
      </c>
      <c r="F89" s="6">
        <f t="shared" si="20"/>
        <v>17708.021796726571</v>
      </c>
      <c r="G89" s="6">
        <f t="shared" si="20"/>
        <v>119.19950279589608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23191.455263969543</v>
      </c>
      <c r="O89" s="6">
        <f t="shared" ref="O89:O123" si="22">F89*$K$21/(1+P89/$P$22)</f>
        <v>701216.60486420034</v>
      </c>
      <c r="P89" s="6">
        <f t="shared" ref="P89:P123" si="23">G89*$K$21</f>
        <v>8939.9627096922068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2.4999999999999996</v>
      </c>
      <c r="X89" s="1">
        <v>66</v>
      </c>
      <c r="Y89" s="6">
        <f t="shared" si="12"/>
        <v>4638.2910527939084</v>
      </c>
      <c r="Z89" s="6">
        <f t="shared" si="13"/>
        <v>77912.956096022259</v>
      </c>
      <c r="AA89" s="6">
        <f t="shared" si="14"/>
        <v>8939.9627096922068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3">
        <f t="shared" si="17"/>
        <v>2.4999999999999996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487.02056054336038</v>
      </c>
      <c r="F90" s="6">
        <f t="shared" si="25"/>
        <v>18593.422886562901</v>
      </c>
      <c r="G90" s="6">
        <f t="shared" si="25"/>
        <v>125.15947793569089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24351.02802716802</v>
      </c>
      <c r="O90" s="6">
        <f t="shared" si="22"/>
        <v>719301.35291893873</v>
      </c>
      <c r="P90" s="6">
        <f t="shared" si="23"/>
        <v>9386.9608451768163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4870.2056054336044</v>
      </c>
      <c r="Z90" s="6">
        <f t="shared" ref="Z90:Z123" si="27">O90/$X$22</f>
        <v>79922.372546548751</v>
      </c>
      <c r="AA90" s="6">
        <f t="shared" ref="AA90:AA123" si="28">P90</f>
        <v>9386.9608451768163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3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511.37158857052839</v>
      </c>
      <c r="F91" s="6">
        <f t="shared" si="25"/>
        <v>19523.094030891047</v>
      </c>
      <c r="G91" s="6">
        <f t="shared" si="25"/>
        <v>131.41745183247542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25568.57942852642</v>
      </c>
      <c r="O91" s="6">
        <f t="shared" si="22"/>
        <v>737414.01819315006</v>
      </c>
      <c r="P91" s="6">
        <f t="shared" si="23"/>
        <v>9856.3088874356563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5113.7158857052837</v>
      </c>
      <c r="Z91" s="6">
        <f t="shared" si="27"/>
        <v>81934.890910350005</v>
      </c>
      <c r="AA91" s="6">
        <f t="shared" si="28"/>
        <v>9856.3088874356563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3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536.94016799905478</v>
      </c>
      <c r="F92" s="6">
        <f t="shared" si="25"/>
        <v>20499.248732435597</v>
      </c>
      <c r="G92" s="6">
        <f t="shared" si="25"/>
        <v>137.9883244240992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26847.008399952741</v>
      </c>
      <c r="O92" s="6">
        <f t="shared" si="22"/>
        <v>755533.07840844651</v>
      </c>
      <c r="P92" s="6">
        <f t="shared" si="23"/>
        <v>10349.124331807441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5369.4016799905485</v>
      </c>
      <c r="Z92" s="6">
        <f t="shared" si="27"/>
        <v>83948.119823160727</v>
      </c>
      <c r="AA92" s="6">
        <f t="shared" si="28"/>
        <v>10349.124331807441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3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563.78717639900754</v>
      </c>
      <c r="F93" s="6">
        <f t="shared" si="25"/>
        <v>21524.211169057377</v>
      </c>
      <c r="G93" s="6">
        <f t="shared" si="25"/>
        <v>144.88774064530415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28189.358819950376</v>
      </c>
      <c r="O93" s="6">
        <f t="shared" si="22"/>
        <v>773636.98088197515</v>
      </c>
      <c r="P93" s="6">
        <f t="shared" si="23"/>
        <v>10866.580548397811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5637.8717639900751</v>
      </c>
      <c r="Z93" s="6">
        <f t="shared" si="27"/>
        <v>85959.664542441678</v>
      </c>
      <c r="AA93" s="6">
        <f t="shared" si="28"/>
        <v>10866.580548397811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3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591.97653521895791</v>
      </c>
      <c r="F94" s="6">
        <f t="shared" si="25"/>
        <v>22600.421727510246</v>
      </c>
      <c r="G94" s="6">
        <f t="shared" si="25"/>
        <v>152.13212767756937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29598.826760947901</v>
      </c>
      <c r="O94" s="6">
        <f t="shared" si="22"/>
        <v>791704.24497158604</v>
      </c>
      <c r="P94" s="6">
        <f t="shared" si="23"/>
        <v>11409.909575817703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2.4999999999999987</v>
      </c>
      <c r="X94" s="1">
        <v>71</v>
      </c>
      <c r="Y94" s="6">
        <f t="shared" si="26"/>
        <v>5919.76535218958</v>
      </c>
      <c r="Z94" s="6">
        <f t="shared" si="27"/>
        <v>87967.138330176225</v>
      </c>
      <c r="AA94" s="6">
        <f t="shared" si="28"/>
        <v>11409.909575817703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3">
        <f t="shared" si="31"/>
        <v>2.4999999999999987</v>
      </c>
    </row>
    <row r="95" spans="4:32" ht="14.25" customHeight="1" outlineLevel="1" x14ac:dyDescent="0.2">
      <c r="D95" s="1">
        <v>72</v>
      </c>
      <c r="E95" s="6">
        <f t="shared" si="25"/>
        <v>621.57536197990589</v>
      </c>
      <c r="F95" s="6">
        <f t="shared" si="25"/>
        <v>23730.442813885758</v>
      </c>
      <c r="G95" s="6">
        <f t="shared" si="25"/>
        <v>159.73873406144784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31078.768098995297</v>
      </c>
      <c r="O95" s="6">
        <f t="shared" si="22"/>
        <v>809713.56379452534</v>
      </c>
      <c r="P95" s="6">
        <f t="shared" si="23"/>
        <v>11980.405054608589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2.4999999999999991</v>
      </c>
      <c r="X95" s="1">
        <v>72</v>
      </c>
      <c r="Y95" s="6">
        <f t="shared" si="26"/>
        <v>6215.7536197990594</v>
      </c>
      <c r="Z95" s="6">
        <f t="shared" si="27"/>
        <v>89968.17375494726</v>
      </c>
      <c r="AA95" s="6">
        <f t="shared" si="28"/>
        <v>11980.405054608589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3">
        <f t="shared" si="31"/>
        <v>2.4999999999999991</v>
      </c>
    </row>
    <row r="96" spans="4:32" ht="14.25" customHeight="1" outlineLevel="1" x14ac:dyDescent="0.2">
      <c r="D96" s="1">
        <v>73</v>
      </c>
      <c r="E96" s="6">
        <f t="shared" si="25"/>
        <v>652.65413007890118</v>
      </c>
      <c r="F96" s="6">
        <f t="shared" si="25"/>
        <v>24916.964954580046</v>
      </c>
      <c r="G96" s="6">
        <f t="shared" si="25"/>
        <v>167.72567076452023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32632.706503945061</v>
      </c>
      <c r="O96" s="6">
        <f t="shared" si="22"/>
        <v>827643.90419896739</v>
      </c>
      <c r="P96" s="6">
        <f t="shared" si="23"/>
        <v>12579.425307339017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2.4999999999999991</v>
      </c>
      <c r="X96" s="1">
        <v>73</v>
      </c>
      <c r="Y96" s="6">
        <f t="shared" si="26"/>
        <v>6526.541300789012</v>
      </c>
      <c r="Z96" s="6">
        <f t="shared" si="27"/>
        <v>91960.433799885272</v>
      </c>
      <c r="AA96" s="6">
        <f t="shared" si="28"/>
        <v>12579.425307339017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3">
        <f t="shared" si="31"/>
        <v>2.4999999999999991</v>
      </c>
    </row>
    <row r="97" spans="4:32" ht="14.25" customHeight="1" outlineLevel="1" x14ac:dyDescent="0.2">
      <c r="D97" s="1">
        <v>74</v>
      </c>
      <c r="E97" s="6">
        <f t="shared" si="25"/>
        <v>685.28683658284615</v>
      </c>
      <c r="F97" s="6">
        <f t="shared" si="25"/>
        <v>26162.813202309047</v>
      </c>
      <c r="G97" s="6">
        <f t="shared" si="25"/>
        <v>176.11195430274623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34264.341829142315</v>
      </c>
      <c r="O97" s="6">
        <f t="shared" si="22"/>
        <v>845474.60399777035</v>
      </c>
      <c r="P97" s="6">
        <f t="shared" si="23"/>
        <v>13208.396572705968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2.4999999999999987</v>
      </c>
      <c r="X97" s="1">
        <v>74</v>
      </c>
      <c r="Y97" s="6">
        <f t="shared" si="26"/>
        <v>6852.8683658284626</v>
      </c>
      <c r="Z97" s="6">
        <f t="shared" si="27"/>
        <v>93941.622666418931</v>
      </c>
      <c r="AA97" s="6">
        <f t="shared" si="28"/>
        <v>13208.396572705968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3">
        <f t="shared" si="31"/>
        <v>2.4999999999999987</v>
      </c>
    </row>
    <row r="98" spans="4:32" ht="14.25" customHeight="1" outlineLevel="1" x14ac:dyDescent="0.2">
      <c r="D98" s="1">
        <v>75</v>
      </c>
      <c r="E98" s="6">
        <f t="shared" si="25"/>
        <v>719.55117841198842</v>
      </c>
      <c r="F98" s="6">
        <f t="shared" si="25"/>
        <v>27470.9538624245</v>
      </c>
      <c r="G98" s="6">
        <f t="shared" si="25"/>
        <v>184.91755201788354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35977.558920599426</v>
      </c>
      <c r="O98" s="6">
        <f t="shared" si="22"/>
        <v>863185.46552063688</v>
      </c>
      <c r="P98" s="6">
        <f t="shared" si="23"/>
        <v>13868.816401341266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2.4999999999999991</v>
      </c>
      <c r="X98" s="1">
        <v>75</v>
      </c>
      <c r="Y98" s="6">
        <f t="shared" si="26"/>
        <v>7195.5117841198853</v>
      </c>
      <c r="Z98" s="6">
        <f t="shared" si="27"/>
        <v>95909.496168959653</v>
      </c>
      <c r="AA98" s="6">
        <f t="shared" si="28"/>
        <v>13868.816401341266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3">
        <f t="shared" si="31"/>
        <v>2.4999999999999991</v>
      </c>
    </row>
    <row r="99" spans="4:32" ht="14.25" customHeight="1" outlineLevel="1" x14ac:dyDescent="0.2">
      <c r="D99" s="1">
        <v>76</v>
      </c>
      <c r="E99" s="6">
        <f t="shared" si="25"/>
        <v>755.52873733258798</v>
      </c>
      <c r="F99" s="6">
        <f t="shared" si="25"/>
        <v>28844.501555545728</v>
      </c>
      <c r="G99" s="6">
        <f t="shared" si="25"/>
        <v>194.16342961877774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37776.436866629403</v>
      </c>
      <c r="O99" s="6">
        <f t="shared" si="22"/>
        <v>880756.84460318089</v>
      </c>
      <c r="P99" s="6">
        <f t="shared" si="23"/>
        <v>14562.25722140833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7555.2873733258803</v>
      </c>
      <c r="Z99" s="6">
        <f t="shared" si="27"/>
        <v>97861.871622575651</v>
      </c>
      <c r="AA99" s="6">
        <f t="shared" si="28"/>
        <v>14562.25722140833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3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793.30517419921716</v>
      </c>
      <c r="F100" s="6">
        <f t="shared" si="25"/>
        <v>30286.726633323007</v>
      </c>
      <c r="G100" s="6">
        <f t="shared" si="25"/>
        <v>203.8716010997166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39665.258709960865</v>
      </c>
      <c r="O100" s="6">
        <f t="shared" si="22"/>
        <v>898169.73420761921</v>
      </c>
      <c r="P100" s="6">
        <f t="shared" si="23"/>
        <v>15290.370082478745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7933.0517419921725</v>
      </c>
      <c r="Z100" s="6">
        <f t="shared" si="27"/>
        <v>99796.637134179909</v>
      </c>
      <c r="AA100" s="6">
        <f t="shared" si="28"/>
        <v>15290.370082478745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3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832.97043290917827</v>
      </c>
      <c r="F101" s="6">
        <f t="shared" si="25"/>
        <v>31801.062964989167</v>
      </c>
      <c r="G101" s="6">
        <f t="shared" si="25"/>
        <v>214.06518115470249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41648.521645458917</v>
      </c>
      <c r="O101" s="6">
        <f t="shared" si="22"/>
        <v>915405.84195803676</v>
      </c>
      <c r="P101" s="6">
        <f t="shared" si="23"/>
        <v>16054.888586602687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8329.7043290917827</v>
      </c>
      <c r="Z101" s="6">
        <f t="shared" si="27"/>
        <v>101711.76021755964</v>
      </c>
      <c r="AA101" s="6">
        <f t="shared" si="28"/>
        <v>16054.888586602687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3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874.61895455463696</v>
      </c>
      <c r="F102" s="6">
        <f t="shared" si="25"/>
        <v>33391.116113238611</v>
      </c>
      <c r="G102" s="6">
        <f t="shared" si="25"/>
        <v>224.76844021243753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43730.947727731858</v>
      </c>
      <c r="O102" s="6">
        <f t="shared" si="22"/>
        <v>932447.66097118251</v>
      </c>
      <c r="P102" s="6">
        <f t="shared" si="23"/>
        <v>16857.633015932814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2.4999999999999987</v>
      </c>
      <c r="X102" s="1">
        <v>79</v>
      </c>
      <c r="Y102" s="6">
        <f t="shared" si="26"/>
        <v>8746.1895455463709</v>
      </c>
      <c r="Z102" s="6">
        <f t="shared" si="27"/>
        <v>103605.29566346473</v>
      </c>
      <c r="AA102" s="6">
        <f t="shared" si="28"/>
        <v>16857.633015932814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3">
        <f t="shared" si="31"/>
        <v>2.4999999999999987</v>
      </c>
    </row>
    <row r="103" spans="4:32" ht="14.25" customHeight="1" outlineLevel="1" x14ac:dyDescent="0.2">
      <c r="D103" s="1">
        <v>80</v>
      </c>
      <c r="E103" s="6">
        <f t="shared" si="25"/>
        <v>918.34990228236904</v>
      </c>
      <c r="F103" s="6">
        <f t="shared" si="25"/>
        <v>35060.67191890056</v>
      </c>
      <c r="G103" s="6">
        <f t="shared" si="25"/>
        <v>236.0068622230595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45917.495114118457</v>
      </c>
      <c r="O103" s="6">
        <f t="shared" si="22"/>
        <v>949278.5334692148</v>
      </c>
      <c r="P103" s="6">
        <f t="shared" si="23"/>
        <v>17700.514666729461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9183.4990228236911</v>
      </c>
      <c r="Z103" s="6">
        <f t="shared" si="27"/>
        <v>105475.39260769053</v>
      </c>
      <c r="AA103" s="6">
        <f t="shared" si="28"/>
        <v>17700.514666729461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3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964.26739739648747</v>
      </c>
      <c r="F104" s="6">
        <f t="shared" si="25"/>
        <v>36813.705514845584</v>
      </c>
      <c r="G104" s="6">
        <f t="shared" si="25"/>
        <v>247.80720533421245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48213.369869824375</v>
      </c>
      <c r="O104" s="6">
        <f t="shared" si="22"/>
        <v>965882.70677123533</v>
      </c>
      <c r="P104" s="6">
        <f t="shared" si="23"/>
        <v>18585.540400065933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2.4999999999999996</v>
      </c>
      <c r="X104" s="1">
        <v>81</v>
      </c>
      <c r="Y104" s="6">
        <f t="shared" si="26"/>
        <v>9642.6739739648747</v>
      </c>
      <c r="Z104" s="6">
        <f t="shared" si="27"/>
        <v>107320.30075235949</v>
      </c>
      <c r="AA104" s="6">
        <f t="shared" si="28"/>
        <v>18585.540400065933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3">
        <f t="shared" si="31"/>
        <v>2.4999999999999996</v>
      </c>
    </row>
    <row r="105" spans="4:32" ht="14.25" customHeight="1" outlineLevel="1" x14ac:dyDescent="0.2">
      <c r="D105" s="1">
        <v>82</v>
      </c>
      <c r="E105" s="6">
        <f t="shared" si="25"/>
        <v>1012.480767266312</v>
      </c>
      <c r="F105" s="6">
        <f t="shared" si="25"/>
        <v>38654.390790587866</v>
      </c>
      <c r="G105" s="6">
        <f t="shared" si="25"/>
        <v>260.1975656009231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50624.038363315609</v>
      </c>
      <c r="O105" s="6">
        <f t="shared" si="22"/>
        <v>982245.38137335679</v>
      </c>
      <c r="P105" s="6">
        <f t="shared" si="23"/>
        <v>19514.817420069234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2.4999999999999987</v>
      </c>
      <c r="X105" s="1">
        <v>82</v>
      </c>
      <c r="Y105" s="6">
        <f t="shared" si="26"/>
        <v>10124.807672663123</v>
      </c>
      <c r="Z105" s="6">
        <f t="shared" si="27"/>
        <v>109138.37570815075</v>
      </c>
      <c r="AA105" s="6">
        <f t="shared" si="28"/>
        <v>19514.817420069234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3">
        <f t="shared" si="31"/>
        <v>2.4999999999999987</v>
      </c>
    </row>
    <row r="106" spans="4:32" ht="14.25" customHeight="1" outlineLevel="1" x14ac:dyDescent="0.2">
      <c r="D106" s="1">
        <v>83</v>
      </c>
      <c r="E106" s="6">
        <f t="shared" si="25"/>
        <v>1063.1048056296277</v>
      </c>
      <c r="F106" s="6">
        <f t="shared" si="25"/>
        <v>40587.110330117262</v>
      </c>
      <c r="G106" s="6">
        <f t="shared" si="25"/>
        <v>273.20744388096927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53155.240281481383</v>
      </c>
      <c r="O106" s="6">
        <f t="shared" si="22"/>
        <v>998352.75093997037</v>
      </c>
      <c r="P106" s="6">
        <f t="shared" si="23"/>
        <v>20490.558291072695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2.4999999999999991</v>
      </c>
      <c r="X106" s="1">
        <v>83</v>
      </c>
      <c r="Y106" s="6">
        <f t="shared" si="26"/>
        <v>10631.048056296277</v>
      </c>
      <c r="Z106" s="6">
        <f t="shared" si="27"/>
        <v>110928.08343777449</v>
      </c>
      <c r="AA106" s="6">
        <f t="shared" si="28"/>
        <v>20490.558291072695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3">
        <f t="shared" si="31"/>
        <v>2.4999999999999991</v>
      </c>
    </row>
    <row r="107" spans="4:32" ht="14.25" customHeight="1" outlineLevel="1" x14ac:dyDescent="0.2">
      <c r="D107" s="1">
        <v>84</v>
      </c>
      <c r="E107" s="6">
        <f t="shared" si="25"/>
        <v>1116.2600459111088</v>
      </c>
      <c r="F107" s="6">
        <f t="shared" si="25"/>
        <v>42616.465846623119</v>
      </c>
      <c r="G107" s="6">
        <f t="shared" si="25"/>
        <v>286.86781607501769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55813.002295555445</v>
      </c>
      <c r="O107" s="6">
        <f t="shared" si="22"/>
        <v>1014192.0341395469</v>
      </c>
      <c r="P107" s="6">
        <f t="shared" si="23"/>
        <v>21515.086205626325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2.4999999999999987</v>
      </c>
      <c r="X107" s="1">
        <v>84</v>
      </c>
      <c r="Y107" s="6">
        <f t="shared" si="26"/>
        <v>11162.600459111089</v>
      </c>
      <c r="Z107" s="6">
        <f t="shared" si="27"/>
        <v>112688.00379328299</v>
      </c>
      <c r="AA107" s="6">
        <f t="shared" si="28"/>
        <v>21515.086205626325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3">
        <f t="shared" si="31"/>
        <v>2.4999999999999987</v>
      </c>
    </row>
    <row r="108" spans="4:32" ht="14.25" customHeight="1" outlineLevel="1" x14ac:dyDescent="0.2">
      <c r="D108" s="1">
        <v>85</v>
      </c>
      <c r="E108" s="6">
        <f t="shared" si="25"/>
        <v>1172.0730482066645</v>
      </c>
      <c r="F108" s="6">
        <f t="shared" si="25"/>
        <v>44747.289138954278</v>
      </c>
      <c r="G108" s="6">
        <f t="shared" si="25"/>
        <v>301.21120687876862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58603.652410333227</v>
      </c>
      <c r="O108" s="6">
        <f t="shared" si="22"/>
        <v>1029751.4983645416</v>
      </c>
      <c r="P108" s="6">
        <f t="shared" si="23"/>
        <v>22590.840515907646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11720.730482066645</v>
      </c>
      <c r="Z108" s="6">
        <f t="shared" si="27"/>
        <v>114416.83315161573</v>
      </c>
      <c r="AA108" s="6">
        <f t="shared" si="28"/>
        <v>22590.840515907646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3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1230.6767006169976</v>
      </c>
      <c r="F109" s="6">
        <f t="shared" si="25"/>
        <v>46984.653595901989</v>
      </c>
      <c r="G109" s="6">
        <f t="shared" si="25"/>
        <v>316.27176722270701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61533.835030849878</v>
      </c>
      <c r="O109" s="6">
        <f t="shared" si="22"/>
        <v>1045020.4754749141</v>
      </c>
      <c r="P109" s="6">
        <f t="shared" si="23"/>
        <v>23720.382541703028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2.4999999999999991</v>
      </c>
      <c r="X109" s="1">
        <v>86</v>
      </c>
      <c r="Y109" s="6">
        <f t="shared" si="26"/>
        <v>12306.767006169976</v>
      </c>
      <c r="Z109" s="6">
        <f t="shared" si="27"/>
        <v>116113.38616387935</v>
      </c>
      <c r="AA109" s="6">
        <f t="shared" si="28"/>
        <v>23720.382541703028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3">
        <f t="shared" si="31"/>
        <v>2.4999999999999991</v>
      </c>
    </row>
    <row r="110" spans="4:32" ht="14.25" customHeight="1" outlineLevel="1" x14ac:dyDescent="0.2">
      <c r="D110" s="1">
        <v>87</v>
      </c>
      <c r="E110" s="6">
        <f t="shared" si="25"/>
        <v>1292.2105356478473</v>
      </c>
      <c r="F110" s="6">
        <f t="shared" si="25"/>
        <v>49333.886275697085</v>
      </c>
      <c r="G110" s="6">
        <f t="shared" si="25"/>
        <v>332.08535558384233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64610.526782392371</v>
      </c>
      <c r="O110" s="6">
        <f t="shared" si="22"/>
        <v>1059989.3697968021</v>
      </c>
      <c r="P110" s="6">
        <f t="shared" si="23"/>
        <v>24906.401668788174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12922.105356478474</v>
      </c>
      <c r="Z110" s="6">
        <f t="shared" si="27"/>
        <v>117776.59664408912</v>
      </c>
      <c r="AA110" s="6">
        <f t="shared" si="28"/>
        <v>24906.401668788174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3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1356.8210624302401</v>
      </c>
      <c r="F111" s="6">
        <f t="shared" si="25"/>
        <v>51800.58058948195</v>
      </c>
      <c r="G111" s="6">
        <f t="shared" si="25"/>
        <v>348.68962336303457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67841.053121511999</v>
      </c>
      <c r="O111" s="6">
        <f t="shared" si="22"/>
        <v>1074649.6586906703</v>
      </c>
      <c r="P111" s="6">
        <f t="shared" si="23"/>
        <v>26151.721752227593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2.4999999999999996</v>
      </c>
      <c r="X111" s="1">
        <v>88</v>
      </c>
      <c r="Y111" s="6">
        <f t="shared" si="26"/>
        <v>13568.210624302399</v>
      </c>
      <c r="Z111" s="6">
        <f t="shared" si="27"/>
        <v>119405.5176322967</v>
      </c>
      <c r="AA111" s="6">
        <f t="shared" si="28"/>
        <v>26151.721752227593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3">
        <f t="shared" si="31"/>
        <v>2.4999999999999996</v>
      </c>
    </row>
    <row r="112" spans="4:32" ht="14.25" customHeight="1" outlineLevel="1" x14ac:dyDescent="0.2">
      <c r="D112" s="1">
        <v>89</v>
      </c>
      <c r="E112" s="6">
        <f t="shared" si="25"/>
        <v>1424.6621155517516</v>
      </c>
      <c r="F112" s="6">
        <f t="shared" si="25"/>
        <v>54390.609618956041</v>
      </c>
      <c r="G112" s="6">
        <f t="shared" si="25"/>
        <v>366.12410453118622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71233.105777587582</v>
      </c>
      <c r="O112" s="6">
        <f t="shared" si="22"/>
        <v>1088993.8860758299</v>
      </c>
      <c r="P112" s="6">
        <f t="shared" si="23"/>
        <v>27459.307839838966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2.4999999999999991</v>
      </c>
      <c r="X112" s="1">
        <v>89</v>
      </c>
      <c r="Y112" s="6">
        <f t="shared" si="26"/>
        <v>14246.621155517516</v>
      </c>
      <c r="Z112" s="6">
        <f t="shared" si="27"/>
        <v>120999.32067509221</v>
      </c>
      <c r="AA112" s="6">
        <f t="shared" si="28"/>
        <v>27459.307839838966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3">
        <f t="shared" si="31"/>
        <v>2.4999999999999991</v>
      </c>
    </row>
    <row r="113" spans="3:32" ht="14.25" customHeight="1" outlineLevel="1" x14ac:dyDescent="0.2">
      <c r="D113" s="1">
        <v>90</v>
      </c>
      <c r="E113" s="6">
        <f t="shared" si="25"/>
        <v>1495.8952213293394</v>
      </c>
      <c r="F113" s="6">
        <f t="shared" si="25"/>
        <v>57110.140099903845</v>
      </c>
      <c r="G113" s="6">
        <f t="shared" si="25"/>
        <v>384.43030975774553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74794.761066466977</v>
      </c>
      <c r="O113" s="6">
        <f t="shared" si="22"/>
        <v>1103015.6493598702</v>
      </c>
      <c r="P113" s="6">
        <f t="shared" si="23"/>
        <v>28832.273231830914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14958.952213293396</v>
      </c>
      <c r="Z113" s="6">
        <f t="shared" si="27"/>
        <v>122557.29437331892</v>
      </c>
      <c r="AA113" s="6">
        <f t="shared" si="28"/>
        <v>28832.273231830914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3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1570.6899823958063</v>
      </c>
      <c r="F114" s="6">
        <f t="shared" si="25"/>
        <v>59965.647104899035</v>
      </c>
      <c r="G114" s="6">
        <f t="shared" si="25"/>
        <v>403.65182524563284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78534.499119790329</v>
      </c>
      <c r="O114" s="6">
        <f t="shared" si="22"/>
        <v>1116709.5802719623</v>
      </c>
      <c r="P114" s="6">
        <f t="shared" si="23"/>
        <v>30273.886893422463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2.4999999999999987</v>
      </c>
      <c r="X114" s="1">
        <v>91</v>
      </c>
      <c r="Y114" s="6">
        <f t="shared" si="26"/>
        <v>15706.899823958065</v>
      </c>
      <c r="Z114" s="6">
        <f t="shared" si="27"/>
        <v>124078.84225244026</v>
      </c>
      <c r="AA114" s="6">
        <f t="shared" si="28"/>
        <v>30273.886893422463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3">
        <f t="shared" si="31"/>
        <v>2.4999999999999987</v>
      </c>
    </row>
    <row r="115" spans="3:32" ht="14.25" customHeight="1" outlineLevel="1" x14ac:dyDescent="0.2">
      <c r="D115" s="1">
        <v>92</v>
      </c>
      <c r="E115" s="6">
        <f t="shared" si="25"/>
        <v>1649.2244815155971</v>
      </c>
      <c r="F115" s="6">
        <f t="shared" si="25"/>
        <v>62963.929460144005</v>
      </c>
      <c r="G115" s="6">
        <f t="shared" si="25"/>
        <v>423.83441650791451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82461.224075779857</v>
      </c>
      <c r="O115" s="6">
        <f t="shared" si="22"/>
        <v>1130071.3201380395</v>
      </c>
      <c r="P115" s="6">
        <f t="shared" si="23"/>
        <v>31787.581238093589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16492.244815155973</v>
      </c>
      <c r="Z115" s="6">
        <f t="shared" si="27"/>
        <v>125563.48001533773</v>
      </c>
      <c r="AA115" s="6">
        <f t="shared" si="28"/>
        <v>31787.581238093589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3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1731.6857055913765</v>
      </c>
      <c r="F116" s="6">
        <f t="shared" si="25"/>
        <v>66112.125933151183</v>
      </c>
      <c r="G116" s="6">
        <f t="shared" si="25"/>
        <v>445.0261373333102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86584.285279568838</v>
      </c>
      <c r="O116" s="6">
        <f t="shared" si="22"/>
        <v>1143097.4901638131</v>
      </c>
      <c r="P116" s="6">
        <f t="shared" si="23"/>
        <v>33376.960299998267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2.4999999999999987</v>
      </c>
      <c r="X116" s="1">
        <v>93</v>
      </c>
      <c r="Y116" s="6">
        <f t="shared" si="26"/>
        <v>17316.857055913766</v>
      </c>
      <c r="Z116" s="6">
        <f t="shared" si="27"/>
        <v>127010.83224042368</v>
      </c>
      <c r="AA116" s="6">
        <f t="shared" si="28"/>
        <v>33376.960299998267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3">
        <f t="shared" si="31"/>
        <v>2.4999999999999987</v>
      </c>
    </row>
    <row r="117" spans="3:32" ht="14.25" customHeight="1" outlineLevel="1" x14ac:dyDescent="0.2">
      <c r="D117" s="1">
        <v>94</v>
      </c>
      <c r="E117" s="6">
        <f t="shared" si="25"/>
        <v>1818.2699908709458</v>
      </c>
      <c r="F117" s="6">
        <f t="shared" si="25"/>
        <v>69417.732229808767</v>
      </c>
      <c r="G117" s="6">
        <f t="shared" si="25"/>
        <v>467.27744419997578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90913.499543547281</v>
      </c>
      <c r="O117" s="6">
        <f t="shared" si="22"/>
        <v>1155785.6573088043</v>
      </c>
      <c r="P117" s="6">
        <f t="shared" si="23"/>
        <v>35045.808314998183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18182.699908709455</v>
      </c>
      <c r="Z117" s="6">
        <f t="shared" si="27"/>
        <v>128420.62858986715</v>
      </c>
      <c r="AA117" s="6">
        <f t="shared" si="28"/>
        <v>35045.808314998183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3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1909.1834904144923</v>
      </c>
      <c r="F118" s="6">
        <f t="shared" si="25"/>
        <v>72888.618841299176</v>
      </c>
      <c r="G118" s="6">
        <f t="shared" si="25"/>
        <v>490.64131640997437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95459.174520724613</v>
      </c>
      <c r="O118" s="6">
        <f t="shared" si="22"/>
        <v>1168134.296341755</v>
      </c>
      <c r="P118" s="6">
        <f t="shared" si="23"/>
        <v>36798.098730748075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2.4999999999999996</v>
      </c>
      <c r="X118" s="1">
        <v>95</v>
      </c>
      <c r="Y118" s="6">
        <f t="shared" si="26"/>
        <v>19091.834904144922</v>
      </c>
      <c r="Z118" s="6">
        <f t="shared" si="27"/>
        <v>129792.69959352833</v>
      </c>
      <c r="AA118" s="6">
        <f t="shared" si="28"/>
        <v>36798.098730748075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3">
        <f t="shared" si="31"/>
        <v>2.4999999999999996</v>
      </c>
    </row>
    <row r="119" spans="3:32" ht="14.25" customHeight="1" outlineLevel="1" x14ac:dyDescent="0.2">
      <c r="D119" s="1">
        <v>96</v>
      </c>
      <c r="E119" s="6">
        <f t="shared" si="25"/>
        <v>2004.6426649352177</v>
      </c>
      <c r="F119" s="6">
        <f t="shared" si="25"/>
        <v>76533.049783364171</v>
      </c>
      <c r="G119" s="6">
        <f t="shared" si="25"/>
        <v>515.17338223047329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100232.1332467609</v>
      </c>
      <c r="O119" s="6">
        <f t="shared" si="22"/>
        <v>1180142.7486657088</v>
      </c>
      <c r="P119" s="6">
        <f t="shared" si="23"/>
        <v>38638.003667285499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20046.426649352179</v>
      </c>
      <c r="Z119" s="6">
        <f t="shared" si="27"/>
        <v>131126.97207396766</v>
      </c>
      <c r="AA119" s="6">
        <f t="shared" si="28"/>
        <v>38638.003667285499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3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2104.8747981819783</v>
      </c>
      <c r="F120" s="6">
        <f t="shared" si="25"/>
        <v>80359.702272532362</v>
      </c>
      <c r="G120" s="6">
        <f t="shared" si="25"/>
        <v>540.93205134199695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105243.73990909893</v>
      </c>
      <c r="O120" s="6">
        <f t="shared" si="22"/>
        <v>1191811.1784906008</v>
      </c>
      <c r="P120" s="6">
        <f t="shared" si="23"/>
        <v>40569.903850649775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21048.747981819786</v>
      </c>
      <c r="Z120" s="6">
        <f t="shared" si="27"/>
        <v>132423.46427673343</v>
      </c>
      <c r="AA120" s="6">
        <f t="shared" si="28"/>
        <v>40569.903850649775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3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2210.1185380910774</v>
      </c>
      <c r="F121" s="6">
        <f t="shared" si="25"/>
        <v>84377.687386158985</v>
      </c>
      <c r="G121" s="6">
        <f t="shared" si="25"/>
        <v>567.97865390909681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110505.92690455388</v>
      </c>
      <c r="O121" s="6">
        <f t="shared" si="22"/>
        <v>1203140.5269134697</v>
      </c>
      <c r="P121" s="6">
        <f t="shared" si="23"/>
        <v>42598.39904318226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2.4999999999999991</v>
      </c>
      <c r="X121" s="1">
        <v>98</v>
      </c>
      <c r="Y121" s="6">
        <f t="shared" si="26"/>
        <v>22101.185380910778</v>
      </c>
      <c r="Z121" s="6">
        <f t="shared" si="27"/>
        <v>133682.2807681633</v>
      </c>
      <c r="AA121" s="6">
        <f t="shared" si="28"/>
        <v>42598.39904318226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3">
        <f t="shared" si="31"/>
        <v>2.4999999999999991</v>
      </c>
    </row>
    <row r="122" spans="3:32" ht="14.25" customHeight="1" outlineLevel="1" x14ac:dyDescent="0.2">
      <c r="D122" s="1">
        <v>99</v>
      </c>
      <c r="E122" s="6">
        <f t="shared" si="25"/>
        <v>2320.6244649956311</v>
      </c>
      <c r="F122" s="6">
        <f t="shared" si="25"/>
        <v>88596.571755466939</v>
      </c>
      <c r="G122" s="6">
        <f t="shared" si="25"/>
        <v>596.37758660455165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116031.22324978157</v>
      </c>
      <c r="O122" s="6">
        <f t="shared" si="22"/>
        <v>1214132.4644423372</v>
      </c>
      <c r="P122" s="6">
        <f t="shared" si="23"/>
        <v>44728.318995341375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2.4999999999999987</v>
      </c>
      <c r="X122" s="1">
        <v>99</v>
      </c>
      <c r="Y122" s="6">
        <f t="shared" si="26"/>
        <v>23206.244649956316</v>
      </c>
      <c r="Z122" s="6">
        <f t="shared" si="27"/>
        <v>134903.60716025968</v>
      </c>
      <c r="AA122" s="6">
        <f t="shared" si="28"/>
        <v>44728.318995341375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3">
        <f t="shared" si="31"/>
        <v>2.4999999999999987</v>
      </c>
    </row>
    <row r="123" spans="3:32" ht="14.25" customHeight="1" outlineLevel="1" x14ac:dyDescent="0.2">
      <c r="D123" s="1">
        <v>100</v>
      </c>
      <c r="E123" s="6">
        <f t="shared" si="25"/>
        <v>2436.6556882454133</v>
      </c>
      <c r="F123" s="6">
        <f t="shared" si="25"/>
        <v>93026.400343240297</v>
      </c>
      <c r="G123" s="6">
        <f t="shared" si="25"/>
        <v>626.19646593477933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121832.78441227069</v>
      </c>
      <c r="O123" s="6">
        <f t="shared" si="22"/>
        <v>1224789.3424705795</v>
      </c>
      <c r="P123" s="6">
        <f t="shared" si="23"/>
        <v>46964.734945108452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2.4999999999999987</v>
      </c>
      <c r="X123" s="1">
        <v>100</v>
      </c>
      <c r="Y123" s="6">
        <f t="shared" si="26"/>
        <v>24366.556882454137</v>
      </c>
      <c r="Z123" s="6">
        <f t="shared" si="27"/>
        <v>136087.70471895329</v>
      </c>
      <c r="AA123" s="6">
        <f t="shared" si="28"/>
        <v>46964.734945108452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3">
        <f t="shared" si="31"/>
        <v>2.4999999999999987</v>
      </c>
    </row>
    <row r="125" spans="3:32" ht="14.25" customHeight="1" x14ac:dyDescent="0.2">
      <c r="C125" s="3" t="s">
        <v>302</v>
      </c>
      <c r="D125" s="2" t="s">
        <v>311</v>
      </c>
      <c r="I125" s="3" t="s">
        <v>303</v>
      </c>
      <c r="Q125" s="2"/>
    </row>
    <row r="126" spans="3:32" ht="14.25" customHeight="1" x14ac:dyDescent="0.2">
      <c r="D126" s="3" t="s">
        <v>301</v>
      </c>
      <c r="E126" s="3" t="s">
        <v>146</v>
      </c>
      <c r="F126" s="3" t="s">
        <v>147</v>
      </c>
      <c r="G126" s="3" t="s">
        <v>124</v>
      </c>
      <c r="H126" s="76" t="s">
        <v>15</v>
      </c>
      <c r="J126" s="24" t="s">
        <v>13</v>
      </c>
      <c r="K126" s="3" t="s">
        <v>147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30</v>
      </c>
      <c r="F128" s="1">
        <f>F6</f>
        <v>100</v>
      </c>
      <c r="G128" s="1">
        <f>SUM(G6:G9)</f>
        <v>4</v>
      </c>
      <c r="H128" s="6">
        <f t="shared" ref="H128:H131" si="34">F128/(J128-G128)</f>
        <v>12.919896640826874</v>
      </c>
      <c r="J128" s="1">
        <f>J127</f>
        <v>11.74</v>
      </c>
      <c r="K128" s="6">
        <f t="shared" ref="K128:K131" si="35">E128*H128</f>
        <v>387.59689922480624</v>
      </c>
    </row>
    <row r="129" spans="3:32" ht="14.25" customHeight="1" x14ac:dyDescent="0.2">
      <c r="D129" s="1">
        <v>3</v>
      </c>
      <c r="E129" s="1">
        <f>E128-E6</f>
        <v>25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256.67351129363448</v>
      </c>
    </row>
    <row r="130" spans="3:32" ht="14.25" customHeight="1" x14ac:dyDescent="0.2">
      <c r="D130" s="1">
        <v>2</v>
      </c>
      <c r="E130" s="1">
        <f>E129-E8</f>
        <v>20</v>
      </c>
      <c r="F130" s="1">
        <f>F7</f>
        <v>40</v>
      </c>
      <c r="G130" s="1">
        <f>G129-G8</f>
        <v>0</v>
      </c>
      <c r="H130" s="6">
        <f t="shared" si="34"/>
        <v>3.4071550255536627</v>
      </c>
      <c r="J130" s="1">
        <f t="shared" si="36"/>
        <v>11.74</v>
      </c>
      <c r="K130" s="6">
        <f t="shared" si="35"/>
        <v>68.143100511073257</v>
      </c>
    </row>
    <row r="131" spans="3:32" ht="14.25" customHeight="1" x14ac:dyDescent="0.2">
      <c r="D131" s="1">
        <v>1</v>
      </c>
      <c r="E131" s="1">
        <f>E10</f>
        <v>4</v>
      </c>
      <c r="F131" s="1">
        <f>F9</f>
        <v>40</v>
      </c>
      <c r="G131" s="1">
        <f>G9</f>
        <v>0</v>
      </c>
      <c r="H131" s="6">
        <f t="shared" si="34"/>
        <v>3.4071550255536627</v>
      </c>
      <c r="J131" s="1">
        <f t="shared" si="36"/>
        <v>11.74</v>
      </c>
      <c r="K131" s="6">
        <f t="shared" si="35"/>
        <v>13.628620102214651</v>
      </c>
    </row>
    <row r="132" spans="3:32" ht="14.25" customHeight="1" x14ac:dyDescent="0.2">
      <c r="H132" s="6">
        <f>SUM(H127:H131)</f>
        <v>30.001147143679582</v>
      </c>
      <c r="I132" s="1" t="s">
        <v>304</v>
      </c>
      <c r="J132" s="1">
        <f>MAX(J127:J131)</f>
        <v>11.74</v>
      </c>
      <c r="K132" s="6">
        <f>SUM(K127:K131)</f>
        <v>726.04213113172864</v>
      </c>
    </row>
    <row r="134" spans="3:32" ht="14.25" customHeight="1" collapsed="1" x14ac:dyDescent="0.2">
      <c r="C134" s="3" t="s">
        <v>162</v>
      </c>
      <c r="E134" s="1">
        <f>J132</f>
        <v>11.74</v>
      </c>
      <c r="F134" s="6">
        <f>K132</f>
        <v>726.04213113172864</v>
      </c>
      <c r="G134" s="17">
        <v>5</v>
      </c>
      <c r="J134" s="1" t="s">
        <v>306</v>
      </c>
      <c r="K134" s="1">
        <f>$K$21</f>
        <v>75</v>
      </c>
      <c r="L134" s="3" t="s">
        <v>305</v>
      </c>
      <c r="P134" s="6">
        <f>MAX(P137:P236)</f>
        <v>46964.734945108452</v>
      </c>
      <c r="X134" s="1" t="s">
        <v>309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54453.159834879647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186</v>
      </c>
      <c r="E136" s="1" t="s">
        <v>146</v>
      </c>
      <c r="F136" s="1" t="s">
        <v>147</v>
      </c>
      <c r="G136" s="1" t="s">
        <v>139</v>
      </c>
      <c r="H136" s="17" t="s">
        <v>140</v>
      </c>
      <c r="I136" s="17" t="s">
        <v>141</v>
      </c>
      <c r="J136" s="17" t="s">
        <v>142</v>
      </c>
      <c r="M136" s="1" t="s">
        <v>164</v>
      </c>
      <c r="N136" s="1" t="s">
        <v>165</v>
      </c>
      <c r="O136" s="1" t="s">
        <v>166</v>
      </c>
      <c r="P136" s="1" t="s">
        <v>139</v>
      </c>
      <c r="Q136" s="17" t="s">
        <v>140</v>
      </c>
      <c r="R136" s="17" t="s">
        <v>141</v>
      </c>
      <c r="S136" s="17" t="s">
        <v>142</v>
      </c>
      <c r="T136" s="17" t="s">
        <v>167</v>
      </c>
      <c r="U136" s="17" t="s">
        <v>198</v>
      </c>
      <c r="V136" s="1" t="s">
        <v>308</v>
      </c>
      <c r="X136" s="1" t="s">
        <v>164</v>
      </c>
      <c r="Y136" s="1" t="s">
        <v>165</v>
      </c>
      <c r="Z136" s="1" t="s">
        <v>166</v>
      </c>
      <c r="AA136" s="1" t="s">
        <v>139</v>
      </c>
      <c r="AB136" s="1" t="s">
        <v>140</v>
      </c>
      <c r="AC136" s="1" t="s">
        <v>141</v>
      </c>
      <c r="AD136" s="1" t="s">
        <v>142</v>
      </c>
      <c r="AE136" s="1" t="s">
        <v>307</v>
      </c>
      <c r="AF136" s="1" t="s">
        <v>199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726.04213113172864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587.00000000000011</v>
      </c>
      <c r="O137" s="6">
        <f>F137*$K$21/(1+P137/$P$22)</f>
        <v>52484.97333482375</v>
      </c>
      <c r="P137" s="6">
        <f>G137*$K$21</f>
        <v>375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117.40000000000002</v>
      </c>
      <c r="Z137" s="6">
        <f>O137/$X$22</f>
        <v>5831.6637038693052</v>
      </c>
      <c r="AA137" s="6">
        <f>P137</f>
        <v>375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3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8:G152" si="40">F$134*F$135^($D138-1)</f>
        <v>762.34423768831505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616.35000000000014</v>
      </c>
      <c r="O138" s="6">
        <f t="shared" ref="O138:O201" si="41">F138*$K$21/(1+P138/$P$22)</f>
        <v>55009.806688272889</v>
      </c>
      <c r="P138" s="6">
        <f t="shared" ref="P138:P201" si="42">G138*$K$21</f>
        <v>393.75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123.27000000000002</v>
      </c>
      <c r="Z138" s="6">
        <f>O138/$X$22</f>
        <v>6112.2007431414322</v>
      </c>
      <c r="AA138" s="6">
        <f>P138</f>
        <v>393.75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3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800.46144957273088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647.16750000000013</v>
      </c>
      <c r="O139" s="6">
        <f t="shared" si="41"/>
        <v>57651.096209061434</v>
      </c>
      <c r="P139" s="6">
        <f t="shared" si="42"/>
        <v>413.4375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129.43350000000004</v>
      </c>
      <c r="Z139" s="6">
        <f t="shared" ref="Z139:Z202" si="46">O139/$X$22</f>
        <v>6405.6773565623816</v>
      </c>
      <c r="AA139" s="6">
        <f t="shared" ref="AA139:AA202" si="47">P139</f>
        <v>413.4375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3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840.48452205136743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679.52587500000027</v>
      </c>
      <c r="O140" s="6">
        <f t="shared" si="41"/>
        <v>60413.722808855033</v>
      </c>
      <c r="P140" s="6">
        <f t="shared" si="42"/>
        <v>434.10937500000006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135.90517500000004</v>
      </c>
      <c r="Z140" s="6">
        <f t="shared" si="46"/>
        <v>6712.6358676505588</v>
      </c>
      <c r="AA140" s="6">
        <f t="shared" si="47"/>
        <v>434.10937500000006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3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882.5087481539357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713.50216875000001</v>
      </c>
      <c r="O141" s="6">
        <f t="shared" si="41"/>
        <v>63302.723987226476</v>
      </c>
      <c r="P141" s="6">
        <f t="shared" si="42"/>
        <v>455.81484374999997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142.70043375</v>
      </c>
      <c r="Z141" s="6">
        <f t="shared" si="46"/>
        <v>7033.6359985807194</v>
      </c>
      <c r="AA141" s="6">
        <f t="shared" si="47"/>
        <v>455.81484374999997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3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926.63418556163265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749.17727718750018</v>
      </c>
      <c r="O142" s="6">
        <f t="shared" si="41"/>
        <v>66323.294017659733</v>
      </c>
      <c r="P142" s="6">
        <f t="shared" si="42"/>
        <v>478.60558593750005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149.83545543750003</v>
      </c>
      <c r="Z142" s="6">
        <f t="shared" si="46"/>
        <v>7369.2548908510817</v>
      </c>
      <c r="AA142" s="6">
        <f t="shared" si="47"/>
        <v>478.60558593750005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3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972.96589483971411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786.63614104687508</v>
      </c>
      <c r="O143" s="6">
        <f t="shared" si="41"/>
        <v>69480.78354536531</v>
      </c>
      <c r="P143" s="6">
        <f t="shared" si="42"/>
        <v>502.53586523437497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157.32722820937502</v>
      </c>
      <c r="Z143" s="6">
        <f t="shared" si="46"/>
        <v>7720.0870605961454</v>
      </c>
      <c r="AA143" s="6">
        <f t="shared" si="47"/>
        <v>502.53586523437497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3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1021.6141895817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825.96794809921892</v>
      </c>
      <c r="O144" s="6">
        <f t="shared" si="41"/>
        <v>72780.698531209433</v>
      </c>
      <c r="P144" s="6">
        <f t="shared" si="42"/>
        <v>527.66265849609385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165.19358961984378</v>
      </c>
      <c r="Z144" s="6">
        <f t="shared" si="46"/>
        <v>8086.7442812454929</v>
      </c>
      <c r="AA144" s="6">
        <f t="shared" si="47"/>
        <v>527.66265849609385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3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1072.6948990607848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867.26634550417987</v>
      </c>
      <c r="O145" s="6">
        <f t="shared" si="41"/>
        <v>76228.698472159595</v>
      </c>
      <c r="P145" s="6">
        <f t="shared" si="42"/>
        <v>554.04579142089847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173.45326910083597</v>
      </c>
      <c r="Z145" s="6">
        <f t="shared" si="46"/>
        <v>8469.8553857955103</v>
      </c>
      <c r="AA145" s="6">
        <f t="shared" si="47"/>
        <v>554.04579142089847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3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1126.3296440138242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910.62966277938892</v>
      </c>
      <c r="O146" s="6">
        <f t="shared" si="41"/>
        <v>79830.593824832467</v>
      </c>
      <c r="P146" s="6">
        <f t="shared" si="42"/>
        <v>581.74808099194343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182.1259325558778</v>
      </c>
      <c r="Z146" s="6">
        <f t="shared" si="46"/>
        <v>8870.0659805369414</v>
      </c>
      <c r="AA146" s="6">
        <f t="shared" si="47"/>
        <v>581.74808099194343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3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1182.6461262145153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956.16114591835833</v>
      </c>
      <c r="O147" s="6">
        <f t="shared" si="41"/>
        <v>83592.342555051306</v>
      </c>
      <c r="P147" s="6">
        <f t="shared" si="42"/>
        <v>610.83548504154066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191.23222918367168</v>
      </c>
      <c r="Z147" s="6">
        <f t="shared" si="46"/>
        <v>9288.0380616723669</v>
      </c>
      <c r="AA147" s="6">
        <f t="shared" si="47"/>
        <v>610.83548504154066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3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1241.7784325252412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1003.9692032142761</v>
      </c>
      <c r="O148" s="6">
        <f t="shared" si="41"/>
        <v>87520.04573285408</v>
      </c>
      <c r="P148" s="6">
        <f t="shared" si="42"/>
        <v>641.37725929361773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200.79384064285523</v>
      </c>
      <c r="Z148" s="6">
        <f t="shared" si="46"/>
        <v>9724.4495258726747</v>
      </c>
      <c r="AA148" s="6">
        <f t="shared" si="47"/>
        <v>641.37725929361773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3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1303.8673541515032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1054.1676633749898</v>
      </c>
      <c r="O149" s="6">
        <f t="shared" si="41"/>
        <v>91619.942089211778</v>
      </c>
      <c r="P149" s="6">
        <f t="shared" si="42"/>
        <v>673.44612225829849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210.83353267499797</v>
      </c>
      <c r="Z149" s="6">
        <f t="shared" si="46"/>
        <v>10179.993565467976</v>
      </c>
      <c r="AA149" s="6">
        <f t="shared" si="47"/>
        <v>673.44612225829849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3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1369.0607218590785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1106.8760465437399</v>
      </c>
      <c r="O150" s="6">
        <f t="shared" si="41"/>
        <v>95898.401447914759</v>
      </c>
      <c r="P150" s="6">
        <f t="shared" si="42"/>
        <v>707.11842837121344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221.37520930874797</v>
      </c>
      <c r="Z150" s="6">
        <f t="shared" si="46"/>
        <v>10655.377938657195</v>
      </c>
      <c r="AA150" s="6">
        <f t="shared" si="47"/>
        <v>707.11842837121344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3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1437.5137579520322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1162.2198488709264</v>
      </c>
      <c r="O151" s="6">
        <f t="shared" si="41"/>
        <v>100361.91694375541</v>
      </c>
      <c r="P151" s="6">
        <f t="shared" si="42"/>
        <v>742.4743497897739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232.44396977418529</v>
      </c>
      <c r="Z151" s="6">
        <f t="shared" si="46"/>
        <v>11151.324104861713</v>
      </c>
      <c r="AA151" s="6">
        <f t="shared" si="47"/>
        <v>742.4743497897739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3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1509.3894458496343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1220.330841314473</v>
      </c>
      <c r="O152" s="6">
        <f t="shared" si="41"/>
        <v>105017.09593639326</v>
      </c>
      <c r="P152" s="6">
        <f t="shared" si="42"/>
        <v>779.59806727926286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244.06616826289459</v>
      </c>
      <c r="Z152" s="6">
        <f t="shared" si="46"/>
        <v>11668.566215154808</v>
      </c>
      <c r="AA152" s="6">
        <f t="shared" si="47"/>
        <v>779.59806727926286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3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1584.8589181421157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1281.3473833801966</v>
      </c>
      <c r="O153" s="6">
        <f t="shared" si="41"/>
        <v>109870.64952824989</v>
      </c>
      <c r="P153" s="6">
        <f t="shared" si="42"/>
        <v>818.57797064322597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256.26947667603929</v>
      </c>
      <c r="Z153" s="6">
        <f t="shared" si="46"/>
        <v>12207.849947583321</v>
      </c>
      <c r="AA153" s="6">
        <f t="shared" si="47"/>
        <v>818.57797064322597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3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1664.1018640492218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1345.4147525492067</v>
      </c>
      <c r="O154" s="6">
        <f t="shared" si="41"/>
        <v>114929.38059458022</v>
      </c>
      <c r="P154" s="6">
        <f t="shared" si="42"/>
        <v>859.50686917538746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269.08295050984134</v>
      </c>
      <c r="Z154" s="6">
        <f t="shared" si="46"/>
        <v>12769.93117717558</v>
      </c>
      <c r="AA154" s="6">
        <f t="shared" si="47"/>
        <v>859.50686917538746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3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1747.3069572516829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1412.6854901766669</v>
      </c>
      <c r="O155" s="6">
        <f t="shared" si="41"/>
        <v>120200.17023464019</v>
      </c>
      <c r="P155" s="6">
        <f t="shared" si="42"/>
        <v>902.48221263415678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282.53709803533337</v>
      </c>
      <c r="Z155" s="6">
        <f t="shared" si="46"/>
        <v>13355.574470515576</v>
      </c>
      <c r="AA155" s="6">
        <f t="shared" si="47"/>
        <v>902.48221263415678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3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1834.6723051142669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1483.3197646855003</v>
      </c>
      <c r="O156" s="6">
        <f t="shared" si="41"/>
        <v>125689.96255477461</v>
      </c>
      <c r="P156" s="6">
        <f t="shared" si="42"/>
        <v>947.6063232658646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296.66395293710008</v>
      </c>
      <c r="Z156" s="6">
        <f t="shared" si="46"/>
        <v>13965.551394974957</v>
      </c>
      <c r="AA156" s="6">
        <f t="shared" si="47"/>
        <v>947.6063232658646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3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1926.4059203699803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1557.4857529197752</v>
      </c>
      <c r="O157" s="6">
        <f t="shared" si="41"/>
        <v>131405.74769743395</v>
      </c>
      <c r="P157" s="6">
        <f t="shared" si="42"/>
        <v>994.98663942915789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311.49715058395503</v>
      </c>
      <c r="Z157" s="6">
        <f t="shared" si="46"/>
        <v>14600.638633048216</v>
      </c>
      <c r="AA157" s="6">
        <f t="shared" si="47"/>
        <v>994.98663942915789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3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2022.7262163884793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1635.3600405657639</v>
      </c>
      <c r="O158" s="6">
        <f t="shared" si="41"/>
        <v>137354.54303476468</v>
      </c>
      <c r="P158" s="6">
        <f t="shared" si="42"/>
        <v>1044.7359714006157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327.07200811315278</v>
      </c>
      <c r="Z158" s="6">
        <f t="shared" si="46"/>
        <v>15261.61589275163</v>
      </c>
      <c r="AA158" s="6">
        <f t="shared" si="47"/>
        <v>1044.7359714006157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3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2123.862527207903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1717.1280425940522</v>
      </c>
      <c r="O159" s="6">
        <f t="shared" si="41"/>
        <v>143543.37245166916</v>
      </c>
      <c r="P159" s="6">
        <f t="shared" si="42"/>
        <v>1096.9727699706464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343.42560851881046</v>
      </c>
      <c r="Z159" s="6">
        <f t="shared" si="46"/>
        <v>15949.263605741018</v>
      </c>
      <c r="AA159" s="6">
        <f t="shared" si="47"/>
        <v>1096.9727699706464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3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2230.0556535682986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1802.9844447237551</v>
      </c>
      <c r="O160" s="6">
        <f t="shared" si="41"/>
        <v>149979.24365126787</v>
      </c>
      <c r="P160" s="6">
        <f t="shared" si="42"/>
        <v>1151.821408469179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360.59688894475102</v>
      </c>
      <c r="Z160" s="6">
        <f t="shared" si="46"/>
        <v>16664.360405696429</v>
      </c>
      <c r="AA160" s="6">
        <f t="shared" si="47"/>
        <v>1151.821408469179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3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2341.5584362467134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1893.1336669599425</v>
      </c>
      <c r="O161" s="6">
        <f t="shared" si="41"/>
        <v>156669.12342568417</v>
      </c>
      <c r="P161" s="6">
        <f t="shared" si="42"/>
        <v>1209.4124788926376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378.62673339198852</v>
      </c>
      <c r="Z161" s="6">
        <f t="shared" si="46"/>
        <v>17407.680380631573</v>
      </c>
      <c r="AA161" s="6">
        <f t="shared" si="47"/>
        <v>1209.4124788926376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3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2458.6363580590491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1987.7903503079397</v>
      </c>
      <c r="O162" s="6">
        <f t="shared" si="41"/>
        <v>163619.91084717223</v>
      </c>
      <c r="P162" s="6">
        <f t="shared" si="42"/>
        <v>1269.8831028372699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397.55807006158796</v>
      </c>
      <c r="Z162" s="6">
        <f t="shared" si="46"/>
        <v>18179.990094130248</v>
      </c>
      <c r="AA162" s="6">
        <f t="shared" si="47"/>
        <v>1269.8831028372699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3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2581.5681759620015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2087.1798678233367</v>
      </c>
      <c r="O163" s="6">
        <f t="shared" si="41"/>
        <v>170838.408348964</v>
      </c>
      <c r="P163" s="6">
        <f t="shared" si="42"/>
        <v>1333.3772579791332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417.43597356466734</v>
      </c>
      <c r="Z163" s="6">
        <f t="shared" si="46"/>
        <v>18982.04537210711</v>
      </c>
      <c r="AA163" s="6">
        <f t="shared" si="47"/>
        <v>1333.3772579791332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3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2710.6465847601021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2191.5388612145039</v>
      </c>
      <c r="O164" s="6">
        <f t="shared" si="41"/>
        <v>178331.29068196131</v>
      </c>
      <c r="P164" s="6">
        <f t="shared" si="42"/>
        <v>1400.0461208780901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438.3077722429008</v>
      </c>
      <c r="Z164" s="6">
        <f t="shared" si="46"/>
        <v>19814.587853551257</v>
      </c>
      <c r="AA164" s="6">
        <f t="shared" si="47"/>
        <v>1400.0461208780901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3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2846.1789139981065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2301.1158042752286</v>
      </c>
      <c r="O165" s="6">
        <f t="shared" si="41"/>
        <v>186105.07175264056</v>
      </c>
      <c r="P165" s="6">
        <f t="shared" si="42"/>
        <v>1470.0484269219942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460.22316085504571</v>
      </c>
      <c r="Z165" s="6">
        <f t="shared" si="46"/>
        <v>20678.341305848953</v>
      </c>
      <c r="AA165" s="6">
        <f t="shared" si="47"/>
        <v>1470.0484269219942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3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2988.4878596980125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2416.1715944889906</v>
      </c>
      <c r="O166" s="6">
        <f t="shared" si="41"/>
        <v>194166.06936935586</v>
      </c>
      <c r="P166" s="6">
        <f t="shared" si="42"/>
        <v>1543.5508482680943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483.23431889779812</v>
      </c>
      <c r="Z166" s="6">
        <f t="shared" si="46"/>
        <v>21574.007707706205</v>
      </c>
      <c r="AA166" s="6">
        <f t="shared" si="47"/>
        <v>1543.5508482680943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3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3137.9122526829119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2536.9801742134391</v>
      </c>
      <c r="O167" s="6">
        <f t="shared" si="41"/>
        <v>202520.36794865376</v>
      </c>
      <c r="P167" s="6">
        <f t="shared" si="42"/>
        <v>1620.7283906814985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507.39603484268781</v>
      </c>
      <c r="Z167" s="6">
        <f t="shared" si="46"/>
        <v>22502.263105405975</v>
      </c>
      <c r="AA167" s="6">
        <f t="shared" si="47"/>
        <v>1620.7283906814985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3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3294.8078653170587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2663.829182924112</v>
      </c>
      <c r="O168" s="6">
        <f t="shared" si="41"/>
        <v>211173.77926024736</v>
      </c>
      <c r="P168" s="6">
        <f t="shared" si="42"/>
        <v>1701.764810215574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532.76583658482241</v>
      </c>
      <c r="Z168" s="6">
        <f t="shared" si="46"/>
        <v>23463.753251138594</v>
      </c>
      <c r="AA168" s="6">
        <f t="shared" si="47"/>
        <v>1701.764810215574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3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3459.5482585829118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2797.0206420703175</v>
      </c>
      <c r="O169" s="6">
        <f t="shared" si="41"/>
        <v>220131.80131886774</v>
      </c>
      <c r="P169" s="6">
        <f t="shared" si="42"/>
        <v>1786.8530507263524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559.40412841406351</v>
      </c>
      <c r="Z169" s="6">
        <f t="shared" si="46"/>
        <v>24459.089035429748</v>
      </c>
      <c r="AA169" s="6">
        <f t="shared" si="47"/>
        <v>1786.8530507263524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3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3632.5256715120572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2936.8716741738331</v>
      </c>
      <c r="O170" s="6">
        <f t="shared" si="41"/>
        <v>229399.57556320727</v>
      </c>
      <c r="P170" s="6">
        <f t="shared" si="42"/>
        <v>1876.1957032626701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587.37433483476661</v>
      </c>
      <c r="Z170" s="6">
        <f t="shared" si="46"/>
        <v>25488.84172924525</v>
      </c>
      <c r="AA170" s="6">
        <f t="shared" si="47"/>
        <v>1876.1957032626701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3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3814.1519550876601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3083.7152578825248</v>
      </c>
      <c r="O171" s="6">
        <f t="shared" si="41"/>
        <v>238981.84249637712</v>
      </c>
      <c r="P171" s="6">
        <f t="shared" si="42"/>
        <v>1970.0054884258036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616.74305157650497</v>
      </c>
      <c r="Z171" s="6">
        <f t="shared" si="46"/>
        <v>26553.538055153014</v>
      </c>
      <c r="AA171" s="6">
        <f t="shared" si="47"/>
        <v>1970.0054884258036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3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4004.8595528420437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3237.9010207766514</v>
      </c>
      <c r="O172" s="6">
        <f t="shared" si="41"/>
        <v>248882.89599846367</v>
      </c>
      <c r="P172" s="6">
        <f t="shared" si="42"/>
        <v>2068.5057628470945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647.58020415533031</v>
      </c>
      <c r="Z172" s="6">
        <f t="shared" si="46"/>
        <v>27653.65511094041</v>
      </c>
      <c r="AA172" s="6">
        <f t="shared" si="47"/>
        <v>2068.5057628470945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3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4205.1025304841451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3399.7960718154836</v>
      </c>
      <c r="O173" s="6">
        <f t="shared" si="41"/>
        <v>259106.53655951627</v>
      </c>
      <c r="P173" s="6">
        <f t="shared" si="42"/>
        <v>2171.9310509894485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679.95921436309675</v>
      </c>
      <c r="Z173" s="6">
        <f t="shared" si="46"/>
        <v>28789.615173279584</v>
      </c>
      <c r="AA173" s="6">
        <f t="shared" si="47"/>
        <v>2171.9310509894485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3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4415.3576570083533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3569.7858754062586</v>
      </c>
      <c r="O174" s="6">
        <f t="shared" si="41"/>
        <v>269656.02372018393</v>
      </c>
      <c r="P174" s="6">
        <f t="shared" si="42"/>
        <v>2280.5276035389211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713.95717508125176</v>
      </c>
      <c r="Z174" s="6">
        <f t="shared" si="46"/>
        <v>29961.780413353772</v>
      </c>
      <c r="AA174" s="6">
        <f t="shared" si="47"/>
        <v>2280.5276035389211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3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4636.12553985877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3748.2751691765711</v>
      </c>
      <c r="O175" s="6">
        <f t="shared" si="41"/>
        <v>280534.02804669953</v>
      </c>
      <c r="P175" s="6">
        <f t="shared" si="42"/>
        <v>2394.5539837158667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749.65503383531427</v>
      </c>
      <c r="Z175" s="6">
        <f t="shared" si="46"/>
        <v>31170.447560744393</v>
      </c>
      <c r="AA175" s="6">
        <f t="shared" si="47"/>
        <v>2394.5539837158667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3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4867.9318168517093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3935.6889276354</v>
      </c>
      <c r="O176" s="6">
        <f t="shared" si="41"/>
        <v>291742.58300634992</v>
      </c>
      <c r="P176" s="6">
        <f t="shared" si="42"/>
        <v>2514.2816829016606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787.13778552708004</v>
      </c>
      <c r="Z176" s="6">
        <f t="shared" si="46"/>
        <v>32415.842556261101</v>
      </c>
      <c r="AA176" s="6">
        <f t="shared" si="47"/>
        <v>2514.2816829016606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3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5111.3284076942937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4132.4733740171696</v>
      </c>
      <c r="O177" s="6">
        <f t="shared" si="41"/>
        <v>303283.037148231</v>
      </c>
      <c r="P177" s="6">
        <f t="shared" si="42"/>
        <v>2639.9957670467434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826.4946748034339</v>
      </c>
      <c r="Z177" s="6">
        <f t="shared" si="46"/>
        <v>33698.115238692335</v>
      </c>
      <c r="AA177" s="6">
        <f t="shared" si="47"/>
        <v>2639.9957670467434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3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5366.8948280790091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4339.0970427180282</v>
      </c>
      <c r="O178" s="6">
        <f t="shared" si="41"/>
        <v>315156.00703115686</v>
      </c>
      <c r="P178" s="6">
        <f t="shared" si="42"/>
        <v>2771.9955553990808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867.81940854360562</v>
      </c>
      <c r="Z178" s="6">
        <f t="shared" si="46"/>
        <v>35017.334114572986</v>
      </c>
      <c r="AA178" s="6">
        <f t="shared" si="47"/>
        <v>2771.9955553990808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3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5635.2395694829593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4556.0518948539293</v>
      </c>
      <c r="O179" s="6">
        <f t="shared" si="41"/>
        <v>327361.33137516596</v>
      </c>
      <c r="P179" s="6">
        <f t="shared" si="42"/>
        <v>2910.5953331690353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911.21037897078588</v>
      </c>
      <c r="Z179" s="6">
        <f t="shared" si="46"/>
        <v>36373.481263907328</v>
      </c>
      <c r="AA179" s="6">
        <f t="shared" si="47"/>
        <v>2910.5953331690353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3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5917.0015479571084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4783.8544895966279</v>
      </c>
      <c r="O180" s="6">
        <f t="shared" si="41"/>
        <v>339898.02694418636</v>
      </c>
      <c r="P180" s="6">
        <f t="shared" si="42"/>
        <v>3056.1250998274872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956.77089791932553</v>
      </c>
      <c r="Z180" s="6">
        <f t="shared" si="46"/>
        <v>37766.447438242933</v>
      </c>
      <c r="AA180" s="6">
        <f t="shared" si="47"/>
        <v>3056.1250998274872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3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6212.8516253549633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5023.0472140764577</v>
      </c>
      <c r="O181" s="6">
        <f t="shared" si="41"/>
        <v>352764.24669405987</v>
      </c>
      <c r="P181" s="6">
        <f t="shared" si="42"/>
        <v>3208.9313548188607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1004.6094428152916</v>
      </c>
      <c r="Z181" s="6">
        <f t="shared" si="46"/>
        <v>39196.027410451097</v>
      </c>
      <c r="AA181" s="6">
        <f t="shared" si="47"/>
        <v>3208.9313548188607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3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6523.4942066227122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5274.1995747802812</v>
      </c>
      <c r="O182" s="6">
        <f t="shared" si="41"/>
        <v>365957.24074125476</v>
      </c>
      <c r="P182" s="6">
        <f t="shared" si="42"/>
        <v>3369.3779225598046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1054.8399149560562</v>
      </c>
      <c r="Z182" s="6">
        <f t="shared" si="46"/>
        <v>40661.915637917198</v>
      </c>
      <c r="AA182" s="6">
        <f t="shared" si="47"/>
        <v>3369.3779225598046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3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6849.6689169538458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5537.9095535192946</v>
      </c>
      <c r="O183" s="6">
        <f t="shared" si="41"/>
        <v>379473.32072215981</v>
      </c>
      <c r="P183" s="6">
        <f t="shared" si="42"/>
        <v>3537.846818687794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1107.581910703859</v>
      </c>
      <c r="Z183" s="6">
        <f t="shared" si="46"/>
        <v>42163.702302462203</v>
      </c>
      <c r="AA183" s="6">
        <f t="shared" si="47"/>
        <v>3537.846818687794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3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7192.1523628015402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5814.8050311952602</v>
      </c>
      <c r="O184" s="6">
        <f t="shared" si="41"/>
        <v>393307.82811984245</v>
      </c>
      <c r="P184" s="6">
        <f t="shared" si="42"/>
        <v>3714.7391596221851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1162.961006239052</v>
      </c>
      <c r="Z184" s="6">
        <f t="shared" si="46"/>
        <v>43700.869791093603</v>
      </c>
      <c r="AA184" s="6">
        <f t="shared" si="47"/>
        <v>3714.7391596221851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3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7551.759980941617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6105.5452827550234</v>
      </c>
      <c r="O185" s="6">
        <f t="shared" si="41"/>
        <v>407455.10713360825</v>
      </c>
      <c r="P185" s="6">
        <f t="shared" si="42"/>
        <v>3900.4761176032939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1221.1090565510046</v>
      </c>
      <c r="Z185" s="6">
        <f t="shared" si="46"/>
        <v>45272.789681512026</v>
      </c>
      <c r="AA185" s="6">
        <f t="shared" si="47"/>
        <v>3900.4761176032939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3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7929.3479799886991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6410.8225468927749</v>
      </c>
      <c r="O186" s="6">
        <f t="shared" si="41"/>
        <v>421908.48265577684</v>
      </c>
      <c r="P186" s="6">
        <f t="shared" si="42"/>
        <v>4095.4999234834586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1282.1645093785551</v>
      </c>
      <c r="Z186" s="6">
        <f t="shared" si="46"/>
        <v>46878.720295086314</v>
      </c>
      <c r="AA186" s="6">
        <f t="shared" si="47"/>
        <v>4095.4999234834586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3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8325.8153789881344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6731.3636742374138</v>
      </c>
      <c r="O187" s="6">
        <f t="shared" si="41"/>
        <v>436660.24389904516</v>
      </c>
      <c r="P187" s="6">
        <f t="shared" si="42"/>
        <v>4300.2749196576315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1346.2727348474828</v>
      </c>
      <c r="Z187" s="6">
        <f t="shared" si="46"/>
        <v>48517.804877671682</v>
      </c>
      <c r="AA187" s="6">
        <f t="shared" si="47"/>
        <v>4300.2749196576315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3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8742.1061479375403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7067.9318579492856</v>
      </c>
      <c r="O188" s="6">
        <f t="shared" si="41"/>
        <v>451701.63418612484</v>
      </c>
      <c r="P188" s="6">
        <f t="shared" si="42"/>
        <v>4515.2886656405135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1413.5863715898572</v>
      </c>
      <c r="Z188" s="6">
        <f t="shared" si="46"/>
        <v>50189.070465124983</v>
      </c>
      <c r="AA188" s="6">
        <f t="shared" si="47"/>
        <v>4515.2886656405135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3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9179.2114553344181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7421.3284508467486</v>
      </c>
      <c r="O189" s="6">
        <f t="shared" si="41"/>
        <v>467022.84737065446</v>
      </c>
      <c r="P189" s="6">
        <f t="shared" si="42"/>
        <v>4741.053098922539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1484.2656901693497</v>
      </c>
      <c r="Z189" s="6">
        <f t="shared" si="46"/>
        <v>51891.427485628272</v>
      </c>
      <c r="AA189" s="6">
        <f t="shared" si="47"/>
        <v>4741.053098922539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3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9638.1720281011367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7792.3948733890848</v>
      </c>
      <c r="O190" s="6">
        <f t="shared" si="41"/>
        <v>482613.0313046283</v>
      </c>
      <c r="P190" s="6">
        <f t="shared" si="42"/>
        <v>4978.1057538686664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1558.478974677817</v>
      </c>
      <c r="Z190" s="6">
        <f t="shared" si="46"/>
        <v>53623.670144958698</v>
      </c>
      <c r="AA190" s="6">
        <f t="shared" si="47"/>
        <v>4978.1057538686664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3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10120.080629506194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8182.0146170585394</v>
      </c>
      <c r="O191" s="6">
        <f t="shared" si="41"/>
        <v>498460.29870291607</v>
      </c>
      <c r="P191" s="6">
        <f t="shared" si="42"/>
        <v>5227.0110415620984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1636.4029234117079</v>
      </c>
      <c r="Z191" s="6">
        <f t="shared" si="46"/>
        <v>55384.477633657341</v>
      </c>
      <c r="AA191" s="6">
        <f t="shared" si="47"/>
        <v>5227.0110415620984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3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10626.084660981505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8591.1153479114673</v>
      </c>
      <c r="O192" s="6">
        <f t="shared" si="41"/>
        <v>514551.74568035477</v>
      </c>
      <c r="P192" s="6">
        <f t="shared" si="42"/>
        <v>5488.3615936402048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1718.2230695822934</v>
      </c>
      <c r="Z192" s="6">
        <f t="shared" si="46"/>
        <v>57172.416186706083</v>
      </c>
      <c r="AA192" s="6">
        <f t="shared" si="47"/>
        <v>5488.3615936402048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3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11157.388894030579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9020.6711153070391</v>
      </c>
      <c r="O193" s="6">
        <f t="shared" si="41"/>
        <v>530873.47815217287</v>
      </c>
      <c r="P193" s="6">
        <f t="shared" si="42"/>
        <v>5762.779673322214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1804.1342230614077</v>
      </c>
      <c r="Z193" s="6">
        <f t="shared" si="46"/>
        <v>58985.942016908099</v>
      </c>
      <c r="AA193" s="6">
        <f t="shared" si="47"/>
        <v>5762.779673322214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3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11715.25833873211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9471.7046710723935</v>
      </c>
      <c r="O194" s="6">
        <f t="shared" si="41"/>
        <v>547410.64619523182</v>
      </c>
      <c r="P194" s="6">
        <f t="shared" si="42"/>
        <v>6050.918656988325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1894.3409342144787</v>
      </c>
      <c r="Z194" s="6">
        <f t="shared" si="46"/>
        <v>60823.405132803535</v>
      </c>
      <c r="AA194" s="6">
        <f t="shared" si="47"/>
        <v>6050.918656988325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3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12301.021255668717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9945.2899046260136</v>
      </c>
      <c r="O195" s="6">
        <f t="shared" si="41"/>
        <v>564147.48636717314</v>
      </c>
      <c r="P195" s="6">
        <f t="shared" si="42"/>
        <v>6353.4645898377421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1989.0579809252026</v>
      </c>
      <c r="Z195" s="6">
        <f t="shared" si="46"/>
        <v>62683.054040797018</v>
      </c>
      <c r="AA195" s="6">
        <f t="shared" si="47"/>
        <v>6353.4645898377421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3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12916.072318452152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10442.554399857316</v>
      </c>
      <c r="O196" s="6">
        <f t="shared" si="41"/>
        <v>581067.37187471974</v>
      </c>
      <c r="P196" s="6">
        <f t="shared" si="42"/>
        <v>6671.1378193296287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2088.5108799714631</v>
      </c>
      <c r="Z196" s="6">
        <f t="shared" si="46"/>
        <v>64563.041319413307</v>
      </c>
      <c r="AA196" s="6">
        <f t="shared" si="47"/>
        <v>6671.1378193296287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3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13561.875934374757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10964.682119850178</v>
      </c>
      <c r="O197" s="6">
        <f t="shared" si="41"/>
        <v>598152.87037305185</v>
      </c>
      <c r="P197" s="6">
        <f t="shared" si="42"/>
        <v>7004.6947102961094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2192.9364239700358</v>
      </c>
      <c r="Z197" s="6">
        <f t="shared" si="46"/>
        <v>66461.430041450207</v>
      </c>
      <c r="AA197" s="6">
        <f t="shared" si="47"/>
        <v>7004.6947102961094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3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14239.969731093499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11512.91622584269</v>
      </c>
      <c r="O198" s="6">
        <f t="shared" si="41"/>
        <v>615385.80906752264</v>
      </c>
      <c r="P198" s="6">
        <f t="shared" si="42"/>
        <v>7354.9294458109171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2302.5832451685378</v>
      </c>
      <c r="Z198" s="6">
        <f t="shared" si="46"/>
        <v>68376.201007502517</v>
      </c>
      <c r="AA198" s="6">
        <f t="shared" si="47"/>
        <v>7354.9294458109171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3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14951.968217648167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12088.56203713482</v>
      </c>
      <c r="O199" s="6">
        <f t="shared" si="41"/>
        <v>632747.34667931695</v>
      </c>
      <c r="P199" s="6">
        <f t="shared" si="42"/>
        <v>7722.6759181014604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2417.7124074269641</v>
      </c>
      <c r="Z199" s="6">
        <f t="shared" si="46"/>
        <v>70305.260742146333</v>
      </c>
      <c r="AA199" s="6">
        <f t="shared" si="47"/>
        <v>7722.6759181014604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3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15699.566628530583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12692.990138991565</v>
      </c>
      <c r="O200" s="6">
        <f t="shared" si="41"/>
        <v>650218.05173040368</v>
      </c>
      <c r="P200" s="6">
        <f t="shared" si="42"/>
        <v>8108.8097140065356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2538.5980277983131</v>
      </c>
      <c r="Z200" s="6">
        <f t="shared" si="46"/>
        <v>72246.450192267075</v>
      </c>
      <c r="AA200" s="6">
        <f t="shared" si="47"/>
        <v>8108.8097140065356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3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16484.544959957111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13327.639645941143</v>
      </c>
      <c r="O201" s="6">
        <f t="shared" si="41"/>
        <v>667777.98650272016</v>
      </c>
      <c r="P201" s="6">
        <f t="shared" si="42"/>
        <v>8514.250199706863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2665.5279291882284</v>
      </c>
      <c r="Z201" s="6">
        <f t="shared" si="46"/>
        <v>74197.554055857792</v>
      </c>
      <c r="AA201" s="6">
        <f t="shared" si="47"/>
        <v>8514.250199706863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3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17308.772207954968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13994.021628238201</v>
      </c>
      <c r="O202" s="6">
        <f t="shared" ref="O202:O236" si="55">F202*$K$21/(1+P202/$P$22)</f>
        <v>685406.79593435104</v>
      </c>
      <c r="P202" s="6">
        <f t="shared" ref="P202:P236" si="56">G202*$K$21</f>
        <v>8939.9627096922068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2798.8043256476403</v>
      </c>
      <c r="Z202" s="6">
        <f t="shared" si="46"/>
        <v>76156.310659372335</v>
      </c>
      <c r="AA202" s="6">
        <f t="shared" si="47"/>
        <v>8939.9627096922068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3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18174.210818352716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14693.72270965011</v>
      </c>
      <c r="O203" s="6">
        <f t="shared" si="55"/>
        <v>703083.80063374608</v>
      </c>
      <c r="P203" s="6">
        <f t="shared" si="56"/>
        <v>9386.9608451768163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2938.744541930022</v>
      </c>
      <c r="Z203" s="6">
        <f t="shared" ref="Z203:Z236" si="60">O203/$X$22</f>
        <v>78120.422292638454</v>
      </c>
      <c r="AA203" s="6">
        <f t="shared" ref="AA203:AA236" si="61">P203</f>
        <v>9386.9608451768163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3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19082.921359270353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15428.408845132617</v>
      </c>
      <c r="O204" s="6">
        <f t="shared" si="55"/>
        <v>720788.09312384308</v>
      </c>
      <c r="P204" s="6">
        <f t="shared" si="56"/>
        <v>9856.3088874356563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3085.6817690265234</v>
      </c>
      <c r="Z204" s="6">
        <f t="shared" si="60"/>
        <v>80087.565902649236</v>
      </c>
      <c r="AA204" s="6">
        <f t="shared" si="61"/>
        <v>9856.3088874356563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3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20037.067427233869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16199.829287389246</v>
      </c>
      <c r="O205" s="6">
        <f t="shared" si="55"/>
        <v>738498.63637304783</v>
      </c>
      <c r="P205" s="6">
        <f t="shared" si="56"/>
        <v>10349.124331807441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3239.9658574778491</v>
      </c>
      <c r="Z205" s="6">
        <f t="shared" si="60"/>
        <v>82055.404041449758</v>
      </c>
      <c r="AA205" s="6">
        <f t="shared" si="61"/>
        <v>10349.124331807441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3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21038.920798595562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17009.820751758711</v>
      </c>
      <c r="O206" s="6">
        <f t="shared" si="55"/>
        <v>756194.36363080773</v>
      </c>
      <c r="P206" s="6">
        <f t="shared" si="56"/>
        <v>10866.580548397811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3401.9641503517423</v>
      </c>
      <c r="Z206" s="6">
        <f t="shared" si="60"/>
        <v>84021.595958978636</v>
      </c>
      <c r="AA206" s="6">
        <f t="shared" si="61"/>
        <v>10866.580548397811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3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22090.86683852534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17860.311789346644</v>
      </c>
      <c r="O207" s="6">
        <f t="shared" si="55"/>
        <v>773854.27856302483</v>
      </c>
      <c r="P207" s="6">
        <f t="shared" si="56"/>
        <v>11409.909575817703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3572.0623578693289</v>
      </c>
      <c r="Z207" s="6">
        <f t="shared" si="60"/>
        <v>85983.808729224984</v>
      </c>
      <c r="AA207" s="6">
        <f t="shared" si="61"/>
        <v>11409.909575817703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3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23195.41018045161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18753.327378813978</v>
      </c>
      <c r="O208" s="6">
        <f t="shared" si="55"/>
        <v>791457.5546773742</v>
      </c>
      <c r="P208" s="6">
        <f t="shared" si="56"/>
        <v>11980.405054608589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3750.6654757627957</v>
      </c>
      <c r="Z208" s="6">
        <f t="shared" si="60"/>
        <v>87939.728297486028</v>
      </c>
      <c r="AA208" s="6">
        <f t="shared" si="61"/>
        <v>11980.405054608589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3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24355.180689474189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19690.993747754681</v>
      </c>
      <c r="O209" s="6">
        <f t="shared" si="55"/>
        <v>808983.6330408504</v>
      </c>
      <c r="P209" s="6">
        <f t="shared" si="56"/>
        <v>12579.425307339017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3938.1987495509361</v>
      </c>
      <c r="Z209" s="6">
        <f t="shared" si="60"/>
        <v>89887.070337872268</v>
      </c>
      <c r="AA209" s="6">
        <f t="shared" si="61"/>
        <v>12579.425307339017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3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25572.939723947897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20675.543435142408</v>
      </c>
      <c r="O210" s="6">
        <f t="shared" si="55"/>
        <v>826412.31732126849</v>
      </c>
      <c r="P210" s="6">
        <f t="shared" si="56"/>
        <v>13208.396572705968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4135.1086870284817</v>
      </c>
      <c r="Z210" s="6">
        <f t="shared" si="60"/>
        <v>91823.590813474279</v>
      </c>
      <c r="AA210" s="6">
        <f t="shared" si="61"/>
        <v>13208.396572705968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3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26851.58671014529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21709.320606899528</v>
      </c>
      <c r="O211" s="6">
        <f t="shared" si="55"/>
        <v>843723.86523017148</v>
      </c>
      <c r="P211" s="6">
        <f t="shared" si="56"/>
        <v>13868.816401341266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4341.8641213799056</v>
      </c>
      <c r="Z211" s="6">
        <f t="shared" si="60"/>
        <v>93747.096136685723</v>
      </c>
      <c r="AA211" s="6">
        <f t="shared" si="61"/>
        <v>13868.816401341266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3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28194.166045652557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22794.78663724451</v>
      </c>
      <c r="O212" s="6">
        <f t="shared" si="55"/>
        <v>860899.07550552825</v>
      </c>
      <c r="P212" s="6">
        <f t="shared" si="56"/>
        <v>14562.25722140833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4558.9573274489021</v>
      </c>
      <c r="Z212" s="6">
        <f t="shared" si="60"/>
        <v>95655.45283394758</v>
      </c>
      <c r="AA212" s="6">
        <f t="shared" si="61"/>
        <v>14562.25722140833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3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29603.874347935183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23934.525969106729</v>
      </c>
      <c r="O213" s="6">
        <f t="shared" si="55"/>
        <v>877919.36964709102</v>
      </c>
      <c r="P213" s="6">
        <f t="shared" si="56"/>
        <v>15290.370082478745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4786.9051938213461</v>
      </c>
      <c r="Z213" s="6">
        <f t="shared" si="60"/>
        <v>97546.596627454564</v>
      </c>
      <c r="AA213" s="6">
        <f t="shared" si="61"/>
        <v>15290.370082478745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3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31084.06806533195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25131.252267562078</v>
      </c>
      <c r="O214" s="6">
        <f t="shared" si="55"/>
        <v>894766.86770353094</v>
      </c>
      <c r="P214" s="6">
        <f t="shared" si="56"/>
        <v>16054.888586602687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5026.2504535124153</v>
      </c>
      <c r="Z214" s="6">
        <f t="shared" si="60"/>
        <v>99418.540855947882</v>
      </c>
      <c r="AA214" s="6">
        <f t="shared" si="61"/>
        <v>16054.888586602687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3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32638.271468598537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26387.814880940168</v>
      </c>
      <c r="O215" s="6">
        <f t="shared" si="55"/>
        <v>911424.45750626444</v>
      </c>
      <c r="P215" s="6">
        <f t="shared" si="56"/>
        <v>16857.633015932814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5277.5629761880336</v>
      </c>
      <c r="Z215" s="6">
        <f t="shared" si="60"/>
        <v>101269.38416736272</v>
      </c>
      <c r="AA215" s="6">
        <f t="shared" si="61"/>
        <v>16857.633015932814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3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34270.185042028475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27707.205624987182</v>
      </c>
      <c r="O216" s="6">
        <f t="shared" si="55"/>
        <v>927875.85684796993</v>
      </c>
      <c r="P216" s="6">
        <f t="shared" si="56"/>
        <v>17700.514666729461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5541.4411249974364</v>
      </c>
      <c r="Z216" s="6">
        <f t="shared" si="60"/>
        <v>103097.31742755222</v>
      </c>
      <c r="AA216" s="6">
        <f t="shared" si="61"/>
        <v>17700.514666729461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3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35983.694294129898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29092.565906236541</v>
      </c>
      <c r="O217" s="6">
        <f t="shared" si="55"/>
        <v>944105.66821172193</v>
      </c>
      <c r="P217" s="6">
        <f t="shared" si="56"/>
        <v>18585.540400065933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5818.5131812473082</v>
      </c>
      <c r="Z217" s="6">
        <f t="shared" si="60"/>
        <v>104900.62980130244</v>
      </c>
      <c r="AA217" s="6">
        <f t="shared" si="61"/>
        <v>18585.540400065933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3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37782.879008836397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30547.19420154838</v>
      </c>
      <c r="O218" s="6">
        <f t="shared" si="55"/>
        <v>960099.42576703301</v>
      </c>
      <c r="P218" s="6">
        <f t="shared" si="56"/>
        <v>19514.817420069234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6109.4388403096764</v>
      </c>
      <c r="Z218" s="6">
        <f t="shared" si="60"/>
        <v>106677.71397411478</v>
      </c>
      <c r="AA218" s="6">
        <f t="shared" si="61"/>
        <v>19514.817420069234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3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39672.022959278213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32074.55391162579</v>
      </c>
      <c r="O219" s="6">
        <f t="shared" si="55"/>
        <v>975843.63445946854</v>
      </c>
      <c r="P219" s="6">
        <f t="shared" si="56"/>
        <v>20490.558291072695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6414.9107823251579</v>
      </c>
      <c r="Z219" s="6">
        <f t="shared" si="60"/>
        <v>108427.0704954965</v>
      </c>
      <c r="AA219" s="6">
        <f t="shared" si="61"/>
        <v>20490.558291072695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3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41655.624107242125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33678.281607207085</v>
      </c>
      <c r="O220" s="6">
        <f t="shared" si="55"/>
        <v>991325.80112866941</v>
      </c>
      <c r="P220" s="6">
        <f t="shared" si="56"/>
        <v>21515.086205626325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6735.6563214414173</v>
      </c>
      <c r="Z220" s="6">
        <f t="shared" si="60"/>
        <v>110147.31123651883</v>
      </c>
      <c r="AA220" s="6">
        <f t="shared" si="61"/>
        <v>21515.086205626325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3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43738.405312604234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35362.195687567437</v>
      </c>
      <c r="O221" s="6">
        <f t="shared" si="55"/>
        <v>1006534.4576934609</v>
      </c>
      <c r="P221" s="6">
        <f t="shared" si="56"/>
        <v>22590.840515907646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7072.4391375134874</v>
      </c>
      <c r="Z221" s="6">
        <f t="shared" si="60"/>
        <v>111837.16196594009</v>
      </c>
      <c r="AA221" s="6">
        <f t="shared" si="61"/>
        <v>22590.840515907646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3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45925.325578234442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37130.305471945809</v>
      </c>
      <c r="O222" s="6">
        <f t="shared" si="55"/>
        <v>1021459.1765404171</v>
      </c>
      <c r="P222" s="6">
        <f t="shared" si="56"/>
        <v>23720.382541703028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7426.0610943891616</v>
      </c>
      <c r="Z222" s="6">
        <f t="shared" si="60"/>
        <v>113495.46406004635</v>
      </c>
      <c r="AA222" s="6">
        <f t="shared" si="61"/>
        <v>23720.382541703028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3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48221.591857146159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38986.820745543104</v>
      </c>
      <c r="O223" s="6">
        <f t="shared" si="55"/>
        <v>1036090.5783421927</v>
      </c>
      <c r="P223" s="6">
        <f t="shared" si="56"/>
        <v>24906.401668788174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7797.3641491086209</v>
      </c>
      <c r="Z223" s="6">
        <f t="shared" si="60"/>
        <v>115121.17537135474</v>
      </c>
      <c r="AA223" s="6">
        <f t="shared" si="61"/>
        <v>24906.401668788174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3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50632.67145000348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40936.161782820258</v>
      </c>
      <c r="O224" s="6">
        <f t="shared" si="55"/>
        <v>1050420.3326128637</v>
      </c>
      <c r="P224" s="6">
        <f t="shared" si="56"/>
        <v>26151.721752227593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8187.2323565640518</v>
      </c>
      <c r="Z224" s="6">
        <f t="shared" si="60"/>
        <v>116713.3702903182</v>
      </c>
      <c r="AA224" s="6">
        <f t="shared" si="61"/>
        <v>26151.721752227593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3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53164.305022503642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42982.969871961272</v>
      </c>
      <c r="O225" s="6">
        <f t="shared" si="55"/>
        <v>1064441.1513784432</v>
      </c>
      <c r="P225" s="6">
        <f t="shared" si="56"/>
        <v>27459.307839838966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8596.5939743922536</v>
      </c>
      <c r="Z225" s="6">
        <f t="shared" si="60"/>
        <v>118271.23904204924</v>
      </c>
      <c r="AA225" s="6">
        <f t="shared" si="61"/>
        <v>27459.307839838966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3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55822.520273628834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45132.118365559341</v>
      </c>
      <c r="O226" s="6">
        <f t="shared" si="55"/>
        <v>1078146.7764010073</v>
      </c>
      <c r="P226" s="6">
        <f t="shared" si="56"/>
        <v>28832.273231830914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9026.423673111869</v>
      </c>
      <c r="Z226" s="6">
        <f t="shared" si="60"/>
        <v>119794.08626677858</v>
      </c>
      <c r="AA226" s="6">
        <f t="shared" si="61"/>
        <v>28832.273231830914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3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58613.646287310272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47388.724283837291</v>
      </c>
      <c r="O227" s="6">
        <f t="shared" si="55"/>
        <v>1091531.9604441335</v>
      </c>
      <c r="P227" s="6">
        <f t="shared" si="56"/>
        <v>30273.886893422463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9477.7448567674583</v>
      </c>
      <c r="Z227" s="6">
        <f t="shared" si="60"/>
        <v>121281.32893823706</v>
      </c>
      <c r="AA227" s="6">
        <f t="shared" si="61"/>
        <v>30273.886893422463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3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61544.328601675799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49758.160498029167</v>
      </c>
      <c r="O228" s="6">
        <f t="shared" si="55"/>
        <v>1104592.4431055358</v>
      </c>
      <c r="P228" s="6">
        <f t="shared" si="56"/>
        <v>31787.581238093589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9951.632099605833</v>
      </c>
      <c r="Z228" s="6">
        <f t="shared" si="60"/>
        <v>122732.49367839287</v>
      </c>
      <c r="AA228" s="6">
        <f t="shared" si="61"/>
        <v>31787.581238093589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3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64621.545031759575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52246.068522930611</v>
      </c>
      <c r="O229" s="6">
        <f t="shared" si="55"/>
        <v>1117324.9217700858</v>
      </c>
      <c r="P229" s="6">
        <f t="shared" si="56"/>
        <v>33376.960299998267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10449.213704586122</v>
      </c>
      <c r="Z229" s="6">
        <f t="shared" si="60"/>
        <v>124147.21353000954</v>
      </c>
      <c r="AA229" s="6">
        <f t="shared" si="61"/>
        <v>33376.960299998267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3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67852.622283347562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54858.371949077169</v>
      </c>
      <c r="O230" s="6">
        <f t="shared" si="55"/>
        <v>1129727.018253257</v>
      </c>
      <c r="P230" s="6">
        <f t="shared" si="56"/>
        <v>35045.808314998183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10971.674389815435</v>
      </c>
      <c r="Z230" s="6">
        <f t="shared" si="60"/>
        <v>125525.22425036189</v>
      </c>
      <c r="AA230" s="6">
        <f t="shared" si="61"/>
        <v>35045.808314998183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3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71245.253397514913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57601.290546530996</v>
      </c>
      <c r="O231" s="6">
        <f t="shared" si="55"/>
        <v>1141797.2417120466</v>
      </c>
      <c r="P231" s="6">
        <f t="shared" si="56"/>
        <v>36798.098730748075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11520.2581093062</v>
      </c>
      <c r="Z231" s="6">
        <f t="shared" si="60"/>
        <v>126866.36019022739</v>
      </c>
      <c r="AA231" s="6">
        <f t="shared" si="61"/>
        <v>36798.098730748075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3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74807.516067390694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60481.355073857572</v>
      </c>
      <c r="O232" s="6">
        <f t="shared" si="55"/>
        <v>1153534.9483983929</v>
      </c>
      <c r="P232" s="6">
        <f t="shared" si="56"/>
        <v>38638.003667285499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12096.271014771515</v>
      </c>
      <c r="Z232" s="6">
        <f t="shared" si="60"/>
        <v>128170.54982204366</v>
      </c>
      <c r="AA232" s="6">
        <f t="shared" si="61"/>
        <v>38638.003667285499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3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78547.891870760213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63505.422827550457</v>
      </c>
      <c r="O233" s="6">
        <f t="shared" si="55"/>
        <v>1164940.2988199119</v>
      </c>
      <c r="P233" s="6">
        <f t="shared" si="56"/>
        <v>40569.903850649775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12701.084565510091</v>
      </c>
      <c r="Z233" s="6">
        <f t="shared" si="60"/>
        <v>129437.81097999022</v>
      </c>
      <c r="AA233" s="6">
        <f t="shared" si="61"/>
        <v>40569.903850649775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3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82475.286464298231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66680.693968927968</v>
      </c>
      <c r="O234" s="6">
        <f t="shared" si="55"/>
        <v>1176014.2128554278</v>
      </c>
      <c r="P234" s="6">
        <f t="shared" si="56"/>
        <v>42598.39904318226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13336.138793785594</v>
      </c>
      <c r="Z234" s="6">
        <f t="shared" si="60"/>
        <v>130668.24587282531</v>
      </c>
      <c r="AA234" s="6">
        <f t="shared" si="61"/>
        <v>42598.39904318226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3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86599.050787513144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70014.728667374351</v>
      </c>
      <c r="O235" s="6">
        <f t="shared" si="55"/>
        <v>1186758.3233492614</v>
      </c>
      <c r="P235" s="6">
        <f t="shared" si="56"/>
        <v>44728.318995341375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14002.945733474869</v>
      </c>
      <c r="Z235" s="6">
        <f t="shared" si="60"/>
        <v>131862.03592769572</v>
      </c>
      <c r="AA235" s="6">
        <f t="shared" si="61"/>
        <v>44728.318995341375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3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90929.003326888822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73515.465100743095</v>
      </c>
      <c r="O236" s="6">
        <f t="shared" si="55"/>
        <v>1197174.9286796718</v>
      </c>
      <c r="P236" s="6">
        <f t="shared" si="56"/>
        <v>46964.734945108452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14703.093020148619</v>
      </c>
      <c r="Z236" s="6">
        <f t="shared" si="60"/>
        <v>133019.43651996355</v>
      </c>
      <c r="AA236" s="6">
        <f t="shared" si="61"/>
        <v>46964.734945108452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3">
        <f t="shared" si="64"/>
        <v>2.4999999999999996</v>
      </c>
    </row>
    <row r="238" spans="3:32" ht="14.25" customHeight="1" x14ac:dyDescent="0.2">
      <c r="C238" s="3" t="s">
        <v>302</v>
      </c>
      <c r="D238" s="2" t="s">
        <v>312</v>
      </c>
      <c r="I238" s="3" t="s">
        <v>303</v>
      </c>
      <c r="Q238" s="2"/>
    </row>
    <row r="239" spans="3:32" ht="14.25" customHeight="1" x14ac:dyDescent="0.2">
      <c r="D239" s="3" t="s">
        <v>301</v>
      </c>
      <c r="E239" s="3" t="s">
        <v>146</v>
      </c>
      <c r="F239" s="3" t="s">
        <v>147</v>
      </c>
      <c r="G239" s="3" t="s">
        <v>124</v>
      </c>
      <c r="H239" s="76" t="s">
        <v>15</v>
      </c>
      <c r="J239" s="24" t="s">
        <v>13</v>
      </c>
      <c r="K239" s="3" t="s">
        <v>147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29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435.04350435043506</v>
      </c>
    </row>
    <row r="242" spans="3:32" ht="14.25" customHeight="1" x14ac:dyDescent="0.2">
      <c r="D242" s="1">
        <v>3</v>
      </c>
      <c r="E242" s="1">
        <f>E241-E8</f>
        <v>24</v>
      </c>
      <c r="F242" s="1">
        <f>F7</f>
        <v>40</v>
      </c>
      <c r="G242" s="1">
        <f>G241-G8</f>
        <v>6</v>
      </c>
      <c r="H242" s="6">
        <f t="shared" si="65"/>
        <v>4.6157396722824835</v>
      </c>
      <c r="J242" s="1">
        <f t="shared" ref="J242:J244" si="66">J241</f>
        <v>14.666</v>
      </c>
      <c r="K242" s="6">
        <f t="shared" ref="K242:K244" si="67">E242*H242</f>
        <v>110.7777521347796</v>
      </c>
    </row>
    <row r="243" spans="3:32" ht="14.25" customHeight="1" x14ac:dyDescent="0.2">
      <c r="D243" s="1">
        <v>2</v>
      </c>
      <c r="E243" s="1">
        <f>E242-E7</f>
        <v>14</v>
      </c>
      <c r="F243" s="1">
        <f>F9</f>
        <v>40</v>
      </c>
      <c r="G243" s="1">
        <f>G242-G7</f>
        <v>6</v>
      </c>
      <c r="H243" s="6">
        <f t="shared" si="65"/>
        <v>4.6157396722824835</v>
      </c>
      <c r="J243" s="1">
        <f t="shared" si="66"/>
        <v>14.666</v>
      </c>
      <c r="K243" s="6">
        <f t="shared" si="67"/>
        <v>64.620355411954762</v>
      </c>
    </row>
    <row r="244" spans="3:32" ht="14.25" customHeight="1" x14ac:dyDescent="0.2">
      <c r="D244" s="1">
        <v>1</v>
      </c>
      <c r="E244" s="1">
        <f>E10</f>
        <v>4</v>
      </c>
      <c r="F244" s="1">
        <f>F10</f>
        <v>50</v>
      </c>
      <c r="G244" s="1">
        <f>G10</f>
        <v>6</v>
      </c>
      <c r="H244" s="6">
        <f t="shared" si="65"/>
        <v>5.7696745903531035</v>
      </c>
      <c r="J244" s="1">
        <f t="shared" si="66"/>
        <v>14.666</v>
      </c>
      <c r="K244" s="6">
        <f t="shared" si="67"/>
        <v>23.078698361412414</v>
      </c>
    </row>
    <row r="245" spans="3:32" ht="14.25" customHeight="1" x14ac:dyDescent="0.2">
      <c r="H245" s="6">
        <f>SUM(H240:H244)</f>
        <v>30.00265408493307</v>
      </c>
      <c r="I245" s="1" t="s">
        <v>304</v>
      </c>
      <c r="J245" s="1">
        <f>MAX(J240:J244)</f>
        <v>14.666</v>
      </c>
      <c r="K245" s="6">
        <f>SUM(K240:K244)</f>
        <v>633.52031025858184</v>
      </c>
    </row>
    <row r="247" spans="3:32" ht="14.25" customHeight="1" collapsed="1" x14ac:dyDescent="0.2">
      <c r="C247" s="3" t="s">
        <v>162</v>
      </c>
      <c r="E247" s="1">
        <f>J245</f>
        <v>14.666</v>
      </c>
      <c r="F247" s="6">
        <f>K245</f>
        <v>633.52031025858184</v>
      </c>
      <c r="G247" s="17">
        <v>5</v>
      </c>
      <c r="J247" s="1" t="s">
        <v>306</v>
      </c>
      <c r="K247" s="1">
        <f>K21</f>
        <v>75</v>
      </c>
      <c r="L247" s="3" t="s">
        <v>305</v>
      </c>
      <c r="P247" s="6">
        <f>MAX(P250:P349)</f>
        <v>46964.734945108452</v>
      </c>
      <c r="X247" s="1" t="s">
        <v>309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47514.023269393641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186</v>
      </c>
      <c r="E249" s="1" t="s">
        <v>146</v>
      </c>
      <c r="F249" s="1" t="s">
        <v>147</v>
      </c>
      <c r="G249" s="1" t="s">
        <v>139</v>
      </c>
      <c r="H249" s="17" t="s">
        <v>140</v>
      </c>
      <c r="I249" s="17" t="s">
        <v>141</v>
      </c>
      <c r="J249" s="17" t="s">
        <v>142</v>
      </c>
      <c r="M249" s="1" t="s">
        <v>164</v>
      </c>
      <c r="N249" s="1" t="s">
        <v>165</v>
      </c>
      <c r="O249" s="1" t="s">
        <v>166</v>
      </c>
      <c r="P249" s="1" t="s">
        <v>139</v>
      </c>
      <c r="Q249" s="17" t="s">
        <v>140</v>
      </c>
      <c r="R249" s="17" t="s">
        <v>141</v>
      </c>
      <c r="S249" s="17" t="s">
        <v>142</v>
      </c>
      <c r="T249" s="17" t="s">
        <v>167</v>
      </c>
      <c r="U249" s="17" t="s">
        <v>198</v>
      </c>
      <c r="V249" s="1" t="s">
        <v>308</v>
      </c>
      <c r="X249" s="1" t="s">
        <v>164</v>
      </c>
      <c r="Y249" s="1" t="s">
        <v>165</v>
      </c>
      <c r="Z249" s="1" t="s">
        <v>166</v>
      </c>
      <c r="AA249" s="1" t="s">
        <v>139</v>
      </c>
      <c r="AB249" s="1" t="s">
        <v>140</v>
      </c>
      <c r="AC249" s="1" t="s">
        <v>141</v>
      </c>
      <c r="AD249" s="1" t="s">
        <v>142</v>
      </c>
      <c r="AE249" s="1" t="s">
        <v>307</v>
      </c>
      <c r="AF249" s="1" t="s">
        <v>199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633.52031025858184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733.30000000000007</v>
      </c>
      <c r="O250" s="6">
        <f>F250*$K$21/(1+P250/$P$22)</f>
        <v>45796.648934355311</v>
      </c>
      <c r="P250" s="6">
        <f>G250*$K$21</f>
        <v>375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146.66000000000003</v>
      </c>
      <c r="Z250" s="6">
        <f>O250/$X$22</f>
        <v>5088.5165482617012</v>
      </c>
      <c r="AA250" s="6">
        <f>P250</f>
        <v>375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3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665.19632577151094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769.96500000000003</v>
      </c>
      <c r="O251" s="6">
        <f t="shared" ref="O251:O314" si="73">F251*$K$21/(1+P251/$P$22)</f>
        <v>47999.734872267785</v>
      </c>
      <c r="P251" s="6">
        <f t="shared" ref="P251:P314" si="74">G251*$K$21</f>
        <v>393.75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153.99299999999999</v>
      </c>
      <c r="Z251" s="6">
        <f>O251/$X$22</f>
        <v>5333.3038746964203</v>
      </c>
      <c r="AA251" s="6">
        <f>P251</f>
        <v>393.75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3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698.45614206008645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808.46325000000002</v>
      </c>
      <c r="O252" s="6">
        <f t="shared" si="73"/>
        <v>50304.436603673363</v>
      </c>
      <c r="P252" s="6">
        <f t="shared" si="74"/>
        <v>413.4375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161.69265000000001</v>
      </c>
      <c r="Z252" s="6">
        <f t="shared" ref="Z252:Z315" si="78">O252/$X$22</f>
        <v>5589.3818448525963</v>
      </c>
      <c r="AA252" s="6">
        <f t="shared" ref="AA252:AA315" si="79">P252</f>
        <v>413.4375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3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733.37894916309085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848.88641250000023</v>
      </c>
      <c r="O253" s="6">
        <f t="shared" si="73"/>
        <v>52715.013050389658</v>
      </c>
      <c r="P253" s="6">
        <f t="shared" si="74"/>
        <v>434.10937500000006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169.77728250000004</v>
      </c>
      <c r="Z253" s="6">
        <f t="shared" si="78"/>
        <v>5857.223672265518</v>
      </c>
      <c r="AA253" s="6">
        <f t="shared" si="79"/>
        <v>434.10937500000006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3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770.0478966212454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891.33073312500005</v>
      </c>
      <c r="O254" s="6">
        <f t="shared" si="73"/>
        <v>55235.85976765438</v>
      </c>
      <c r="P254" s="6">
        <f t="shared" si="74"/>
        <v>455.81484374999997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178.266146625</v>
      </c>
      <c r="Z254" s="6">
        <f t="shared" si="78"/>
        <v>6137.3177519615974</v>
      </c>
      <c r="AA254" s="6">
        <f t="shared" si="79"/>
        <v>455.81484374999997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3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808.55029145230765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935.89726978125009</v>
      </c>
      <c r="O255" s="6">
        <f t="shared" si="73"/>
        <v>57871.509106426223</v>
      </c>
      <c r="P255" s="6">
        <f t="shared" si="74"/>
        <v>478.60558593750005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187.17945395625003</v>
      </c>
      <c r="Z255" s="6">
        <f t="shared" si="78"/>
        <v>6430.1676784918027</v>
      </c>
      <c r="AA255" s="6">
        <f t="shared" si="79"/>
        <v>478.60558593750005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3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848.97780602492298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982.69213327031252</v>
      </c>
      <c r="O256" s="6">
        <f t="shared" si="73"/>
        <v>60626.629862452071</v>
      </c>
      <c r="P256" s="6">
        <f t="shared" si="74"/>
        <v>502.53586523437497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196.5384266540625</v>
      </c>
      <c r="Z256" s="6">
        <f t="shared" si="78"/>
        <v>6736.2922069391188</v>
      </c>
      <c r="AA256" s="6">
        <f t="shared" si="79"/>
        <v>502.53586523437497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3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891.42669632616935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1031.8267399338285</v>
      </c>
      <c r="O257" s="6">
        <f t="shared" si="73"/>
        <v>63506.026354774382</v>
      </c>
      <c r="P257" s="6">
        <f t="shared" si="74"/>
        <v>527.66265849609385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206.3653479867657</v>
      </c>
      <c r="Z257" s="6">
        <f t="shared" si="78"/>
        <v>7056.2251505304866</v>
      </c>
      <c r="AA257" s="6">
        <f t="shared" si="79"/>
        <v>527.66265849609385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3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935.99803114247766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1083.4180769305196</v>
      </c>
      <c r="O258" s="6">
        <f t="shared" si="73"/>
        <v>66514.636872951043</v>
      </c>
      <c r="P258" s="6">
        <f t="shared" si="74"/>
        <v>554.04579142089847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216.68361538610392</v>
      </c>
      <c r="Z258" s="6">
        <f t="shared" si="78"/>
        <v>7390.5152081056713</v>
      </c>
      <c r="AA258" s="6">
        <f t="shared" si="79"/>
        <v>554.04579142089847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3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982.79793269960157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1137.5889807770457</v>
      </c>
      <c r="O259" s="6">
        <f t="shared" si="73"/>
        <v>69657.531428928589</v>
      </c>
      <c r="P259" s="6">
        <f t="shared" si="74"/>
        <v>581.74808099194343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227.51779615540914</v>
      </c>
      <c r="Z259" s="6">
        <f t="shared" si="78"/>
        <v>7739.7257143253992</v>
      </c>
      <c r="AA259" s="6">
        <f t="shared" si="79"/>
        <v>581.74808099194343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3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1031.9378293345817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1194.4684298158979</v>
      </c>
      <c r="O260" s="6">
        <f t="shared" si="73"/>
        <v>72939.908746300411</v>
      </c>
      <c r="P260" s="6">
        <f t="shared" si="74"/>
        <v>610.83548504154066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238.89368596317959</v>
      </c>
      <c r="Z260" s="6">
        <f t="shared" si="78"/>
        <v>8104.4343051444903</v>
      </c>
      <c r="AA260" s="6">
        <f t="shared" si="79"/>
        <v>610.83548504154066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3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1083.5347208013109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1254.191851306693</v>
      </c>
      <c r="O261" s="6">
        <f t="shared" si="73"/>
        <v>76367.092416656553</v>
      </c>
      <c r="P261" s="6">
        <f t="shared" si="74"/>
        <v>641.37725929361773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250.83837026133861</v>
      </c>
      <c r="Z261" s="6">
        <f t="shared" si="78"/>
        <v>8485.2324907396178</v>
      </c>
      <c r="AA261" s="6">
        <f t="shared" si="79"/>
        <v>641.37725929361773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3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1137.7114568413763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1316.9014438720276</v>
      </c>
      <c r="O262" s="6">
        <f t="shared" si="73"/>
        <v>79944.52614995667</v>
      </c>
      <c r="P262" s="6">
        <f t="shared" si="74"/>
        <v>673.44612225829849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263.38028877440553</v>
      </c>
      <c r="Z262" s="6">
        <f t="shared" si="78"/>
        <v>8882.7251277729629</v>
      </c>
      <c r="AA262" s="6">
        <f t="shared" si="79"/>
        <v>673.44612225829849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3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1194.5970296834453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1382.7465160656293</v>
      </c>
      <c r="O263" s="6">
        <f t="shared" si="73"/>
        <v>83677.768043411575</v>
      </c>
      <c r="P263" s="6">
        <f t="shared" si="74"/>
        <v>707.11842837121344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276.54930321312588</v>
      </c>
      <c r="Z263" s="6">
        <f t="shared" si="78"/>
        <v>9297.5297826012866</v>
      </c>
      <c r="AA263" s="6">
        <f t="shared" si="79"/>
        <v>707.11842837121344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3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1254.3268811676171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1451.8838418689102</v>
      </c>
      <c r="O264" s="6">
        <f t="shared" si="73"/>
        <v>87572.483791327162</v>
      </c>
      <c r="P264" s="6">
        <f t="shared" si="74"/>
        <v>742.4743497897739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290.37676837378206</v>
      </c>
      <c r="Z264" s="6">
        <f t="shared" si="78"/>
        <v>9730.2759768141295</v>
      </c>
      <c r="AA264" s="6">
        <f t="shared" si="79"/>
        <v>742.4743497897739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3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1317.0432252259984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1524.4780339623562</v>
      </c>
      <c r="O265" s="6">
        <f t="shared" si="73"/>
        <v>91634.438756844291</v>
      </c>
      <c r="P265" s="6">
        <f t="shared" si="74"/>
        <v>779.59806727926286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304.89560679247126</v>
      </c>
      <c r="Z265" s="6">
        <f t="shared" si="78"/>
        <v>10181.604306316032</v>
      </c>
      <c r="AA265" s="6">
        <f t="shared" si="79"/>
        <v>779.59806727926286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3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1382.8953864872983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1600.7019356604737</v>
      </c>
      <c r="O266" s="6">
        <f t="shared" si="73"/>
        <v>95869.488825600987</v>
      </c>
      <c r="P266" s="6">
        <f t="shared" si="74"/>
        <v>818.57797064322597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320.14038713209476</v>
      </c>
      <c r="Z266" s="6">
        <f t="shared" si="78"/>
        <v>10652.165425066776</v>
      </c>
      <c r="AA266" s="6">
        <f t="shared" si="79"/>
        <v>818.57797064322597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3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1452.0401558116635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1680.7370324434978</v>
      </c>
      <c r="O267" s="6">
        <f t="shared" si="73"/>
        <v>100283.56996116921</v>
      </c>
      <c r="P267" s="6">
        <f t="shared" si="74"/>
        <v>859.50686917538746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336.14740648869957</v>
      </c>
      <c r="Z267" s="6">
        <f t="shared" si="78"/>
        <v>11142.618884574356</v>
      </c>
      <c r="AA267" s="6">
        <f t="shared" si="79"/>
        <v>859.50686917538746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3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1524.6421636022465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1764.7738840656727</v>
      </c>
      <c r="O268" s="6">
        <f t="shared" si="73"/>
        <v>104882.68638279276</v>
      </c>
      <c r="P268" s="6">
        <f t="shared" si="74"/>
        <v>902.48221263415678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352.95477681313457</v>
      </c>
      <c r="Z268" s="6">
        <f t="shared" si="78"/>
        <v>11653.631820310307</v>
      </c>
      <c r="AA268" s="6">
        <f t="shared" si="79"/>
        <v>902.48221263415678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3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1600.8742717823588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1853.0125782689565</v>
      </c>
      <c r="O269" s="6">
        <f t="shared" si="73"/>
        <v>109672.89728761386</v>
      </c>
      <c r="P269" s="6">
        <f t="shared" si="74"/>
        <v>947.6063232658646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370.60251565379133</v>
      </c>
      <c r="Z269" s="6">
        <f t="shared" si="78"/>
        <v>12185.87747640154</v>
      </c>
      <c r="AA269" s="6">
        <f t="shared" si="79"/>
        <v>947.6063232658646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3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1680.9179853714768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1945.6632071824042</v>
      </c>
      <c r="O270" s="6">
        <f t="shared" si="73"/>
        <v>114660.30204235522</v>
      </c>
      <c r="P270" s="6">
        <f t="shared" si="74"/>
        <v>994.98663942915789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389.13264143648087</v>
      </c>
      <c r="Z270" s="6">
        <f t="shared" si="78"/>
        <v>12740.033560261691</v>
      </c>
      <c r="AA270" s="6">
        <f t="shared" si="79"/>
        <v>994.98663942915789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3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1764.9638846400505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2042.9463675415241</v>
      </c>
      <c r="O271" s="6">
        <f t="shared" si="73"/>
        <v>119851.0237734703</v>
      </c>
      <c r="P271" s="6">
        <f t="shared" si="74"/>
        <v>1044.7359714006157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408.58927350830481</v>
      </c>
      <c r="Z271" s="6">
        <f t="shared" si="78"/>
        <v>13316.780419274477</v>
      </c>
      <c r="AA271" s="6">
        <f t="shared" si="79"/>
        <v>1044.7359714006157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3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1853.2120788720529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2145.0936859186004</v>
      </c>
      <c r="O272" s="6">
        <f t="shared" si="73"/>
        <v>125251.19129022757</v>
      </c>
      <c r="P272" s="6">
        <f t="shared" si="74"/>
        <v>1096.9727699706464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429.01873718372008</v>
      </c>
      <c r="Z272" s="6">
        <f t="shared" si="78"/>
        <v>13916.799032247507</v>
      </c>
      <c r="AA272" s="6">
        <f t="shared" si="79"/>
        <v>1096.9727699706464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3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1945.8726828156559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2252.3483702145309</v>
      </c>
      <c r="O273" s="6">
        <f t="shared" si="73"/>
        <v>130866.91928220862</v>
      </c>
      <c r="P273" s="6">
        <f t="shared" si="74"/>
        <v>1151.821408469179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450.46967404290615</v>
      </c>
      <c r="Z273" s="6">
        <f t="shared" si="78"/>
        <v>14540.768809134292</v>
      </c>
      <c r="AA273" s="6">
        <f t="shared" si="79"/>
        <v>1151.821408469179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3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2043.1663169564385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2364.965788725257</v>
      </c>
      <c r="O274" s="6">
        <f t="shared" si="73"/>
        <v>136704.28674141449</v>
      </c>
      <c r="P274" s="6">
        <f t="shared" si="74"/>
        <v>1209.4124788926376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472.99315774505141</v>
      </c>
      <c r="Z274" s="6">
        <f t="shared" si="78"/>
        <v>15189.365193490499</v>
      </c>
      <c r="AA274" s="6">
        <f t="shared" si="79"/>
        <v>1209.4124788926376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3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2145.3246328042605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2483.2140781615203</v>
      </c>
      <c r="O275" s="6">
        <f t="shared" si="73"/>
        <v>142769.31356973175</v>
      </c>
      <c r="P275" s="6">
        <f t="shared" si="74"/>
        <v>1269.8831028372699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496.64281563230406</v>
      </c>
      <c r="Z275" s="6">
        <f t="shared" si="78"/>
        <v>15863.257063303528</v>
      </c>
      <c r="AA275" s="6">
        <f t="shared" si="79"/>
        <v>1269.8831028372699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3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2252.5908644444735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2607.3747820695958</v>
      </c>
      <c r="O276" s="6">
        <f t="shared" si="73"/>
        <v>149067.93534503778</v>
      </c>
      <c r="P276" s="6">
        <f t="shared" si="74"/>
        <v>1333.3772579791332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521.47495641391913</v>
      </c>
      <c r="Z276" s="6">
        <f t="shared" si="78"/>
        <v>16563.103927226421</v>
      </c>
      <c r="AA276" s="6">
        <f t="shared" si="79"/>
        <v>1333.3772579791332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3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2365.2204076666976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2737.7435211730763</v>
      </c>
      <c r="O277" s="6">
        <f t="shared" si="73"/>
        <v>155605.97623383885</v>
      </c>
      <c r="P277" s="6">
        <f t="shared" si="74"/>
        <v>1400.0461208780901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547.54870423461523</v>
      </c>
      <c r="Z277" s="6">
        <f t="shared" si="78"/>
        <v>17289.552914870983</v>
      </c>
      <c r="AA277" s="6">
        <f t="shared" si="79"/>
        <v>1400.0461208780901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3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2483.4814280500318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2874.6306972317298</v>
      </c>
      <c r="O278" s="6">
        <f t="shared" si="73"/>
        <v>162389.12005512416</v>
      </c>
      <c r="P278" s="6">
        <f t="shared" si="74"/>
        <v>1470.0484269219942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574.92613944634593</v>
      </c>
      <c r="Z278" s="6">
        <f t="shared" si="78"/>
        <v>18043.235561680463</v>
      </c>
      <c r="AA278" s="6">
        <f t="shared" si="79"/>
        <v>1470.0484269219942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3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2607.6554994525341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3018.3622320933164</v>
      </c>
      <c r="O279" s="6">
        <f t="shared" si="73"/>
        <v>169422.8795191581</v>
      </c>
      <c r="P279" s="6">
        <f t="shared" si="74"/>
        <v>1543.5508482680943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603.6724464186633</v>
      </c>
      <c r="Z279" s="6">
        <f t="shared" si="78"/>
        <v>18824.764391017568</v>
      </c>
      <c r="AA279" s="6">
        <f t="shared" si="79"/>
        <v>1543.5508482680943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3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2738.0382744251597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3169.2803436979807</v>
      </c>
      <c r="O280" s="6">
        <f t="shared" si="73"/>
        <v>176712.56368624585</v>
      </c>
      <c r="P280" s="6">
        <f t="shared" si="74"/>
        <v>1620.7283906814985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633.85606873959614</v>
      </c>
      <c r="Z280" s="6">
        <f t="shared" si="78"/>
        <v>19634.729298471761</v>
      </c>
      <c r="AA280" s="6">
        <f t="shared" si="79"/>
        <v>1620.7283906814985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3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2874.9401881464191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3327.7443608828817</v>
      </c>
      <c r="O281" s="6">
        <f t="shared" si="73"/>
        <v>184263.24371409853</v>
      </c>
      <c r="P281" s="6">
        <f t="shared" si="74"/>
        <v>1701.764810215574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665.54887217657631</v>
      </c>
      <c r="Z281" s="6">
        <f t="shared" si="78"/>
        <v>20473.693746010948</v>
      </c>
      <c r="AA281" s="6">
        <f t="shared" si="79"/>
        <v>1701.764810215574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3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3018.6871975537397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3494.1315789270252</v>
      </c>
      <c r="O282" s="6">
        <f t="shared" si="73"/>
        <v>192079.71698822419</v>
      </c>
      <c r="P282" s="6">
        <f t="shared" si="74"/>
        <v>1786.8530507263524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698.82631578540509</v>
      </c>
      <c r="Z282" s="6">
        <f t="shared" si="78"/>
        <v>21342.190776469353</v>
      </c>
      <c r="AA282" s="6">
        <f t="shared" si="79"/>
        <v>1786.8530507263524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3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3169.6215574314269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3668.8381578733765</v>
      </c>
      <c r="O283" s="6">
        <f t="shared" si="73"/>
        <v>200166.46975769295</v>
      </c>
      <c r="P283" s="6">
        <f t="shared" si="74"/>
        <v>1876.1957032626701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733.76763157467531</v>
      </c>
      <c r="Z283" s="6">
        <f t="shared" si="78"/>
        <v>22240.718861965885</v>
      </c>
      <c r="AA283" s="6">
        <f t="shared" si="79"/>
        <v>1876.1957032626701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3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3328.1026353029979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3852.2800657670459</v>
      </c>
      <c r="O284" s="6">
        <f t="shared" si="73"/>
        <v>208527.63842846928</v>
      </c>
      <c r="P284" s="6">
        <f t="shared" si="74"/>
        <v>1970.0054884258036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770.45601315340923</v>
      </c>
      <c r="Z284" s="6">
        <f t="shared" si="78"/>
        <v>23169.737603163252</v>
      </c>
      <c r="AA284" s="6">
        <f t="shared" si="79"/>
        <v>1970.0054884258036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3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3494.5077670681485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4044.8940690553986</v>
      </c>
      <c r="O285" s="6">
        <f t="shared" si="73"/>
        <v>217166.96969806281</v>
      </c>
      <c r="P285" s="6">
        <f t="shared" si="74"/>
        <v>2068.5057628470945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808.9788138110797</v>
      </c>
      <c r="Z285" s="6">
        <f t="shared" si="78"/>
        <v>24129.663299784756</v>
      </c>
      <c r="AA285" s="6">
        <f t="shared" si="79"/>
        <v>2068.5057628470945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3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3669.2331554215552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4247.1387725081677</v>
      </c>
      <c r="O286" s="6">
        <f t="shared" si="73"/>
        <v>226087.77974818251</v>
      </c>
      <c r="P286" s="6">
        <f t="shared" si="74"/>
        <v>2171.9310509894485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849.42775450163356</v>
      </c>
      <c r="Z286" s="6">
        <f t="shared" si="78"/>
        <v>25120.864416464723</v>
      </c>
      <c r="AA286" s="6">
        <f t="shared" si="79"/>
        <v>2171.9310509894485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3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3852.6948131926333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4459.4957111335762</v>
      </c>
      <c r="O287" s="6">
        <f t="shared" si="73"/>
        <v>235292.91274601198</v>
      </c>
      <c r="P287" s="6">
        <f t="shared" si="74"/>
        <v>2280.5276035389211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891.89914222671518</v>
      </c>
      <c r="Z287" s="6">
        <f t="shared" si="78"/>
        <v>26143.65697177911</v>
      </c>
      <c r="AA287" s="6">
        <f t="shared" si="79"/>
        <v>2280.5276035389211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3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4045.3295538522643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4682.4704966902536</v>
      </c>
      <c r="O288" s="6">
        <f t="shared" si="73"/>
        <v>244784.69893917162</v>
      </c>
      <c r="P288" s="6">
        <f t="shared" si="74"/>
        <v>2394.5539837158667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936.49409933805077</v>
      </c>
      <c r="Z288" s="6">
        <f t="shared" si="78"/>
        <v>27198.299882130181</v>
      </c>
      <c r="AA288" s="6">
        <f t="shared" si="79"/>
        <v>2394.5539837158667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3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4247.5960315448783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4916.5940215247692</v>
      </c>
      <c r="O289" s="6">
        <f t="shared" si="73"/>
        <v>254564.9126638484</v>
      </c>
      <c r="P289" s="6">
        <f t="shared" si="74"/>
        <v>2514.2816829016606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983.3188043049538</v>
      </c>
      <c r="Z289" s="6">
        <f t="shared" si="78"/>
        <v>28284.990295983156</v>
      </c>
      <c r="AA289" s="6">
        <f t="shared" si="79"/>
        <v>2514.2816829016606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3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4459.9758331221219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5162.4237226010055</v>
      </c>
      <c r="O290" s="6">
        <f t="shared" si="73"/>
        <v>264634.73061930668</v>
      </c>
      <c r="P290" s="6">
        <f t="shared" si="74"/>
        <v>2639.9957670467434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1032.484744520201</v>
      </c>
      <c r="Z290" s="6">
        <f t="shared" si="78"/>
        <v>29403.858957700741</v>
      </c>
      <c r="AA290" s="6">
        <f t="shared" si="79"/>
        <v>2639.9957670467434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3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4682.9746247782286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5420.5449087310571</v>
      </c>
      <c r="O291" s="6">
        <f t="shared" si="73"/>
        <v>274994.69079434132</v>
      </c>
      <c r="P291" s="6">
        <f t="shared" si="74"/>
        <v>2771.9955553990808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1084.1089817462114</v>
      </c>
      <c r="Z291" s="6">
        <f t="shared" si="78"/>
        <v>30554.965643815704</v>
      </c>
      <c r="AA291" s="6">
        <f t="shared" si="79"/>
        <v>2771.9955553990808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3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4917.1233560171395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5691.5721541676094</v>
      </c>
      <c r="O292" s="6">
        <f t="shared" si="73"/>
        <v>285644.65246140101</v>
      </c>
      <c r="P292" s="6">
        <f t="shared" si="74"/>
        <v>2910.5953331690353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1138.3144308335218</v>
      </c>
      <c r="Z292" s="6">
        <f t="shared" si="78"/>
        <v>31738.294717933444</v>
      </c>
      <c r="AA292" s="6">
        <f t="shared" si="79"/>
        <v>2910.5953331690353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3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5162.9795238179968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5976.1507618759906</v>
      </c>
      <c r="O293" s="6">
        <f t="shared" si="73"/>
        <v>296583.75768126349</v>
      </c>
      <c r="P293" s="6">
        <f t="shared" si="74"/>
        <v>3056.1250998274872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1195.230152375198</v>
      </c>
      <c r="Z293" s="6">
        <f t="shared" si="78"/>
        <v>32953.750853473721</v>
      </c>
      <c r="AA293" s="6">
        <f t="shared" si="79"/>
        <v>3056.1250998274872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3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5421.1285000088965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6274.9582999697896</v>
      </c>
      <c r="O294" s="6">
        <f t="shared" si="73"/>
        <v>307810.39478438784</v>
      </c>
      <c r="P294" s="6">
        <f t="shared" si="74"/>
        <v>3208.9313548188607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1254.9916599939579</v>
      </c>
      <c r="Z294" s="6">
        <f t="shared" si="78"/>
        <v>34201.154976043093</v>
      </c>
      <c r="AA294" s="6">
        <f t="shared" si="79"/>
        <v>3208.9313548188607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3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5692.1849250093419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6588.7062149682797</v>
      </c>
      <c r="O295" s="6">
        <f t="shared" si="73"/>
        <v>319322.16431350639</v>
      </c>
      <c r="P295" s="6">
        <f t="shared" si="74"/>
        <v>3369.3779225598046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1317.741242993656</v>
      </c>
      <c r="Z295" s="6">
        <f t="shared" si="78"/>
        <v>35480.240479278487</v>
      </c>
      <c r="AA295" s="6">
        <f t="shared" si="79"/>
        <v>3369.3779225598046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3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5976.7941712598085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6918.1415257166918</v>
      </c>
      <c r="O296" s="6">
        <f t="shared" si="73"/>
        <v>331115.8479247255</v>
      </c>
      <c r="P296" s="6">
        <f t="shared" si="74"/>
        <v>3537.846818687794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1383.6283051433384</v>
      </c>
      <c r="Z296" s="6">
        <f t="shared" si="78"/>
        <v>36790.649769413947</v>
      </c>
      <c r="AA296" s="6">
        <f t="shared" si="79"/>
        <v>3537.846818687794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3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6275.6338798228007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7264.0486020025282</v>
      </c>
      <c r="O297" s="6">
        <f t="shared" si="73"/>
        <v>343187.38075050362</v>
      </c>
      <c r="P297" s="6">
        <f t="shared" si="74"/>
        <v>3714.7391596221851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1452.8097204005057</v>
      </c>
      <c r="Z297" s="6">
        <f t="shared" si="78"/>
        <v>38131.931194500401</v>
      </c>
      <c r="AA297" s="6">
        <f t="shared" si="79"/>
        <v>3714.7391596221851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3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6589.4155738139398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7627.2510321026557</v>
      </c>
      <c r="O298" s="6">
        <f t="shared" si="73"/>
        <v>355531.82772652828</v>
      </c>
      <c r="P298" s="6">
        <f t="shared" si="74"/>
        <v>3900.4761176032939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1525.4502064205312</v>
      </c>
      <c r="Z298" s="6">
        <f t="shared" si="78"/>
        <v>39503.536414058697</v>
      </c>
      <c r="AA298" s="6">
        <f t="shared" si="79"/>
        <v>3900.4761176032939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3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6918.8863525046372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8008.6135837077882</v>
      </c>
      <c r="O299" s="6">
        <f t="shared" si="73"/>
        <v>368143.36437498027</v>
      </c>
      <c r="P299" s="6">
        <f t="shared" si="74"/>
        <v>4095.4999234834586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1601.7227167415576</v>
      </c>
      <c r="Z299" s="6">
        <f t="shared" si="78"/>
        <v>40904.8182638867</v>
      </c>
      <c r="AA299" s="6">
        <f t="shared" si="79"/>
        <v>4095.4999234834586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3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7264.8306701298688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8409.0442628931778</v>
      </c>
      <c r="O300" s="6">
        <f t="shared" si="73"/>
        <v>381015.26251831313</v>
      </c>
      <c r="P300" s="6">
        <f t="shared" si="74"/>
        <v>4300.2749196576315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1681.8088525786357</v>
      </c>
      <c r="Z300" s="6">
        <f t="shared" si="78"/>
        <v>42335.029168701461</v>
      </c>
      <c r="AA300" s="6">
        <f t="shared" si="79"/>
        <v>4300.2749196576315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3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7628.0722036363632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8829.4964760378371</v>
      </c>
      <c r="O301" s="6">
        <f t="shared" si="73"/>
        <v>394139.8813700286</v>
      </c>
      <c r="P301" s="6">
        <f t="shared" si="74"/>
        <v>4515.2886656405135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1765.8992952075673</v>
      </c>
      <c r="Z301" s="6">
        <f t="shared" si="78"/>
        <v>43793.320152225402</v>
      </c>
      <c r="AA301" s="6">
        <f t="shared" si="79"/>
        <v>4515.2886656405135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3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8009.4758138181805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9270.9712998397281</v>
      </c>
      <c r="O302" s="6">
        <f t="shared" si="73"/>
        <v>407508.6644116838</v>
      </c>
      <c r="P302" s="6">
        <f t="shared" si="74"/>
        <v>4741.053098922539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1854.1942599679455</v>
      </c>
      <c r="Z302" s="6">
        <f t="shared" si="78"/>
        <v>45278.74049018709</v>
      </c>
      <c r="AA302" s="6">
        <f t="shared" si="79"/>
        <v>4741.053098922539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3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8409.9496045090891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9734.5198648317146</v>
      </c>
      <c r="O303" s="6">
        <f t="shared" si="73"/>
        <v>421112.14241845463</v>
      </c>
      <c r="P303" s="6">
        <f t="shared" si="74"/>
        <v>4978.1057538686664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1946.903972966343</v>
      </c>
      <c r="Z303" s="6">
        <f t="shared" si="78"/>
        <v>46790.23804649496</v>
      </c>
      <c r="AA303" s="6">
        <f t="shared" si="79"/>
        <v>4978.1057538686664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3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8830.4470847345438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10221.2458580733</v>
      </c>
      <c r="O304" s="6">
        <f t="shared" si="73"/>
        <v>434939.94293915533</v>
      </c>
      <c r="P304" s="6">
        <f t="shared" si="74"/>
        <v>5227.0110415620984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2044.2491716146601</v>
      </c>
      <c r="Z304" s="6">
        <f t="shared" si="78"/>
        <v>48326.660326572812</v>
      </c>
      <c r="AA304" s="6">
        <f t="shared" si="79"/>
        <v>5227.0110415620984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3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9271.9694389712731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10732.308150976967</v>
      </c>
      <c r="O305" s="6">
        <f t="shared" si="73"/>
        <v>448980.80647109123</v>
      </c>
      <c r="P305" s="6">
        <f t="shared" si="74"/>
        <v>5488.3615936402048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2146.4616301953934</v>
      </c>
      <c r="Z305" s="6">
        <f t="shared" si="78"/>
        <v>49886.756274565691</v>
      </c>
      <c r="AA305" s="6">
        <f t="shared" si="79"/>
        <v>5488.3615936402048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3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9735.5679109198336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11268.923558525814</v>
      </c>
      <c r="O306" s="6">
        <f t="shared" si="73"/>
        <v>463222.60949619371</v>
      </c>
      <c r="P306" s="6">
        <f t="shared" si="74"/>
        <v>5762.779673322214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2253.7847117051629</v>
      </c>
      <c r="Z306" s="6">
        <f t="shared" si="78"/>
        <v>51469.178832910409</v>
      </c>
      <c r="AA306" s="6">
        <f t="shared" si="79"/>
        <v>5762.779673322214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3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10222.346306465828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11832.369736452105</v>
      </c>
      <c r="O307" s="6">
        <f t="shared" si="73"/>
        <v>477652.39446350205</v>
      </c>
      <c r="P307" s="6">
        <f t="shared" si="74"/>
        <v>6050.918656988325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2366.4739472904212</v>
      </c>
      <c r="Z307" s="6">
        <f t="shared" si="78"/>
        <v>53072.488273722447</v>
      </c>
      <c r="AA307" s="6">
        <f t="shared" si="79"/>
        <v>6050.918656988325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3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10733.463621789118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12423.988223274713</v>
      </c>
      <c r="O308" s="6">
        <f t="shared" si="73"/>
        <v>492256.40671544761</v>
      </c>
      <c r="P308" s="6">
        <f t="shared" si="74"/>
        <v>6353.4645898377421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2484.7976446549428</v>
      </c>
      <c r="Z308" s="6">
        <f t="shared" si="78"/>
        <v>54695.156301716401</v>
      </c>
      <c r="AA308" s="6">
        <f t="shared" si="79"/>
        <v>6353.4645898377421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3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11270.136802878576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13045.187634438447</v>
      </c>
      <c r="O309" s="6">
        <f t="shared" si="73"/>
        <v>507020.13826305373</v>
      </c>
      <c r="P309" s="6">
        <f t="shared" si="74"/>
        <v>6671.1378193296287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2609.0375268876896</v>
      </c>
      <c r="Z309" s="6">
        <f t="shared" si="78"/>
        <v>56335.570918117082</v>
      </c>
      <c r="AA309" s="6">
        <f t="shared" si="79"/>
        <v>6671.1378193296287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3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11833.643643022502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13697.447016160368</v>
      </c>
      <c r="O310" s="6">
        <f t="shared" si="73"/>
        <v>521928.37821975397</v>
      </c>
      <c r="P310" s="6">
        <f t="shared" si="74"/>
        <v>7004.6947102961094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2739.4894032320735</v>
      </c>
      <c r="Z310" s="6">
        <f t="shared" si="78"/>
        <v>57992.042024417111</v>
      </c>
      <c r="AA310" s="6">
        <f t="shared" si="79"/>
        <v>7004.6947102961094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3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12425.325825173632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14382.31936696839</v>
      </c>
      <c r="O311" s="6">
        <f t="shared" si="73"/>
        <v>536965.26960699423</v>
      </c>
      <c r="P311" s="6">
        <f t="shared" si="74"/>
        <v>7354.9294458109171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2876.4638733936781</v>
      </c>
      <c r="Z311" s="6">
        <f t="shared" si="78"/>
        <v>59662.807734110473</v>
      </c>
      <c r="AA311" s="6">
        <f t="shared" si="79"/>
        <v>7354.9294458109171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3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13046.592116432306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15101.435335316801</v>
      </c>
      <c r="O312" s="6">
        <f t="shared" si="73"/>
        <v>552114.3721490812</v>
      </c>
      <c r="P312" s="6">
        <f t="shared" si="74"/>
        <v>7722.6759181014604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3020.2870670633602</v>
      </c>
      <c r="Z312" s="6">
        <f t="shared" si="78"/>
        <v>61346.041349897911</v>
      </c>
      <c r="AA312" s="6">
        <f t="shared" si="79"/>
        <v>7722.6759181014604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3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13698.921722253928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15856.507102082649</v>
      </c>
      <c r="O313" s="6">
        <f t="shared" si="73"/>
        <v>567358.7305820391</v>
      </c>
      <c r="P313" s="6">
        <f t="shared" si="74"/>
        <v>8108.8097140065356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3171.3014204165297</v>
      </c>
      <c r="Z313" s="6">
        <f t="shared" si="78"/>
        <v>63039.858953559902</v>
      </c>
      <c r="AA313" s="6">
        <f t="shared" si="79"/>
        <v>8108.8097140065356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3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14383.867808366624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16649.332457186782</v>
      </c>
      <c r="O314" s="6">
        <f t="shared" si="73"/>
        <v>582680.94791361154</v>
      </c>
      <c r="P314" s="6">
        <f t="shared" si="74"/>
        <v>8514.250199706863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3329.8664914373562</v>
      </c>
      <c r="Z314" s="6">
        <f t="shared" si="78"/>
        <v>64742.327545956839</v>
      </c>
      <c r="AA314" s="6">
        <f t="shared" si="79"/>
        <v>8514.250199706863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3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15103.061198784957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17481.799080046119</v>
      </c>
      <c r="O315" s="6">
        <f t="shared" ref="O315:O349" si="87">F315*$K$21/(1+P315/$P$22)</f>
        <v>598063.26299112325</v>
      </c>
      <c r="P315" s="6">
        <f t="shared" ref="P315:P349" si="88">G315*$K$21</f>
        <v>8939.9627096922068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3496.3598160092238</v>
      </c>
      <c r="Z315" s="6">
        <f t="shared" si="78"/>
        <v>66451.473665680358</v>
      </c>
      <c r="AA315" s="6">
        <f t="shared" si="79"/>
        <v>8939.9627096922068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3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15858.214258724203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18355.889034048429</v>
      </c>
      <c r="O316" s="6">
        <f t="shared" si="87"/>
        <v>613487.63166260358</v>
      </c>
      <c r="P316" s="6">
        <f t="shared" si="88"/>
        <v>9386.9608451768163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3671.1778068096855</v>
      </c>
      <c r="Z316" s="6">
        <f t="shared" ref="Z316:Z349" si="92">O316/$X$22</f>
        <v>68165.292406955952</v>
      </c>
      <c r="AA316" s="6">
        <f t="shared" ref="AA316:AA349" si="93">P316</f>
        <v>9386.9608451768163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3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16651.124971660414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19273.683485750851</v>
      </c>
      <c r="O317" s="6">
        <f t="shared" si="87"/>
        <v>628935.81075622141</v>
      </c>
      <c r="P317" s="6">
        <f t="shared" si="88"/>
        <v>9856.3088874356563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3854.7366971501701</v>
      </c>
      <c r="Z317" s="6">
        <f t="shared" si="92"/>
        <v>69881.756750691275</v>
      </c>
      <c r="AA317" s="6">
        <f t="shared" si="93"/>
        <v>9856.3088874356563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3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17483.681220243434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20237.367660038388</v>
      </c>
      <c r="O318" s="6">
        <f t="shared" si="87"/>
        <v>644389.44405515259</v>
      </c>
      <c r="P318" s="6">
        <f t="shared" si="88"/>
        <v>10349.124331807441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4047.4735320076775</v>
      </c>
      <c r="Z318" s="6">
        <f t="shared" si="92"/>
        <v>71598.827117239183</v>
      </c>
      <c r="AA318" s="6">
        <f t="shared" si="93"/>
        <v>10349.124331807441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3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18357.865281255607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21249.236043040313</v>
      </c>
      <c r="O319" s="6">
        <f t="shared" si="87"/>
        <v>659830.14941079437</v>
      </c>
      <c r="P319" s="6">
        <f t="shared" si="88"/>
        <v>10866.580548397811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4249.8472086080628</v>
      </c>
      <c r="Z319" s="6">
        <f t="shared" si="92"/>
        <v>73314.461045643824</v>
      </c>
      <c r="AA319" s="6">
        <f t="shared" si="93"/>
        <v>10866.580548397811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3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19275.758545318386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22311.697845192324</v>
      </c>
      <c r="O320" s="6">
        <f t="shared" si="87"/>
        <v>675239.60611760989</v>
      </c>
      <c r="P320" s="6">
        <f t="shared" si="88"/>
        <v>11409.909575817703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4462.339569038465</v>
      </c>
      <c r="Z320" s="6">
        <f t="shared" si="92"/>
        <v>75026.622901956653</v>
      </c>
      <c r="AA320" s="6">
        <f t="shared" si="93"/>
        <v>11409.909575817703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3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20239.546472584309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23427.282737451944</v>
      </c>
      <c r="O321" s="6">
        <f t="shared" si="87"/>
        <v>690599.64166836592</v>
      </c>
      <c r="P321" s="6">
        <f t="shared" si="88"/>
        <v>11980.405054608589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4685.4565474903884</v>
      </c>
      <c r="Z321" s="6">
        <f t="shared" si="92"/>
        <v>76733.293518707331</v>
      </c>
      <c r="AA321" s="6">
        <f t="shared" si="93"/>
        <v>11980.405054608589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3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21251.523796213522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24598.646874324542</v>
      </c>
      <c r="O322" s="6">
        <f t="shared" si="87"/>
        <v>705892.31701922824</v>
      </c>
      <c r="P322" s="6">
        <f t="shared" si="88"/>
        <v>12579.425307339017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4919.7293748649081</v>
      </c>
      <c r="Z322" s="6">
        <f t="shared" si="92"/>
        <v>78432.479668803135</v>
      </c>
      <c r="AA322" s="6">
        <f t="shared" si="93"/>
        <v>12579.425307339017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3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22314.099986024197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25828.579218040762</v>
      </c>
      <c r="O323" s="6">
        <f t="shared" si="87"/>
        <v>721100.00951982511</v>
      </c>
      <c r="P323" s="6">
        <f t="shared" si="88"/>
        <v>13208.396572705968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5165.7158436081527</v>
      </c>
      <c r="Z323" s="6">
        <f t="shared" si="92"/>
        <v>80122.223279980564</v>
      </c>
      <c r="AA323" s="6">
        <f t="shared" si="93"/>
        <v>13208.396572705968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3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23429.804985325405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27120.008178942804</v>
      </c>
      <c r="O324" s="6">
        <f t="shared" si="87"/>
        <v>736205.49270329985</v>
      </c>
      <c r="P324" s="6">
        <f t="shared" si="88"/>
        <v>13868.816401341266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5424.0016357885606</v>
      </c>
      <c r="Z324" s="6">
        <f t="shared" si="92"/>
        <v>81800.61030036665</v>
      </c>
      <c r="AA324" s="6">
        <f t="shared" si="93"/>
        <v>13868.816401341266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3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24601.295234591678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28476.008587889944</v>
      </c>
      <c r="O325" s="6">
        <f t="shared" si="87"/>
        <v>751192.01218453131</v>
      </c>
      <c r="P325" s="6">
        <f t="shared" si="88"/>
        <v>14562.25722140833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5695.2017175779893</v>
      </c>
      <c r="Z325" s="6">
        <f t="shared" si="92"/>
        <v>83465.779131614589</v>
      </c>
      <c r="AA325" s="6">
        <f t="shared" si="93"/>
        <v>14562.25722140833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3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25831.359996321258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29899.809017284442</v>
      </c>
      <c r="O326" s="6">
        <f t="shared" si="87"/>
        <v>766043.35697969829</v>
      </c>
      <c r="P326" s="6">
        <f t="shared" si="88"/>
        <v>15290.370082478745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5979.9618034568884</v>
      </c>
      <c r="Z326" s="6">
        <f t="shared" si="92"/>
        <v>85115.928553299804</v>
      </c>
      <c r="AA326" s="6">
        <f t="shared" si="93"/>
        <v>15290.370082478745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3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27122.927996137329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31394.799468148667</v>
      </c>
      <c r="O327" s="6">
        <f t="shared" si="87"/>
        <v>780743.92563562409</v>
      </c>
      <c r="P327" s="6">
        <f t="shared" si="88"/>
        <v>16054.888586602687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6278.9598936297334</v>
      </c>
      <c r="Z327" s="6">
        <f t="shared" si="92"/>
        <v>86749.325070624895</v>
      </c>
      <c r="AA327" s="6">
        <f t="shared" si="93"/>
        <v>16054.888586602687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3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28479.074395944186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32964.539441556095</v>
      </c>
      <c r="O328" s="6">
        <f t="shared" si="87"/>
        <v>795278.78664091905</v>
      </c>
      <c r="P328" s="6">
        <f t="shared" si="88"/>
        <v>16857.633015932814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6592.9078883112188</v>
      </c>
      <c r="Z328" s="6">
        <f t="shared" si="92"/>
        <v>88364.30962676878</v>
      </c>
      <c r="AA328" s="6">
        <f t="shared" si="93"/>
        <v>16857.633015932814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3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29903.028115741407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34612.766413633908</v>
      </c>
      <c r="O329" s="6">
        <f t="shared" si="87"/>
        <v>809633.73268089513</v>
      </c>
      <c r="P329" s="6">
        <f t="shared" si="88"/>
        <v>17700.514666729461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6922.5532827267816</v>
      </c>
      <c r="Z329" s="6">
        <f t="shared" si="92"/>
        <v>89959.303631210569</v>
      </c>
      <c r="AA329" s="6">
        <f t="shared" si="93"/>
        <v>17700.514666729461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3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31398.179521528473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36343.404734315605</v>
      </c>
      <c r="O330" s="6">
        <f t="shared" si="87"/>
        <v>823795.32839239365</v>
      </c>
      <c r="P330" s="6">
        <f t="shared" si="88"/>
        <v>18585.540400065933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7268.6809468631209</v>
      </c>
      <c r="Z330" s="6">
        <f t="shared" si="92"/>
        <v>91532.814265821522</v>
      </c>
      <c r="AA330" s="6">
        <f t="shared" si="93"/>
        <v>18585.540400065933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3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32968.088497604906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38160.57497103139</v>
      </c>
      <c r="O331" s="6">
        <f t="shared" si="87"/>
        <v>837750.95137097675</v>
      </c>
      <c r="P331" s="6">
        <f t="shared" si="88"/>
        <v>19514.817420069234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7632.1149942062784</v>
      </c>
      <c r="Z331" s="6">
        <f t="shared" si="92"/>
        <v>93083.439041219637</v>
      </c>
      <c r="AA331" s="6">
        <f t="shared" si="93"/>
        <v>19514.817420069234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3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34616.492922485144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40068.603719582963</v>
      </c>
      <c r="O332" s="6">
        <f t="shared" si="87"/>
        <v>851488.82627922739</v>
      </c>
      <c r="P332" s="6">
        <f t="shared" si="88"/>
        <v>20490.558291072695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8013.7207439165923</v>
      </c>
      <c r="Z332" s="6">
        <f t="shared" si="92"/>
        <v>94609.869586580826</v>
      </c>
      <c r="AA332" s="6">
        <f t="shared" si="93"/>
        <v>20490.558291072695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3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36347.317568609404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42072.033905562101</v>
      </c>
      <c r="O333" s="6">
        <f t="shared" si="87"/>
        <v>864998.05199930852</v>
      </c>
      <c r="P333" s="6">
        <f t="shared" si="88"/>
        <v>21515.086205626325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8414.4067811124205</v>
      </c>
      <c r="Z333" s="6">
        <f t="shared" si="92"/>
        <v>96110.89466658984</v>
      </c>
      <c r="AA333" s="6">
        <f t="shared" si="93"/>
        <v>21515.086205626325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3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38164.683447039875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44175.635600840207</v>
      </c>
      <c r="O334" s="6">
        <f t="shared" si="87"/>
        <v>878268.62186351768</v>
      </c>
      <c r="P334" s="6">
        <f t="shared" si="88"/>
        <v>22590.840515907646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8835.1271201680411</v>
      </c>
      <c r="Z334" s="6">
        <f t="shared" si="92"/>
        <v>97585.40242927974</v>
      </c>
      <c r="AA334" s="6">
        <f t="shared" si="93"/>
        <v>22590.840515907646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3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40072.917619391861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46384.417380882216</v>
      </c>
      <c r="O335" s="6">
        <f t="shared" si="87"/>
        <v>891291.43708184035</v>
      </c>
      <c r="P335" s="6">
        <f t="shared" si="88"/>
        <v>23720.382541703028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9276.8834761764429</v>
      </c>
      <c r="Z335" s="6">
        <f t="shared" si="92"/>
        <v>99032.381897982268</v>
      </c>
      <c r="AA335" s="6">
        <f t="shared" si="93"/>
        <v>23720.382541703028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3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42076.563500361452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48703.638249926327</v>
      </c>
      <c r="O336" s="6">
        <f t="shared" si="87"/>
        <v>904058.31356396724</v>
      </c>
      <c r="P336" s="6">
        <f t="shared" si="88"/>
        <v>24906.401668788174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9740.7276499852651</v>
      </c>
      <c r="Z336" s="6">
        <f t="shared" si="92"/>
        <v>100450.92372932969</v>
      </c>
      <c r="AA336" s="6">
        <f t="shared" si="93"/>
        <v>24906.401668788174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3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44180.391675379535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51138.820162422657</v>
      </c>
      <c r="O337" s="6">
        <f t="shared" si="87"/>
        <v>916561.98240386508</v>
      </c>
      <c r="P337" s="6">
        <f t="shared" si="88"/>
        <v>26151.721752227593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10227.764032484531</v>
      </c>
      <c r="Z337" s="6">
        <f t="shared" si="92"/>
        <v>101840.22026709613</v>
      </c>
      <c r="AA337" s="6">
        <f t="shared" si="93"/>
        <v>26151.721752227593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3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46389.41125914851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53695.761170543767</v>
      </c>
      <c r="O338" s="6">
        <f t="shared" si="87"/>
        <v>928796.08435687935</v>
      </c>
      <c r="P338" s="6">
        <f t="shared" si="88"/>
        <v>27459.307839838966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10739.152234108753</v>
      </c>
      <c r="Z338" s="6">
        <f t="shared" si="92"/>
        <v>103199.56492854215</v>
      </c>
      <c r="AA338" s="6">
        <f t="shared" si="93"/>
        <v>27459.307839838966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3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48708.881822105934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56380.549229070966</v>
      </c>
      <c r="O339" s="6">
        <f t="shared" si="87"/>
        <v>940755.1586919293</v>
      </c>
      <c r="P339" s="6">
        <f t="shared" si="88"/>
        <v>28832.273231830914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11276.109845814193</v>
      </c>
      <c r="Z339" s="6">
        <f t="shared" si="92"/>
        <v>104528.35096576992</v>
      </c>
      <c r="AA339" s="6">
        <f t="shared" si="93"/>
        <v>28832.273231830914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3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51144.325913211229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59199.576690524511</v>
      </c>
      <c r="O340" s="6">
        <f t="shared" si="87"/>
        <v>952434.62684435118</v>
      </c>
      <c r="P340" s="6">
        <f t="shared" si="88"/>
        <v>30273.886893422463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11839.915338104902</v>
      </c>
      <c r="Z340" s="6">
        <f t="shared" si="92"/>
        <v>105826.06964937235</v>
      </c>
      <c r="AA340" s="6">
        <f t="shared" si="93"/>
        <v>30273.886893422463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3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53701.542208871804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62159.555525050746</v>
      </c>
      <c r="O341" s="6">
        <f t="shared" si="87"/>
        <v>963830.77132825472</v>
      </c>
      <c r="P341" s="6">
        <f t="shared" si="88"/>
        <v>31787.581238093589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12431.911105010149</v>
      </c>
      <c r="Z341" s="6">
        <f t="shared" si="92"/>
        <v>107092.30792536163</v>
      </c>
      <c r="AA341" s="6">
        <f t="shared" si="93"/>
        <v>31787.581238093589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3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56386.619319315381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65267.53330130328</v>
      </c>
      <c r="O342" s="6">
        <f t="shared" si="87"/>
        <v>974940.71039109258</v>
      </c>
      <c r="P342" s="6">
        <f t="shared" si="88"/>
        <v>33376.960299998267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13053.506660260657</v>
      </c>
      <c r="Z342" s="6">
        <f t="shared" si="92"/>
        <v>108326.74559901029</v>
      </c>
      <c r="AA342" s="6">
        <f t="shared" si="93"/>
        <v>33376.960299998267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3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59205.950285281164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68530.909966368461</v>
      </c>
      <c r="O343" s="6">
        <f t="shared" si="87"/>
        <v>985762.36890783533</v>
      </c>
      <c r="P343" s="6">
        <f t="shared" si="88"/>
        <v>35045.808314998183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13706.181993273693</v>
      </c>
      <c r="Z343" s="6">
        <f t="shared" si="92"/>
        <v>109529.15210087059</v>
      </c>
      <c r="AA343" s="6">
        <f t="shared" si="93"/>
        <v>35045.808314998183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3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62166.247799545199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71957.455464686849</v>
      </c>
      <c r="O344" s="6">
        <f t="shared" si="87"/>
        <v>996294.44601826882</v>
      </c>
      <c r="P344" s="6">
        <f t="shared" si="88"/>
        <v>36798.098730748075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14391.491092937369</v>
      </c>
      <c r="Z344" s="6">
        <f t="shared" si="92"/>
        <v>110699.38289091876</v>
      </c>
      <c r="AA344" s="6">
        <f t="shared" si="93"/>
        <v>36798.098730748075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3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65274.56018952249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75555.328237921218</v>
      </c>
      <c r="O345" s="6">
        <f t="shared" si="87"/>
        <v>1006536.3800091617</v>
      </c>
      <c r="P345" s="6">
        <f t="shared" si="88"/>
        <v>38638.003667285499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15111.065647584244</v>
      </c>
      <c r="Z345" s="6">
        <f t="shared" si="92"/>
        <v>111837.37555657352</v>
      </c>
      <c r="AA345" s="6">
        <f t="shared" si="93"/>
        <v>38638.003667285499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3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68538.288198998605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79333.094649817271</v>
      </c>
      <c r="O346" s="6">
        <f t="shared" si="87"/>
        <v>1016488.3109341421</v>
      </c>
      <c r="P346" s="6">
        <f t="shared" si="88"/>
        <v>40569.903850649775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15866.618929963453</v>
      </c>
      <c r="Z346" s="6">
        <f t="shared" si="92"/>
        <v>112943.14565934912</v>
      </c>
      <c r="AA346" s="6">
        <f t="shared" si="93"/>
        <v>40569.903850649775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3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71965.20260894853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83299.749382308131</v>
      </c>
      <c r="O347" s="6">
        <f t="shared" si="87"/>
        <v>1026151.0414489968</v>
      </c>
      <c r="P347" s="6">
        <f t="shared" si="88"/>
        <v>42598.39904318226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16659.949876461626</v>
      </c>
      <c r="Z347" s="6">
        <f t="shared" si="92"/>
        <v>114016.78238322186</v>
      </c>
      <c r="AA347" s="6">
        <f t="shared" si="93"/>
        <v>42598.39904318226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3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75563.462739395967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87464.736851423542</v>
      </c>
      <c r="O348" s="6">
        <f t="shared" si="87"/>
        <v>1035525.9963195856</v>
      </c>
      <c r="P348" s="6">
        <f t="shared" si="88"/>
        <v>44728.318995341375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17492.94737028471</v>
      </c>
      <c r="Z348" s="6">
        <f t="shared" si="92"/>
        <v>115058.44403550951</v>
      </c>
      <c r="AA348" s="6">
        <f t="shared" si="93"/>
        <v>44728.318995341375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3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79341.635876365777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91837.973693994747</v>
      </c>
      <c r="O349" s="6">
        <f t="shared" si="87"/>
        <v>1044615.1810346327</v>
      </c>
      <c r="P349" s="6">
        <f t="shared" si="88"/>
        <v>46964.734945108452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18367.594738798951</v>
      </c>
      <c r="Z349" s="6">
        <f t="shared" si="92"/>
        <v>116068.35344829253</v>
      </c>
      <c r="AA349" s="6">
        <f t="shared" si="93"/>
        <v>46964.734945108452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3">
        <f t="shared" si="96"/>
        <v>2.4999999999999996</v>
      </c>
    </row>
    <row r="351" spans="3:32" ht="14.25" customHeight="1" x14ac:dyDescent="0.2">
      <c r="C351" s="3" t="s">
        <v>302</v>
      </c>
      <c r="D351" s="2" t="s">
        <v>313</v>
      </c>
      <c r="I351" s="3" t="s">
        <v>303</v>
      </c>
      <c r="Q351" s="2"/>
    </row>
    <row r="352" spans="3:32" ht="14.25" customHeight="1" x14ac:dyDescent="0.2">
      <c r="D352" s="3" t="s">
        <v>301</v>
      </c>
      <c r="E352" s="3" t="s">
        <v>146</v>
      </c>
      <c r="F352" s="3" t="s">
        <v>147</v>
      </c>
      <c r="G352" s="3" t="s">
        <v>124</v>
      </c>
      <c r="H352" s="76" t="s">
        <v>15</v>
      </c>
      <c r="J352" s="24" t="s">
        <v>13</v>
      </c>
      <c r="K352" s="3" t="s">
        <v>147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24</v>
      </c>
      <c r="F354" s="1">
        <f>F6</f>
        <v>100</v>
      </c>
      <c r="G354" s="1">
        <f>SUM(G6:G10)-G7</f>
        <v>10</v>
      </c>
      <c r="H354" s="6">
        <f t="shared" ref="H354:H357" si="97">F354/(J354-G354)</f>
        <v>12.187690432663013</v>
      </c>
      <c r="J354" s="1">
        <f>J353</f>
        <v>18.204999999999998</v>
      </c>
      <c r="K354" s="6">
        <f t="shared" ref="K354:K357" si="98">E354*H354</f>
        <v>292.50457038391232</v>
      </c>
    </row>
    <row r="355" spans="3:32" ht="14.25" customHeight="1" x14ac:dyDescent="0.2">
      <c r="D355" s="1">
        <v>3</v>
      </c>
      <c r="E355" s="1">
        <f>E354-E6</f>
        <v>19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186.1832435080843</v>
      </c>
    </row>
    <row r="356" spans="3:32" ht="14.25" customHeight="1" x14ac:dyDescent="0.2">
      <c r="D356" s="1">
        <v>2</v>
      </c>
      <c r="E356" s="1">
        <f>E355-E9</f>
        <v>9</v>
      </c>
      <c r="F356" s="1">
        <f>F9</f>
        <v>40</v>
      </c>
      <c r="G356" s="1">
        <f>G355-G9</f>
        <v>8</v>
      </c>
      <c r="H356" s="6">
        <f t="shared" si="97"/>
        <v>3.9196472317491433</v>
      </c>
      <c r="J356" s="1">
        <f t="shared" si="99"/>
        <v>18.204999999999998</v>
      </c>
      <c r="K356" s="6">
        <f t="shared" si="98"/>
        <v>35.276825085742288</v>
      </c>
    </row>
    <row r="357" spans="3:32" ht="14.25" customHeight="1" x14ac:dyDescent="0.2">
      <c r="D357" s="1">
        <v>1</v>
      </c>
      <c r="E357" s="1">
        <f>E10</f>
        <v>4</v>
      </c>
      <c r="F357" s="1">
        <f>F10</f>
        <v>50</v>
      </c>
      <c r="G357" s="1">
        <f>G10</f>
        <v>6</v>
      </c>
      <c r="H357" s="6">
        <f t="shared" si="97"/>
        <v>4.0966816878328558</v>
      </c>
      <c r="J357" s="1">
        <f t="shared" si="99"/>
        <v>18.204999999999998</v>
      </c>
      <c r="K357" s="6">
        <f t="shared" si="98"/>
        <v>16.386726751331423</v>
      </c>
    </row>
    <row r="358" spans="3:32" ht="14.25" customHeight="1" x14ac:dyDescent="0.2">
      <c r="H358" s="6">
        <f>SUM(H353:H357)</f>
        <v>30.003137431617869</v>
      </c>
      <c r="I358" s="1" t="s">
        <v>304</v>
      </c>
      <c r="J358" s="1">
        <f>MAX(J353:J357)</f>
        <v>18.204999999999998</v>
      </c>
      <c r="K358" s="6">
        <f>SUM(K353:K357)</f>
        <v>530.35136572907027</v>
      </c>
    </row>
    <row r="360" spans="3:32" ht="14.25" customHeight="1" collapsed="1" x14ac:dyDescent="0.2">
      <c r="C360" s="3" t="s">
        <v>162</v>
      </c>
      <c r="E360" s="1">
        <f>J358</f>
        <v>18.204999999999998</v>
      </c>
      <c r="F360" s="6">
        <f>K358</f>
        <v>530.35136572907027</v>
      </c>
      <c r="G360" s="17">
        <v>5</v>
      </c>
      <c r="J360" s="1" t="s">
        <v>306</v>
      </c>
      <c r="K360" s="1">
        <f>K21</f>
        <v>75</v>
      </c>
      <c r="L360" s="3" t="s">
        <v>305</v>
      </c>
      <c r="P360" s="6">
        <f>MAX(P363:P462)</f>
        <v>46964.734945108452</v>
      </c>
      <c r="X360" s="1" t="s">
        <v>309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39776.352429680272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186</v>
      </c>
      <c r="E362" s="1" t="s">
        <v>146</v>
      </c>
      <c r="F362" s="1" t="s">
        <v>147</v>
      </c>
      <c r="G362" s="1" t="s">
        <v>139</v>
      </c>
      <c r="H362" s="17" t="s">
        <v>140</v>
      </c>
      <c r="I362" s="17" t="s">
        <v>141</v>
      </c>
      <c r="J362" s="17" t="s">
        <v>142</v>
      </c>
      <c r="M362" s="1" t="s">
        <v>164</v>
      </c>
      <c r="N362" s="1" t="s">
        <v>165</v>
      </c>
      <c r="O362" s="1" t="s">
        <v>166</v>
      </c>
      <c r="P362" s="1" t="s">
        <v>139</v>
      </c>
      <c r="Q362" s="17" t="s">
        <v>140</v>
      </c>
      <c r="R362" s="17" t="s">
        <v>141</v>
      </c>
      <c r="S362" s="17" t="s">
        <v>142</v>
      </c>
      <c r="T362" s="17" t="s">
        <v>167</v>
      </c>
      <c r="U362" s="17" t="s">
        <v>198</v>
      </c>
      <c r="V362" s="1" t="s">
        <v>308</v>
      </c>
      <c r="X362" s="1" t="s">
        <v>164</v>
      </c>
      <c r="Y362" s="1" t="s">
        <v>165</v>
      </c>
      <c r="Z362" s="1" t="s">
        <v>166</v>
      </c>
      <c r="AA362" s="1" t="s">
        <v>139</v>
      </c>
      <c r="AB362" s="1" t="s">
        <v>140</v>
      </c>
      <c r="AC362" s="1" t="s">
        <v>141</v>
      </c>
      <c r="AD362" s="1" t="s">
        <v>142</v>
      </c>
      <c r="AE362" s="1" t="s">
        <v>307</v>
      </c>
      <c r="AF362" s="1" t="s">
        <v>199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530.35136572907027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910.25</v>
      </c>
      <c r="O363" s="6">
        <f>F363*$K$21/(1+P363/$P$22)</f>
        <v>38338.652944270136</v>
      </c>
      <c r="P363" s="6">
        <f>G363*$K$21</f>
        <v>375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182.05</v>
      </c>
      <c r="Z363" s="6">
        <f>O363/$X$22</f>
        <v>4259.8503271411264</v>
      </c>
      <c r="AA363" s="6">
        <f>P363</f>
        <v>375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3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556.86893401552379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955.76250000000016</v>
      </c>
      <c r="O364" s="6">
        <f t="shared" ref="O364:O427" si="105">F364*$K$21/(1+P364/$P$22)</f>
        <v>40182.96577382012</v>
      </c>
      <c r="P364" s="6">
        <f t="shared" ref="P364:P427" si="106">G364*$K$21</f>
        <v>393.75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191.15250000000003</v>
      </c>
      <c r="Z364" s="6">
        <f>O364/$X$22</f>
        <v>4464.7739748689019</v>
      </c>
      <c r="AA364" s="6">
        <f>P364</f>
        <v>393.75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3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584.7123807163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1003.550625</v>
      </c>
      <c r="O365" s="6">
        <f t="shared" si="105"/>
        <v>42112.346238907659</v>
      </c>
      <c r="P365" s="6">
        <f t="shared" si="106"/>
        <v>413.4375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200.71012500000001</v>
      </c>
      <c r="Z365" s="6">
        <f t="shared" ref="Z365:Z428" si="110">O365/$X$22</f>
        <v>4679.1495821008511</v>
      </c>
      <c r="AA365" s="6">
        <f t="shared" ref="AA365:AA428" si="111">P365</f>
        <v>413.4375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3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613.94799975211504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1053.7281562500002</v>
      </c>
      <c r="O366" s="6">
        <f t="shared" si="105"/>
        <v>44130.359694843261</v>
      </c>
      <c r="P366" s="6">
        <f t="shared" si="106"/>
        <v>434.10937500000006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210.74563125000003</v>
      </c>
      <c r="Z366" s="6">
        <f t="shared" si="110"/>
        <v>4903.3732994270285</v>
      </c>
      <c r="AA366" s="6">
        <f t="shared" si="111"/>
        <v>434.10937500000006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3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644.64539973972069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1106.4145640624999</v>
      </c>
      <c r="O367" s="6">
        <f t="shared" si="105"/>
        <v>46240.685879570141</v>
      </c>
      <c r="P367" s="6">
        <f t="shared" si="106"/>
        <v>455.81484374999997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221.2829128125</v>
      </c>
      <c r="Z367" s="6">
        <f t="shared" si="110"/>
        <v>5137.8539866189049</v>
      </c>
      <c r="AA367" s="6">
        <f t="shared" si="111"/>
        <v>455.81484374999997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3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676.87766972670681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1161.735292265625</v>
      </c>
      <c r="O368" s="6">
        <f t="shared" si="105"/>
        <v>48447.119049534391</v>
      </c>
      <c r="P368" s="6">
        <f t="shared" si="106"/>
        <v>478.60558593750005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232.34705845312502</v>
      </c>
      <c r="Z368" s="6">
        <f t="shared" si="110"/>
        <v>5383.0132277260436</v>
      </c>
      <c r="AA368" s="6">
        <f t="shared" si="111"/>
        <v>478.60558593750005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3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710.72155321304206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1219.8220568789063</v>
      </c>
      <c r="O369" s="6">
        <f t="shared" si="105"/>
        <v>50753.567685901558</v>
      </c>
      <c r="P369" s="6">
        <f t="shared" si="106"/>
        <v>502.53586523437497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243.96441137578125</v>
      </c>
      <c r="Z369" s="6">
        <f t="shared" si="110"/>
        <v>5639.2852984335068</v>
      </c>
      <c r="AA369" s="6">
        <f t="shared" si="111"/>
        <v>502.53586523437497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3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746.25763087369432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1280.8131597228519</v>
      </c>
      <c r="O370" s="6">
        <f t="shared" si="105"/>
        <v>53164.053723129509</v>
      </c>
      <c r="P370" s="6">
        <f t="shared" si="106"/>
        <v>527.66265849609385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256.16263194457036</v>
      </c>
      <c r="Z370" s="6">
        <f t="shared" si="110"/>
        <v>5907.1170803477235</v>
      </c>
      <c r="AA370" s="6">
        <f t="shared" si="111"/>
        <v>527.66265849609385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3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783.57051241737895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1344.8538177089943</v>
      </c>
      <c r="O371" s="6">
        <f t="shared" si="105"/>
        <v>55682.711249058804</v>
      </c>
      <c r="P371" s="6">
        <f t="shared" si="106"/>
        <v>554.04579142089847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268.97076354179887</v>
      </c>
      <c r="Z371" s="6">
        <f t="shared" si="110"/>
        <v>6186.9679165620892</v>
      </c>
      <c r="AA371" s="6">
        <f t="shared" si="111"/>
        <v>554.04579142089847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3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822.74903803824793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1412.096508594444</v>
      </c>
      <c r="O372" s="6">
        <f t="shared" si="105"/>
        <v>58313.784622893989</v>
      </c>
      <c r="P372" s="6">
        <f t="shared" si="106"/>
        <v>581.74808099194343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282.41930171888879</v>
      </c>
      <c r="Z372" s="6">
        <f t="shared" si="110"/>
        <v>6479.3094025437767</v>
      </c>
      <c r="AA372" s="6">
        <f t="shared" si="111"/>
        <v>581.74808099194343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3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863.88648994016035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1482.7013340241663</v>
      </c>
      <c r="O373" s="6">
        <f t="shared" si="105"/>
        <v>61061.625954761817</v>
      </c>
      <c r="P373" s="6">
        <f t="shared" si="106"/>
        <v>610.83548504154066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296.54026680483327</v>
      </c>
      <c r="Z373" s="6">
        <f t="shared" si="110"/>
        <v>6784.6251060846462</v>
      </c>
      <c r="AA373" s="6">
        <f t="shared" si="111"/>
        <v>610.83548504154066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3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907.08081443716844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1556.8364007253747</v>
      </c>
      <c r="O374" s="6">
        <f t="shared" si="105"/>
        <v>63930.691888000576</v>
      </c>
      <c r="P374" s="6">
        <f t="shared" si="106"/>
        <v>641.37725929361773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311.36728014507491</v>
      </c>
      <c r="Z374" s="6">
        <f t="shared" si="110"/>
        <v>7103.4102097778414</v>
      </c>
      <c r="AA374" s="6">
        <f t="shared" si="111"/>
        <v>641.37725929361773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3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952.43485515902671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1634.6782207616429</v>
      </c>
      <c r="O375" s="6">
        <f t="shared" si="105"/>
        <v>66925.539623010918</v>
      </c>
      <c r="P375" s="6">
        <f t="shared" si="106"/>
        <v>673.44612225829849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326.93564415232856</v>
      </c>
      <c r="Z375" s="6">
        <f t="shared" si="110"/>
        <v>7436.1710692234356</v>
      </c>
      <c r="AA375" s="6">
        <f t="shared" si="111"/>
        <v>673.44612225829849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3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1000.0565979169781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1716.4121317997256</v>
      </c>
      <c r="O376" s="6">
        <f t="shared" si="105"/>
        <v>70050.82211945155</v>
      </c>
      <c r="P376" s="6">
        <f t="shared" si="106"/>
        <v>707.11842837121344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343.28242635994513</v>
      </c>
      <c r="Z376" s="6">
        <f t="shared" si="110"/>
        <v>7783.4246799390612</v>
      </c>
      <c r="AA376" s="6">
        <f t="shared" si="111"/>
        <v>707.11842837121344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3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1050.0594278128269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1802.2327383897116</v>
      </c>
      <c r="O377" s="6">
        <f t="shared" si="105"/>
        <v>73311.282411861845</v>
      </c>
      <c r="P377" s="6">
        <f t="shared" si="106"/>
        <v>742.4743497897739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360.44654767794231</v>
      </c>
      <c r="Z377" s="6">
        <f t="shared" si="110"/>
        <v>8145.6980457624268</v>
      </c>
      <c r="AA377" s="6">
        <f t="shared" si="111"/>
        <v>742.4743497897739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3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1102.5623992034687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1892.3443753091976</v>
      </c>
      <c r="O378" s="6">
        <f t="shared" si="105"/>
        <v>76711.746972520836</v>
      </c>
      <c r="P378" s="6">
        <f t="shared" si="106"/>
        <v>779.59806727926286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378.46887506183953</v>
      </c>
      <c r="Z378" s="6">
        <f t="shared" si="110"/>
        <v>8523.5274413912048</v>
      </c>
      <c r="AA378" s="6">
        <f t="shared" si="111"/>
        <v>779.59806727926286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3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1157.690519163642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1986.9615940746569</v>
      </c>
      <c r="O379" s="6">
        <f t="shared" si="105"/>
        <v>80257.118054592895</v>
      </c>
      <c r="P379" s="6">
        <f t="shared" si="106"/>
        <v>818.57797064322597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397.3923188149314</v>
      </c>
      <c r="Z379" s="6">
        <f t="shared" si="110"/>
        <v>8917.4575616214333</v>
      </c>
      <c r="AA379" s="6">
        <f t="shared" si="111"/>
        <v>818.57797064322597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3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1215.5750451218241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2086.3096737783908</v>
      </c>
      <c r="O380" s="6">
        <f t="shared" si="105"/>
        <v>83952.364948464383</v>
      </c>
      <c r="P380" s="6">
        <f t="shared" si="106"/>
        <v>859.50686917538746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417.26193475567817</v>
      </c>
      <c r="Z380" s="6">
        <f t="shared" si="110"/>
        <v>9328.0405498293767</v>
      </c>
      <c r="AA380" s="6">
        <f t="shared" si="111"/>
        <v>859.50686917538746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3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1276.3537973779153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2190.6251574673097</v>
      </c>
      <c r="O381" s="6">
        <f t="shared" si="105"/>
        <v>87802.514084739872</v>
      </c>
      <c r="P381" s="6">
        <f t="shared" si="106"/>
        <v>902.48221263415678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438.12503149346196</v>
      </c>
      <c r="Z381" s="6">
        <f t="shared" si="110"/>
        <v>9755.8348983044307</v>
      </c>
      <c r="AA381" s="6">
        <f t="shared" si="111"/>
        <v>902.48221263415678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3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1340.171487246811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2300.1564153406748</v>
      </c>
      <c r="O382" s="6">
        <f t="shared" si="105"/>
        <v>91812.637918757449</v>
      </c>
      <c r="P382" s="6">
        <f t="shared" si="106"/>
        <v>947.6063232658646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460.03128306813494</v>
      </c>
      <c r="Z382" s="6">
        <f t="shared" si="110"/>
        <v>10201.404213195272</v>
      </c>
      <c r="AA382" s="6">
        <f t="shared" si="111"/>
        <v>947.6063232658646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3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1407.1800616091516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2415.1642361077093</v>
      </c>
      <c r="O383" s="6">
        <f t="shared" si="105"/>
        <v>95987.842533809351</v>
      </c>
      <c r="P383" s="6">
        <f t="shared" si="106"/>
        <v>994.98663942915789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483.03284722154183</v>
      </c>
      <c r="Z383" s="6">
        <f t="shared" si="110"/>
        <v>10665.315837089927</v>
      </c>
      <c r="AA383" s="6">
        <f t="shared" si="111"/>
        <v>994.98663942915789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3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1477.5390646896092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2535.9224479130944</v>
      </c>
      <c r="O384" s="6">
        <f t="shared" si="105"/>
        <v>100333.25390364026</v>
      </c>
      <c r="P384" s="6">
        <f t="shared" si="106"/>
        <v>1044.7359714006157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507.18448958261888</v>
      </c>
      <c r="Z384" s="6">
        <f t="shared" si="110"/>
        <v>11148.139322626696</v>
      </c>
      <c r="AA384" s="6">
        <f t="shared" si="111"/>
        <v>1044.7359714006157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3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1551.4160179240896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2662.7185703087493</v>
      </c>
      <c r="O385" s="6">
        <f t="shared" si="105"/>
        <v>104854.00275936202</v>
      </c>
      <c r="P385" s="6">
        <f t="shared" si="106"/>
        <v>1096.9727699706464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532.54371406174982</v>
      </c>
      <c r="Z385" s="6">
        <f t="shared" si="110"/>
        <v>11650.444751040224</v>
      </c>
      <c r="AA385" s="6">
        <f t="shared" si="111"/>
        <v>1096.9727699706464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3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1628.9868188202943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2795.854498824187</v>
      </c>
      <c r="O386" s="6">
        <f t="shared" si="105"/>
        <v>109555.20801179421</v>
      </c>
      <c r="P386" s="6">
        <f t="shared" si="106"/>
        <v>1151.821408469179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559.17089976483737</v>
      </c>
      <c r="Z386" s="6">
        <f t="shared" si="110"/>
        <v>12172.800890199356</v>
      </c>
      <c r="AA386" s="6">
        <f t="shared" si="111"/>
        <v>1151.821408469179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3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1710.4361597613088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2935.6472237653961</v>
      </c>
      <c r="O387" s="6">
        <f t="shared" si="105"/>
        <v>114441.958687536</v>
      </c>
      <c r="P387" s="6">
        <f t="shared" si="106"/>
        <v>1209.4124788926376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587.12944475307927</v>
      </c>
      <c r="Z387" s="6">
        <f t="shared" si="110"/>
        <v>12715.773187503999</v>
      </c>
      <c r="AA387" s="6">
        <f t="shared" si="111"/>
        <v>1209.4124788926376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3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1795.9579677493743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3082.4295849536657</v>
      </c>
      <c r="O388" s="6">
        <f t="shared" si="105"/>
        <v>119519.29434591226</v>
      </c>
      <c r="P388" s="6">
        <f t="shared" si="106"/>
        <v>1269.8831028372699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616.48591699073313</v>
      </c>
      <c r="Z388" s="6">
        <f t="shared" si="110"/>
        <v>13279.921593990251</v>
      </c>
      <c r="AA388" s="6">
        <f t="shared" si="111"/>
        <v>1269.8831028372699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3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1885.755866136843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3236.5510642013492</v>
      </c>
      <c r="O389" s="6">
        <f t="shared" si="105"/>
        <v>124792.1839544253</v>
      </c>
      <c r="P389" s="6">
        <f t="shared" si="106"/>
        <v>1333.3772579791332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647.31021284026986</v>
      </c>
      <c r="Z389" s="6">
        <f t="shared" si="110"/>
        <v>13865.798217158366</v>
      </c>
      <c r="AA389" s="6">
        <f t="shared" si="111"/>
        <v>1333.3772579791332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3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1980.0436594436853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3398.3786174114171</v>
      </c>
      <c r="O390" s="6">
        <f t="shared" si="105"/>
        <v>130265.50321257638</v>
      </c>
      <c r="P390" s="6">
        <f t="shared" si="106"/>
        <v>1400.0461208780901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679.67572348228339</v>
      </c>
      <c r="Z390" s="6">
        <f t="shared" si="110"/>
        <v>14473.944801397376</v>
      </c>
      <c r="AA390" s="6">
        <f t="shared" si="111"/>
        <v>1400.0461208780901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3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2079.0458424158692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3568.297548281987</v>
      </c>
      <c r="O391" s="6">
        <f t="shared" si="105"/>
        <v>135944.0103279789</v>
      </c>
      <c r="P391" s="6">
        <f t="shared" si="106"/>
        <v>1470.0484269219942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713.6595096563974</v>
      </c>
      <c r="Z391" s="6">
        <f t="shared" si="110"/>
        <v>15104.890036442101</v>
      </c>
      <c r="AA391" s="6">
        <f t="shared" si="111"/>
        <v>1470.0484269219942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3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2182.9981345366632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3746.7124256960869</v>
      </c>
      <c r="O392" s="6">
        <f t="shared" si="105"/>
        <v>141832.32026462097</v>
      </c>
      <c r="P392" s="6">
        <f t="shared" si="106"/>
        <v>1543.5508482680943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749.34248513921739</v>
      </c>
      <c r="Z392" s="6">
        <f t="shared" si="110"/>
        <v>15759.146696068996</v>
      </c>
      <c r="AA392" s="6">
        <f t="shared" si="111"/>
        <v>1543.5508482680943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3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2292.1480412634955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3934.0480469808904</v>
      </c>
      <c r="O393" s="6">
        <f t="shared" si="105"/>
        <v>147934.87750097946</v>
      </c>
      <c r="P393" s="6">
        <f t="shared" si="106"/>
        <v>1620.7283906814985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786.80960939617808</v>
      </c>
      <c r="Z393" s="6">
        <f t="shared" si="110"/>
        <v>16437.208611219939</v>
      </c>
      <c r="AA393" s="6">
        <f t="shared" si="111"/>
        <v>1620.7283906814985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3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2406.7554433266714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4130.7504493299375</v>
      </c>
      <c r="O394" s="6">
        <f t="shared" si="105"/>
        <v>154255.92735543539</v>
      </c>
      <c r="P394" s="6">
        <f t="shared" si="106"/>
        <v>1701.764810215574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826.15008986598752</v>
      </c>
      <c r="Z394" s="6">
        <f t="shared" si="110"/>
        <v>17139.547483937265</v>
      </c>
      <c r="AA394" s="6">
        <f t="shared" si="111"/>
        <v>1701.764810215574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3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2527.0932154930047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4337.2879717964342</v>
      </c>
      <c r="O395" s="6">
        <f t="shared" si="105"/>
        <v>160799.48595804002</v>
      </c>
      <c r="P395" s="6">
        <f t="shared" si="106"/>
        <v>1786.8530507263524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867.45759435928687</v>
      </c>
      <c r="Z395" s="6">
        <f t="shared" si="110"/>
        <v>17866.609550893336</v>
      </c>
      <c r="AA395" s="6">
        <f t="shared" si="111"/>
        <v>1786.8530507263524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3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2653.4478762676549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4554.152370386254</v>
      </c>
      <c r="O396" s="6">
        <f t="shared" si="105"/>
        <v>167569.30897105523</v>
      </c>
      <c r="P396" s="6">
        <f t="shared" si="106"/>
        <v>1876.1957032626701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910.83047407725076</v>
      </c>
      <c r="Z396" s="6">
        <f t="shared" si="110"/>
        <v>18618.812107895024</v>
      </c>
      <c r="AA396" s="6">
        <f t="shared" si="111"/>
        <v>1876.1957032626701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3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2786.1202700810377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4781.8599889055668</v>
      </c>
      <c r="O397" s="6">
        <f t="shared" si="105"/>
        <v>174568.85918567644</v>
      </c>
      <c r="P397" s="6">
        <f t="shared" si="106"/>
        <v>1970.0054884258036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956.37199778111335</v>
      </c>
      <c r="Z397" s="6">
        <f t="shared" si="110"/>
        <v>19396.539909519604</v>
      </c>
      <c r="AA397" s="6">
        <f t="shared" si="111"/>
        <v>1970.0054884258036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3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2925.42628358509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5020.9529883508458</v>
      </c>
      <c r="O398" s="6">
        <f t="shared" si="105"/>
        <v>181801.2731487657</v>
      </c>
      <c r="P398" s="6">
        <f t="shared" si="106"/>
        <v>2068.5057628470945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1004.1905976701692</v>
      </c>
      <c r="Z398" s="6">
        <f t="shared" si="110"/>
        <v>20200.141460973966</v>
      </c>
      <c r="AA398" s="6">
        <f t="shared" si="111"/>
        <v>2068.5057628470945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3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3071.6975977643442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5272.0006377683885</v>
      </c>
      <c r="O399" s="6">
        <f t="shared" si="105"/>
        <v>189269.32700099266</v>
      </c>
      <c r="P399" s="6">
        <f t="shared" si="106"/>
        <v>2171.9310509894485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1054.4001275536777</v>
      </c>
      <c r="Z399" s="6">
        <f t="shared" si="110"/>
        <v>21029.925222332517</v>
      </c>
      <c r="AA399" s="6">
        <f t="shared" si="111"/>
        <v>2171.9310509894485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3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3225.2824776525617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5535.6006696568083</v>
      </c>
      <c r="O400" s="6">
        <f t="shared" si="105"/>
        <v>196975.40173618766</v>
      </c>
      <c r="P400" s="6">
        <f t="shared" si="106"/>
        <v>2280.5276035389211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1107.1201339313616</v>
      </c>
      <c r="Z400" s="6">
        <f t="shared" si="110"/>
        <v>21886.155748465295</v>
      </c>
      <c r="AA400" s="6">
        <f t="shared" si="111"/>
        <v>2280.5276035389211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3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3386.546601535189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5812.3807031396482</v>
      </c>
      <c r="O401" s="6">
        <f t="shared" si="105"/>
        <v>204921.44812055037</v>
      </c>
      <c r="P401" s="6">
        <f t="shared" si="106"/>
        <v>2394.5539837158667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1162.4761406279297</v>
      </c>
      <c r="Z401" s="6">
        <f t="shared" si="110"/>
        <v>22769.049791172263</v>
      </c>
      <c r="AA401" s="6">
        <f t="shared" si="111"/>
        <v>2394.5539837158667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3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3555.873931611949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6102.9997382966321</v>
      </c>
      <c r="O402" s="6">
        <f t="shared" si="105"/>
        <v>213108.95153916595</v>
      </c>
      <c r="P402" s="6">
        <f t="shared" si="106"/>
        <v>2514.2816829016606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1220.5999476593265</v>
      </c>
      <c r="Z402" s="6">
        <f t="shared" si="110"/>
        <v>23678.772393240662</v>
      </c>
      <c r="AA402" s="6">
        <f t="shared" si="111"/>
        <v>2514.2816829016606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3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3733.6676281925461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6408.1497252114623</v>
      </c>
      <c r="O403" s="6">
        <f t="shared" si="105"/>
        <v>221538.89706552259</v>
      </c>
      <c r="P403" s="6">
        <f t="shared" si="106"/>
        <v>2639.9957670467434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1281.6299450422925</v>
      </c>
      <c r="Z403" s="6">
        <f t="shared" si="110"/>
        <v>24615.433007280288</v>
      </c>
      <c r="AA403" s="6">
        <f t="shared" si="111"/>
        <v>2639.9957670467434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3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3920.3510096021737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6728.5572114720362</v>
      </c>
      <c r="O404" s="6">
        <f t="shared" si="105"/>
        <v>230211.73507680235</v>
      </c>
      <c r="P404" s="6">
        <f t="shared" si="106"/>
        <v>2771.9955553990808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1345.7114422944073</v>
      </c>
      <c r="Z404" s="6">
        <f t="shared" si="110"/>
        <v>25579.081675200261</v>
      </c>
      <c r="AA404" s="6">
        <f t="shared" si="111"/>
        <v>2771.9955553990808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3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4116.3685600822828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7064.985072045637</v>
      </c>
      <c r="O405" s="6">
        <f t="shared" si="105"/>
        <v>239127.34776297177</v>
      </c>
      <c r="P405" s="6">
        <f t="shared" si="106"/>
        <v>2910.5953331690353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1412.9970144091274</v>
      </c>
      <c r="Z405" s="6">
        <f t="shared" si="110"/>
        <v>26569.705306996864</v>
      </c>
      <c r="AA405" s="6">
        <f t="shared" si="111"/>
        <v>2910.5953331690353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3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4322.1869880863969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7418.2343256479198</v>
      </c>
      <c r="O406" s="6">
        <f t="shared" si="105"/>
        <v>248285.01690043014</v>
      </c>
      <c r="P406" s="6">
        <f t="shared" si="106"/>
        <v>3056.1250998274872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1483.6468651295841</v>
      </c>
      <c r="Z406" s="6">
        <f t="shared" si="110"/>
        <v>27587.224100047795</v>
      </c>
      <c r="AA406" s="6">
        <f t="shared" si="111"/>
        <v>3056.1250998274872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3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4538.2963374907167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7789.1460419303157</v>
      </c>
      <c r="O407" s="6">
        <f t="shared" si="105"/>
        <v>257683.39328043349</v>
      </c>
      <c r="P407" s="6">
        <f t="shared" si="106"/>
        <v>3208.9313548188607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1557.8292083860631</v>
      </c>
      <c r="Z407" s="6">
        <f t="shared" si="110"/>
        <v>28631.488142270387</v>
      </c>
      <c r="AA407" s="6">
        <f t="shared" si="111"/>
        <v>3208.9313548188607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3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4765.2111543652536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8178.603344026832</v>
      </c>
      <c r="O408" s="6">
        <f t="shared" si="105"/>
        <v>267320.46819794382</v>
      </c>
      <c r="P408" s="6">
        <f t="shared" si="106"/>
        <v>3369.3779225598046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1635.7206688053664</v>
      </c>
      <c r="Z408" s="6">
        <f t="shared" si="110"/>
        <v>29702.27424421598</v>
      </c>
      <c r="AA408" s="6">
        <f t="shared" si="111"/>
        <v>3369.3779225598046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3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5003.4717120835148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8587.5335112281718</v>
      </c>
      <c r="O409" s="6">
        <f t="shared" si="105"/>
        <v>277193.54741719342</v>
      </c>
      <c r="P409" s="6">
        <f t="shared" si="106"/>
        <v>3537.846818687794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1717.5067022456344</v>
      </c>
      <c r="Z409" s="6">
        <f t="shared" si="110"/>
        <v>30799.283046354823</v>
      </c>
      <c r="AA409" s="6">
        <f t="shared" si="111"/>
        <v>3537.846818687794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3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5253.6452976876917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9016.9101867895824</v>
      </c>
      <c r="O410" s="6">
        <f t="shared" si="105"/>
        <v>287299.22803535953</v>
      </c>
      <c r="P410" s="6">
        <f t="shared" si="106"/>
        <v>3714.7391596221851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1803.3820373579165</v>
      </c>
      <c r="Z410" s="6">
        <f t="shared" si="110"/>
        <v>31922.13644837328</v>
      </c>
      <c r="AA410" s="6">
        <f t="shared" si="111"/>
        <v>3714.7391596221851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3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5516.3275625720762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9467.7556961290611</v>
      </c>
      <c r="O411" s="6">
        <f t="shared" si="105"/>
        <v>297633.37866461492</v>
      </c>
      <c r="P411" s="6">
        <f t="shared" si="106"/>
        <v>3900.4761176032939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1893.5511392258122</v>
      </c>
      <c r="Z411" s="6">
        <f t="shared" si="110"/>
        <v>33070.375407179439</v>
      </c>
      <c r="AA411" s="6">
        <f t="shared" si="111"/>
        <v>3900.4761176032939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3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5792.1439407006801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9941.143480935516</v>
      </c>
      <c r="O412" s="6">
        <f t="shared" si="105"/>
        <v>308191.12334484258</v>
      </c>
      <c r="P412" s="6">
        <f t="shared" si="106"/>
        <v>4095.4999234834586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1988.2286961871032</v>
      </c>
      <c r="Z412" s="6">
        <f t="shared" si="110"/>
        <v>34243.458149426951</v>
      </c>
      <c r="AA412" s="6">
        <f t="shared" si="111"/>
        <v>4095.4999234834586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3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6081.7511377357141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10438.200654982291</v>
      </c>
      <c r="O413" s="6">
        <f t="shared" si="105"/>
        <v>318966.82958393008</v>
      </c>
      <c r="P413" s="6">
        <f t="shared" si="106"/>
        <v>4300.2749196576315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2087.6401309964581</v>
      </c>
      <c r="Z413" s="6">
        <f t="shared" si="110"/>
        <v>35440.758842658899</v>
      </c>
      <c r="AA413" s="6">
        <f t="shared" si="111"/>
        <v>4300.2749196576315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3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6385.8386946225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10960.110687731407</v>
      </c>
      <c r="O414" s="6">
        <f t="shared" si="105"/>
        <v>329954.10089941433</v>
      </c>
      <c r="P414" s="6">
        <f t="shared" si="106"/>
        <v>4515.2886656405135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2192.0221375462816</v>
      </c>
      <c r="Z414" s="6">
        <f t="shared" si="110"/>
        <v>36661.566766601594</v>
      </c>
      <c r="AA414" s="6">
        <f t="shared" si="111"/>
        <v>4515.2886656405135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3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6705.1306293536254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11508.116222117977</v>
      </c>
      <c r="O415" s="6">
        <f t="shared" si="105"/>
        <v>341145.77420406893</v>
      </c>
      <c r="P415" s="6">
        <f t="shared" si="106"/>
        <v>4741.053098922539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2301.6232444235952</v>
      </c>
      <c r="Z415" s="6">
        <f t="shared" si="110"/>
        <v>37905.086022674324</v>
      </c>
      <c r="AA415" s="6">
        <f t="shared" si="111"/>
        <v>4741.053098922539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3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7040.3871608213058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12083.522033223875</v>
      </c>
      <c r="O416" s="6">
        <f t="shared" si="105"/>
        <v>352533.92233875388</v>
      </c>
      <c r="P416" s="6">
        <f t="shared" si="106"/>
        <v>4978.1057538686664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2416.7044066447752</v>
      </c>
      <c r="Z416" s="6">
        <f t="shared" si="110"/>
        <v>39170.435815417099</v>
      </c>
      <c r="AA416" s="6">
        <f t="shared" si="111"/>
        <v>4978.1057538686664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3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7392.4065188623708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12687.698134885068</v>
      </c>
      <c r="O417" s="6">
        <f t="shared" si="105"/>
        <v>364109.86200861138</v>
      </c>
      <c r="P417" s="6">
        <f t="shared" si="106"/>
        <v>5227.0110415620984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2537.5396269770135</v>
      </c>
      <c r="Z417" s="6">
        <f t="shared" si="110"/>
        <v>40456.651334290153</v>
      </c>
      <c r="AA417" s="6">
        <f t="shared" si="111"/>
        <v>5227.0110415620984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3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7762.0268448054912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13322.083041629321</v>
      </c>
      <c r="O418" s="6">
        <f t="shared" si="105"/>
        <v>375864.16732383997</v>
      </c>
      <c r="P418" s="6">
        <f t="shared" si="106"/>
        <v>5488.3615936402048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2664.4166083258642</v>
      </c>
      <c r="Z418" s="6">
        <f t="shared" si="110"/>
        <v>41762.685258204438</v>
      </c>
      <c r="AA418" s="6">
        <f t="shared" si="111"/>
        <v>5488.3615936402048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3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8150.1281870457642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13988.187193710786</v>
      </c>
      <c r="O419" s="6">
        <f t="shared" si="105"/>
        <v>387786.68908438866</v>
      </c>
      <c r="P419" s="6">
        <f t="shared" si="106"/>
        <v>5762.779673322214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2797.6374387421574</v>
      </c>
      <c r="Z419" s="6">
        <f t="shared" si="110"/>
        <v>43087.40989826541</v>
      </c>
      <c r="AA419" s="6">
        <f t="shared" si="111"/>
        <v>5762.779673322214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3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8557.634596398053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14687.596553396328</v>
      </c>
      <c r="O420" s="6">
        <f t="shared" si="105"/>
        <v>399866.5798797842</v>
      </c>
      <c r="P420" s="6">
        <f t="shared" si="106"/>
        <v>6050.918656988325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2937.5193106792658</v>
      </c>
      <c r="Z420" s="6">
        <f t="shared" si="110"/>
        <v>44429.61998664269</v>
      </c>
      <c r="AA420" s="6">
        <f t="shared" si="111"/>
        <v>6050.918656988325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3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8985.5163262179558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15421.976381066146</v>
      </c>
      <c r="O421" s="6">
        <f t="shared" si="105"/>
        <v>412092.32500196045</v>
      </c>
      <c r="P421" s="6">
        <f t="shared" si="106"/>
        <v>6353.4645898377421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3084.3952762132294</v>
      </c>
      <c r="Z421" s="6">
        <f t="shared" si="110"/>
        <v>45788.03611132894</v>
      </c>
      <c r="AA421" s="6">
        <f t="shared" si="111"/>
        <v>6353.4645898377421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3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9434.792142528855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16193.075200119454</v>
      </c>
      <c r="O422" s="6">
        <f t="shared" si="105"/>
        <v>424451.77909165533</v>
      </c>
      <c r="P422" s="6">
        <f t="shared" si="106"/>
        <v>6671.1378193296287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3238.6150400238907</v>
      </c>
      <c r="Z422" s="6">
        <f t="shared" si="110"/>
        <v>47161.308787961701</v>
      </c>
      <c r="AA422" s="6">
        <f t="shared" si="111"/>
        <v>6671.1378193296287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3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9906.5317496552962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17002.72896012542</v>
      </c>
      <c r="O423" s="6">
        <f t="shared" si="105"/>
        <v>436932.20835906983</v>
      </c>
      <c r="P423" s="6">
        <f t="shared" si="106"/>
        <v>7004.6947102961094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3400.5457920250838</v>
      </c>
      <c r="Z423" s="6">
        <f t="shared" si="110"/>
        <v>48548.023151007757</v>
      </c>
      <c r="AA423" s="6">
        <f t="shared" si="111"/>
        <v>7004.6947102961094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3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10401.858337138063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17852.8654081317</v>
      </c>
      <c r="O424" s="6">
        <f t="shared" si="105"/>
        <v>449520.33813866205</v>
      </c>
      <c r="P424" s="6">
        <f t="shared" si="106"/>
        <v>7354.9294458109171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3570.5730816263399</v>
      </c>
      <c r="Z424" s="6">
        <f t="shared" si="110"/>
        <v>49946.704237629114</v>
      </c>
      <c r="AA424" s="6">
        <f t="shared" si="111"/>
        <v>7354.9294458109171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3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10921.951253994961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18745.508678538277</v>
      </c>
      <c r="O425" s="6">
        <f t="shared" si="105"/>
        <v>462202.4054578396</v>
      </c>
      <c r="P425" s="6">
        <f t="shared" si="106"/>
        <v>7722.6759181014604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3749.1017357076553</v>
      </c>
      <c r="Z425" s="6">
        <f t="shared" si="110"/>
        <v>51355.822828648845</v>
      </c>
      <c r="AA425" s="6">
        <f t="shared" si="111"/>
        <v>7722.6759181014604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3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11468.048816694714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19682.7841124652</v>
      </c>
      <c r="O426" s="6">
        <f t="shared" si="105"/>
        <v>474964.21622170083</v>
      </c>
      <c r="P426" s="6">
        <f t="shared" si="106"/>
        <v>8108.8097140065356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3936.5568224930403</v>
      </c>
      <c r="Z426" s="6">
        <f t="shared" si="110"/>
        <v>52773.801802411203</v>
      </c>
      <c r="AA426" s="6">
        <f t="shared" si="111"/>
        <v>8108.8097140065356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3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12041.45125752945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20666.923318088458</v>
      </c>
      <c r="O427" s="6">
        <f t="shared" si="105"/>
        <v>487791.20654262719</v>
      </c>
      <c r="P427" s="6">
        <f t="shared" si="106"/>
        <v>8514.250199706863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4133.3846636176913</v>
      </c>
      <c r="Z427" s="6">
        <f t="shared" si="110"/>
        <v>54199.022949180799</v>
      </c>
      <c r="AA427" s="6">
        <f t="shared" si="111"/>
        <v>8514.250199706863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3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12643.523820405924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21700.269483992884</v>
      </c>
      <c r="O428" s="6">
        <f t="shared" ref="O428:O462" si="119">F428*$K$21/(1+P428/$P$22)</f>
        <v>500668.50767619832</v>
      </c>
      <c r="P428" s="6">
        <f t="shared" ref="P428:P462" si="120">G428*$K$21</f>
        <v>8939.9627096922068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4340.0538967985767</v>
      </c>
      <c r="Z428" s="6">
        <f t="shared" si="110"/>
        <v>55629.834186244261</v>
      </c>
      <c r="AA428" s="6">
        <f t="shared" si="111"/>
        <v>8939.9627096922068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3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13275.700011426219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22785.282958192525</v>
      </c>
      <c r="O429" s="6">
        <f t="shared" si="119"/>
        <v>513581.01396520645</v>
      </c>
      <c r="P429" s="6">
        <f t="shared" si="120"/>
        <v>9386.9608451768163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4557.0565916385049</v>
      </c>
      <c r="Z429" s="6">
        <f t="shared" ref="Z429:Z462" si="124">O429/$X$22</f>
        <v>57064.557107245164</v>
      </c>
      <c r="AA429" s="6">
        <f t="shared" ref="AA429:AA462" si="125">P429</f>
        <v>9386.9608451768163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3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13939.485011997531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23924.547106102156</v>
      </c>
      <c r="O430" s="6">
        <f t="shared" si="119"/>
        <v>526513.45314301807</v>
      </c>
      <c r="P430" s="6">
        <f t="shared" si="120"/>
        <v>9856.3088874356563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4784.9094212204309</v>
      </c>
      <c r="Z430" s="6">
        <f t="shared" si="124"/>
        <v>58501.494793668673</v>
      </c>
      <c r="AA430" s="6">
        <f t="shared" si="125"/>
        <v>9856.3088874356563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3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14636.459262597406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25120.774461407258</v>
      </c>
      <c r="O431" s="6">
        <f t="shared" si="119"/>
        <v>539450.45830741304</v>
      </c>
      <c r="P431" s="6">
        <f t="shared" si="120"/>
        <v>10349.124331807441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5024.1548922814518</v>
      </c>
      <c r="Z431" s="6">
        <f t="shared" si="124"/>
        <v>59938.939811934782</v>
      </c>
      <c r="AA431" s="6">
        <f t="shared" si="125"/>
        <v>10349.124331807441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3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15368.282225727276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26376.813184477622</v>
      </c>
      <c r="O432" s="6">
        <f t="shared" si="119"/>
        <v>552376.64084738935</v>
      </c>
      <c r="P432" s="6">
        <f t="shared" si="120"/>
        <v>10866.580548397811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5275.3626368955247</v>
      </c>
      <c r="Z432" s="6">
        <f t="shared" si="124"/>
        <v>61375.182316376595</v>
      </c>
      <c r="AA432" s="6">
        <f t="shared" si="125"/>
        <v>10866.580548397811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3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16136.69633701364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27695.653843701508</v>
      </c>
      <c r="O433" s="6">
        <f t="shared" si="119"/>
        <v>565276.66358899139</v>
      </c>
      <c r="P433" s="6">
        <f t="shared" si="120"/>
        <v>11409.909575817703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5539.1307687403014</v>
      </c>
      <c r="Z433" s="6">
        <f t="shared" si="124"/>
        <v>62808.5181765546</v>
      </c>
      <c r="AA433" s="6">
        <f t="shared" si="125"/>
        <v>11409.909575817703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3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16943.531153864325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29080.43653588658</v>
      </c>
      <c r="O434" s="6">
        <f t="shared" si="119"/>
        <v>578135.31342243659</v>
      </c>
      <c r="P434" s="6">
        <f t="shared" si="120"/>
        <v>11980.405054608589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5816.0873071773158</v>
      </c>
      <c r="Z434" s="6">
        <f t="shared" si="124"/>
        <v>64237.257046937397</v>
      </c>
      <c r="AA434" s="6">
        <f t="shared" si="125"/>
        <v>11980.405054608589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3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17790.707711557541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30534.458362680907</v>
      </c>
      <c r="O435" s="6">
        <f t="shared" si="119"/>
        <v>590937.57268176589</v>
      </c>
      <c r="P435" s="6">
        <f t="shared" si="120"/>
        <v>12579.425307339017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6106.8916725361814</v>
      </c>
      <c r="Z435" s="6">
        <f t="shared" si="124"/>
        <v>65659.730297973991</v>
      </c>
      <c r="AA435" s="6">
        <f t="shared" si="125"/>
        <v>12579.425307339017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3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18680.243097135415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32061.181280814952</v>
      </c>
      <c r="O436" s="6">
        <f t="shared" si="119"/>
        <v>603668.68856972724</v>
      </c>
      <c r="P436" s="6">
        <f t="shared" si="120"/>
        <v>13208.396572705968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6412.2362561629907</v>
      </c>
      <c r="Z436" s="6">
        <f t="shared" si="124"/>
        <v>67074.298729969698</v>
      </c>
      <c r="AA436" s="6">
        <f t="shared" si="125"/>
        <v>13208.396572705968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3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19614.255251992185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33664.240344855694</v>
      </c>
      <c r="O437" s="6">
        <f t="shared" si="119"/>
        <v>616314.23995399685</v>
      </c>
      <c r="P437" s="6">
        <f t="shared" si="120"/>
        <v>13868.816401341266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6732.8480689711387</v>
      </c>
      <c r="Z437" s="6">
        <f t="shared" si="124"/>
        <v>68479.359994888538</v>
      </c>
      <c r="AA437" s="6">
        <f t="shared" si="125"/>
        <v>13868.816401341266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3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20594.968014591799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35347.452362098491</v>
      </c>
      <c r="O438" s="6">
        <f t="shared" si="119"/>
        <v>628860.20090535493</v>
      </c>
      <c r="P438" s="6">
        <f t="shared" si="120"/>
        <v>14562.25722140833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7069.4904724196986</v>
      </c>
      <c r="Z438" s="6">
        <f t="shared" si="124"/>
        <v>69873.355656150554</v>
      </c>
      <c r="AA438" s="6">
        <f t="shared" si="125"/>
        <v>14562.25722140833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3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21624.716415321385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37114.824980203412</v>
      </c>
      <c r="O439" s="6">
        <f t="shared" si="119"/>
        <v>641293.00040284113</v>
      </c>
      <c r="P439" s="6">
        <f t="shared" si="120"/>
        <v>15290.370082478745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7422.9649960406823</v>
      </c>
      <c r="Z439" s="6">
        <f t="shared" si="124"/>
        <v>71254.777822537901</v>
      </c>
      <c r="AA439" s="6">
        <f t="shared" si="125"/>
        <v>15290.370082478745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3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22705.952236087458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38970.566229213589</v>
      </c>
      <c r="O440" s="6">
        <f t="shared" si="119"/>
        <v>653599.57769391779</v>
      </c>
      <c r="P440" s="6">
        <f t="shared" si="120"/>
        <v>16054.888586602687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7794.1132458427182</v>
      </c>
      <c r="Z440" s="6">
        <f t="shared" si="124"/>
        <v>72622.175299324197</v>
      </c>
      <c r="AA440" s="6">
        <f t="shared" si="125"/>
        <v>16054.888586602687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3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23841.249847891824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40919.094540674254</v>
      </c>
      <c r="O441" s="6">
        <f t="shared" si="119"/>
        <v>665767.43286764389</v>
      </c>
      <c r="P441" s="6">
        <f t="shared" si="120"/>
        <v>16857.633015932814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8183.818908134851</v>
      </c>
      <c r="Z441" s="6">
        <f t="shared" si="124"/>
        <v>73974.159207515986</v>
      </c>
      <c r="AA441" s="6">
        <f t="shared" si="125"/>
        <v>16857.633015932814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3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25033.312340286426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42965.049267707975</v>
      </c>
      <c r="O442" s="6">
        <f t="shared" si="119"/>
        <v>677784.67227416113</v>
      </c>
      <c r="P442" s="6">
        <f t="shared" si="120"/>
        <v>17700.514666729461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8593.0098535415946</v>
      </c>
      <c r="Z442" s="6">
        <f t="shared" si="124"/>
        <v>75309.408030462349</v>
      </c>
      <c r="AA442" s="6">
        <f t="shared" si="125"/>
        <v>17700.514666729461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3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26284.977957300744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45113.301731093372</v>
      </c>
      <c r="O443" s="6">
        <f t="shared" si="119"/>
        <v>689640.04850263684</v>
      </c>
      <c r="P443" s="6">
        <f t="shared" si="120"/>
        <v>18585.540400065933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9022.660346218674</v>
      </c>
      <c r="Z443" s="6">
        <f t="shared" si="124"/>
        <v>76626.672055848539</v>
      </c>
      <c r="AA443" s="6">
        <f t="shared" si="125"/>
        <v>18585.540400065933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3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27599.226855165787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47368.966817648055</v>
      </c>
      <c r="O444" s="6">
        <f t="shared" si="119"/>
        <v>701322.99471042375</v>
      </c>
      <c r="P444" s="6">
        <f t="shared" si="120"/>
        <v>19514.817420069234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9473.7933635296104</v>
      </c>
      <c r="Z444" s="6">
        <f t="shared" si="124"/>
        <v>77924.777190047083</v>
      </c>
      <c r="AA444" s="6">
        <f t="shared" si="125"/>
        <v>19514.817420069234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3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28979.188197924075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49737.41515853045</v>
      </c>
      <c r="O445" s="6">
        <f t="shared" si="119"/>
        <v>712823.65317681467</v>
      </c>
      <c r="P445" s="6">
        <f t="shared" si="120"/>
        <v>20490.558291072695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9947.4830317060896</v>
      </c>
      <c r="Z445" s="6">
        <f t="shared" si="124"/>
        <v>79202.628130757192</v>
      </c>
      <c r="AA445" s="6">
        <f t="shared" si="125"/>
        <v>20490.558291072695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3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30428.147607820276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52224.285916456982</v>
      </c>
      <c r="O446" s="6">
        <f t="shared" si="119"/>
        <v>724132.89803379937</v>
      </c>
      <c r="P446" s="6">
        <f t="shared" si="120"/>
        <v>21515.086205626325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10444.857183291397</v>
      </c>
      <c r="Z446" s="6">
        <f t="shared" si="124"/>
        <v>80459.210892644376</v>
      </c>
      <c r="AA446" s="6">
        <f t="shared" si="125"/>
        <v>21515.086205626325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3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31949.55498821129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54835.500212279818</v>
      </c>
      <c r="O447" s="6">
        <f t="shared" si="119"/>
        <v>735242.35220207006</v>
      </c>
      <c r="P447" s="6">
        <f t="shared" si="120"/>
        <v>22590.840515907646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10967.100042455964</v>
      </c>
      <c r="Z447" s="6">
        <f t="shared" si="124"/>
        <v>81693.594689118894</v>
      </c>
      <c r="AA447" s="6">
        <f t="shared" si="125"/>
        <v>22590.840515907646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3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33547.032737621856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57577.275222893804</v>
      </c>
      <c r="O448" s="6">
        <f t="shared" si="119"/>
        <v>746144.3986318931</v>
      </c>
      <c r="P448" s="6">
        <f t="shared" si="120"/>
        <v>23720.382541703028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11515.455044578761</v>
      </c>
      <c r="Z448" s="6">
        <f t="shared" si="124"/>
        <v>82904.933181321452</v>
      </c>
      <c r="AA448" s="6">
        <f t="shared" si="125"/>
        <v>23720.382541703028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3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35224.384374502944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60456.138984038495</v>
      </c>
      <c r="O449" s="6">
        <f t="shared" si="119"/>
        <v>756832.18601415807</v>
      </c>
      <c r="P449" s="6">
        <f t="shared" si="120"/>
        <v>24906.401668788174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12091.2277968077</v>
      </c>
      <c r="Z449" s="6">
        <f t="shared" si="124"/>
        <v>84092.465112684236</v>
      </c>
      <c r="AA449" s="6">
        <f t="shared" si="125"/>
        <v>24906.401668788174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3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36985.603593228101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63478.945933240444</v>
      </c>
      <c r="O450" s="6">
        <f t="shared" si="119"/>
        <v>767299.62918603851</v>
      </c>
      <c r="P450" s="6">
        <f t="shared" si="120"/>
        <v>26151.721752227593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12695.78918664809</v>
      </c>
      <c r="Z450" s="6">
        <f t="shared" si="124"/>
        <v>85255.514354004277</v>
      </c>
      <c r="AA450" s="6">
        <f t="shared" si="125"/>
        <v>26151.721752227593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3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38834.883772889494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66652.89322990246</v>
      </c>
      <c r="O451" s="6">
        <f t="shared" si="119"/>
        <v>777541.40450749802</v>
      </c>
      <c r="P451" s="6">
        <f t="shared" si="120"/>
        <v>27459.307839838966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13330.578645980491</v>
      </c>
      <c r="Z451" s="6">
        <f t="shared" si="124"/>
        <v>86393.489389722003</v>
      </c>
      <c r="AA451" s="6">
        <f t="shared" si="125"/>
        <v>27459.307839838966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3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40776.627961533974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69985.537891397587</v>
      </c>
      <c r="O452" s="6">
        <f t="shared" si="119"/>
        <v>787552.94052890921</v>
      </c>
      <c r="P452" s="6">
        <f t="shared" si="120"/>
        <v>28832.273231830914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13997.107578279518</v>
      </c>
      <c r="Z452" s="6">
        <f t="shared" si="124"/>
        <v>87505.882280989914</v>
      </c>
      <c r="AA452" s="6">
        <f t="shared" si="125"/>
        <v>28832.273231830914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3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42815.459359610672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73484.81478596745</v>
      </c>
      <c r="O453" s="6">
        <f t="shared" si="119"/>
        <v>797330.40430603374</v>
      </c>
      <c r="P453" s="6">
        <f t="shared" si="120"/>
        <v>30273.886893422463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14696.962957193489</v>
      </c>
      <c r="Z453" s="6">
        <f t="shared" si="124"/>
        <v>88592.267145114864</v>
      </c>
      <c r="AA453" s="6">
        <f t="shared" si="125"/>
        <v>30273.886893422463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3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44956.232327591213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77159.055525265852</v>
      </c>
      <c r="O454" s="6">
        <f t="shared" si="119"/>
        <v>806870.68374650995</v>
      </c>
      <c r="P454" s="6">
        <f t="shared" si="120"/>
        <v>31787.581238093589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15431.81110505317</v>
      </c>
      <c r="Z454" s="6">
        <f t="shared" si="124"/>
        <v>89652.298194056668</v>
      </c>
      <c r="AA454" s="6">
        <f t="shared" si="125"/>
        <v>31787.581238093589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3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47204.04394397077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81017.008301529117</v>
      </c>
      <c r="O455" s="6">
        <f t="shared" si="119"/>
        <v>816171.36639192968</v>
      </c>
      <c r="P455" s="6">
        <f t="shared" si="120"/>
        <v>33376.960299998267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16203.401660305823</v>
      </c>
      <c r="Z455" s="6">
        <f t="shared" si="124"/>
        <v>90685.707376881081</v>
      </c>
      <c r="AA455" s="6">
        <f t="shared" si="125"/>
        <v>33376.960299998267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3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49564.246141169315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85067.858716605595</v>
      </c>
      <c r="O456" s="6">
        <f t="shared" si="119"/>
        <v>825230.71505190479</v>
      </c>
      <c r="P456" s="6">
        <f t="shared" si="120"/>
        <v>35045.808314998183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17013.571743321118</v>
      </c>
      <c r="Z456" s="6">
        <f t="shared" si="124"/>
        <v>91692.301672433867</v>
      </c>
      <c r="AA456" s="6">
        <f t="shared" si="125"/>
        <v>35045.808314998183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3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52042.458448227764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89321.251652435836</v>
      </c>
      <c r="O457" s="6">
        <f t="shared" si="119"/>
        <v>834047.64071163989</v>
      </c>
      <c r="P457" s="6">
        <f t="shared" si="120"/>
        <v>36798.098730748075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17864.250330487168</v>
      </c>
      <c r="Z457" s="6">
        <f t="shared" si="124"/>
        <v>92671.960079071097</v>
      </c>
      <c r="AA457" s="6">
        <f t="shared" si="125"/>
        <v>36798.098730748075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3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54644.581370639171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93787.314235057667</v>
      </c>
      <c r="O458" s="6">
        <f t="shared" si="119"/>
        <v>842621.67313304706</v>
      </c>
      <c r="P458" s="6">
        <f t="shared" si="120"/>
        <v>38638.003667285499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18757.462847011535</v>
      </c>
      <c r="Z458" s="6">
        <f t="shared" si="124"/>
        <v>93624.630348116334</v>
      </c>
      <c r="AA458" s="6">
        <f t="shared" si="125"/>
        <v>38638.003667285499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3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57376.810439171124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98476.679946810531</v>
      </c>
      <c r="O459" s="6">
        <f t="shared" si="119"/>
        <v>850952.92956198519</v>
      </c>
      <c r="P459" s="6">
        <f t="shared" si="120"/>
        <v>40569.903850649775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19695.335989362105</v>
      </c>
      <c r="Z459" s="6">
        <f t="shared" si="124"/>
        <v>94550.325506887239</v>
      </c>
      <c r="AA459" s="6">
        <f t="shared" si="125"/>
        <v>40569.903850649775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3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60245.650961129679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103400.51394415108</v>
      </c>
      <c r="O460" s="6">
        <f t="shared" si="119"/>
        <v>859042.08194154117</v>
      </c>
      <c r="P460" s="6">
        <f t="shared" si="120"/>
        <v>42598.39904318226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20680.102788830216</v>
      </c>
      <c r="Z460" s="6">
        <f t="shared" si="124"/>
        <v>95449.120215726798</v>
      </c>
      <c r="AA460" s="6">
        <f t="shared" si="125"/>
        <v>42598.39904318226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3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63257.933509186165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108570.53964135861</v>
      </c>
      <c r="O461" s="6">
        <f t="shared" si="119"/>
        <v>866890.32301408984</v>
      </c>
      <c r="P461" s="6">
        <f t="shared" si="120"/>
        <v>44728.318995341375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21714.107928271722</v>
      </c>
      <c r="Z461" s="6">
        <f t="shared" si="124"/>
        <v>96321.147001565536</v>
      </c>
      <c r="AA461" s="6">
        <f t="shared" si="125"/>
        <v>44728.318995341375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3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66420.830184645485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113999.06662342655</v>
      </c>
      <c r="O462" s="6">
        <f t="shared" si="119"/>
        <v>874499.33167400386</v>
      </c>
      <c r="P462" s="6">
        <f t="shared" si="120"/>
        <v>46964.734945108452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22799.81332468531</v>
      </c>
      <c r="Z462" s="6">
        <f t="shared" si="124"/>
        <v>97166.592408222656</v>
      </c>
      <c r="AA462" s="6">
        <f t="shared" si="125"/>
        <v>46964.734945108452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3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Y62"/>
  <sheetViews>
    <sheetView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K31" sqref="K31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107" t="s">
        <v>221</v>
      </c>
      <c r="B1" s="108"/>
      <c r="D1" s="68" t="s">
        <v>264</v>
      </c>
      <c r="G1" s="1">
        <v>1000</v>
      </c>
      <c r="J1" s="68" t="s">
        <v>265</v>
      </c>
      <c r="L1" s="6"/>
      <c r="M1" s="6"/>
    </row>
    <row r="2" spans="1:25" ht="14.25" customHeight="1" x14ac:dyDescent="0.2">
      <c r="A2" s="109"/>
      <c r="B2" s="110"/>
      <c r="D2" s="5">
        <f>D3/$G$1</f>
        <v>1.7000000000000001E-2</v>
      </c>
      <c r="G2" s="5">
        <f>G3/$G$1</f>
        <v>0.96499999999999997</v>
      </c>
      <c r="J2" s="5">
        <f>J3/$G$1</f>
        <v>1.7000000000000001E-2</v>
      </c>
      <c r="L2" s="6"/>
      <c r="M2" s="6"/>
    </row>
    <row r="3" spans="1:25" ht="14.25" customHeight="1" thickBot="1" x14ac:dyDescent="0.25">
      <c r="C3" s="3" t="s">
        <v>222</v>
      </c>
      <c r="D3" s="42">
        <v>17</v>
      </c>
      <c r="E3" s="42"/>
      <c r="F3" s="42">
        <v>33</v>
      </c>
      <c r="G3" s="1">
        <v>965</v>
      </c>
      <c r="H3" s="42">
        <f>G1-D3-G3-J3</f>
        <v>1</v>
      </c>
      <c r="I3" s="42"/>
      <c r="J3" s="42">
        <v>17</v>
      </c>
      <c r="L3" s="6"/>
      <c r="M3" s="6"/>
    </row>
    <row r="4" spans="1:25" ht="14.25" customHeight="1" x14ac:dyDescent="0.2">
      <c r="C4" s="45"/>
      <c r="D4" s="129" t="s">
        <v>242</v>
      </c>
      <c r="E4" s="130"/>
      <c r="F4" s="131"/>
      <c r="G4" s="46"/>
      <c r="H4" s="129" t="s">
        <v>243</v>
      </c>
      <c r="I4" s="130"/>
      <c r="J4" s="131"/>
      <c r="K4" s="67"/>
      <c r="L4" s="6"/>
      <c r="M4" s="6"/>
      <c r="N4" s="10"/>
    </row>
    <row r="5" spans="1:25" ht="14.25" customHeight="1" x14ac:dyDescent="0.2">
      <c r="C5" s="45"/>
      <c r="D5" s="54">
        <v>7</v>
      </c>
      <c r="E5" s="1">
        <v>4</v>
      </c>
      <c r="F5" s="65">
        <v>1</v>
      </c>
      <c r="G5" s="46"/>
      <c r="H5" s="54">
        <v>1</v>
      </c>
      <c r="I5" s="1">
        <v>4</v>
      </c>
      <c r="J5" s="65">
        <v>7</v>
      </c>
      <c r="K5" s="47"/>
      <c r="L5" s="6"/>
      <c r="M5" s="6"/>
    </row>
    <row r="6" spans="1:25" ht="14.25" customHeight="1" x14ac:dyDescent="0.2">
      <c r="C6" s="45"/>
      <c r="D6" s="54">
        <v>8</v>
      </c>
      <c r="E6" s="1">
        <v>5</v>
      </c>
      <c r="F6" s="65">
        <v>2</v>
      </c>
      <c r="G6" s="46"/>
      <c r="H6" s="54">
        <v>2</v>
      </c>
      <c r="I6" s="1">
        <v>5</v>
      </c>
      <c r="J6" s="65">
        <v>8</v>
      </c>
      <c r="K6" s="67"/>
      <c r="L6" s="6"/>
      <c r="M6" s="6"/>
      <c r="N6" s="10"/>
    </row>
    <row r="7" spans="1:25" ht="14.25" customHeight="1" thickBot="1" x14ac:dyDescent="0.25">
      <c r="C7" s="45"/>
      <c r="D7" s="56">
        <v>9</v>
      </c>
      <c r="E7" s="57">
        <v>6</v>
      </c>
      <c r="F7" s="66">
        <v>3</v>
      </c>
      <c r="G7" s="46"/>
      <c r="H7" s="56">
        <v>3</v>
      </c>
      <c r="I7" s="57">
        <v>6</v>
      </c>
      <c r="J7" s="66">
        <v>9</v>
      </c>
      <c r="K7" s="47"/>
      <c r="L7" s="6"/>
      <c r="M7" s="6"/>
    </row>
    <row r="8" spans="1:25" ht="14.25" customHeight="1" thickBot="1" x14ac:dyDescent="0.25">
      <c r="D8" s="64">
        <v>1</v>
      </c>
      <c r="E8" s="64">
        <v>2</v>
      </c>
      <c r="F8" s="64">
        <v>3</v>
      </c>
      <c r="G8" s="48">
        <v>4</v>
      </c>
      <c r="H8" s="64">
        <v>5</v>
      </c>
      <c r="I8" s="64">
        <v>6</v>
      </c>
      <c r="J8" s="61">
        <v>100</v>
      </c>
      <c r="K8" s="49">
        <v>1</v>
      </c>
      <c r="L8" s="48">
        <v>9</v>
      </c>
      <c r="M8" s="48">
        <v>10</v>
      </c>
      <c r="N8" s="48">
        <v>11</v>
      </c>
      <c r="O8" s="48">
        <v>12</v>
      </c>
      <c r="P8" s="48">
        <v>13</v>
      </c>
      <c r="Q8" s="48">
        <v>14</v>
      </c>
      <c r="R8" s="48">
        <v>15</v>
      </c>
      <c r="S8" s="48">
        <v>16</v>
      </c>
      <c r="T8" s="48">
        <v>17</v>
      </c>
      <c r="U8" s="48">
        <v>18</v>
      </c>
      <c r="V8" s="42" t="s">
        <v>238</v>
      </c>
      <c r="W8" s="42" t="s">
        <v>239</v>
      </c>
      <c r="X8" s="42" t="s">
        <v>240</v>
      </c>
    </row>
    <row r="9" spans="1:25" ht="14.25" customHeight="1" x14ac:dyDescent="0.2">
      <c r="A9" s="4">
        <f>B9/(SUM(M10:M18)*$G$1)</f>
        <v>2.0528240256606953E-3</v>
      </c>
      <c r="B9" s="6">
        <v>3914767.6183931846</v>
      </c>
      <c r="C9" s="45">
        <f>ROW(D10)</f>
        <v>10</v>
      </c>
      <c r="D9" s="50" t="s">
        <v>244</v>
      </c>
      <c r="E9" s="51" t="s">
        <v>245</v>
      </c>
      <c r="F9" s="51" t="s">
        <v>223</v>
      </c>
      <c r="G9" s="52" t="s">
        <v>150</v>
      </c>
      <c r="H9" s="51" t="s">
        <v>87</v>
      </c>
      <c r="I9" s="51" t="s">
        <v>88</v>
      </c>
      <c r="J9" s="52" t="s">
        <v>232</v>
      </c>
      <c r="K9" s="52" t="s">
        <v>233</v>
      </c>
      <c r="L9" s="51" t="s">
        <v>32</v>
      </c>
      <c r="M9" s="51" t="s">
        <v>205</v>
      </c>
      <c r="N9" s="51" t="s">
        <v>33</v>
      </c>
      <c r="O9" s="51" t="s">
        <v>140</v>
      </c>
      <c r="P9" s="51" t="s">
        <v>141</v>
      </c>
      <c r="Q9" s="51" t="s">
        <v>142</v>
      </c>
      <c r="R9" s="51" t="s">
        <v>168</v>
      </c>
      <c r="S9" s="51" t="s">
        <v>198</v>
      </c>
      <c r="T9" s="51" t="s">
        <v>262</v>
      </c>
      <c r="U9" s="51" t="s">
        <v>199</v>
      </c>
      <c r="V9" s="51" t="s">
        <v>200</v>
      </c>
      <c r="W9" s="51" t="s">
        <v>202</v>
      </c>
      <c r="X9" s="53" t="s">
        <v>230</v>
      </c>
      <c r="Y9" s="47"/>
    </row>
    <row r="10" spans="1:25" ht="14.25" customHeight="1" x14ac:dyDescent="0.2">
      <c r="C10" s="45">
        <f>COLUMN(D10)</f>
        <v>4</v>
      </c>
      <c r="D10" s="54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246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100</v>
      </c>
      <c r="K10" s="1">
        <f>IF($G10="","",K$8)</f>
        <v>1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29352.959340692785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513303.34971270675</v>
      </c>
      <c r="N10" s="8">
        <f>IFERROR(VLOOKUP($G10,角色设定!$AB$9:$AJ$21,MATCH(N$9,角色设定!$AB$9:$AJ$9,0),0)*VLOOKUP($J10,角色成长!$D$17:$J$117,MATCH(N$9,角色成长!$D$17:$J$17,0),0)*角色成长!$L$15,"")</f>
        <v>103322.41687923859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3.0179999999999998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0.60489692307692311</v>
      </c>
      <c r="X10" s="55">
        <f>IFERROR(VLOOKUP($G10,角色技能!$D:$M,MATCH(X$9,角色技能!$D$4:$M$4,0),0)*(1+$K10/100*(VLOOKUP($H10,技能模板!$D$13:$U$19,MATCH(技能模板!U$13,技能模板!$D$13:$U$13,0),0)-1)),"")</f>
        <v>0</v>
      </c>
      <c r="Y10" s="47"/>
    </row>
    <row r="11" spans="1:25" ht="14.25" customHeight="1" x14ac:dyDescent="0.2">
      <c r="C11" s="45">
        <f>ROW(X18)</f>
        <v>18</v>
      </c>
      <c r="D11" s="54" t="str">
        <f t="shared" ref="D11:D18" si="0">IFERROR(MOD(F11+3-1,3)+1,"")</f>
        <v/>
      </c>
      <c r="E11" s="1" t="str">
        <f t="shared" ref="E11:E18" si="1">IFERROR(ABS(INT((F11-7)/3))+1,"")</f>
        <v/>
      </c>
      <c r="F11" s="1" t="str">
        <f t="shared" ref="F11:F18" si="2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3">IF($G11="","",J$8)</f>
        <v/>
      </c>
      <c r="K11" s="1" t="str">
        <f t="shared" si="3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5" t="str">
        <f>IFERROR(VLOOKUP($G11,角色技能!$D:$M,MATCH(X$9,角色技能!$D$4:$M$4,0),0)*(1+$K11/100*(VLOOKUP($H11,技能模板!$D$13:$U$19,MATCH(技能模板!U$13,技能模板!$D$13:$U$13,0),0)-1)),"")</f>
        <v/>
      </c>
      <c r="Y11" s="47"/>
    </row>
    <row r="12" spans="1:25" ht="14.25" customHeight="1" x14ac:dyDescent="0.2">
      <c r="C12" s="45">
        <f>COLUMN(X18)</f>
        <v>24</v>
      </c>
      <c r="D12" s="54">
        <f t="shared" si="0"/>
        <v>3</v>
      </c>
      <c r="E12" s="1">
        <f t="shared" si="1"/>
        <v>3</v>
      </c>
      <c r="F12" s="1">
        <f t="shared" si="2"/>
        <v>3</v>
      </c>
      <c r="G12" s="1" t="s">
        <v>258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3"/>
        <v>100</v>
      </c>
      <c r="K12" s="1">
        <f t="shared" si="3"/>
        <v>1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32614.399267436427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461973.014741436</v>
      </c>
      <c r="N12" s="8">
        <f>IFERROR(VLOOKUP($G12,角色设定!$AB$9:$AJ$21,MATCH(N$9,角色设定!$AB$9:$AJ$9,0),0)*VLOOKUP($J12,角色成长!$D$17:$J$117,MATCH(N$9,角色成长!$D$17:$J$17,0),0)*角色成长!$L$15,"")</f>
        <v>103322.41687923859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3.0179999999999998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0.60489692307692311</v>
      </c>
      <c r="X12" s="55">
        <f>IFERROR(VLOOKUP($G12,角色技能!$D:$M,MATCH(X$9,角色技能!$D$4:$M$4,0),0)*(1+$K12/100*(VLOOKUP($H12,技能模板!$D$13:$U$19,MATCH(技能模板!U$13,技能模板!$D$13:$U$13,0),0)-1)),"")</f>
        <v>0</v>
      </c>
      <c r="Y12" s="47"/>
    </row>
    <row r="13" spans="1:25" ht="14.25" customHeight="1" x14ac:dyDescent="0.2">
      <c r="C13" s="45"/>
      <c r="D13" s="54">
        <f t="shared" si="0"/>
        <v>1</v>
      </c>
      <c r="E13" s="1">
        <f t="shared" si="1"/>
        <v>2</v>
      </c>
      <c r="F13" s="1">
        <f t="shared" si="2"/>
        <v>4</v>
      </c>
      <c r="G13" s="1" t="s">
        <v>259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3"/>
        <v>100</v>
      </c>
      <c r="K13" s="1">
        <f t="shared" si="3"/>
        <v>1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65750.628923151831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243477.83303006654</v>
      </c>
      <c r="N13" s="8">
        <f>IFERROR(VLOOKUP($G13,角色设定!$AB$9:$AJ$21,MATCH(N$9,角色设定!$AB$9:$AJ$9,0),0)*VLOOKUP($J13,角色成长!$D$17:$J$117,MATCH(N$9,角色成长!$D$17:$J$17,0),0)*角色成长!$L$15,"")</f>
        <v>46964.734945108452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5.0333333333333314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5">
        <f>IFERROR(VLOOKUP($G13,角色技能!$D:$M,MATCH(X$9,角色技能!$D$4:$M$4,0),0)*(1+$K13/100*(VLOOKUP($H13,技能模板!$D$13:$U$19,MATCH(技能模板!U$13,技能模板!$D$13:$U$13,0),0)-1)),"")</f>
        <v>0</v>
      </c>
      <c r="Y13" s="47"/>
    </row>
    <row r="14" spans="1:25" ht="14.25" customHeight="1" x14ac:dyDescent="0.2">
      <c r="C14" s="45"/>
      <c r="D14" s="54" t="str">
        <f t="shared" si="0"/>
        <v/>
      </c>
      <c r="E14" s="1" t="str">
        <f t="shared" si="1"/>
        <v/>
      </c>
      <c r="F14" s="1" t="str">
        <f t="shared" si="2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3"/>
        <v/>
      </c>
      <c r="K14" s="1" t="str">
        <f t="shared" si="3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5" t="str">
        <f>IFERROR(VLOOKUP($G14,角色技能!$D:$M,MATCH(X$9,角色技能!$D$4:$M$4,0),0)*(1+$K14/100*(VLOOKUP($H14,技能模板!$D$13:$U$19,MATCH(技能模板!U$13,技能模板!$D$13:$U$13,0),0)-1)),"")</f>
        <v/>
      </c>
      <c r="Y14" s="47"/>
    </row>
    <row r="15" spans="1:25" ht="14.25" customHeight="1" x14ac:dyDescent="0.2">
      <c r="C15" s="45"/>
      <c r="D15" s="54">
        <f t="shared" si="0"/>
        <v>3</v>
      </c>
      <c r="E15" s="1">
        <f t="shared" si="1"/>
        <v>2</v>
      </c>
      <c r="F15" s="1">
        <f t="shared" si="2"/>
        <v>6</v>
      </c>
      <c r="G15" s="1" t="s">
        <v>260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3"/>
        <v>100</v>
      </c>
      <c r="K15" s="1">
        <f t="shared" si="3"/>
        <v>1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54991.435099363349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275094.94192078855</v>
      </c>
      <c r="N15" s="8">
        <f>IFERROR(VLOOKUP($G15,角色设定!$AB$9:$AJ$21,MATCH(N$9,角色设定!$AB$9:$AJ$9,0),0)*VLOOKUP($J15,角色成长!$D$17:$J$117,MATCH(N$9,角色成长!$D$17:$J$17,0),0)*角色成长!$L$15,"")</f>
        <v>42268.261450597609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5.3650921281738073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5">
        <f>IFERROR(VLOOKUP($G15,角色技能!$D:$M,MATCH(X$9,角色技能!$D$4:$M$4,0),0)*(1+$K15/100*(VLOOKUP($H15,技能模板!$D$13:$U$19,MATCH(技能模板!U$13,技能模板!$D$13:$U$13,0),0)-1)),"")</f>
        <v>0</v>
      </c>
      <c r="Y15" s="47"/>
    </row>
    <row r="16" spans="1:25" ht="14.25" customHeight="1" x14ac:dyDescent="0.2">
      <c r="C16" s="45"/>
      <c r="D16" s="54" t="str">
        <f t="shared" si="0"/>
        <v/>
      </c>
      <c r="E16" s="1" t="str">
        <f t="shared" si="1"/>
        <v/>
      </c>
      <c r="F16" s="1" t="str">
        <f t="shared" si="2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3"/>
        <v/>
      </c>
      <c r="K16" s="1" t="str">
        <f t="shared" si="3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5" t="str">
        <f>IFERROR(VLOOKUP($G16,角色技能!$D:$M,MATCH(X$9,角色技能!$D$4:$M$4,0),0)*(1+$K16/100*(VLOOKUP($H16,技能模板!$D$13:$U$19,MATCH(技能模板!U$13,技能模板!$D$13:$U$13,0),0)-1)),"")</f>
        <v/>
      </c>
      <c r="Y16" s="47"/>
    </row>
    <row r="17" spans="1:25" ht="14.25" customHeight="1" x14ac:dyDescent="0.2">
      <c r="C17" s="45"/>
      <c r="D17" s="54">
        <f t="shared" si="0"/>
        <v>2</v>
      </c>
      <c r="E17" s="1">
        <f t="shared" si="1"/>
        <v>1</v>
      </c>
      <c r="F17" s="1">
        <f t="shared" si="2"/>
        <v>8</v>
      </c>
      <c r="G17" s="1" t="s">
        <v>261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3"/>
        <v>100</v>
      </c>
      <c r="K17" s="1">
        <f t="shared" si="3"/>
        <v>1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24985.238990797694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413166.54701421608</v>
      </c>
      <c r="N17" s="8">
        <f>IFERROR(VLOOKUP($G17,角色设定!$AB$9:$AJ$21,MATCH(N$9,角色设定!$AB$9:$AJ$9,0),0)*VLOOKUP($J17,角色成长!$D$17:$J$117,MATCH(N$9,角色成长!$D$17:$J$17,0),0)*角色成长!$L$15,"")</f>
        <v>26300.25156926073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2.2933202807351152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5">
        <f>IFERROR(VLOOKUP($G17,角色技能!$D:$M,MATCH(X$9,角色技能!$D$4:$M$4,0),0)*(1+$K17/100*(VLOOKUP($H17,技能模板!$D$13:$U$19,MATCH(技能模板!U$13,技能模板!$D$13:$U$13,0),0)-1)),"")</f>
        <v>0.54244870231240705</v>
      </c>
      <c r="Y17" s="47"/>
    </row>
    <row r="18" spans="1:25" ht="14.25" customHeight="1" thickBot="1" x14ac:dyDescent="0.25">
      <c r="C18" s="45"/>
      <c r="D18" s="56" t="str">
        <f t="shared" si="0"/>
        <v/>
      </c>
      <c r="E18" s="57" t="str">
        <f t="shared" si="1"/>
        <v/>
      </c>
      <c r="F18" s="57" t="str">
        <f t="shared" si="2"/>
        <v/>
      </c>
      <c r="G18" s="57"/>
      <c r="H18" s="57" t="str">
        <f>IFERROR(VLOOKUP($G18,角色设定!$R:$S,2,0),"")</f>
        <v/>
      </c>
      <c r="I18" s="57" t="str">
        <f>IFERROR(VLOOKUP(H18,角色设定!$D$9:$E$15,2,0),"")</f>
        <v/>
      </c>
      <c r="J18" s="57" t="str">
        <f t="shared" si="3"/>
        <v/>
      </c>
      <c r="K18" s="57" t="str">
        <f t="shared" si="3"/>
        <v/>
      </c>
      <c r="L18" s="5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5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58" t="str">
        <f>IFERROR(VLOOKUP($G18,角色设定!$AB$9:$AJ$21,MATCH(N$9,角色设定!$AB$9:$AJ$9,0),0)*VLOOKUP($J18,角色成长!$D$17:$J$117,MATCH(N$9,角色成长!$D$17:$J$17,0),0)*角色成长!$L$15,"")</f>
        <v/>
      </c>
      <c r="O18" s="57" t="str">
        <f>IFERROR(VLOOKUP($G18,角色设定!$AB$9:$AJ$21,MATCH(O$9,角色设定!$AB$9:$AJ$9,0),0)*VLOOKUP($J18,角色成长!$D$17:$J$117,MATCH(O$9,角色成长!$D$17:$J$17,0),0),"")</f>
        <v/>
      </c>
      <c r="P18" s="57" t="str">
        <f>IFERROR(VLOOKUP($G18,角色设定!$AB$9:$AJ$21,MATCH(P$9,角色设定!$AB$9:$AJ$9,0),0)*VLOOKUP($J18,角色成长!$D$17:$J$117,MATCH(P$9,角色成长!$D$17:$J$17,0),0),"")</f>
        <v/>
      </c>
      <c r="Q18" s="57" t="str">
        <f>IFERROR(VLOOKUP($G18,角色设定!$AB$9:$AJ$21,MATCH(Q$9,角色设定!$AB$9:$AJ$9,0),0)*VLOOKUP($J18,角色成长!$D$17:$J$117,MATCH(Q$9,角色成长!$D$17:$J$17,0),0),"")</f>
        <v/>
      </c>
      <c r="R18" s="57" t="str">
        <f>IFERROR(VLOOKUP($G18,角色设定!$AB$9:$AJ$21,MATCH(R$9,角色设定!$AB$9:$AJ$9,0),0),"")</f>
        <v/>
      </c>
      <c r="S18" s="57" t="str">
        <f>IFERROR(VLOOKUP($G18,角色技能!$D:$M,MATCH(S$9,角色技能!$D$4:$M$4,0),0),"")</f>
        <v/>
      </c>
      <c r="T18" s="57" t="str">
        <f>IFERROR(VLOOKUP($G18,角色技能!$D:$M,MATCH(T$9,角色技能!$D$4:$M$4,0),0),"")</f>
        <v/>
      </c>
      <c r="U18" s="59" t="str">
        <f>IFERROR(VLOOKUP($G18,角色技能!$D:$M,MATCH(U$9,角色技能!$D$4:$M$4,0),0)*(1+$K18/100*(VLOOKUP($H18,技能模板!$D$13:$U$19,MATCH(技能模板!R$13,技能模板!$D$13:$U$13,0),0)-1)),"")</f>
        <v/>
      </c>
      <c r="V18" s="59" t="str">
        <f>IFERROR(VLOOKUP($G18,角色技能!$D:$M,MATCH(V$9,角色技能!$D$4:$M$4,0),0)*(1+$K18/100*(VLOOKUP($H18,技能模板!$D$13:$U$19,MATCH(技能模板!S$13,技能模板!$D$13:$U$13,0),0)-1)),"")</f>
        <v/>
      </c>
      <c r="W18" s="59" t="str">
        <f>IFERROR(VLOOKUP($G18,角色技能!$D:$M,MATCH(W$9,角色技能!$D$4:$M$4,0),0)*(1+$K18/100*(VLOOKUP($H18,技能模板!$D$13:$U$19,MATCH(技能模板!T$13,技能模板!$D$13:$U$13,0),0)-1)),"")</f>
        <v/>
      </c>
      <c r="X18" s="60" t="str">
        <f>IFERROR(VLOOKUP($G18,角色技能!$D:$M,MATCH(X$9,角色技能!$D$4:$M$4,0),0)*(1+$K18/100*(VLOOKUP($H18,技能模板!$D$13:$U$19,MATCH(技能模板!U$13,技能模板!$D$13:$U$13,0),0)-1)),"")</f>
        <v/>
      </c>
      <c r="Y18" s="47"/>
    </row>
    <row r="19" spans="1:25" ht="14.25" customHeight="1" thickBot="1" x14ac:dyDescent="0.25">
      <c r="D19" s="43"/>
      <c r="E19" s="43"/>
      <c r="F19" s="43"/>
      <c r="G19" s="43"/>
      <c r="H19" s="43"/>
      <c r="I19" s="43"/>
      <c r="J19" s="61">
        <v>100</v>
      </c>
      <c r="K19" s="61">
        <v>1</v>
      </c>
      <c r="L19" s="62"/>
      <c r="M19" s="62"/>
      <c r="N19" s="62"/>
      <c r="O19" s="43"/>
      <c r="P19" s="43"/>
      <c r="Q19" s="43"/>
      <c r="R19" s="43"/>
      <c r="S19" s="43">
        <v>0</v>
      </c>
      <c r="T19" s="43">
        <v>0</v>
      </c>
      <c r="U19" s="63"/>
      <c r="V19" s="43" t="s">
        <v>238</v>
      </c>
      <c r="W19" s="43" t="s">
        <v>239</v>
      </c>
      <c r="X19" s="43" t="s">
        <v>240</v>
      </c>
    </row>
    <row r="20" spans="1:25" ht="14.25" customHeight="1" x14ac:dyDescent="0.2">
      <c r="A20" s="4">
        <f>B20/(SUM(M21:M29)*$G$1)</f>
        <v>1.5772225332257536E-3</v>
      </c>
      <c r="B20" s="6">
        <v>3007788.1118353615</v>
      </c>
      <c r="C20" s="45">
        <f>ROW(D21)</f>
        <v>21</v>
      </c>
      <c r="D20" s="50" t="s">
        <v>244</v>
      </c>
      <c r="E20" s="51" t="s">
        <v>245</v>
      </c>
      <c r="F20" s="51" t="s">
        <v>224</v>
      </c>
      <c r="G20" s="52" t="s">
        <v>150</v>
      </c>
      <c r="H20" s="51" t="s">
        <v>87</v>
      </c>
      <c r="I20" s="51" t="s">
        <v>88</v>
      </c>
      <c r="J20" s="52" t="s">
        <v>232</v>
      </c>
      <c r="K20" s="52" t="s">
        <v>233</v>
      </c>
      <c r="L20" s="51" t="s">
        <v>32</v>
      </c>
      <c r="M20" s="51" t="s">
        <v>205</v>
      </c>
      <c r="N20" s="51" t="s">
        <v>33</v>
      </c>
      <c r="O20" s="51" t="s">
        <v>140</v>
      </c>
      <c r="P20" s="51" t="s">
        <v>141</v>
      </c>
      <c r="Q20" s="51" t="s">
        <v>142</v>
      </c>
      <c r="R20" s="51" t="s">
        <v>168</v>
      </c>
      <c r="S20" s="51" t="s">
        <v>198</v>
      </c>
      <c r="T20" s="51" t="s">
        <v>262</v>
      </c>
      <c r="U20" s="51" t="s">
        <v>199</v>
      </c>
      <c r="V20" s="51" t="s">
        <v>200</v>
      </c>
      <c r="W20" s="51" t="s">
        <v>202</v>
      </c>
      <c r="X20" s="53" t="s">
        <v>230</v>
      </c>
      <c r="Y20" s="47"/>
    </row>
    <row r="21" spans="1:25" ht="14.25" customHeight="1" x14ac:dyDescent="0.2">
      <c r="C21" s="45">
        <f>COLUMN(D21)</f>
        <v>4</v>
      </c>
      <c r="D21" s="54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277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100</v>
      </c>
      <c r="K21" s="1">
        <f>IF($G21="","",K$19)</f>
        <v>1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29352.959340692785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513303.34971270675</v>
      </c>
      <c r="N21" s="8">
        <f>IFERROR(VLOOKUP($G21,角色设定!$AB$9:$AJ$21,MATCH(N$9,角色设定!$AB$9:$AJ$9,0),0)*VLOOKUP($J21,角色成长!$D$17:$J$117,MATCH(N$9,角色成长!$D$17:$J$17,0),0)*角色成长!$L$15,"")</f>
        <v>103322.41687923859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3.0179999999999998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0.60489692307692311</v>
      </c>
      <c r="X21" s="55">
        <f>IFERROR(VLOOKUP($G21,角色技能!$D:$M,MATCH(X$9,角色技能!$D$4:$M$4,0),0)*(1+$K21/100*(VLOOKUP($H21,技能模板!$D$13:$U$19,MATCH(技能模板!U$13,技能模板!$D$13:$U$13,0),0)-1)),"")</f>
        <v>0</v>
      </c>
      <c r="Y21" s="47"/>
    </row>
    <row r="22" spans="1:25" ht="14.25" customHeight="1" x14ac:dyDescent="0.2">
      <c r="C22" s="45">
        <f>ROW(X29)</f>
        <v>29</v>
      </c>
      <c r="D22" s="54" t="str">
        <f t="shared" ref="D22:D29" si="4">IFERROR(MOD(F22+3-1,3)+1,"")</f>
        <v/>
      </c>
      <c r="E22" s="1" t="str">
        <f t="shared" ref="E22:E29" si="5">IFERROR(INT((F22-1)/3)+5,"")</f>
        <v/>
      </c>
      <c r="F22" s="1" t="str">
        <f t="shared" ref="F22:F29" si="6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7">IF($G22="","",J$19)</f>
        <v/>
      </c>
      <c r="K22" s="1" t="str">
        <f t="shared" si="7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5" t="str">
        <f>IFERROR(VLOOKUP($G22,角色技能!$D:$M,MATCH(X$9,角色技能!$D$4:$M$4,0),0)*(1+$K22/100*(VLOOKUP($H22,技能模板!$D$13:$U$19,MATCH(技能模板!U$13,技能模板!$D$13:$U$13,0),0)-1)),"")</f>
        <v/>
      </c>
      <c r="Y22" s="47"/>
    </row>
    <row r="23" spans="1:25" ht="14.25" customHeight="1" x14ac:dyDescent="0.2">
      <c r="C23" s="45">
        <f>COLUMN(X29)</f>
        <v>24</v>
      </c>
      <c r="D23" s="54">
        <f t="shared" si="4"/>
        <v>3</v>
      </c>
      <c r="E23" s="1">
        <f t="shared" si="5"/>
        <v>5</v>
      </c>
      <c r="F23" s="1">
        <f t="shared" si="6"/>
        <v>3</v>
      </c>
      <c r="G23" s="1" t="s">
        <v>247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7"/>
        <v>100</v>
      </c>
      <c r="K23" s="1">
        <f t="shared" si="7"/>
        <v>1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32614.399267436427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461973.014741436</v>
      </c>
      <c r="N23" s="8">
        <f>IFERROR(VLOOKUP($G23,角色设定!$AB$9:$AJ$21,MATCH(N$9,角色设定!$AB$9:$AJ$9,0),0)*VLOOKUP($J23,角色成长!$D$17:$J$117,MATCH(N$9,角色成长!$D$17:$J$17,0),0)*角色成长!$L$15,"")</f>
        <v>103322.41687923859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3.0179999999999998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0.60489692307692311</v>
      </c>
      <c r="X23" s="55">
        <f>IFERROR(VLOOKUP($G23,角色技能!$D:$M,MATCH(X$9,角色技能!$D$4:$M$4,0),0)*(1+$K23/100*(VLOOKUP($H23,技能模板!$D$13:$U$19,MATCH(技能模板!U$13,技能模板!$D$13:$U$13,0),0)-1)),"")</f>
        <v>0</v>
      </c>
      <c r="Y23" s="47"/>
    </row>
    <row r="24" spans="1:25" ht="14.25" customHeight="1" x14ac:dyDescent="0.2">
      <c r="C24" s="45"/>
      <c r="D24" s="54">
        <f t="shared" si="4"/>
        <v>1</v>
      </c>
      <c r="E24" s="1">
        <f t="shared" si="5"/>
        <v>6</v>
      </c>
      <c r="F24" s="1">
        <f t="shared" si="6"/>
        <v>4</v>
      </c>
      <c r="G24" s="1" t="s">
        <v>250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7"/>
        <v>100</v>
      </c>
      <c r="K24" s="1">
        <f t="shared" si="7"/>
        <v>1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65750.628923151831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243477.83303006654</v>
      </c>
      <c r="N24" s="8">
        <f>IFERROR(VLOOKUP($G24,角色设定!$AB$9:$AJ$21,MATCH(N$9,角色设定!$AB$9:$AJ$9,0),0)*VLOOKUP($J24,角色成长!$D$17:$J$117,MATCH(N$9,角色成长!$D$17:$J$17,0),0)*角色成长!$L$15,"")</f>
        <v>46964.734945108452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5.0333333333333314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5">
        <f>IFERROR(VLOOKUP($G24,角色技能!$D:$M,MATCH(X$9,角色技能!$D$4:$M$4,0),0)*(1+$K24/100*(VLOOKUP($H24,技能模板!$D$13:$U$19,MATCH(技能模板!U$13,技能模板!$D$13:$U$13,0),0)-1)),"")</f>
        <v>0</v>
      </c>
      <c r="Y24" s="47"/>
    </row>
    <row r="25" spans="1:25" ht="14.25" customHeight="1" x14ac:dyDescent="0.2">
      <c r="C25" s="45"/>
      <c r="D25" s="54" t="str">
        <f t="shared" si="4"/>
        <v/>
      </c>
      <c r="E25" s="1" t="str">
        <f t="shared" si="5"/>
        <v/>
      </c>
      <c r="F25" s="1" t="str">
        <f t="shared" si="6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7"/>
        <v/>
      </c>
      <c r="K25" s="1" t="str">
        <f t="shared" si="7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5" t="str">
        <f>IFERROR(VLOOKUP($G25,角色技能!$D:$M,MATCH(X$9,角色技能!$D$4:$M$4,0),0)*(1+$K25/100*(VLOOKUP($H25,技能模板!$D$13:$U$19,MATCH(技能模板!U$13,技能模板!$D$13:$U$13,0),0)-1)),"")</f>
        <v/>
      </c>
      <c r="Y25" s="47"/>
    </row>
    <row r="26" spans="1:25" ht="14.25" customHeight="1" x14ac:dyDescent="0.2">
      <c r="C26" s="45"/>
      <c r="D26" s="54">
        <f t="shared" si="4"/>
        <v>3</v>
      </c>
      <c r="E26" s="1">
        <f t="shared" si="5"/>
        <v>6</v>
      </c>
      <c r="F26" s="1">
        <f t="shared" si="6"/>
        <v>6</v>
      </c>
      <c r="G26" s="1" t="s">
        <v>252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7"/>
        <v>100</v>
      </c>
      <c r="K26" s="1">
        <f t="shared" si="7"/>
        <v>1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54991.435099363349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275094.94192078855</v>
      </c>
      <c r="N26" s="8">
        <f>IFERROR(VLOOKUP($G26,角色设定!$AB$9:$AJ$21,MATCH(N$9,角色设定!$AB$9:$AJ$9,0),0)*VLOOKUP($J26,角色成长!$D$17:$J$117,MATCH(N$9,角色成长!$D$17:$J$17,0),0)*角色成长!$L$15,"")</f>
        <v>42268.261450597609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5.3650921281738073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5">
        <f>IFERROR(VLOOKUP($G26,角色技能!$D:$M,MATCH(X$9,角色技能!$D$4:$M$4,0),0)*(1+$K26/100*(VLOOKUP($H26,技能模板!$D$13:$U$19,MATCH(技能模板!U$13,技能模板!$D$13:$U$13,0),0)-1)),"")</f>
        <v>0</v>
      </c>
      <c r="Y26" s="47"/>
    </row>
    <row r="27" spans="1:25" ht="14.25" customHeight="1" x14ac:dyDescent="0.2">
      <c r="C27" s="45"/>
      <c r="D27" s="54" t="str">
        <f t="shared" si="4"/>
        <v/>
      </c>
      <c r="E27" s="1" t="str">
        <f t="shared" si="5"/>
        <v/>
      </c>
      <c r="F27" s="1" t="str">
        <f t="shared" si="6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7"/>
        <v/>
      </c>
      <c r="K27" s="1" t="str">
        <f t="shared" si="7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5" t="str">
        <f>IFERROR(VLOOKUP($G27,角色技能!$D:$M,MATCH(X$9,角色技能!$D$4:$M$4,0),0)*(1+$K27/100*(VLOOKUP($H27,技能模板!$D$13:$U$19,MATCH(技能模板!U$13,技能模板!$D$13:$U$13,0),0)-1)),"")</f>
        <v/>
      </c>
      <c r="Y27" s="47"/>
    </row>
    <row r="28" spans="1:25" ht="14.25" customHeight="1" x14ac:dyDescent="0.2">
      <c r="C28" s="45"/>
      <c r="D28" s="54">
        <f t="shared" si="4"/>
        <v>2</v>
      </c>
      <c r="E28" s="1">
        <f t="shared" si="5"/>
        <v>7</v>
      </c>
      <c r="F28" s="1">
        <f t="shared" si="6"/>
        <v>8</v>
      </c>
      <c r="G28" s="1" t="s">
        <v>256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7"/>
        <v>100</v>
      </c>
      <c r="K28" s="1">
        <f t="shared" si="7"/>
        <v>1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24985.238990797694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413166.54701421608</v>
      </c>
      <c r="N28" s="8">
        <f>IFERROR(VLOOKUP($G28,角色设定!$AB$9:$AJ$21,MATCH(N$9,角色设定!$AB$9:$AJ$9,0),0)*VLOOKUP($J28,角色成长!$D$17:$J$117,MATCH(N$9,角色成长!$D$17:$J$17,0),0)*角色成长!$L$15,"")</f>
        <v>26300.25156926073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2.2933202807351152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5">
        <f>IFERROR(VLOOKUP($G28,角色技能!$D:$M,MATCH(X$9,角色技能!$D$4:$M$4,0),0)*(1+$K28/100*(VLOOKUP($H28,技能模板!$D$13:$U$19,MATCH(技能模板!U$13,技能模板!$D$13:$U$13,0),0)-1)),"")</f>
        <v>0.54244870231240705</v>
      </c>
      <c r="Y28" s="47"/>
    </row>
    <row r="29" spans="1:25" ht="14.25" customHeight="1" thickBot="1" x14ac:dyDescent="0.25">
      <c r="C29" s="45"/>
      <c r="D29" s="56" t="str">
        <f t="shared" si="4"/>
        <v/>
      </c>
      <c r="E29" s="57" t="str">
        <f t="shared" si="5"/>
        <v/>
      </c>
      <c r="F29" s="57" t="str">
        <f t="shared" si="6"/>
        <v/>
      </c>
      <c r="G29" s="57"/>
      <c r="H29" s="57" t="str">
        <f>IFERROR(VLOOKUP($G29,角色设定!$R:$S,2,0),"")</f>
        <v/>
      </c>
      <c r="I29" s="57" t="str">
        <f>IFERROR(VLOOKUP(H29,角色设定!$D$9:$E$15,2,0),"")</f>
        <v/>
      </c>
      <c r="J29" s="57" t="str">
        <f t="shared" si="7"/>
        <v/>
      </c>
      <c r="K29" s="57" t="str">
        <f t="shared" si="7"/>
        <v/>
      </c>
      <c r="L29" s="5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5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58" t="str">
        <f>IFERROR(VLOOKUP($G29,角色设定!$AB$9:$AJ$21,MATCH(N$9,角色设定!$AB$9:$AJ$9,0),0)*VLOOKUP($J29,角色成长!$D$17:$J$117,MATCH(N$9,角色成长!$D$17:$J$17,0),0)*角色成长!$L$15,"")</f>
        <v/>
      </c>
      <c r="O29" s="57" t="str">
        <f>IFERROR(VLOOKUP($G29,角色设定!$AB$9:$AJ$21,MATCH(O$9,角色设定!$AB$9:$AJ$9,0),0)*VLOOKUP($J29,角色成长!$D$17:$J$117,MATCH(O$9,角色成长!$D$17:$J$17,0),0),"")</f>
        <v/>
      </c>
      <c r="P29" s="57" t="str">
        <f>IFERROR(VLOOKUP($G29,角色设定!$AB$9:$AJ$21,MATCH(P$9,角色设定!$AB$9:$AJ$9,0),0)*VLOOKUP($J29,角色成长!$D$17:$J$117,MATCH(P$9,角色成长!$D$17:$J$17,0),0),"")</f>
        <v/>
      </c>
      <c r="Q29" s="57" t="str">
        <f>IFERROR(VLOOKUP($G29,角色设定!$AB$9:$AJ$21,MATCH(Q$9,角色设定!$AB$9:$AJ$9,0),0)*VLOOKUP($J29,角色成长!$D$17:$J$117,MATCH(Q$9,角色成长!$D$17:$J$17,0),0),"")</f>
        <v/>
      </c>
      <c r="R29" s="57" t="str">
        <f>IFERROR(VLOOKUP($G29,角色设定!$AB$9:$AJ$21,MATCH(R$9,角色设定!$AB$9:$AJ$9,0),0),"")</f>
        <v/>
      </c>
      <c r="S29" s="57" t="str">
        <f>IFERROR(VLOOKUP($G29,角色技能!$D:$M,MATCH(S$9,角色技能!$D$4:$M$4,0),0)*(1-$S$19),"")</f>
        <v/>
      </c>
      <c r="T29" s="57" t="str">
        <f>IFERROR(VLOOKUP($G29,角色技能!$D:$M,MATCH(T$9,角色技能!$D$4:$M$4,0),0),"")</f>
        <v/>
      </c>
      <c r="U29" s="59" t="str">
        <f>IFERROR(VLOOKUP($G29,角色技能!$D:$M,MATCH(U$9,角色技能!$D$4:$M$4,0),0)*(1+$K29/100*(VLOOKUP($H29,技能模板!$D$13:$U$19,MATCH(技能模板!R$13,技能模板!$D$13:$U$13,0),0)-1)),"")</f>
        <v/>
      </c>
      <c r="V29" s="59" t="str">
        <f>IFERROR(VLOOKUP($G29,角色技能!$D:$M,MATCH(V$9,角色技能!$D$4:$M$4,0),0)*(1+$K29/100*(VLOOKUP($H29,技能模板!$D$13:$U$19,MATCH(技能模板!S$13,技能模板!$D$13:$U$13,0),0)-1)),"")</f>
        <v/>
      </c>
      <c r="W29" s="59" t="str">
        <f>IFERROR(VLOOKUP($G29,角色技能!$D:$M,MATCH(W$9,角色技能!$D$4:$M$4,0),0)*(1+$K29/100*(VLOOKUP($H29,技能模板!$D$13:$U$19,MATCH(技能模板!T$13,技能模板!$D$13:$U$13,0),0)-1)),"")</f>
        <v/>
      </c>
      <c r="X29" s="60" t="str">
        <f>IFERROR(VLOOKUP($G29,角色技能!$D:$M,MATCH(X$9,角色技能!$D$4:$M$4,0),0)*(1+$K29/100*(VLOOKUP($H29,技能模板!$D$13:$U$19,MATCH(技能模板!U$13,技能模板!$D$13:$U$13,0),0)-1)),"")</f>
        <v/>
      </c>
      <c r="Y29" s="47"/>
    </row>
    <row r="30" spans="1:25" ht="14.25" customHeight="1" x14ac:dyDescent="0.2"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</row>
    <row r="31" spans="1:25" ht="14.25" customHeight="1" x14ac:dyDescent="0.2">
      <c r="D31" s="2"/>
    </row>
    <row r="32" spans="1:25" ht="14.25" customHeight="1" x14ac:dyDescent="0.2">
      <c r="D32" s="2"/>
    </row>
    <row r="33" spans="1:25" ht="14.25" customHeight="1" x14ac:dyDescent="0.2">
      <c r="D33" s="68" t="s">
        <v>264</v>
      </c>
      <c r="G33" s="1">
        <v>1000</v>
      </c>
      <c r="J33" s="68" t="s">
        <v>265</v>
      </c>
    </row>
    <row r="34" spans="1:25" ht="14.25" customHeight="1" x14ac:dyDescent="0.2">
      <c r="D34" s="5">
        <f>D35/G33</f>
        <v>0.60699999999999998</v>
      </c>
      <c r="G34" s="5">
        <f>G35/$G$1</f>
        <v>0</v>
      </c>
      <c r="J34" s="5">
        <f>J35/G33</f>
        <v>0.39300000000000002</v>
      </c>
    </row>
    <row r="35" spans="1:25" ht="14.25" customHeight="1" thickBot="1" x14ac:dyDescent="0.25">
      <c r="C35" s="3" t="s">
        <v>263</v>
      </c>
      <c r="D35" s="69">
        <v>607</v>
      </c>
      <c r="E35" s="69"/>
      <c r="F35" s="69">
        <v>20</v>
      </c>
      <c r="G35" s="1">
        <v>0</v>
      </c>
      <c r="H35" s="69">
        <f>G33-D35-G35-J35</f>
        <v>0</v>
      </c>
      <c r="I35" s="69"/>
      <c r="J35" s="69">
        <v>393</v>
      </c>
      <c r="M35" s="1" t="s">
        <v>241</v>
      </c>
    </row>
    <row r="36" spans="1:25" ht="14.25" customHeight="1" x14ac:dyDescent="0.2">
      <c r="D36" s="129" t="s">
        <v>242</v>
      </c>
      <c r="E36" s="130"/>
      <c r="F36" s="131"/>
      <c r="G36" s="73"/>
      <c r="H36" s="129" t="s">
        <v>243</v>
      </c>
      <c r="I36" s="130"/>
      <c r="J36" s="131"/>
    </row>
    <row r="37" spans="1:25" ht="14.25" customHeight="1" x14ac:dyDescent="0.2">
      <c r="D37" s="54">
        <v>7</v>
      </c>
      <c r="E37" s="1">
        <v>4</v>
      </c>
      <c r="F37" s="65">
        <v>1</v>
      </c>
      <c r="G37" s="73"/>
      <c r="H37" s="54">
        <v>1</v>
      </c>
      <c r="I37" s="1">
        <v>4</v>
      </c>
      <c r="J37" s="65">
        <v>7</v>
      </c>
    </row>
    <row r="38" spans="1:25" ht="14.25" customHeight="1" x14ac:dyDescent="0.2">
      <c r="D38" s="54">
        <v>8</v>
      </c>
      <c r="E38" s="1">
        <v>5</v>
      </c>
      <c r="F38" s="65">
        <v>2</v>
      </c>
      <c r="G38" s="73"/>
      <c r="H38" s="54">
        <v>2</v>
      </c>
      <c r="I38" s="1">
        <v>5</v>
      </c>
      <c r="J38" s="65">
        <v>8</v>
      </c>
    </row>
    <row r="39" spans="1:25" ht="14.25" customHeight="1" thickBot="1" x14ac:dyDescent="0.25">
      <c r="D39" s="56">
        <v>9</v>
      </c>
      <c r="E39" s="57">
        <v>6</v>
      </c>
      <c r="F39" s="66">
        <v>3</v>
      </c>
      <c r="G39" s="73"/>
      <c r="H39" s="56">
        <v>3</v>
      </c>
      <c r="I39" s="57">
        <v>6</v>
      </c>
      <c r="J39" s="66">
        <v>9</v>
      </c>
    </row>
    <row r="40" spans="1:25" ht="14.25" customHeight="1" thickBot="1" x14ac:dyDescent="0.25">
      <c r="D40" s="64">
        <v>1</v>
      </c>
      <c r="E40" s="64">
        <v>2</v>
      </c>
      <c r="F40" s="64">
        <v>3</v>
      </c>
      <c r="G40" s="48">
        <v>4</v>
      </c>
      <c r="H40" s="64">
        <v>5</v>
      </c>
      <c r="I40" s="64">
        <v>6</v>
      </c>
      <c r="J40" s="61">
        <v>50</v>
      </c>
      <c r="K40" s="49">
        <v>10</v>
      </c>
      <c r="L40" s="48">
        <v>9</v>
      </c>
      <c r="M40" s="48">
        <v>10</v>
      </c>
      <c r="N40" s="48">
        <v>11</v>
      </c>
      <c r="O40" s="48">
        <v>12</v>
      </c>
      <c r="P40" s="48">
        <v>13</v>
      </c>
      <c r="Q40" s="48">
        <v>14</v>
      </c>
      <c r="R40" s="48">
        <v>15</v>
      </c>
      <c r="S40" s="48">
        <v>16</v>
      </c>
      <c r="T40" s="48">
        <v>17</v>
      </c>
      <c r="U40" s="48">
        <v>18</v>
      </c>
      <c r="V40" s="69" t="s">
        <v>238</v>
      </c>
      <c r="W40" s="69" t="s">
        <v>239</v>
      </c>
      <c r="X40" s="69" t="s">
        <v>240</v>
      </c>
    </row>
    <row r="41" spans="1:25" ht="14.25" customHeight="1" x14ac:dyDescent="0.2">
      <c r="A41" s="4">
        <f>B41/(SUM(M42:M50)*$G$1)</f>
        <v>0.46922808391190074</v>
      </c>
      <c r="B41" s="6">
        <v>124817416.21773514</v>
      </c>
      <c r="C41" s="72">
        <f>ROW(D42)</f>
        <v>42</v>
      </c>
      <c r="D41" s="50" t="s">
        <v>244</v>
      </c>
      <c r="E41" s="51" t="s">
        <v>245</v>
      </c>
      <c r="F41" s="51" t="s">
        <v>223</v>
      </c>
      <c r="G41" s="52" t="s">
        <v>150</v>
      </c>
      <c r="H41" s="51" t="s">
        <v>87</v>
      </c>
      <c r="I41" s="51" t="s">
        <v>88</v>
      </c>
      <c r="J41" s="52" t="s">
        <v>232</v>
      </c>
      <c r="K41" s="52" t="s">
        <v>233</v>
      </c>
      <c r="L41" s="51" t="s">
        <v>32</v>
      </c>
      <c r="M41" s="51" t="s">
        <v>34</v>
      </c>
      <c r="N41" s="51" t="s">
        <v>33</v>
      </c>
      <c r="O41" s="51" t="s">
        <v>140</v>
      </c>
      <c r="P41" s="51" t="s">
        <v>141</v>
      </c>
      <c r="Q41" s="51" t="s">
        <v>142</v>
      </c>
      <c r="R41" s="51" t="s">
        <v>168</v>
      </c>
      <c r="S41" s="51" t="s">
        <v>198</v>
      </c>
      <c r="T41" s="51" t="s">
        <v>262</v>
      </c>
      <c r="U41" s="51" t="s">
        <v>199</v>
      </c>
      <c r="V41" s="51" t="s">
        <v>200</v>
      </c>
      <c r="W41" s="51" t="s">
        <v>202</v>
      </c>
      <c r="X41" s="53" t="s">
        <v>230</v>
      </c>
      <c r="Y41" s="74"/>
    </row>
    <row r="42" spans="1:25" ht="14.25" customHeight="1" x14ac:dyDescent="0.2">
      <c r="C42" s="72">
        <f>COLUMN(D42)</f>
        <v>4</v>
      </c>
      <c r="D42" s="54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277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50</v>
      </c>
      <c r="K42" s="1">
        <f>IF($G42="","",K$40)</f>
        <v>10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2559.6874521771615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83488.694672590325</v>
      </c>
      <c r="N42" s="8">
        <f>IFERROR(VLOOKUP($G42,角色设定!$AB$9:$AJ$21,MATCH(N$9,角色设定!$AB$9:$AJ$9,0),0)*VLOOKUP($J42,角色成长!$D$17:$J$117,MATCH(N$9,角色成长!$D$17:$J$17,0),0)*角色成长!$L$15,"")</f>
        <v>9010.0998316636087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3.18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0.64896923076923074</v>
      </c>
      <c r="X42" s="55">
        <f>IFERROR(VLOOKUP($G42,角色技能!$D:$M,MATCH(X$9,角色技能!$D$4:$M$4,0),0)*(1+$K42/100*(VLOOKUP($H42,技能模板!$D$13:$U$19,MATCH(技能模板!U$13,技能模板!$D$13:$U$13,0),0)-1)),"")</f>
        <v>0</v>
      </c>
      <c r="Y42" s="74"/>
    </row>
    <row r="43" spans="1:25" ht="14.25" customHeight="1" x14ac:dyDescent="0.2">
      <c r="C43" s="72">
        <f>ROW(X50)</f>
        <v>50</v>
      </c>
      <c r="D43" s="54" t="str">
        <f t="shared" ref="D43:D50" si="8">IFERROR(MOD(F43+3-1,3)+1,"")</f>
        <v/>
      </c>
      <c r="E43" s="1" t="str">
        <f t="shared" ref="E43:E50" si="9">IFERROR(ABS(INT((F43-7)/3))+1,"")</f>
        <v/>
      </c>
      <c r="F43" s="1" t="str">
        <f t="shared" ref="F43:F50" si="10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1">IF($G43="","",J$40)</f>
        <v/>
      </c>
      <c r="K43" s="1" t="str">
        <f t="shared" si="11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5" t="str">
        <f>IFERROR(VLOOKUP($G43,角色技能!$D:$M,MATCH(X$9,角色技能!$D$4:$M$4,0),0)*(1+$K43/100*(VLOOKUP($H43,技能模板!$D$13:$U$19,MATCH(技能模板!U$13,技能模板!$D$13:$U$13,0),0)-1)),"")</f>
        <v/>
      </c>
      <c r="Y43" s="74"/>
    </row>
    <row r="44" spans="1:25" ht="14.25" customHeight="1" x14ac:dyDescent="0.2">
      <c r="C44" s="72">
        <f>COLUMN(X50)</f>
        <v>24</v>
      </c>
      <c r="D44" s="54">
        <f t="shared" si="8"/>
        <v>3</v>
      </c>
      <c r="E44" s="1">
        <f t="shared" si="9"/>
        <v>3</v>
      </c>
      <c r="F44" s="1">
        <f t="shared" si="10"/>
        <v>3</v>
      </c>
      <c r="G44" s="1" t="s">
        <v>247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1"/>
        <v>50</v>
      </c>
      <c r="K44" s="1">
        <f t="shared" si="11"/>
        <v>10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2844.0971690857355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75139.82520533129</v>
      </c>
      <c r="N44" s="8">
        <f>IFERROR(VLOOKUP($G44,角色设定!$AB$9:$AJ$21,MATCH(N$9,角色设定!$AB$9:$AJ$9,0),0)*VLOOKUP($J44,角色成长!$D$17:$J$117,MATCH(N$9,角色成长!$D$17:$J$17,0),0)*角色成长!$L$15,"")</f>
        <v>9010.0998316636087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3.18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0.64896923076923074</v>
      </c>
      <c r="X44" s="55">
        <f>IFERROR(VLOOKUP($G44,角色技能!$D:$M,MATCH(X$9,角色技能!$D$4:$M$4,0),0)*(1+$K44/100*(VLOOKUP($H44,技能模板!$D$13:$U$19,MATCH(技能模板!U$13,技能模板!$D$13:$U$13,0),0)-1)),"")</f>
        <v>0</v>
      </c>
      <c r="Y44" s="74"/>
    </row>
    <row r="45" spans="1:25" ht="14.25" customHeight="1" x14ac:dyDescent="0.2">
      <c r="C45" s="72"/>
      <c r="D45" s="54">
        <f t="shared" si="8"/>
        <v>1</v>
      </c>
      <c r="E45" s="1">
        <f t="shared" si="9"/>
        <v>2</v>
      </c>
      <c r="F45" s="1">
        <f t="shared" si="10"/>
        <v>4</v>
      </c>
      <c r="G45" s="1" t="s">
        <v>250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1"/>
        <v>50</v>
      </c>
      <c r="K45" s="1">
        <f t="shared" si="11"/>
        <v>10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5733.6998928768426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29976.136301533741</v>
      </c>
      <c r="N45" s="8">
        <f>IFERROR(VLOOKUP($G45,角色设定!$AB$9:$AJ$21,MATCH(N$9,角色设定!$AB$9:$AJ$9,0),0)*VLOOKUP($J45,角色成长!$D$17:$J$117,MATCH(N$9,角色成长!$D$17:$J$17,0),0)*角色成长!$L$15,"")</f>
        <v>4095.4999234834586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5.3333333333333313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5">
        <f>IFERROR(VLOOKUP($G45,角色技能!$D:$M,MATCH(X$9,角色技能!$D$4:$M$4,0),0)*(1+$K45/100*(VLOOKUP($H45,技能模板!$D$13:$U$19,MATCH(技能模板!U$13,技能模板!$D$13:$U$13,0),0)-1)),"")</f>
        <v>0</v>
      </c>
      <c r="Y45" s="74"/>
    </row>
    <row r="46" spans="1:25" ht="14.25" customHeight="1" x14ac:dyDescent="0.2">
      <c r="C46" s="72"/>
      <c r="D46" s="54" t="str">
        <f t="shared" si="8"/>
        <v/>
      </c>
      <c r="E46" s="1" t="str">
        <f t="shared" si="9"/>
        <v/>
      </c>
      <c r="F46" s="1" t="str">
        <f t="shared" si="10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1"/>
        <v/>
      </c>
      <c r="K46" s="1" t="str">
        <f t="shared" si="11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5" t="str">
        <f>IFERROR(VLOOKUP($G46,角色技能!$D:$M,MATCH(X$9,角色技能!$D$4:$M$4,0),0)*(1+$K46/100*(VLOOKUP($H46,技能模板!$D$13:$U$19,MATCH(技能模板!U$13,技能模板!$D$13:$U$13,0),0)-1)),"")</f>
        <v/>
      </c>
      <c r="Y46" s="74"/>
    </row>
    <row r="47" spans="1:25" ht="14.25" customHeight="1" x14ac:dyDescent="0.2">
      <c r="C47" s="72"/>
      <c r="D47" s="54">
        <f t="shared" si="8"/>
        <v>3</v>
      </c>
      <c r="E47" s="1">
        <f t="shared" si="9"/>
        <v>2</v>
      </c>
      <c r="F47" s="1">
        <f t="shared" si="10"/>
        <v>6</v>
      </c>
      <c r="G47" s="1" t="s">
        <v>252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1"/>
        <v>50</v>
      </c>
      <c r="K47" s="1">
        <f t="shared" si="11"/>
        <v>10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4795.4580922242685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32915.902349061107</v>
      </c>
      <c r="N47" s="8">
        <f>IFERROR(VLOOKUP($G47,角色设定!$AB$9:$AJ$21,MATCH(N$9,角色设定!$AB$9:$AJ$9,0),0)*VLOOKUP($J47,角色成长!$D$17:$J$117,MATCH(N$9,角色成长!$D$17:$J$17,0),0)*角色成长!$L$15,"")</f>
        <v>3685.9499311351128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5.6881883624834302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5">
        <f>IFERROR(VLOOKUP($G47,角色技能!$D:$M,MATCH(X$9,角色技能!$D$4:$M$4,0),0)*(1+$K47/100*(VLOOKUP($H47,技能模板!$D$13:$U$19,MATCH(技能模板!U$13,技能模板!$D$13:$U$13,0),0)-1)),"")</f>
        <v>0</v>
      </c>
      <c r="Y47" s="74"/>
    </row>
    <row r="48" spans="1:25" ht="14.25" customHeight="1" x14ac:dyDescent="0.2">
      <c r="C48" s="72"/>
      <c r="D48" s="54" t="str">
        <f t="shared" si="8"/>
        <v/>
      </c>
      <c r="E48" s="1" t="str">
        <f t="shared" si="9"/>
        <v/>
      </c>
      <c r="F48" s="1" t="str">
        <f t="shared" si="10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1"/>
        <v/>
      </c>
      <c r="K48" s="1" t="str">
        <f t="shared" si="11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5" t="str">
        <f>IFERROR(VLOOKUP($G48,角色技能!$D:$M,MATCH(X$9,角色技能!$D$4:$M$4,0),0)*(1+$K48/100*(VLOOKUP($H48,技能模板!$D$13:$U$19,MATCH(技能模板!U$13,技能模板!$D$13:$U$13,0),0)-1)),"")</f>
        <v/>
      </c>
      <c r="Y48" s="74"/>
    </row>
    <row r="49" spans="1:25" ht="14.25" customHeight="1" x14ac:dyDescent="0.2">
      <c r="C49" s="72"/>
      <c r="D49" s="54">
        <f t="shared" si="8"/>
        <v>2</v>
      </c>
      <c r="E49" s="1">
        <f t="shared" si="9"/>
        <v>1</v>
      </c>
      <c r="F49" s="1">
        <f t="shared" si="10"/>
        <v>8</v>
      </c>
      <c r="G49" s="1" t="s">
        <v>256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1"/>
        <v>50</v>
      </c>
      <c r="K49" s="1">
        <f t="shared" si="11"/>
        <v>10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2178.8059592932004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44485.293416973771</v>
      </c>
      <c r="N49" s="8">
        <f>IFERROR(VLOOKUP($G49,角色设定!$AB$9:$AJ$21,MATCH(N$9,角色设定!$AB$9:$AJ$9,0),0)*VLOOKUP($J49,角色成长!$D$17:$J$117,MATCH(N$9,角色成长!$D$17:$J$17,0),0)*角色成长!$L$15,"")</f>
        <v>2293.4799571507365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2.4294434088549157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5">
        <f>IFERROR(VLOOKUP($G49,角色技能!$D:$M,MATCH(X$9,角色技能!$D$4:$M$4,0),0)*(1+$K49/100*(VLOOKUP($H49,技能模板!$D$13:$U$19,MATCH(技能模板!U$13,技能模板!$D$13:$U$13,0),0)-1)),"")</f>
        <v>0.62543520671185693</v>
      </c>
      <c r="Y49" s="74"/>
    </row>
    <row r="50" spans="1:25" ht="14.25" customHeight="1" thickBot="1" x14ac:dyDescent="0.25">
      <c r="C50" s="72"/>
      <c r="D50" s="56" t="str">
        <f t="shared" si="8"/>
        <v/>
      </c>
      <c r="E50" s="57" t="str">
        <f t="shared" si="9"/>
        <v/>
      </c>
      <c r="F50" s="57" t="str">
        <f t="shared" si="10"/>
        <v/>
      </c>
      <c r="G50" s="57"/>
      <c r="H50" s="57" t="str">
        <f>IFERROR(VLOOKUP($G50,角色设定!$R:$S,2,0),"")</f>
        <v/>
      </c>
      <c r="I50" s="57" t="str">
        <f>IFERROR(VLOOKUP(H50,角色设定!$D$9:$E$15,2,0),"")</f>
        <v/>
      </c>
      <c r="J50" s="57" t="str">
        <f>IF($G50="","",J$40)</f>
        <v/>
      </c>
      <c r="K50" s="57" t="str">
        <f>IF($G50="","",K$40)</f>
        <v/>
      </c>
      <c r="L50" s="58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58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58" t="str">
        <f>IFERROR(VLOOKUP($G50,角色设定!$AB$9:$AJ$21,MATCH(N$9,角色设定!$AB$9:$AJ$9,0),0)*VLOOKUP($J50,角色成长!$D$17:$J$117,MATCH(N$9,角色成长!$D$17:$J$17,0),0)*角色成长!$L$15,"")</f>
        <v/>
      </c>
      <c r="O50" s="57" t="str">
        <f>IFERROR(VLOOKUP($G50,角色设定!$AB$9:$AJ$21,MATCH(O$9,角色设定!$AB$9:$AJ$9,0),0)*VLOOKUP($J50,角色成长!$D$17:$J$117,MATCH(O$9,角色成长!$D$17:$J$17,0),0),"")</f>
        <v/>
      </c>
      <c r="P50" s="57" t="str">
        <f>IFERROR(VLOOKUP($G50,角色设定!$AB$9:$AJ$21,MATCH(P$9,角色设定!$AB$9:$AJ$9,0),0)*VLOOKUP($J50,角色成长!$D$17:$J$117,MATCH(P$9,角色成长!$D$17:$J$17,0),0),"")</f>
        <v/>
      </c>
      <c r="Q50" s="57" t="str">
        <f>IFERROR(VLOOKUP($G50,角色设定!$AB$9:$AJ$21,MATCH(Q$9,角色设定!$AB$9:$AJ$9,0),0)*VLOOKUP($J50,角色成长!$D$17:$J$117,MATCH(Q$9,角色成长!$D$17:$J$17,0),0),"")</f>
        <v/>
      </c>
      <c r="R50" s="57" t="str">
        <f>IFERROR(VLOOKUP($G50,角色设定!$AB$9:$AJ$21,MATCH(R$9,角色设定!$AB$9:$AJ$9,0),0),"")</f>
        <v/>
      </c>
      <c r="S50" s="57" t="str">
        <f>IFERROR(VLOOKUP($G50,角色技能!$D:$M,MATCH(S$9,角色技能!$D$4:$M$4,0),0),"")</f>
        <v/>
      </c>
      <c r="T50" s="57" t="str">
        <f>IFERROR(VLOOKUP($G50,角色技能!$D:$M,MATCH(T$9,角色技能!$D$4:$M$4,0),0),"")</f>
        <v/>
      </c>
      <c r="U50" s="59" t="str">
        <f>IFERROR(VLOOKUP($G50,角色技能!$D:$M,MATCH(U$9,角色技能!$D$4:$M$4,0),0)*(1+$K50/100*(VLOOKUP($H50,技能模板!$D$13:$U$19,MATCH(技能模板!R$13,技能模板!$D$13:$U$13,0),0)-1)),"")</f>
        <v/>
      </c>
      <c r="V50" s="59" t="str">
        <f>IFERROR(VLOOKUP($G50,角色技能!$D:$M,MATCH(V$9,角色技能!$D$4:$M$4,0),0)*(1+$K50/100*(VLOOKUP($H50,技能模板!$D$13:$U$19,MATCH(技能模板!S$13,技能模板!$D$13:$U$13,0),0)-1)),"")</f>
        <v/>
      </c>
      <c r="W50" s="59" t="str">
        <f>IFERROR(VLOOKUP($G50,角色技能!$D:$M,MATCH(W$9,角色技能!$D$4:$M$4,0),0)*(1+$K50/100*(VLOOKUP($H50,技能模板!$D$13:$U$19,MATCH(技能模板!T$13,技能模板!$D$13:$U$13,0),0)-1)),"")</f>
        <v/>
      </c>
      <c r="X50" s="60" t="str">
        <f>IFERROR(VLOOKUP($G50,角色技能!$D:$M,MATCH(X$9,角色技能!$D$4:$M$4,0),0)*(1+$K50/100*(VLOOKUP($H50,技能模板!$D$13:$U$19,MATCH(技能模板!U$13,技能模板!$D$13:$U$13,0),0)-1)),"")</f>
        <v/>
      </c>
      <c r="Y50" s="74"/>
    </row>
    <row r="51" spans="1:25" ht="14.25" customHeight="1" thickBot="1" x14ac:dyDescent="0.25">
      <c r="C51" s="2" t="s">
        <v>275</v>
      </c>
      <c r="D51" s="70"/>
      <c r="E51" s="70"/>
      <c r="F51" s="70"/>
      <c r="G51" s="70"/>
      <c r="H51" s="70"/>
      <c r="I51" s="70"/>
      <c r="J51" s="61">
        <v>50</v>
      </c>
      <c r="K51" s="61">
        <v>1</v>
      </c>
      <c r="L51" s="62"/>
      <c r="M51" s="62"/>
      <c r="N51" s="62"/>
      <c r="O51" s="70"/>
      <c r="P51" s="70"/>
      <c r="Q51" s="70"/>
      <c r="R51" s="70"/>
      <c r="S51" s="70">
        <v>0</v>
      </c>
      <c r="T51" s="70">
        <v>0</v>
      </c>
      <c r="U51" s="63"/>
      <c r="V51" s="70" t="s">
        <v>238</v>
      </c>
      <c r="W51" s="70" t="s">
        <v>239</v>
      </c>
      <c r="X51" s="70" t="s">
        <v>240</v>
      </c>
    </row>
    <row r="52" spans="1:25" ht="14.25" customHeight="1" x14ac:dyDescent="0.2">
      <c r="A52" s="4">
        <f>B52/(SUM(M53:M61)*$G$1)</f>
        <v>0.14932567611906641</v>
      </c>
      <c r="B52" s="6">
        <v>64454988.080446512</v>
      </c>
      <c r="C52" s="72">
        <f>ROW(D53)</f>
        <v>53</v>
      </c>
      <c r="D52" s="50" t="s">
        <v>244</v>
      </c>
      <c r="E52" s="51" t="s">
        <v>245</v>
      </c>
      <c r="F52" s="51" t="s">
        <v>224</v>
      </c>
      <c r="G52" s="52" t="s">
        <v>150</v>
      </c>
      <c r="H52" s="51" t="s">
        <v>87</v>
      </c>
      <c r="I52" s="51" t="s">
        <v>88</v>
      </c>
      <c r="J52" s="52" t="s">
        <v>232</v>
      </c>
      <c r="K52" s="52" t="s">
        <v>233</v>
      </c>
      <c r="L52" s="51" t="s">
        <v>32</v>
      </c>
      <c r="M52" s="51" t="s">
        <v>34</v>
      </c>
      <c r="N52" s="51" t="s">
        <v>33</v>
      </c>
      <c r="O52" s="51" t="s">
        <v>140</v>
      </c>
      <c r="P52" s="51" t="s">
        <v>141</v>
      </c>
      <c r="Q52" s="51" t="s">
        <v>142</v>
      </c>
      <c r="R52" s="51" t="s">
        <v>168</v>
      </c>
      <c r="S52" s="51" t="s">
        <v>198</v>
      </c>
      <c r="T52" s="51" t="s">
        <v>262</v>
      </c>
      <c r="U52" s="51" t="s">
        <v>199</v>
      </c>
      <c r="V52" s="51" t="s">
        <v>200</v>
      </c>
      <c r="W52" s="51" t="s">
        <v>202</v>
      </c>
      <c r="X52" s="53" t="s">
        <v>230</v>
      </c>
      <c r="Y52" s="74"/>
    </row>
    <row r="53" spans="1:25" ht="14.25" customHeight="1" x14ac:dyDescent="0.2">
      <c r="C53" s="72">
        <f>COLUMN(D53)</f>
        <v>4</v>
      </c>
      <c r="D53" s="54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266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>IF($G53="","",J$51)</f>
        <v>50</v>
      </c>
      <c r="K53" s="1">
        <f>IF($G53="","",K$51)</f>
        <v>1</v>
      </c>
      <c r="L53" s="8">
        <f>VLOOKUP($J$51,怪物设定!$X:$AF,MATCH(L$52,怪物设定!$X$23:$AF$23,0),0)</f>
        <v>2124.8545736345113</v>
      </c>
      <c r="M53" s="8">
        <f>VLOOKUP($J$51,怪物设定!$X:$AF,MATCH(M$52,怪物设定!$X$23:$AF$23,0),0)</f>
        <v>47960.039615433612</v>
      </c>
      <c r="N53" s="8">
        <f>VLOOKUP($J$51,怪物设定!$X:$AF,MATCH(N$52,怪物设定!$X$23:$AF$23,0),0)</f>
        <v>4095.4999234834586</v>
      </c>
      <c r="O53" s="8">
        <f>VLOOKUP($J$51,怪物设定!$X:$AF,MATCH(O$52,怪物设定!$X$23:$AF$23,0),0)</f>
        <v>0.4</v>
      </c>
      <c r="P53" s="8">
        <f>VLOOKUP($J$51,怪物设定!$X:$AF,MATCH(P$52,怪物设定!$X$23:$AF$23,0),0)</f>
        <v>1.5</v>
      </c>
      <c r="Q53" s="8">
        <f>VLOOKUP($J$51,怪物设定!$X:$AF,MATCH(Q$52,怪物设定!$X$23:$AF$23,0),0)</f>
        <v>1</v>
      </c>
      <c r="R53" s="8"/>
      <c r="S53" s="8">
        <f>VLOOKUP($J$51,怪物设定!$X:$AF,MATCH(S$52,怪物设定!$X$23:$AF$23,0),0)</f>
        <v>10</v>
      </c>
      <c r="T53" s="1">
        <v>5</v>
      </c>
      <c r="U53" s="8">
        <f>VLOOKUP($J$51,怪物设定!$X:$AF,MATCH(U$52,怪物设定!$X$23:$AF$23,0),0)</f>
        <v>2.4999999999999991</v>
      </c>
      <c r="V53" s="6">
        <v>0</v>
      </c>
      <c r="W53" s="6">
        <v>0</v>
      </c>
      <c r="X53" s="55">
        <v>0</v>
      </c>
      <c r="Y53" s="74"/>
    </row>
    <row r="54" spans="1:25" ht="14.25" customHeight="1" x14ac:dyDescent="0.2">
      <c r="C54" s="72">
        <f>ROW(X61)</f>
        <v>61</v>
      </c>
      <c r="D54" s="54">
        <f t="shared" ref="D54:D61" si="12">IFERROR(MOD(F54+3-1,3)+1,"")</f>
        <v>2</v>
      </c>
      <c r="E54" s="1">
        <f t="shared" ref="E54:E61" si="13">IFERROR(INT((F54-1)/3)+5,"")</f>
        <v>5</v>
      </c>
      <c r="F54" s="1">
        <f t="shared" ref="F54:F61" si="14">IF(G54="","",ROW(G54)-$C$52+1)</f>
        <v>2</v>
      </c>
      <c r="G54" s="1" t="s">
        <v>267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ref="J54:K61" si="15">IF($G54="","",J$51)</f>
        <v>50</v>
      </c>
      <c r="K54" s="1">
        <f t="shared" si="15"/>
        <v>1</v>
      </c>
      <c r="L54" s="8">
        <f>VLOOKUP($J$51,怪物设定!$X:$AF,MATCH(L$52,怪物设定!$X$23:$AF$23,0),0)</f>
        <v>2124.8545736345113</v>
      </c>
      <c r="M54" s="8">
        <f>VLOOKUP($J$51,怪物设定!$X:$AF,MATCH(M$52,怪物设定!$X$23:$AF$23,0),0)</f>
        <v>47960.039615433612</v>
      </c>
      <c r="N54" s="8">
        <f>VLOOKUP($J$51,怪物设定!$X:$AF,MATCH(N$52,怪物设定!$X$23:$AF$23,0),0)</f>
        <v>4095.4999234834586</v>
      </c>
      <c r="O54" s="8">
        <f>VLOOKUP($J$51,怪物设定!$X:$AF,MATCH(O$52,怪物设定!$X$23:$AF$23,0),0)</f>
        <v>0.4</v>
      </c>
      <c r="P54" s="8">
        <f>VLOOKUP($J$51,怪物设定!$X:$AF,MATCH(P$52,怪物设定!$X$23:$AF$23,0),0)</f>
        <v>1.5</v>
      </c>
      <c r="Q54" s="8">
        <f>VLOOKUP($J$51,怪物设定!$X:$AF,MATCH(Q$52,怪物设定!$X$23:$AF$23,0),0)</f>
        <v>1</v>
      </c>
      <c r="S54" s="8">
        <f>VLOOKUP($J$51,怪物设定!$X:$AF,MATCH(S$52,怪物设定!$X$23:$AF$23,0),0)</f>
        <v>10</v>
      </c>
      <c r="T54" s="1">
        <v>5</v>
      </c>
      <c r="U54" s="8">
        <f>VLOOKUP($J$51,怪物设定!$X:$AF,MATCH(U$52,怪物设定!$X$23:$AF$23,0),0)</f>
        <v>2.4999999999999991</v>
      </c>
      <c r="V54" s="6">
        <v>0</v>
      </c>
      <c r="W54" s="6">
        <v>0</v>
      </c>
      <c r="X54" s="55">
        <v>0</v>
      </c>
      <c r="Y54" s="74"/>
    </row>
    <row r="55" spans="1:25" ht="14.25" customHeight="1" x14ac:dyDescent="0.2">
      <c r="C55" s="72">
        <f>COLUMN(X50)</f>
        <v>24</v>
      </c>
      <c r="D55" s="54">
        <f t="shared" si="12"/>
        <v>3</v>
      </c>
      <c r="E55" s="1">
        <f t="shared" si="13"/>
        <v>5</v>
      </c>
      <c r="F55" s="1">
        <f t="shared" si="14"/>
        <v>3</v>
      </c>
      <c r="G55" s="1" t="s">
        <v>268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15"/>
        <v>50</v>
      </c>
      <c r="K55" s="1">
        <f t="shared" si="15"/>
        <v>1</v>
      </c>
      <c r="L55" s="8">
        <f>VLOOKUP($J$51,怪物设定!$X:$AF,MATCH(L$52,怪物设定!$X$23:$AF$23,0),0)</f>
        <v>2124.8545736345113</v>
      </c>
      <c r="M55" s="8">
        <f>VLOOKUP($J$51,怪物设定!$X:$AF,MATCH(M$52,怪物设定!$X$23:$AF$23,0),0)</f>
        <v>47960.039615433612</v>
      </c>
      <c r="N55" s="8">
        <f>VLOOKUP($J$51,怪物设定!$X:$AF,MATCH(N$52,怪物设定!$X$23:$AF$23,0),0)</f>
        <v>4095.4999234834586</v>
      </c>
      <c r="O55" s="8">
        <f>VLOOKUP($J$51,怪物设定!$X:$AF,MATCH(O$52,怪物设定!$X$23:$AF$23,0),0)</f>
        <v>0.4</v>
      </c>
      <c r="P55" s="8">
        <f>VLOOKUP($J$51,怪物设定!$X:$AF,MATCH(P$52,怪物设定!$X$23:$AF$23,0),0)</f>
        <v>1.5</v>
      </c>
      <c r="Q55" s="8">
        <f>VLOOKUP($J$51,怪物设定!$X:$AF,MATCH(Q$52,怪物设定!$X$23:$AF$23,0),0)</f>
        <v>1</v>
      </c>
      <c r="S55" s="8">
        <f>VLOOKUP($J$51,怪物设定!$X:$AF,MATCH(S$52,怪物设定!$X$23:$AF$23,0),0)</f>
        <v>10</v>
      </c>
      <c r="T55" s="1">
        <v>5</v>
      </c>
      <c r="U55" s="8">
        <f>VLOOKUP($J$51,怪物设定!$X:$AF,MATCH(U$52,怪物设定!$X$23:$AF$23,0),0)</f>
        <v>2.4999999999999991</v>
      </c>
      <c r="V55" s="6">
        <v>0</v>
      </c>
      <c r="W55" s="6">
        <v>0</v>
      </c>
      <c r="X55" s="55">
        <v>0</v>
      </c>
      <c r="Y55" s="74"/>
    </row>
    <row r="56" spans="1:25" ht="14.25" customHeight="1" x14ac:dyDescent="0.2">
      <c r="C56" s="72"/>
      <c r="D56" s="54">
        <f t="shared" si="12"/>
        <v>1</v>
      </c>
      <c r="E56" s="1">
        <f t="shared" si="13"/>
        <v>6</v>
      </c>
      <c r="F56" s="1">
        <f t="shared" si="14"/>
        <v>4</v>
      </c>
      <c r="G56" s="1" t="s">
        <v>269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15"/>
        <v>50</v>
      </c>
      <c r="K56" s="1">
        <f t="shared" si="15"/>
        <v>1</v>
      </c>
      <c r="L56" s="8">
        <f>VLOOKUP($J$51,怪物设定!$X:$AF,MATCH(L$52,怪物设定!$X$23:$AF$23,0),0)</f>
        <v>2124.8545736345113</v>
      </c>
      <c r="M56" s="8">
        <f>VLOOKUP($J$51,怪物设定!$X:$AF,MATCH(M$52,怪物设定!$X$23:$AF$23,0),0)</f>
        <v>47960.039615433612</v>
      </c>
      <c r="N56" s="8">
        <f>VLOOKUP($J$51,怪物设定!$X:$AF,MATCH(N$52,怪物设定!$X$23:$AF$23,0),0)</f>
        <v>4095.4999234834586</v>
      </c>
      <c r="O56" s="8">
        <f>VLOOKUP($J$51,怪物设定!$X:$AF,MATCH(O$52,怪物设定!$X$23:$AF$23,0),0)</f>
        <v>0.4</v>
      </c>
      <c r="P56" s="8">
        <f>VLOOKUP($J$51,怪物设定!$X:$AF,MATCH(P$52,怪物设定!$X$23:$AF$23,0),0)</f>
        <v>1.5</v>
      </c>
      <c r="Q56" s="8">
        <f>VLOOKUP($J$51,怪物设定!$X:$AF,MATCH(Q$52,怪物设定!$X$23:$AF$23,0),0)</f>
        <v>1</v>
      </c>
      <c r="S56" s="8">
        <f>VLOOKUP($J$51,怪物设定!$X:$AF,MATCH(S$52,怪物设定!$X$23:$AF$23,0),0)</f>
        <v>10</v>
      </c>
      <c r="T56" s="1">
        <v>5</v>
      </c>
      <c r="U56" s="8">
        <f>VLOOKUP($J$51,怪物设定!$X:$AF,MATCH(U$52,怪物设定!$X$23:$AF$23,0),0)</f>
        <v>2.4999999999999991</v>
      </c>
      <c r="V56" s="6">
        <v>0</v>
      </c>
      <c r="W56" s="6">
        <v>0</v>
      </c>
      <c r="X56" s="55">
        <v>0</v>
      </c>
      <c r="Y56" s="74"/>
    </row>
    <row r="57" spans="1:25" ht="14.25" customHeight="1" x14ac:dyDescent="0.2">
      <c r="C57" s="72"/>
      <c r="D57" s="54">
        <f t="shared" si="12"/>
        <v>2</v>
      </c>
      <c r="E57" s="1">
        <f t="shared" si="13"/>
        <v>6</v>
      </c>
      <c r="F57" s="1">
        <f t="shared" si="14"/>
        <v>5</v>
      </c>
      <c r="G57" s="1" t="s">
        <v>270</v>
      </c>
      <c r="H57" s="1" t="str">
        <f>IFERROR(VLOOKUP($G57,角色设定!$R:$S,2,0),"")</f>
        <v/>
      </c>
      <c r="I57" s="1" t="str">
        <f>IFERROR(VLOOKUP(H57,角色设定!$D$9:$E$15,2,0),"")</f>
        <v/>
      </c>
      <c r="J57" s="1">
        <f t="shared" si="15"/>
        <v>50</v>
      </c>
      <c r="K57" s="1">
        <f t="shared" si="15"/>
        <v>1</v>
      </c>
      <c r="L57" s="8">
        <f>VLOOKUP($J$51,怪物设定!$X:$AF,MATCH(L$52,怪物设定!$X$23:$AF$23,0),0)</f>
        <v>2124.8545736345113</v>
      </c>
      <c r="M57" s="8">
        <f>VLOOKUP($J$51,怪物设定!$X:$AF,MATCH(M$52,怪物设定!$X$23:$AF$23,0),0)</f>
        <v>47960.039615433612</v>
      </c>
      <c r="N57" s="8">
        <f>VLOOKUP($J$51,怪物设定!$X:$AF,MATCH(N$52,怪物设定!$X$23:$AF$23,0),0)</f>
        <v>4095.4999234834586</v>
      </c>
      <c r="O57" s="8">
        <f>VLOOKUP($J$51,怪物设定!$X:$AF,MATCH(O$52,怪物设定!$X$23:$AF$23,0),0)</f>
        <v>0.4</v>
      </c>
      <c r="P57" s="8">
        <f>VLOOKUP($J$51,怪物设定!$X:$AF,MATCH(P$52,怪物设定!$X$23:$AF$23,0),0)</f>
        <v>1.5</v>
      </c>
      <c r="Q57" s="8">
        <f>VLOOKUP($J$51,怪物设定!$X:$AF,MATCH(Q$52,怪物设定!$X$23:$AF$23,0),0)</f>
        <v>1</v>
      </c>
      <c r="S57" s="8">
        <f>VLOOKUP($J$51,怪物设定!$X:$AF,MATCH(S$52,怪物设定!$X$23:$AF$23,0),0)</f>
        <v>10</v>
      </c>
      <c r="T57" s="1">
        <v>5</v>
      </c>
      <c r="U57" s="8">
        <f>VLOOKUP($J$51,怪物设定!$X:$AF,MATCH(U$52,怪物设定!$X$23:$AF$23,0),0)</f>
        <v>2.4999999999999991</v>
      </c>
      <c r="V57" s="6">
        <v>0</v>
      </c>
      <c r="W57" s="6">
        <v>0</v>
      </c>
      <c r="X57" s="55">
        <v>0</v>
      </c>
      <c r="Y57" s="74"/>
    </row>
    <row r="58" spans="1:25" ht="14.25" customHeight="1" x14ac:dyDescent="0.2">
      <c r="C58" s="72"/>
      <c r="D58" s="54">
        <f t="shared" si="12"/>
        <v>3</v>
      </c>
      <c r="E58" s="1">
        <f t="shared" si="13"/>
        <v>6</v>
      </c>
      <c r="F58" s="1">
        <f t="shared" si="14"/>
        <v>6</v>
      </c>
      <c r="G58" s="1" t="s">
        <v>271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15"/>
        <v>50</v>
      </c>
      <c r="K58" s="1">
        <f t="shared" si="15"/>
        <v>1</v>
      </c>
      <c r="L58" s="8">
        <f>VLOOKUP($J$51,怪物设定!$X:$AF,MATCH(L$52,怪物设定!$X$23:$AF$23,0),0)</f>
        <v>2124.8545736345113</v>
      </c>
      <c r="M58" s="8">
        <f>VLOOKUP($J$51,怪物设定!$X:$AF,MATCH(M$52,怪物设定!$X$23:$AF$23,0),0)</f>
        <v>47960.039615433612</v>
      </c>
      <c r="N58" s="8">
        <f>VLOOKUP($J$51,怪物设定!$X:$AF,MATCH(N$52,怪物设定!$X$23:$AF$23,0),0)</f>
        <v>4095.4999234834586</v>
      </c>
      <c r="O58" s="8">
        <f>VLOOKUP($J$51,怪物设定!$X:$AF,MATCH(O$52,怪物设定!$X$23:$AF$23,0),0)</f>
        <v>0.4</v>
      </c>
      <c r="P58" s="8">
        <f>VLOOKUP($J$51,怪物设定!$X:$AF,MATCH(P$52,怪物设定!$X$23:$AF$23,0),0)</f>
        <v>1.5</v>
      </c>
      <c r="Q58" s="8">
        <f>VLOOKUP($J$51,怪物设定!$X:$AF,MATCH(Q$52,怪物设定!$X$23:$AF$23,0),0)</f>
        <v>1</v>
      </c>
      <c r="S58" s="8">
        <f>VLOOKUP($J$51,怪物设定!$X:$AF,MATCH(S$52,怪物设定!$X$23:$AF$23,0),0)</f>
        <v>10</v>
      </c>
      <c r="T58" s="1">
        <v>5</v>
      </c>
      <c r="U58" s="8">
        <f>VLOOKUP($J$51,怪物设定!$X:$AF,MATCH(U$52,怪物设定!$X$23:$AF$23,0),0)</f>
        <v>2.4999999999999991</v>
      </c>
      <c r="V58" s="6">
        <v>0</v>
      </c>
      <c r="W58" s="6">
        <v>0</v>
      </c>
      <c r="X58" s="55">
        <v>0</v>
      </c>
      <c r="Y58" s="74"/>
    </row>
    <row r="59" spans="1:25" ht="14.25" customHeight="1" x14ac:dyDescent="0.2">
      <c r="C59" s="72"/>
      <c r="D59" s="54">
        <f t="shared" si="12"/>
        <v>1</v>
      </c>
      <c r="E59" s="1">
        <f t="shared" si="13"/>
        <v>7</v>
      </c>
      <c r="F59" s="1">
        <f t="shared" si="14"/>
        <v>7</v>
      </c>
      <c r="G59" s="1" t="s">
        <v>272</v>
      </c>
      <c r="H59" s="1" t="str">
        <f>IFERROR(VLOOKUP($G59,角色设定!$R:$S,2,0),"")</f>
        <v/>
      </c>
      <c r="I59" s="1" t="str">
        <f>IFERROR(VLOOKUP(H59,角色设定!$D$9:$E$15,2,0),"")</f>
        <v/>
      </c>
      <c r="J59" s="1">
        <f t="shared" si="15"/>
        <v>50</v>
      </c>
      <c r="K59" s="1">
        <f t="shared" si="15"/>
        <v>1</v>
      </c>
      <c r="L59" s="8">
        <f>VLOOKUP($J$51,怪物设定!$X:$AF,MATCH(L$52,怪物设定!$X$23:$AF$23,0),0)</f>
        <v>2124.8545736345113</v>
      </c>
      <c r="M59" s="8">
        <f>VLOOKUP($J$51,怪物设定!$X:$AF,MATCH(M$52,怪物设定!$X$23:$AF$23,0),0)</f>
        <v>47960.039615433612</v>
      </c>
      <c r="N59" s="8">
        <f>VLOOKUP($J$51,怪物设定!$X:$AF,MATCH(N$52,怪物设定!$X$23:$AF$23,0),0)</f>
        <v>4095.4999234834586</v>
      </c>
      <c r="O59" s="8">
        <f>VLOOKUP($J$51,怪物设定!$X:$AF,MATCH(O$52,怪物设定!$X$23:$AF$23,0),0)</f>
        <v>0.4</v>
      </c>
      <c r="P59" s="8">
        <f>VLOOKUP($J$51,怪物设定!$X:$AF,MATCH(P$52,怪物设定!$X$23:$AF$23,0),0)</f>
        <v>1.5</v>
      </c>
      <c r="Q59" s="8">
        <f>VLOOKUP($J$51,怪物设定!$X:$AF,MATCH(Q$52,怪物设定!$X$23:$AF$23,0),0)</f>
        <v>1</v>
      </c>
      <c r="S59" s="8">
        <f>VLOOKUP($J$51,怪物设定!$X:$AF,MATCH(S$52,怪物设定!$X$23:$AF$23,0),0)</f>
        <v>10</v>
      </c>
      <c r="T59" s="1">
        <v>5</v>
      </c>
      <c r="U59" s="8">
        <f>VLOOKUP($J$51,怪物设定!$X:$AF,MATCH(U$52,怪物设定!$X$23:$AF$23,0),0)</f>
        <v>2.4999999999999991</v>
      </c>
      <c r="V59" s="6">
        <v>0</v>
      </c>
      <c r="W59" s="6">
        <v>0</v>
      </c>
      <c r="X59" s="55">
        <v>0</v>
      </c>
      <c r="Y59" s="74"/>
    </row>
    <row r="60" spans="1:25" ht="14.25" customHeight="1" x14ac:dyDescent="0.2">
      <c r="C60" s="72"/>
      <c r="D60" s="54">
        <f t="shared" si="12"/>
        <v>2</v>
      </c>
      <c r="E60" s="1">
        <f t="shared" si="13"/>
        <v>7</v>
      </c>
      <c r="F60" s="1">
        <f t="shared" si="14"/>
        <v>8</v>
      </c>
      <c r="G60" s="1" t="s">
        <v>273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15"/>
        <v>50</v>
      </c>
      <c r="K60" s="1">
        <f t="shared" si="15"/>
        <v>1</v>
      </c>
      <c r="L60" s="8">
        <f>VLOOKUP($J$51,怪物设定!$X:$AF,MATCH(L$52,怪物设定!$X$23:$AF$23,0),0)</f>
        <v>2124.8545736345113</v>
      </c>
      <c r="M60" s="8">
        <f>VLOOKUP($J$51,怪物设定!$X:$AF,MATCH(M$52,怪物设定!$X$23:$AF$23,0),0)</f>
        <v>47960.039615433612</v>
      </c>
      <c r="N60" s="8">
        <f>VLOOKUP($J$51,怪物设定!$X:$AF,MATCH(N$52,怪物设定!$X$23:$AF$23,0),0)</f>
        <v>4095.4999234834586</v>
      </c>
      <c r="O60" s="8">
        <f>VLOOKUP($J$51,怪物设定!$X:$AF,MATCH(O$52,怪物设定!$X$23:$AF$23,0),0)</f>
        <v>0.4</v>
      </c>
      <c r="P60" s="8">
        <f>VLOOKUP($J$51,怪物设定!$X:$AF,MATCH(P$52,怪物设定!$X$23:$AF$23,0),0)</f>
        <v>1.5</v>
      </c>
      <c r="Q60" s="8">
        <f>VLOOKUP($J$51,怪物设定!$X:$AF,MATCH(Q$52,怪物设定!$X$23:$AF$23,0),0)</f>
        <v>1</v>
      </c>
      <c r="S60" s="8">
        <f>VLOOKUP($J$51,怪物设定!$X:$AF,MATCH(S$52,怪物设定!$X$23:$AF$23,0),0)</f>
        <v>10</v>
      </c>
      <c r="T60" s="1">
        <v>5</v>
      </c>
      <c r="U60" s="8">
        <f>VLOOKUP($J$51,怪物设定!$X:$AF,MATCH(U$52,怪物设定!$X$23:$AF$23,0),0)</f>
        <v>2.4999999999999991</v>
      </c>
      <c r="V60" s="6">
        <v>0</v>
      </c>
      <c r="W60" s="6">
        <v>0</v>
      </c>
      <c r="X60" s="55">
        <v>2</v>
      </c>
      <c r="Y60" s="74"/>
    </row>
    <row r="61" spans="1:25" ht="14.25" customHeight="1" thickBot="1" x14ac:dyDescent="0.25">
      <c r="C61" s="72"/>
      <c r="D61" s="56">
        <f t="shared" si="12"/>
        <v>3</v>
      </c>
      <c r="E61" s="57">
        <f t="shared" si="13"/>
        <v>7</v>
      </c>
      <c r="F61" s="57">
        <f t="shared" si="14"/>
        <v>9</v>
      </c>
      <c r="G61" s="57" t="s">
        <v>274</v>
      </c>
      <c r="H61" s="57" t="str">
        <f>IFERROR(VLOOKUP($G61,角色设定!$R:$S,2,0),"")</f>
        <v/>
      </c>
      <c r="I61" s="57" t="str">
        <f>IFERROR(VLOOKUP(H61,角色设定!$D$9:$E$15,2,0),"")</f>
        <v/>
      </c>
      <c r="J61" s="57">
        <f t="shared" si="15"/>
        <v>50</v>
      </c>
      <c r="K61" s="57">
        <f t="shared" si="15"/>
        <v>1</v>
      </c>
      <c r="L61" s="58">
        <f>VLOOKUP($J$51,怪物设定!$X:$AF,MATCH(L$52,怪物设定!$X$23:$AF$23,0),0)</f>
        <v>2124.8545736345113</v>
      </c>
      <c r="M61" s="58">
        <f>VLOOKUP($J$51,怪物设定!$X:$AF,MATCH(M$52,怪物设定!$X$23:$AF$23,0),0)</f>
        <v>47960.039615433612</v>
      </c>
      <c r="N61" s="58">
        <f>VLOOKUP($J$51,怪物设定!$X:$AF,MATCH(N$52,怪物设定!$X$23:$AF$23,0),0)</f>
        <v>4095.4999234834586</v>
      </c>
      <c r="O61" s="58">
        <f>VLOOKUP($J$51,怪物设定!$X:$AF,MATCH(O$52,怪物设定!$X$23:$AF$23,0),0)</f>
        <v>0.4</v>
      </c>
      <c r="P61" s="58">
        <f>VLOOKUP($J$51,怪物设定!$X:$AF,MATCH(P$52,怪物设定!$X$23:$AF$23,0),0)</f>
        <v>1.5</v>
      </c>
      <c r="Q61" s="58">
        <f>VLOOKUP($J$51,怪物设定!$X:$AF,MATCH(Q$52,怪物设定!$X$23:$AF$23,0),0)</f>
        <v>1</v>
      </c>
      <c r="R61" s="57"/>
      <c r="S61" s="58">
        <f>VLOOKUP($J$51,怪物设定!$X:$AF,MATCH(S$52,怪物设定!$X$23:$AF$23,0),0)</f>
        <v>10</v>
      </c>
      <c r="T61" s="57">
        <v>5</v>
      </c>
      <c r="U61" s="58">
        <f>VLOOKUP($J$51,怪物设定!$X:$AF,MATCH(U$52,怪物设定!$X$23:$AF$23,0),0)</f>
        <v>2.4999999999999991</v>
      </c>
      <c r="V61" s="59">
        <v>0</v>
      </c>
      <c r="W61" s="59">
        <v>0</v>
      </c>
      <c r="X61" s="60">
        <v>0</v>
      </c>
      <c r="Y61" s="74"/>
    </row>
    <row r="62" spans="1:25" ht="14.25" customHeight="1" x14ac:dyDescent="0.2"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2023-01-29T10:54:44Z</dcterms:modified>
</cp:coreProperties>
</file>
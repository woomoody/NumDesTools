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D3A33DC0-CAF6-46F5-9445-9B668F1FF9C6}" xr6:coauthVersionLast="47" xr6:coauthVersionMax="47" xr10:uidLastSave="{00000000-0000-0000-0000-000000000000}"/>
  <bookViews>
    <workbookView xWindow="28680" yWindow="-75" windowWidth="29040" windowHeight="16440" activeTab="10" xr2:uid="{2E0BB1D1-6406-4149-80A4-465E20523C8B}"/>
  </bookViews>
  <sheets>
    <sheet name="基础模型(废）" sheetId="2" r:id="rId1"/>
    <sheet name="基础模型" sheetId="3" r:id="rId2"/>
    <sheet name="战斗公式" sheetId="1" r:id="rId3"/>
    <sheet name="角色设定" sheetId="4" r:id="rId4"/>
    <sheet name="角色成长" sheetId="5" r:id="rId5"/>
    <sheet name="角色品星" sheetId="6" r:id="rId6"/>
    <sheet name="角色升级" sheetId="7" r:id="rId7"/>
    <sheet name="技能模板" sheetId="8" r:id="rId8"/>
    <sheet name="角色技能" sheetId="10" r:id="rId9"/>
    <sheet name="怪物设定" sheetId="11" r:id="rId10"/>
    <sheet name="战斗模拟" sheetId="9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1" l="1"/>
  <c r="F7" i="11"/>
  <c r="G7" i="11"/>
  <c r="E8" i="11"/>
  <c r="F8" i="11"/>
  <c r="G8" i="11"/>
  <c r="E9" i="11"/>
  <c r="F9" i="11"/>
  <c r="G9" i="11"/>
  <c r="E10" i="11"/>
  <c r="F10" i="11"/>
  <c r="G10" i="11"/>
  <c r="F6" i="11"/>
  <c r="G6" i="11"/>
  <c r="E6" i="11"/>
  <c r="V21" i="4"/>
  <c r="V20" i="4"/>
  <c r="J15" i="4"/>
  <c r="F32" i="3"/>
  <c r="G41" i="3"/>
  <c r="G40" i="3"/>
  <c r="E35" i="3"/>
  <c r="F35" i="3"/>
  <c r="G35" i="3"/>
  <c r="E36" i="3"/>
  <c r="F36" i="3"/>
  <c r="G36" i="3"/>
  <c r="E37" i="3"/>
  <c r="F37" i="3"/>
  <c r="G37" i="3"/>
  <c r="E38" i="3"/>
  <c r="E40" i="3" s="1"/>
  <c r="H40" i="3" s="1"/>
  <c r="F38" i="3"/>
  <c r="F42" i="3" s="1"/>
  <c r="G38" i="3"/>
  <c r="F34" i="3"/>
  <c r="G34" i="3"/>
  <c r="E34" i="3"/>
  <c r="E23" i="3"/>
  <c r="H23" i="3"/>
  <c r="F29" i="3"/>
  <c r="F30" i="3"/>
  <c r="F31" i="3"/>
  <c r="F28" i="3"/>
  <c r="F25" i="3"/>
  <c r="E25" i="3"/>
  <c r="F24" i="3"/>
  <c r="F23" i="3"/>
  <c r="H17" i="3"/>
  <c r="H6" i="10"/>
  <c r="H7" i="10"/>
  <c r="H8" i="10"/>
  <c r="H9" i="10"/>
  <c r="H10" i="10"/>
  <c r="H11" i="10"/>
  <c r="H12" i="10"/>
  <c r="H13" i="10"/>
  <c r="H14" i="10"/>
  <c r="H15" i="10"/>
  <c r="H16" i="10"/>
  <c r="H5" i="10"/>
  <c r="M4" i="9"/>
  <c r="J53" i="9"/>
  <c r="K53" i="9"/>
  <c r="J54" i="9"/>
  <c r="K54" i="9"/>
  <c r="J55" i="9"/>
  <c r="K55" i="9"/>
  <c r="J56" i="9"/>
  <c r="K56" i="9"/>
  <c r="J57" i="9"/>
  <c r="K57" i="9"/>
  <c r="J58" i="9"/>
  <c r="K58" i="9"/>
  <c r="J59" i="9"/>
  <c r="K59" i="9"/>
  <c r="J60" i="9"/>
  <c r="K60" i="9"/>
  <c r="F56" i="9"/>
  <c r="D56" i="9" s="1"/>
  <c r="F57" i="9"/>
  <c r="D57" i="9" s="1"/>
  <c r="F58" i="9"/>
  <c r="D58" i="9" s="1"/>
  <c r="F59" i="9"/>
  <c r="D59" i="9" s="1"/>
  <c r="F60" i="9"/>
  <c r="D60" i="9" s="1"/>
  <c r="F61" i="9"/>
  <c r="D61" i="9" s="1"/>
  <c r="J61" i="9"/>
  <c r="K61" i="9"/>
  <c r="F54" i="9"/>
  <c r="F55" i="9"/>
  <c r="D55" i="9" s="1"/>
  <c r="H54" i="9"/>
  <c r="I54" i="9" s="1"/>
  <c r="H55" i="9"/>
  <c r="I55" i="9" s="1"/>
  <c r="H56" i="9"/>
  <c r="I56" i="9" s="1"/>
  <c r="H57" i="9"/>
  <c r="I57" i="9" s="1"/>
  <c r="H58" i="9"/>
  <c r="I58" i="9" s="1"/>
  <c r="H59" i="9"/>
  <c r="I59" i="9" s="1"/>
  <c r="H60" i="9"/>
  <c r="I60" i="9" s="1"/>
  <c r="H61" i="9"/>
  <c r="I61" i="9" s="1"/>
  <c r="A52" i="9"/>
  <c r="M14" i="11"/>
  <c r="H18" i="9"/>
  <c r="I18" i="9" s="1"/>
  <c r="H29" i="9"/>
  <c r="I29" i="9" s="1"/>
  <c r="J18" i="9"/>
  <c r="K18" i="9"/>
  <c r="N18" i="9"/>
  <c r="M18" i="9" s="1"/>
  <c r="O18" i="9"/>
  <c r="P18" i="9"/>
  <c r="Q18" i="9"/>
  <c r="R18" i="9"/>
  <c r="S18" i="9"/>
  <c r="T18" i="9"/>
  <c r="R27" i="9"/>
  <c r="S27" i="9"/>
  <c r="T27" i="9"/>
  <c r="S28" i="9"/>
  <c r="T28" i="9"/>
  <c r="R29" i="9"/>
  <c r="S29" i="9"/>
  <c r="T29" i="9"/>
  <c r="J27" i="9"/>
  <c r="N27" i="9" s="1"/>
  <c r="M27" i="9" s="1"/>
  <c r="K27" i="9"/>
  <c r="J28" i="9"/>
  <c r="K28" i="9"/>
  <c r="J29" i="9"/>
  <c r="N29" i="9" s="1"/>
  <c r="M29" i="9" s="1"/>
  <c r="K29" i="9"/>
  <c r="H28" i="9"/>
  <c r="I28" i="9" s="1"/>
  <c r="E41" i="3" l="1"/>
  <c r="H41" i="3" s="1"/>
  <c r="F40" i="3"/>
  <c r="F41" i="3" s="1"/>
  <c r="E42" i="3"/>
  <c r="H42" i="3" s="1"/>
  <c r="E56" i="9"/>
  <c r="E61" i="9"/>
  <c r="E59" i="9"/>
  <c r="E55" i="9"/>
  <c r="E57" i="9"/>
  <c r="E60" i="9"/>
  <c r="E58" i="9"/>
  <c r="U18" i="9"/>
  <c r="W18" i="9"/>
  <c r="V18" i="9"/>
  <c r="X18" i="9"/>
  <c r="V29" i="9"/>
  <c r="P27" i="9"/>
  <c r="O27" i="9"/>
  <c r="L18" i="9"/>
  <c r="X29" i="9"/>
  <c r="W29" i="9"/>
  <c r="U29" i="9"/>
  <c r="O29" i="9"/>
  <c r="Q27" i="9"/>
  <c r="Q29" i="9"/>
  <c r="P29" i="9"/>
  <c r="H43" i="3" l="1"/>
  <c r="L27" i="9"/>
  <c r="L29" i="9"/>
  <c r="P22" i="11"/>
  <c r="AI10" i="4" l="1"/>
  <c r="E41" i="1"/>
  <c r="E42" i="1"/>
  <c r="E43" i="1"/>
  <c r="T6" i="8"/>
  <c r="T7" i="8"/>
  <c r="T8" i="8"/>
  <c r="T9" i="8"/>
  <c r="T10" i="8"/>
  <c r="T5" i="8"/>
  <c r="H25" i="3"/>
  <c r="H26" i="3" s="1"/>
  <c r="H24" i="3"/>
  <c r="E24" i="3"/>
  <c r="R21" i="3"/>
  <c r="I15" i="8"/>
  <c r="I16" i="8"/>
  <c r="I17" i="8"/>
  <c r="I18" i="8"/>
  <c r="I19" i="8"/>
  <c r="I14" i="8"/>
  <c r="N5" i="8"/>
  <c r="H16" i="4"/>
  <c r="I26" i="4"/>
  <c r="Y10" i="4"/>
  <c r="H5" i="5"/>
  <c r="F5" i="5"/>
  <c r="F6" i="5"/>
  <c r="G6" i="5" s="1"/>
  <c r="F7" i="5"/>
  <c r="F8" i="5"/>
  <c r="G8" i="5" s="1"/>
  <c r="G7" i="5" l="1"/>
  <c r="D34" i="9"/>
  <c r="J34" i="9"/>
  <c r="F361" i="11"/>
  <c r="G361" i="11"/>
  <c r="G383" i="11" s="1"/>
  <c r="E361" i="11"/>
  <c r="E377" i="11" s="1"/>
  <c r="F248" i="11"/>
  <c r="G248" i="11"/>
  <c r="G262" i="11" s="1"/>
  <c r="E248" i="11"/>
  <c r="E256" i="11" s="1"/>
  <c r="J354" i="11"/>
  <c r="J241" i="11"/>
  <c r="J242" i="11" s="1"/>
  <c r="G135" i="11"/>
  <c r="G137" i="11" s="1"/>
  <c r="P137" i="11" s="1"/>
  <c r="AA137" i="11" s="1"/>
  <c r="F135" i="11"/>
  <c r="E135" i="11"/>
  <c r="E142" i="11" s="1"/>
  <c r="E134" i="11"/>
  <c r="J128" i="11"/>
  <c r="J129" i="11" s="1"/>
  <c r="J15" i="11"/>
  <c r="J16" i="11" s="1"/>
  <c r="J17" i="11" s="1"/>
  <c r="J18" i="11" s="1"/>
  <c r="AE462" i="11"/>
  <c r="AD462" i="11"/>
  <c r="AC462" i="11"/>
  <c r="AB462" i="11"/>
  <c r="AE461" i="11"/>
  <c r="AD461" i="11"/>
  <c r="AC461" i="11"/>
  <c r="AB461" i="11"/>
  <c r="AE460" i="11"/>
  <c r="AD460" i="11"/>
  <c r="AC460" i="11"/>
  <c r="AB460" i="11"/>
  <c r="AE459" i="11"/>
  <c r="AD459" i="11"/>
  <c r="AC459" i="11"/>
  <c r="AB459" i="11"/>
  <c r="AE458" i="11"/>
  <c r="AD458" i="11"/>
  <c r="AC458" i="11"/>
  <c r="AB458" i="11"/>
  <c r="AE457" i="11"/>
  <c r="AD457" i="11"/>
  <c r="AC457" i="11"/>
  <c r="AB457" i="11"/>
  <c r="AE456" i="11"/>
  <c r="AD456" i="11"/>
  <c r="AC456" i="11"/>
  <c r="AB456" i="11"/>
  <c r="AE455" i="11"/>
  <c r="AD455" i="11"/>
  <c r="AC455" i="11"/>
  <c r="AB455" i="11"/>
  <c r="AE454" i="11"/>
  <c r="AD454" i="11"/>
  <c r="AC454" i="11"/>
  <c r="AB454" i="11"/>
  <c r="AE453" i="11"/>
  <c r="AD453" i="11"/>
  <c r="AC453" i="11"/>
  <c r="AB453" i="11"/>
  <c r="AE452" i="11"/>
  <c r="AD452" i="11"/>
  <c r="AC452" i="11"/>
  <c r="AB452" i="11"/>
  <c r="AE451" i="11"/>
  <c r="AD451" i="11"/>
  <c r="AC451" i="11"/>
  <c r="AB451" i="11"/>
  <c r="AE450" i="11"/>
  <c r="AD450" i="11"/>
  <c r="AC450" i="11"/>
  <c r="AB450" i="11"/>
  <c r="AE449" i="11"/>
  <c r="AD449" i="11"/>
  <c r="AC449" i="11"/>
  <c r="AB449" i="11"/>
  <c r="AE448" i="11"/>
  <c r="AD448" i="11"/>
  <c r="AC448" i="11"/>
  <c r="AB448" i="11"/>
  <c r="AE447" i="11"/>
  <c r="AD447" i="11"/>
  <c r="AC447" i="11"/>
  <c r="AB447" i="11"/>
  <c r="AE446" i="11"/>
  <c r="AD446" i="11"/>
  <c r="AC446" i="11"/>
  <c r="AB446" i="11"/>
  <c r="AE445" i="11"/>
  <c r="AD445" i="11"/>
  <c r="AC445" i="11"/>
  <c r="AB445" i="11"/>
  <c r="AE444" i="11"/>
  <c r="AD444" i="11"/>
  <c r="AC444" i="11"/>
  <c r="AB444" i="11"/>
  <c r="AE443" i="11"/>
  <c r="AD443" i="11"/>
  <c r="AC443" i="11"/>
  <c r="AB443" i="11"/>
  <c r="AE442" i="11"/>
  <c r="AD442" i="11"/>
  <c r="AC442" i="11"/>
  <c r="AB442" i="11"/>
  <c r="AE441" i="11"/>
  <c r="AD441" i="11"/>
  <c r="AC441" i="11"/>
  <c r="AB441" i="11"/>
  <c r="AE440" i="11"/>
  <c r="AD440" i="11"/>
  <c r="AC440" i="11"/>
  <c r="AB440" i="11"/>
  <c r="AE439" i="11"/>
  <c r="AD439" i="11"/>
  <c r="AC439" i="11"/>
  <c r="AB439" i="11"/>
  <c r="AE438" i="11"/>
  <c r="AD438" i="11"/>
  <c r="AC438" i="11"/>
  <c r="AB438" i="11"/>
  <c r="AE437" i="11"/>
  <c r="AD437" i="11"/>
  <c r="AC437" i="11"/>
  <c r="AB437" i="11"/>
  <c r="AE436" i="11"/>
  <c r="AD436" i="11"/>
  <c r="AC436" i="11"/>
  <c r="AB436" i="11"/>
  <c r="AE435" i="11"/>
  <c r="AD435" i="11"/>
  <c r="AC435" i="11"/>
  <c r="AB435" i="11"/>
  <c r="AE434" i="11"/>
  <c r="AD434" i="11"/>
  <c r="AC434" i="11"/>
  <c r="AB434" i="11"/>
  <c r="AE433" i="11"/>
  <c r="AD433" i="11"/>
  <c r="AC433" i="11"/>
  <c r="AB433" i="11"/>
  <c r="AE432" i="11"/>
  <c r="AD432" i="11"/>
  <c r="AC432" i="11"/>
  <c r="AB432" i="11"/>
  <c r="AE431" i="11"/>
  <c r="AD431" i="11"/>
  <c r="AC431" i="11"/>
  <c r="AB431" i="11"/>
  <c r="AE430" i="11"/>
  <c r="AD430" i="11"/>
  <c r="AC430" i="11"/>
  <c r="AB430" i="11"/>
  <c r="AE429" i="11"/>
  <c r="AD429" i="11"/>
  <c r="AC429" i="11"/>
  <c r="AB429" i="11"/>
  <c r="AE428" i="11"/>
  <c r="AD428" i="11"/>
  <c r="AC428" i="11"/>
  <c r="AB428" i="11"/>
  <c r="AE427" i="11"/>
  <c r="AD427" i="11"/>
  <c r="AC427" i="11"/>
  <c r="AB427" i="11"/>
  <c r="AE426" i="11"/>
  <c r="AD426" i="11"/>
  <c r="AC426" i="11"/>
  <c r="AB426" i="11"/>
  <c r="AE425" i="11"/>
  <c r="AD425" i="11"/>
  <c r="AC425" i="11"/>
  <c r="AB425" i="11"/>
  <c r="AE424" i="11"/>
  <c r="AD424" i="11"/>
  <c r="AC424" i="11"/>
  <c r="AB424" i="11"/>
  <c r="AE423" i="11"/>
  <c r="AD423" i="11"/>
  <c r="AC423" i="11"/>
  <c r="AB423" i="11"/>
  <c r="AE422" i="11"/>
  <c r="AD422" i="11"/>
  <c r="AC422" i="11"/>
  <c r="AB422" i="11"/>
  <c r="AE421" i="11"/>
  <c r="AD421" i="11"/>
  <c r="AC421" i="11"/>
  <c r="AB421" i="11"/>
  <c r="AE420" i="11"/>
  <c r="AD420" i="11"/>
  <c r="AC420" i="11"/>
  <c r="AB420" i="11"/>
  <c r="AE419" i="11"/>
  <c r="AD419" i="11"/>
  <c r="AC419" i="11"/>
  <c r="AB419" i="11"/>
  <c r="AE418" i="11"/>
  <c r="AD418" i="11"/>
  <c r="AC418" i="11"/>
  <c r="AB418" i="11"/>
  <c r="AE417" i="11"/>
  <c r="AD417" i="11"/>
  <c r="AC417" i="11"/>
  <c r="AB417" i="11"/>
  <c r="AE416" i="11"/>
  <c r="AD416" i="11"/>
  <c r="AC416" i="11"/>
  <c r="AB416" i="11"/>
  <c r="AE415" i="11"/>
  <c r="AD415" i="11"/>
  <c r="AC415" i="11"/>
  <c r="AB415" i="11"/>
  <c r="AE414" i="11"/>
  <c r="AD414" i="11"/>
  <c r="AC414" i="11"/>
  <c r="AB414" i="11"/>
  <c r="AE413" i="11"/>
  <c r="AD413" i="11"/>
  <c r="AC413" i="11"/>
  <c r="AB413" i="11"/>
  <c r="AE412" i="11"/>
  <c r="AD412" i="11"/>
  <c r="AC412" i="11"/>
  <c r="AB412" i="11"/>
  <c r="AE411" i="11"/>
  <c r="AD411" i="11"/>
  <c r="AC411" i="11"/>
  <c r="AB411" i="11"/>
  <c r="AE410" i="11"/>
  <c r="AD410" i="11"/>
  <c r="AC410" i="11"/>
  <c r="AB410" i="11"/>
  <c r="AE409" i="11"/>
  <c r="AD409" i="11"/>
  <c r="AC409" i="11"/>
  <c r="AB409" i="11"/>
  <c r="AE408" i="11"/>
  <c r="AD408" i="11"/>
  <c r="AC408" i="11"/>
  <c r="AB408" i="11"/>
  <c r="AE407" i="11"/>
  <c r="AD407" i="11"/>
  <c r="AC407" i="11"/>
  <c r="AB407" i="11"/>
  <c r="AE406" i="11"/>
  <c r="AD406" i="11"/>
  <c r="AC406" i="11"/>
  <c r="AB406" i="11"/>
  <c r="AE405" i="11"/>
  <c r="AD405" i="11"/>
  <c r="AC405" i="11"/>
  <c r="AB405" i="11"/>
  <c r="AE404" i="11"/>
  <c r="AD404" i="11"/>
  <c r="AC404" i="11"/>
  <c r="AB404" i="11"/>
  <c r="AE403" i="11"/>
  <c r="AD403" i="11"/>
  <c r="AC403" i="11"/>
  <c r="AB403" i="11"/>
  <c r="AE402" i="11"/>
  <c r="AD402" i="11"/>
  <c r="AC402" i="11"/>
  <c r="AB402" i="11"/>
  <c r="AE401" i="11"/>
  <c r="AD401" i="11"/>
  <c r="AC401" i="11"/>
  <c r="AB401" i="11"/>
  <c r="AE400" i="11"/>
  <c r="AD400" i="11"/>
  <c r="AC400" i="11"/>
  <c r="AB400" i="11"/>
  <c r="AE399" i="11"/>
  <c r="AD399" i="11"/>
  <c r="AC399" i="11"/>
  <c r="AB399" i="11"/>
  <c r="AE398" i="11"/>
  <c r="AD398" i="11"/>
  <c r="AC398" i="11"/>
  <c r="AB398" i="11"/>
  <c r="AE397" i="11"/>
  <c r="AD397" i="11"/>
  <c r="AC397" i="11"/>
  <c r="AB397" i="11"/>
  <c r="AE396" i="11"/>
  <c r="AD396" i="11"/>
  <c r="AC396" i="11"/>
  <c r="AB396" i="11"/>
  <c r="AE395" i="11"/>
  <c r="AD395" i="11"/>
  <c r="AC395" i="11"/>
  <c r="AB395" i="11"/>
  <c r="AE394" i="11"/>
  <c r="AD394" i="11"/>
  <c r="AC394" i="11"/>
  <c r="AB394" i="11"/>
  <c r="AE393" i="11"/>
  <c r="AD393" i="11"/>
  <c r="AC393" i="11"/>
  <c r="AB393" i="11"/>
  <c r="AE392" i="11"/>
  <c r="AD392" i="11"/>
  <c r="AC392" i="11"/>
  <c r="AB392" i="11"/>
  <c r="AE391" i="11"/>
  <c r="AD391" i="11"/>
  <c r="AC391" i="11"/>
  <c r="AB391" i="11"/>
  <c r="AE390" i="11"/>
  <c r="AD390" i="11"/>
  <c r="AC390" i="11"/>
  <c r="AB390" i="11"/>
  <c r="AE389" i="11"/>
  <c r="AD389" i="11"/>
  <c r="AC389" i="11"/>
  <c r="AB389" i="11"/>
  <c r="AE388" i="11"/>
  <c r="AD388" i="11"/>
  <c r="AC388" i="11"/>
  <c r="AB388" i="11"/>
  <c r="AE387" i="11"/>
  <c r="AD387" i="11"/>
  <c r="AC387" i="11"/>
  <c r="AB387" i="11"/>
  <c r="AE386" i="11"/>
  <c r="AD386" i="11"/>
  <c r="AC386" i="11"/>
  <c r="AB386" i="11"/>
  <c r="AE385" i="11"/>
  <c r="AD385" i="11"/>
  <c r="AC385" i="11"/>
  <c r="AB385" i="11"/>
  <c r="AE384" i="11"/>
  <c r="AD384" i="11"/>
  <c r="AC384" i="11"/>
  <c r="AB384" i="11"/>
  <c r="AE383" i="11"/>
  <c r="AD383" i="11"/>
  <c r="AC383" i="11"/>
  <c r="AB383" i="11"/>
  <c r="AE382" i="11"/>
  <c r="AD382" i="11"/>
  <c r="AC382" i="11"/>
  <c r="AB382" i="11"/>
  <c r="AE381" i="11"/>
  <c r="AD381" i="11"/>
  <c r="AC381" i="11"/>
  <c r="AB381" i="11"/>
  <c r="AE380" i="11"/>
  <c r="AD380" i="11"/>
  <c r="AC380" i="11"/>
  <c r="AB380" i="11"/>
  <c r="AE379" i="11"/>
  <c r="AD379" i="11"/>
  <c r="AC379" i="11"/>
  <c r="AB379" i="11"/>
  <c r="AE378" i="11"/>
  <c r="AD378" i="11"/>
  <c r="AC378" i="11"/>
  <c r="AB378" i="11"/>
  <c r="AE377" i="11"/>
  <c r="AD377" i="11"/>
  <c r="AC377" i="11"/>
  <c r="AB377" i="11"/>
  <c r="AE376" i="11"/>
  <c r="AD376" i="11"/>
  <c r="AC376" i="11"/>
  <c r="AB376" i="11"/>
  <c r="AE375" i="11"/>
  <c r="AD375" i="11"/>
  <c r="AC375" i="11"/>
  <c r="AB375" i="11"/>
  <c r="AE374" i="11"/>
  <c r="AD374" i="11"/>
  <c r="AC374" i="11"/>
  <c r="AB374" i="11"/>
  <c r="AE373" i="11"/>
  <c r="AD373" i="11"/>
  <c r="AC373" i="11"/>
  <c r="AB373" i="11"/>
  <c r="AE372" i="11"/>
  <c r="AD372" i="11"/>
  <c r="AC372" i="11"/>
  <c r="AB372" i="11"/>
  <c r="AE371" i="11"/>
  <c r="AD371" i="11"/>
  <c r="AC371" i="11"/>
  <c r="AB371" i="11"/>
  <c r="AE370" i="11"/>
  <c r="AD370" i="11"/>
  <c r="AC370" i="11"/>
  <c r="AB370" i="11"/>
  <c r="AE369" i="11"/>
  <c r="AD369" i="11"/>
  <c r="AC369" i="11"/>
  <c r="AB369" i="11"/>
  <c r="AE368" i="11"/>
  <c r="AD368" i="11"/>
  <c r="AC368" i="11"/>
  <c r="AB368" i="11"/>
  <c r="AE367" i="11"/>
  <c r="AD367" i="11"/>
  <c r="AC367" i="11"/>
  <c r="AB367" i="11"/>
  <c r="AE366" i="11"/>
  <c r="AD366" i="11"/>
  <c r="AC366" i="11"/>
  <c r="AB366" i="11"/>
  <c r="AE365" i="11"/>
  <c r="AD365" i="11"/>
  <c r="AC365" i="11"/>
  <c r="AB365" i="11"/>
  <c r="AE364" i="11"/>
  <c r="AD364" i="11"/>
  <c r="AC364" i="11"/>
  <c r="AB364" i="11"/>
  <c r="AE363" i="11"/>
  <c r="AD363" i="11"/>
  <c r="AC363" i="11"/>
  <c r="AB363" i="11"/>
  <c r="P361" i="11"/>
  <c r="AE349" i="11"/>
  <c r="AD349" i="11"/>
  <c r="AC349" i="11"/>
  <c r="AB349" i="11"/>
  <c r="AE348" i="11"/>
  <c r="AD348" i="11"/>
  <c r="AC348" i="11"/>
  <c r="AB348" i="11"/>
  <c r="AE347" i="11"/>
  <c r="AD347" i="11"/>
  <c r="AC347" i="11"/>
  <c r="AB347" i="11"/>
  <c r="AE346" i="11"/>
  <c r="AD346" i="11"/>
  <c r="AC346" i="11"/>
  <c r="AB346" i="11"/>
  <c r="AE345" i="11"/>
  <c r="AD345" i="11"/>
  <c r="AC345" i="11"/>
  <c r="AB345" i="11"/>
  <c r="AE344" i="11"/>
  <c r="AD344" i="11"/>
  <c r="AC344" i="11"/>
  <c r="AB344" i="11"/>
  <c r="AE343" i="11"/>
  <c r="AD343" i="11"/>
  <c r="AC343" i="11"/>
  <c r="AB343" i="11"/>
  <c r="AE342" i="11"/>
  <c r="AD342" i="11"/>
  <c r="AC342" i="11"/>
  <c r="AB342" i="11"/>
  <c r="AE341" i="11"/>
  <c r="AD341" i="11"/>
  <c r="AC341" i="11"/>
  <c r="AB341" i="11"/>
  <c r="AE340" i="11"/>
  <c r="AD340" i="11"/>
  <c r="AC340" i="11"/>
  <c r="AB340" i="11"/>
  <c r="AE339" i="11"/>
  <c r="AD339" i="11"/>
  <c r="AC339" i="11"/>
  <c r="AB339" i="11"/>
  <c r="AE338" i="11"/>
  <c r="AD338" i="11"/>
  <c r="AC338" i="11"/>
  <c r="AB338" i="11"/>
  <c r="AE337" i="11"/>
  <c r="AD337" i="11"/>
  <c r="AC337" i="11"/>
  <c r="AB337" i="11"/>
  <c r="AE336" i="11"/>
  <c r="AD336" i="11"/>
  <c r="AC336" i="11"/>
  <c r="AB336" i="11"/>
  <c r="AE335" i="11"/>
  <c r="AD335" i="11"/>
  <c r="AC335" i="11"/>
  <c r="AB335" i="11"/>
  <c r="AE334" i="11"/>
  <c r="AD334" i="11"/>
  <c r="AC334" i="11"/>
  <c r="AB334" i="11"/>
  <c r="AE333" i="11"/>
  <c r="AD333" i="11"/>
  <c r="AC333" i="11"/>
  <c r="AB333" i="11"/>
  <c r="AE332" i="11"/>
  <c r="AD332" i="11"/>
  <c r="AC332" i="11"/>
  <c r="AB332" i="11"/>
  <c r="AE331" i="11"/>
  <c r="AD331" i="11"/>
  <c r="AC331" i="11"/>
  <c r="AB331" i="11"/>
  <c r="AE330" i="11"/>
  <c r="AD330" i="11"/>
  <c r="AC330" i="11"/>
  <c r="AB330" i="11"/>
  <c r="AE329" i="11"/>
  <c r="AD329" i="11"/>
  <c r="AC329" i="11"/>
  <c r="AB329" i="11"/>
  <c r="AE328" i="11"/>
  <c r="AD328" i="11"/>
  <c r="AC328" i="11"/>
  <c r="AB328" i="11"/>
  <c r="AE327" i="11"/>
  <c r="AD327" i="11"/>
  <c r="AC327" i="11"/>
  <c r="AB327" i="11"/>
  <c r="AE326" i="11"/>
  <c r="AD326" i="11"/>
  <c r="AC326" i="11"/>
  <c r="AB326" i="11"/>
  <c r="AE325" i="11"/>
  <c r="AD325" i="11"/>
  <c r="AC325" i="11"/>
  <c r="AB325" i="11"/>
  <c r="AE324" i="11"/>
  <c r="AD324" i="11"/>
  <c r="AC324" i="11"/>
  <c r="AB324" i="11"/>
  <c r="AE323" i="11"/>
  <c r="AD323" i="11"/>
  <c r="AC323" i="11"/>
  <c r="AB323" i="11"/>
  <c r="AE322" i="11"/>
  <c r="AD322" i="11"/>
  <c r="AC322" i="11"/>
  <c r="AB322" i="11"/>
  <c r="AE321" i="11"/>
  <c r="AD321" i="11"/>
  <c r="AC321" i="11"/>
  <c r="AB321" i="11"/>
  <c r="AE320" i="11"/>
  <c r="AD320" i="11"/>
  <c r="AC320" i="11"/>
  <c r="AB320" i="11"/>
  <c r="AE319" i="11"/>
  <c r="AD319" i="11"/>
  <c r="AC319" i="11"/>
  <c r="AB319" i="11"/>
  <c r="AE318" i="11"/>
  <c r="AD318" i="11"/>
  <c r="AC318" i="11"/>
  <c r="AB318" i="11"/>
  <c r="AE317" i="11"/>
  <c r="AD317" i="11"/>
  <c r="AC317" i="11"/>
  <c r="AB317" i="11"/>
  <c r="AE316" i="11"/>
  <c r="AD316" i="11"/>
  <c r="AC316" i="11"/>
  <c r="AB316" i="11"/>
  <c r="AE315" i="11"/>
  <c r="AD315" i="11"/>
  <c r="AC315" i="11"/>
  <c r="AB315" i="11"/>
  <c r="AE314" i="11"/>
  <c r="AD314" i="11"/>
  <c r="AC314" i="11"/>
  <c r="AB314" i="11"/>
  <c r="AE313" i="11"/>
  <c r="AD313" i="11"/>
  <c r="AC313" i="11"/>
  <c r="AB313" i="11"/>
  <c r="AE312" i="11"/>
  <c r="AD312" i="11"/>
  <c r="AC312" i="11"/>
  <c r="AB312" i="11"/>
  <c r="AE311" i="11"/>
  <c r="AD311" i="11"/>
  <c r="AC311" i="11"/>
  <c r="AB311" i="11"/>
  <c r="AE310" i="11"/>
  <c r="AD310" i="11"/>
  <c r="AC310" i="11"/>
  <c r="AB310" i="11"/>
  <c r="AE309" i="11"/>
  <c r="AD309" i="11"/>
  <c r="AC309" i="11"/>
  <c r="AB309" i="11"/>
  <c r="AE308" i="11"/>
  <c r="AD308" i="11"/>
  <c r="AC308" i="11"/>
  <c r="AB308" i="11"/>
  <c r="AE307" i="11"/>
  <c r="AD307" i="11"/>
  <c r="AC307" i="11"/>
  <c r="AB307" i="11"/>
  <c r="AE306" i="11"/>
  <c r="AD306" i="11"/>
  <c r="AC306" i="11"/>
  <c r="AB306" i="11"/>
  <c r="AE305" i="11"/>
  <c r="AD305" i="11"/>
  <c r="AC305" i="11"/>
  <c r="AB305" i="11"/>
  <c r="AE304" i="11"/>
  <c r="AD304" i="11"/>
  <c r="AC304" i="11"/>
  <c r="AB304" i="11"/>
  <c r="AE303" i="11"/>
  <c r="AD303" i="11"/>
  <c r="AC303" i="11"/>
  <c r="AB303" i="11"/>
  <c r="AE302" i="11"/>
  <c r="AD302" i="11"/>
  <c r="AC302" i="11"/>
  <c r="AB302" i="11"/>
  <c r="AE301" i="11"/>
  <c r="AD301" i="11"/>
  <c r="AC301" i="11"/>
  <c r="AB301" i="11"/>
  <c r="AE300" i="11"/>
  <c r="AD300" i="11"/>
  <c r="AC300" i="11"/>
  <c r="AB300" i="11"/>
  <c r="AE299" i="11"/>
  <c r="AD299" i="11"/>
  <c r="AC299" i="11"/>
  <c r="AB299" i="11"/>
  <c r="AE298" i="11"/>
  <c r="AD298" i="11"/>
  <c r="AC298" i="11"/>
  <c r="AB298" i="11"/>
  <c r="AE297" i="11"/>
  <c r="AD297" i="11"/>
  <c r="AC297" i="11"/>
  <c r="AB297" i="11"/>
  <c r="AE296" i="11"/>
  <c r="AD296" i="11"/>
  <c r="AC296" i="11"/>
  <c r="AB296" i="11"/>
  <c r="AE295" i="11"/>
  <c r="AD295" i="11"/>
  <c r="AC295" i="11"/>
  <c r="AB295" i="11"/>
  <c r="AE294" i="11"/>
  <c r="AD294" i="11"/>
  <c r="AC294" i="11"/>
  <c r="AB294" i="11"/>
  <c r="AE293" i="11"/>
  <c r="AD293" i="11"/>
  <c r="AC293" i="11"/>
  <c r="AB293" i="11"/>
  <c r="AE292" i="11"/>
  <c r="AD292" i="11"/>
  <c r="AC292" i="11"/>
  <c r="AB292" i="11"/>
  <c r="AE291" i="11"/>
  <c r="AD291" i="11"/>
  <c r="AC291" i="11"/>
  <c r="AB291" i="11"/>
  <c r="AE290" i="11"/>
  <c r="AD290" i="11"/>
  <c r="AC290" i="11"/>
  <c r="AB290" i="11"/>
  <c r="AE289" i="11"/>
  <c r="AD289" i="11"/>
  <c r="AC289" i="11"/>
  <c r="AB289" i="11"/>
  <c r="AE288" i="11"/>
  <c r="AD288" i="11"/>
  <c r="AC288" i="11"/>
  <c r="AB288" i="11"/>
  <c r="AE287" i="11"/>
  <c r="AD287" i="11"/>
  <c r="AC287" i="11"/>
  <c r="AB287" i="11"/>
  <c r="AE286" i="11"/>
  <c r="AD286" i="11"/>
  <c r="AC286" i="11"/>
  <c r="AB286" i="11"/>
  <c r="AE285" i="11"/>
  <c r="AD285" i="11"/>
  <c r="AC285" i="11"/>
  <c r="AB285" i="11"/>
  <c r="AE284" i="11"/>
  <c r="AD284" i="11"/>
  <c r="AC284" i="11"/>
  <c r="AB284" i="11"/>
  <c r="AE283" i="11"/>
  <c r="AD283" i="11"/>
  <c r="AC283" i="11"/>
  <c r="AB283" i="11"/>
  <c r="AE282" i="11"/>
  <c r="AD282" i="11"/>
  <c r="AC282" i="11"/>
  <c r="AB282" i="11"/>
  <c r="AE281" i="11"/>
  <c r="AD281" i="11"/>
  <c r="AC281" i="11"/>
  <c r="AB281" i="11"/>
  <c r="AE280" i="11"/>
  <c r="AD280" i="11"/>
  <c r="AC280" i="11"/>
  <c r="AB280" i="11"/>
  <c r="AE279" i="11"/>
  <c r="AD279" i="11"/>
  <c r="AC279" i="11"/>
  <c r="AB279" i="11"/>
  <c r="AE278" i="11"/>
  <c r="AD278" i="11"/>
  <c r="AC278" i="11"/>
  <c r="AB278" i="11"/>
  <c r="AE277" i="11"/>
  <c r="AD277" i="11"/>
  <c r="AC277" i="11"/>
  <c r="AB277" i="11"/>
  <c r="AE276" i="11"/>
  <c r="AD276" i="11"/>
  <c r="AC276" i="11"/>
  <c r="AB276" i="11"/>
  <c r="AE275" i="11"/>
  <c r="AD275" i="11"/>
  <c r="AC275" i="11"/>
  <c r="AB275" i="11"/>
  <c r="AE274" i="11"/>
  <c r="AD274" i="11"/>
  <c r="AC274" i="11"/>
  <c r="AB274" i="11"/>
  <c r="AE273" i="11"/>
  <c r="AD273" i="11"/>
  <c r="AC273" i="11"/>
  <c r="AB273" i="11"/>
  <c r="AE272" i="11"/>
  <c r="AD272" i="11"/>
  <c r="AC272" i="11"/>
  <c r="AB272" i="11"/>
  <c r="AE271" i="11"/>
  <c r="AD271" i="11"/>
  <c r="AC271" i="11"/>
  <c r="AB271" i="11"/>
  <c r="AE270" i="11"/>
  <c r="AD270" i="11"/>
  <c r="AC270" i="11"/>
  <c r="AB270" i="11"/>
  <c r="AE269" i="11"/>
  <c r="AD269" i="11"/>
  <c r="AC269" i="11"/>
  <c r="AB269" i="11"/>
  <c r="AE268" i="11"/>
  <c r="AD268" i="11"/>
  <c r="AC268" i="11"/>
  <c r="AB268" i="11"/>
  <c r="AE267" i="11"/>
  <c r="AD267" i="11"/>
  <c r="AC267" i="11"/>
  <c r="AB267" i="11"/>
  <c r="AE266" i="11"/>
  <c r="AD266" i="11"/>
  <c r="AC266" i="11"/>
  <c r="AB266" i="11"/>
  <c r="AE265" i="11"/>
  <c r="AD265" i="11"/>
  <c r="AC265" i="11"/>
  <c r="AB265" i="11"/>
  <c r="AE264" i="11"/>
  <c r="AD264" i="11"/>
  <c r="AC264" i="11"/>
  <c r="AB264" i="11"/>
  <c r="AE263" i="11"/>
  <c r="AD263" i="11"/>
  <c r="AC263" i="11"/>
  <c r="AB263" i="11"/>
  <c r="AE262" i="11"/>
  <c r="AD262" i="11"/>
  <c r="AC262" i="11"/>
  <c r="AB262" i="11"/>
  <c r="AE261" i="11"/>
  <c r="AD261" i="11"/>
  <c r="AC261" i="11"/>
  <c r="AB261" i="11"/>
  <c r="AE260" i="11"/>
  <c r="AD260" i="11"/>
  <c r="AC260" i="11"/>
  <c r="AB260" i="11"/>
  <c r="AE259" i="11"/>
  <c r="AD259" i="11"/>
  <c r="AC259" i="11"/>
  <c r="AB259" i="11"/>
  <c r="AE258" i="11"/>
  <c r="AD258" i="11"/>
  <c r="AC258" i="11"/>
  <c r="AB258" i="11"/>
  <c r="AE257" i="11"/>
  <c r="AD257" i="11"/>
  <c r="AC257" i="11"/>
  <c r="AB257" i="11"/>
  <c r="AE256" i="11"/>
  <c r="AD256" i="11"/>
  <c r="AC256" i="11"/>
  <c r="AB256" i="11"/>
  <c r="AE255" i="11"/>
  <c r="AD255" i="11"/>
  <c r="AC255" i="11"/>
  <c r="AB255" i="11"/>
  <c r="AE254" i="11"/>
  <c r="AD254" i="11"/>
  <c r="AC254" i="11"/>
  <c r="AB254" i="11"/>
  <c r="AE253" i="11"/>
  <c r="AD253" i="11"/>
  <c r="AC253" i="11"/>
  <c r="AB253" i="11"/>
  <c r="AE252" i="11"/>
  <c r="AD252" i="11"/>
  <c r="AC252" i="11"/>
  <c r="AB252" i="11"/>
  <c r="AE251" i="11"/>
  <c r="AD251" i="11"/>
  <c r="AC251" i="11"/>
  <c r="AB251" i="11"/>
  <c r="AE250" i="11"/>
  <c r="AD250" i="11"/>
  <c r="AC250" i="11"/>
  <c r="AB250" i="11"/>
  <c r="P248" i="11"/>
  <c r="AE236" i="11"/>
  <c r="AD236" i="11"/>
  <c r="AC236" i="11"/>
  <c r="AB236" i="11"/>
  <c r="AE235" i="11"/>
  <c r="AD235" i="11"/>
  <c r="AC235" i="11"/>
  <c r="AB235" i="11"/>
  <c r="AE234" i="11"/>
  <c r="AD234" i="11"/>
  <c r="AC234" i="11"/>
  <c r="AB234" i="11"/>
  <c r="AE233" i="11"/>
  <c r="AD233" i="11"/>
  <c r="AC233" i="11"/>
  <c r="AB233" i="11"/>
  <c r="AE232" i="11"/>
  <c r="AD232" i="11"/>
  <c r="AC232" i="11"/>
  <c r="AB232" i="11"/>
  <c r="AE231" i="11"/>
  <c r="AD231" i="11"/>
  <c r="AC231" i="11"/>
  <c r="AB231" i="11"/>
  <c r="AE230" i="11"/>
  <c r="AD230" i="11"/>
  <c r="AC230" i="11"/>
  <c r="AB230" i="11"/>
  <c r="AE229" i="11"/>
  <c r="AD229" i="11"/>
  <c r="AC229" i="11"/>
  <c r="AB229" i="11"/>
  <c r="AE228" i="11"/>
  <c r="AD228" i="11"/>
  <c r="AC228" i="11"/>
  <c r="AB228" i="11"/>
  <c r="AE227" i="11"/>
  <c r="AD227" i="11"/>
  <c r="AC227" i="11"/>
  <c r="AB227" i="11"/>
  <c r="AE226" i="11"/>
  <c r="AD226" i="11"/>
  <c r="AC226" i="11"/>
  <c r="AB226" i="11"/>
  <c r="AE225" i="11"/>
  <c r="AD225" i="11"/>
  <c r="AC225" i="11"/>
  <c r="AB225" i="11"/>
  <c r="AE224" i="11"/>
  <c r="AD224" i="11"/>
  <c r="AC224" i="11"/>
  <c r="AB224" i="11"/>
  <c r="AE223" i="11"/>
  <c r="AD223" i="11"/>
  <c r="AC223" i="11"/>
  <c r="AB223" i="11"/>
  <c r="AE222" i="11"/>
  <c r="AD222" i="11"/>
  <c r="AC222" i="11"/>
  <c r="AB222" i="11"/>
  <c r="AE221" i="11"/>
  <c r="AD221" i="11"/>
  <c r="AC221" i="11"/>
  <c r="AB221" i="11"/>
  <c r="AE220" i="11"/>
  <c r="AD220" i="11"/>
  <c r="AC220" i="11"/>
  <c r="AB220" i="11"/>
  <c r="AE219" i="11"/>
  <c r="AD219" i="11"/>
  <c r="AC219" i="11"/>
  <c r="AB219" i="11"/>
  <c r="AE218" i="11"/>
  <c r="AD218" i="11"/>
  <c r="AC218" i="11"/>
  <c r="AB218" i="11"/>
  <c r="AE217" i="11"/>
  <c r="AD217" i="11"/>
  <c r="AC217" i="11"/>
  <c r="AB217" i="11"/>
  <c r="AE216" i="11"/>
  <c r="AD216" i="11"/>
  <c r="AC216" i="11"/>
  <c r="AB216" i="11"/>
  <c r="AE215" i="11"/>
  <c r="AD215" i="11"/>
  <c r="AC215" i="11"/>
  <c r="AB215" i="11"/>
  <c r="AE214" i="11"/>
  <c r="AD214" i="11"/>
  <c r="AC214" i="11"/>
  <c r="AB214" i="11"/>
  <c r="AE213" i="11"/>
  <c r="AD213" i="11"/>
  <c r="AC213" i="11"/>
  <c r="AB213" i="11"/>
  <c r="AE212" i="11"/>
  <c r="AD212" i="11"/>
  <c r="AC212" i="11"/>
  <c r="AB212" i="11"/>
  <c r="AE211" i="11"/>
  <c r="AD211" i="11"/>
  <c r="AC211" i="11"/>
  <c r="AB211" i="11"/>
  <c r="AE210" i="11"/>
  <c r="AD210" i="11"/>
  <c r="AC210" i="11"/>
  <c r="AB210" i="11"/>
  <c r="AE209" i="11"/>
  <c r="AD209" i="11"/>
  <c r="AC209" i="11"/>
  <c r="AB209" i="11"/>
  <c r="AE208" i="11"/>
  <c r="AD208" i="11"/>
  <c r="AC208" i="11"/>
  <c r="AB208" i="11"/>
  <c r="AE207" i="11"/>
  <c r="AD207" i="11"/>
  <c r="AC207" i="11"/>
  <c r="AB207" i="11"/>
  <c r="AE206" i="11"/>
  <c r="AD206" i="11"/>
  <c r="AC206" i="11"/>
  <c r="AB206" i="11"/>
  <c r="AE205" i="11"/>
  <c r="AD205" i="11"/>
  <c r="AC205" i="11"/>
  <c r="AB205" i="11"/>
  <c r="AE204" i="11"/>
  <c r="AD204" i="11"/>
  <c r="AC204" i="11"/>
  <c r="AB204" i="11"/>
  <c r="AE203" i="11"/>
  <c r="AD203" i="11"/>
  <c r="AC203" i="11"/>
  <c r="AB203" i="11"/>
  <c r="AE202" i="11"/>
  <c r="AD202" i="11"/>
  <c r="AC202" i="11"/>
  <c r="AB202" i="11"/>
  <c r="AE201" i="11"/>
  <c r="AD201" i="11"/>
  <c r="AC201" i="11"/>
  <c r="AB201" i="11"/>
  <c r="AE200" i="11"/>
  <c r="AD200" i="11"/>
  <c r="AC200" i="11"/>
  <c r="AB200" i="11"/>
  <c r="AE199" i="11"/>
  <c r="AD199" i="11"/>
  <c r="AC199" i="11"/>
  <c r="AB199" i="11"/>
  <c r="AE198" i="11"/>
  <c r="AD198" i="11"/>
  <c r="AC198" i="11"/>
  <c r="AB198" i="11"/>
  <c r="AE197" i="11"/>
  <c r="AD197" i="11"/>
  <c r="AC197" i="11"/>
  <c r="AB197" i="11"/>
  <c r="AE196" i="11"/>
  <c r="AD196" i="11"/>
  <c r="AC196" i="11"/>
  <c r="AB196" i="11"/>
  <c r="AE195" i="11"/>
  <c r="AD195" i="11"/>
  <c r="AC195" i="11"/>
  <c r="AB195" i="11"/>
  <c r="AE194" i="11"/>
  <c r="AD194" i="11"/>
  <c r="AC194" i="11"/>
  <c r="AB194" i="11"/>
  <c r="AE193" i="11"/>
  <c r="AD193" i="11"/>
  <c r="AC193" i="11"/>
  <c r="AB193" i="11"/>
  <c r="AE192" i="11"/>
  <c r="AD192" i="11"/>
  <c r="AC192" i="11"/>
  <c r="AB192" i="11"/>
  <c r="AE191" i="11"/>
  <c r="AD191" i="11"/>
  <c r="AC191" i="11"/>
  <c r="AB191" i="11"/>
  <c r="AE190" i="11"/>
  <c r="AD190" i="11"/>
  <c r="AC190" i="11"/>
  <c r="AB190" i="11"/>
  <c r="AE189" i="11"/>
  <c r="AD189" i="11"/>
  <c r="AC189" i="11"/>
  <c r="AB189" i="11"/>
  <c r="AE188" i="11"/>
  <c r="AD188" i="11"/>
  <c r="AC188" i="11"/>
  <c r="AB188" i="11"/>
  <c r="AE187" i="11"/>
  <c r="AD187" i="11"/>
  <c r="AC187" i="11"/>
  <c r="AB187" i="11"/>
  <c r="AE186" i="11"/>
  <c r="AD186" i="11"/>
  <c r="AC186" i="11"/>
  <c r="AB186" i="11"/>
  <c r="AE185" i="11"/>
  <c r="AD185" i="11"/>
  <c r="AC185" i="11"/>
  <c r="AB185" i="11"/>
  <c r="AE184" i="11"/>
  <c r="AD184" i="11"/>
  <c r="AC184" i="11"/>
  <c r="AB184" i="11"/>
  <c r="AE183" i="11"/>
  <c r="AD183" i="11"/>
  <c r="AC183" i="11"/>
  <c r="AB183" i="11"/>
  <c r="AE182" i="11"/>
  <c r="AD182" i="11"/>
  <c r="AC182" i="11"/>
  <c r="AB182" i="11"/>
  <c r="AE181" i="11"/>
  <c r="AD181" i="11"/>
  <c r="AC181" i="11"/>
  <c r="AB181" i="11"/>
  <c r="AE180" i="11"/>
  <c r="AD180" i="11"/>
  <c r="AC180" i="11"/>
  <c r="AB180" i="11"/>
  <c r="AE179" i="11"/>
  <c r="AD179" i="11"/>
  <c r="AC179" i="11"/>
  <c r="AB179" i="11"/>
  <c r="AE178" i="11"/>
  <c r="AD178" i="11"/>
  <c r="AC178" i="11"/>
  <c r="AB178" i="11"/>
  <c r="AE177" i="11"/>
  <c r="AD177" i="11"/>
  <c r="AC177" i="11"/>
  <c r="AB177" i="11"/>
  <c r="AE176" i="11"/>
  <c r="AD176" i="11"/>
  <c r="AC176" i="11"/>
  <c r="AB176" i="11"/>
  <c r="AE175" i="11"/>
  <c r="AD175" i="11"/>
  <c r="AC175" i="11"/>
  <c r="AB175" i="11"/>
  <c r="AE174" i="11"/>
  <c r="AD174" i="11"/>
  <c r="AC174" i="11"/>
  <c r="AB174" i="11"/>
  <c r="AE173" i="11"/>
  <c r="AD173" i="11"/>
  <c r="AC173" i="11"/>
  <c r="AB173" i="11"/>
  <c r="AE172" i="11"/>
  <c r="AD172" i="11"/>
  <c r="AC172" i="11"/>
  <c r="AB172" i="11"/>
  <c r="AE171" i="11"/>
  <c r="AD171" i="11"/>
  <c r="AC171" i="11"/>
  <c r="AB171" i="11"/>
  <c r="AE170" i="11"/>
  <c r="AD170" i="11"/>
  <c r="AC170" i="11"/>
  <c r="AB170" i="11"/>
  <c r="AE169" i="11"/>
  <c r="AD169" i="11"/>
  <c r="AC169" i="11"/>
  <c r="AB169" i="11"/>
  <c r="AE168" i="11"/>
  <c r="AD168" i="11"/>
  <c r="AC168" i="11"/>
  <c r="AB168" i="11"/>
  <c r="AE167" i="11"/>
  <c r="AD167" i="11"/>
  <c r="AC167" i="11"/>
  <c r="AB167" i="11"/>
  <c r="AE166" i="11"/>
  <c r="AD166" i="11"/>
  <c r="AC166" i="11"/>
  <c r="AB166" i="11"/>
  <c r="AE165" i="11"/>
  <c r="AD165" i="11"/>
  <c r="AC165" i="11"/>
  <c r="AB165" i="11"/>
  <c r="AE164" i="11"/>
  <c r="AD164" i="11"/>
  <c r="AC164" i="11"/>
  <c r="AB164" i="11"/>
  <c r="AE163" i="11"/>
  <c r="AD163" i="11"/>
  <c r="AC163" i="11"/>
  <c r="AB163" i="11"/>
  <c r="AE162" i="11"/>
  <c r="AD162" i="11"/>
  <c r="AC162" i="11"/>
  <c r="AB162" i="11"/>
  <c r="AE161" i="11"/>
  <c r="AD161" i="11"/>
  <c r="AC161" i="11"/>
  <c r="AB161" i="11"/>
  <c r="AE160" i="11"/>
  <c r="AD160" i="11"/>
  <c r="AC160" i="11"/>
  <c r="AB160" i="11"/>
  <c r="AE159" i="11"/>
  <c r="AD159" i="11"/>
  <c r="AC159" i="11"/>
  <c r="AB159" i="11"/>
  <c r="AE158" i="11"/>
  <c r="AD158" i="11"/>
  <c r="AC158" i="11"/>
  <c r="AB158" i="11"/>
  <c r="AE157" i="11"/>
  <c r="AD157" i="11"/>
  <c r="AC157" i="11"/>
  <c r="AB157" i="11"/>
  <c r="AE156" i="11"/>
  <c r="AD156" i="11"/>
  <c r="AC156" i="11"/>
  <c r="AB156" i="11"/>
  <c r="AE155" i="11"/>
  <c r="AD155" i="11"/>
  <c r="AC155" i="11"/>
  <c r="AB155" i="11"/>
  <c r="AE154" i="11"/>
  <c r="AD154" i="11"/>
  <c r="AC154" i="11"/>
  <c r="AB154" i="11"/>
  <c r="AE153" i="11"/>
  <c r="AD153" i="11"/>
  <c r="AC153" i="11"/>
  <c r="AB153" i="11"/>
  <c r="AE152" i="11"/>
  <c r="AD152" i="11"/>
  <c r="AC152" i="11"/>
  <c r="AB152" i="11"/>
  <c r="AE151" i="11"/>
  <c r="AD151" i="11"/>
  <c r="AC151" i="11"/>
  <c r="AB151" i="11"/>
  <c r="AE150" i="11"/>
  <c r="AD150" i="11"/>
  <c r="AC150" i="11"/>
  <c r="AB150" i="11"/>
  <c r="AE149" i="11"/>
  <c r="AD149" i="11"/>
  <c r="AC149" i="11"/>
  <c r="AB149" i="11"/>
  <c r="AE148" i="11"/>
  <c r="AD148" i="11"/>
  <c r="AC148" i="11"/>
  <c r="AB148" i="11"/>
  <c r="AE147" i="11"/>
  <c r="AD147" i="11"/>
  <c r="AC147" i="11"/>
  <c r="AB147" i="11"/>
  <c r="AE146" i="11"/>
  <c r="AD146" i="11"/>
  <c r="AC146" i="11"/>
  <c r="AB146" i="11"/>
  <c r="AE145" i="11"/>
  <c r="AD145" i="11"/>
  <c r="AC145" i="11"/>
  <c r="AB145" i="11"/>
  <c r="AE144" i="11"/>
  <c r="AD144" i="11"/>
  <c r="AC144" i="11"/>
  <c r="AB144" i="11"/>
  <c r="AE143" i="11"/>
  <c r="AD143" i="11"/>
  <c r="AC143" i="11"/>
  <c r="AB143" i="11"/>
  <c r="AE142" i="11"/>
  <c r="AD142" i="11"/>
  <c r="AC142" i="11"/>
  <c r="AB142" i="11"/>
  <c r="AE141" i="11"/>
  <c r="AD141" i="11"/>
  <c r="AC141" i="11"/>
  <c r="AB141" i="11"/>
  <c r="AE140" i="11"/>
  <c r="AD140" i="11"/>
  <c r="AC140" i="11"/>
  <c r="AB140" i="11"/>
  <c r="AE139" i="11"/>
  <c r="AD139" i="11"/>
  <c r="AC139" i="11"/>
  <c r="AB139" i="11"/>
  <c r="AE138" i="11"/>
  <c r="AD138" i="11"/>
  <c r="AC138" i="11"/>
  <c r="AB138" i="11"/>
  <c r="AE137" i="11"/>
  <c r="AD137" i="11"/>
  <c r="AC137" i="11"/>
  <c r="AB137" i="11"/>
  <c r="P135" i="11"/>
  <c r="AB26" i="11"/>
  <c r="AC26" i="11"/>
  <c r="AD26" i="11"/>
  <c r="AE26" i="11"/>
  <c r="AB27" i="11"/>
  <c r="AC27" i="11"/>
  <c r="AD27" i="11"/>
  <c r="AE27" i="11"/>
  <c r="AB28" i="11"/>
  <c r="AC28" i="11"/>
  <c r="AD28" i="11"/>
  <c r="AE28" i="11"/>
  <c r="AB29" i="11"/>
  <c r="AC29" i="11"/>
  <c r="AD29" i="11"/>
  <c r="AE29" i="11"/>
  <c r="AB30" i="11"/>
  <c r="AC30" i="11"/>
  <c r="AD30" i="11"/>
  <c r="AE30" i="11"/>
  <c r="AB31" i="11"/>
  <c r="AC31" i="11"/>
  <c r="AD31" i="11"/>
  <c r="AE31" i="11"/>
  <c r="AB32" i="11"/>
  <c r="AC32" i="11"/>
  <c r="AD32" i="11"/>
  <c r="AE32" i="11"/>
  <c r="AB33" i="11"/>
  <c r="AC33" i="11"/>
  <c r="AD33" i="11"/>
  <c r="AE33" i="11"/>
  <c r="AB34" i="11"/>
  <c r="AC34" i="11"/>
  <c r="AD34" i="11"/>
  <c r="AE34" i="11"/>
  <c r="AB35" i="11"/>
  <c r="AC35" i="11"/>
  <c r="AD35" i="11"/>
  <c r="AE35" i="11"/>
  <c r="AB36" i="11"/>
  <c r="AC36" i="11"/>
  <c r="AD36" i="11"/>
  <c r="AE36" i="11"/>
  <c r="AB37" i="11"/>
  <c r="AC37" i="11"/>
  <c r="AD37" i="11"/>
  <c r="AE37" i="11"/>
  <c r="AB38" i="11"/>
  <c r="AC38" i="11"/>
  <c r="AD38" i="11"/>
  <c r="AE38" i="11"/>
  <c r="AB39" i="11"/>
  <c r="AC39" i="11"/>
  <c r="AD39" i="11"/>
  <c r="AE39" i="11"/>
  <c r="AB40" i="11"/>
  <c r="AC40" i="11"/>
  <c r="AD40" i="11"/>
  <c r="AE40" i="11"/>
  <c r="AB41" i="11"/>
  <c r="AC41" i="11"/>
  <c r="AD41" i="11"/>
  <c r="AE41" i="11"/>
  <c r="AB42" i="11"/>
  <c r="AC42" i="11"/>
  <c r="AD42" i="11"/>
  <c r="AE42" i="11"/>
  <c r="AB43" i="11"/>
  <c r="AC43" i="11"/>
  <c r="AD43" i="11"/>
  <c r="AE43" i="11"/>
  <c r="AB44" i="11"/>
  <c r="AC44" i="11"/>
  <c r="AD44" i="11"/>
  <c r="AE44" i="11"/>
  <c r="AB45" i="11"/>
  <c r="AC45" i="11"/>
  <c r="AD45" i="11"/>
  <c r="AE45" i="11"/>
  <c r="AB46" i="11"/>
  <c r="AC46" i="11"/>
  <c r="AD46" i="11"/>
  <c r="AE46" i="11"/>
  <c r="AB47" i="11"/>
  <c r="AC47" i="11"/>
  <c r="AD47" i="11"/>
  <c r="AE47" i="11"/>
  <c r="AB48" i="11"/>
  <c r="AC48" i="11"/>
  <c r="AD48" i="11"/>
  <c r="AE48" i="11"/>
  <c r="AB49" i="11"/>
  <c r="AC49" i="11"/>
  <c r="AD49" i="11"/>
  <c r="AE49" i="11"/>
  <c r="AB50" i="11"/>
  <c r="AC50" i="11"/>
  <c r="AD50" i="11"/>
  <c r="AE50" i="11"/>
  <c r="AB51" i="11"/>
  <c r="AC51" i="11"/>
  <c r="AD51" i="11"/>
  <c r="AE51" i="11"/>
  <c r="AB52" i="11"/>
  <c r="AC52" i="11"/>
  <c r="AD52" i="11"/>
  <c r="AE52" i="11"/>
  <c r="AB53" i="11"/>
  <c r="AC53" i="11"/>
  <c r="AD53" i="11"/>
  <c r="AE53" i="11"/>
  <c r="AB54" i="11"/>
  <c r="AC54" i="11"/>
  <c r="AD54" i="11"/>
  <c r="AE54" i="11"/>
  <c r="AB55" i="11"/>
  <c r="AC55" i="11"/>
  <c r="AD55" i="11"/>
  <c r="AE55" i="11"/>
  <c r="AB56" i="11"/>
  <c r="AC56" i="11"/>
  <c r="AD56" i="11"/>
  <c r="AE56" i="11"/>
  <c r="AB57" i="11"/>
  <c r="AC57" i="11"/>
  <c r="AD57" i="11"/>
  <c r="AE57" i="11"/>
  <c r="AB58" i="11"/>
  <c r="AC58" i="11"/>
  <c r="AD58" i="11"/>
  <c r="AE58" i="11"/>
  <c r="AB59" i="11"/>
  <c r="AC59" i="11"/>
  <c r="AD59" i="11"/>
  <c r="AE59" i="11"/>
  <c r="AB60" i="11"/>
  <c r="AC60" i="11"/>
  <c r="AD60" i="11"/>
  <c r="AE60" i="11"/>
  <c r="AB61" i="11"/>
  <c r="AC61" i="11"/>
  <c r="AD61" i="11"/>
  <c r="AE61" i="11"/>
  <c r="AB62" i="11"/>
  <c r="AC62" i="11"/>
  <c r="AD62" i="11"/>
  <c r="AE62" i="11"/>
  <c r="AB63" i="11"/>
  <c r="AC63" i="11"/>
  <c r="AD63" i="11"/>
  <c r="AE63" i="11"/>
  <c r="AB64" i="11"/>
  <c r="AC64" i="11"/>
  <c r="AD64" i="11"/>
  <c r="AE64" i="11"/>
  <c r="AB65" i="11"/>
  <c r="AC65" i="11"/>
  <c r="AD65" i="11"/>
  <c r="AE65" i="11"/>
  <c r="AB66" i="11"/>
  <c r="AC66" i="11"/>
  <c r="AD66" i="11"/>
  <c r="AE66" i="11"/>
  <c r="AB67" i="11"/>
  <c r="AC67" i="11"/>
  <c r="AD67" i="11"/>
  <c r="AE67" i="11"/>
  <c r="AB68" i="11"/>
  <c r="AC68" i="11"/>
  <c r="AD68" i="11"/>
  <c r="AE68" i="11"/>
  <c r="AB69" i="11"/>
  <c r="AC69" i="11"/>
  <c r="AD69" i="11"/>
  <c r="AE69" i="11"/>
  <c r="AB70" i="11"/>
  <c r="AC70" i="11"/>
  <c r="AD70" i="11"/>
  <c r="AE70" i="11"/>
  <c r="AB71" i="11"/>
  <c r="AC71" i="11"/>
  <c r="AD71" i="11"/>
  <c r="AE71" i="11"/>
  <c r="AB72" i="11"/>
  <c r="AC72" i="11"/>
  <c r="AD72" i="11"/>
  <c r="AE72" i="11"/>
  <c r="AB73" i="11"/>
  <c r="AC73" i="11"/>
  <c r="AD73" i="11"/>
  <c r="AE73" i="11"/>
  <c r="AB74" i="11"/>
  <c r="AC74" i="11"/>
  <c r="AD74" i="11"/>
  <c r="AE74" i="11"/>
  <c r="AB75" i="11"/>
  <c r="AC75" i="11"/>
  <c r="AD75" i="11"/>
  <c r="AE75" i="11"/>
  <c r="AB76" i="11"/>
  <c r="AC76" i="11"/>
  <c r="AD76" i="11"/>
  <c r="AE76" i="11"/>
  <c r="AB77" i="11"/>
  <c r="AC77" i="11"/>
  <c r="AD77" i="11"/>
  <c r="AE77" i="11"/>
  <c r="AB78" i="11"/>
  <c r="AC78" i="11"/>
  <c r="AD78" i="11"/>
  <c r="AE78" i="11"/>
  <c r="AB79" i="11"/>
  <c r="AC79" i="11"/>
  <c r="AD79" i="11"/>
  <c r="AE79" i="11"/>
  <c r="AB80" i="11"/>
  <c r="AC80" i="11"/>
  <c r="AD80" i="11"/>
  <c r="AE80" i="11"/>
  <c r="AB81" i="11"/>
  <c r="AC81" i="11"/>
  <c r="AD81" i="11"/>
  <c r="AE81" i="11"/>
  <c r="AB82" i="11"/>
  <c r="AC82" i="11"/>
  <c r="AD82" i="11"/>
  <c r="AE82" i="11"/>
  <c r="AB83" i="11"/>
  <c r="AC83" i="11"/>
  <c r="AD83" i="11"/>
  <c r="AE83" i="11"/>
  <c r="AB84" i="11"/>
  <c r="AC84" i="11"/>
  <c r="AD84" i="11"/>
  <c r="AE84" i="11"/>
  <c r="AB85" i="11"/>
  <c r="AC85" i="11"/>
  <c r="AD85" i="11"/>
  <c r="AE85" i="11"/>
  <c r="AB86" i="11"/>
  <c r="AC86" i="11"/>
  <c r="AD86" i="11"/>
  <c r="AE86" i="11"/>
  <c r="AB87" i="11"/>
  <c r="AC87" i="11"/>
  <c r="AD87" i="11"/>
  <c r="AE87" i="11"/>
  <c r="AB88" i="11"/>
  <c r="AC88" i="11"/>
  <c r="AD88" i="11"/>
  <c r="AE88" i="11"/>
  <c r="AB89" i="11"/>
  <c r="AC89" i="11"/>
  <c r="AD89" i="11"/>
  <c r="AE89" i="11"/>
  <c r="AB90" i="11"/>
  <c r="AC90" i="11"/>
  <c r="AD90" i="11"/>
  <c r="AE90" i="11"/>
  <c r="AB91" i="11"/>
  <c r="AC91" i="11"/>
  <c r="AD91" i="11"/>
  <c r="AE91" i="11"/>
  <c r="AB92" i="11"/>
  <c r="AC92" i="11"/>
  <c r="AD92" i="11"/>
  <c r="AE92" i="11"/>
  <c r="AB93" i="11"/>
  <c r="AC93" i="11"/>
  <c r="AD93" i="11"/>
  <c r="AE93" i="11"/>
  <c r="AB94" i="11"/>
  <c r="AC94" i="11"/>
  <c r="AD94" i="11"/>
  <c r="AE94" i="11"/>
  <c r="AB95" i="11"/>
  <c r="AC95" i="11"/>
  <c r="AD95" i="11"/>
  <c r="AE95" i="11"/>
  <c r="AB96" i="11"/>
  <c r="AC96" i="11"/>
  <c r="AD96" i="11"/>
  <c r="AE96" i="11"/>
  <c r="AB97" i="11"/>
  <c r="AC97" i="11"/>
  <c r="AD97" i="11"/>
  <c r="AE97" i="11"/>
  <c r="AB98" i="11"/>
  <c r="AC98" i="11"/>
  <c r="AD98" i="11"/>
  <c r="AE98" i="11"/>
  <c r="AB99" i="11"/>
  <c r="AC99" i="11"/>
  <c r="AD99" i="11"/>
  <c r="AE99" i="11"/>
  <c r="AB100" i="11"/>
  <c r="AC100" i="11"/>
  <c r="AD100" i="11"/>
  <c r="AE100" i="11"/>
  <c r="AB101" i="11"/>
  <c r="AC101" i="11"/>
  <c r="AD101" i="11"/>
  <c r="AE101" i="11"/>
  <c r="AB102" i="11"/>
  <c r="AC102" i="11"/>
  <c r="AD102" i="11"/>
  <c r="AE102" i="11"/>
  <c r="AB103" i="11"/>
  <c r="AC103" i="11"/>
  <c r="AD103" i="11"/>
  <c r="AE103" i="11"/>
  <c r="AB104" i="11"/>
  <c r="AC104" i="11"/>
  <c r="AD104" i="11"/>
  <c r="AE104" i="11"/>
  <c r="AB105" i="11"/>
  <c r="AC105" i="11"/>
  <c r="AD105" i="11"/>
  <c r="AE105" i="11"/>
  <c r="AB106" i="11"/>
  <c r="AC106" i="11"/>
  <c r="AD106" i="11"/>
  <c r="AE106" i="11"/>
  <c r="AB107" i="11"/>
  <c r="AC107" i="11"/>
  <c r="AD107" i="11"/>
  <c r="AE107" i="11"/>
  <c r="AB108" i="11"/>
  <c r="AC108" i="11"/>
  <c r="AD108" i="11"/>
  <c r="AE108" i="11"/>
  <c r="AB109" i="11"/>
  <c r="AC109" i="11"/>
  <c r="AD109" i="11"/>
  <c r="AE109" i="11"/>
  <c r="AB110" i="11"/>
  <c r="AC110" i="11"/>
  <c r="AD110" i="11"/>
  <c r="AE110" i="11"/>
  <c r="AB111" i="11"/>
  <c r="AC111" i="11"/>
  <c r="AD111" i="11"/>
  <c r="AE111" i="11"/>
  <c r="AB112" i="11"/>
  <c r="AC112" i="11"/>
  <c r="AD112" i="11"/>
  <c r="AE112" i="11"/>
  <c r="AB113" i="11"/>
  <c r="AC113" i="11"/>
  <c r="AD113" i="11"/>
  <c r="AE113" i="11"/>
  <c r="AB114" i="11"/>
  <c r="AC114" i="11"/>
  <c r="AD114" i="11"/>
  <c r="AE114" i="11"/>
  <c r="AB115" i="11"/>
  <c r="AC115" i="11"/>
  <c r="AD115" i="11"/>
  <c r="AE115" i="11"/>
  <c r="AB116" i="11"/>
  <c r="AC116" i="11"/>
  <c r="AD116" i="11"/>
  <c r="AE116" i="11"/>
  <c r="AB117" i="11"/>
  <c r="AC117" i="11"/>
  <c r="AD117" i="11"/>
  <c r="AE117" i="11"/>
  <c r="AB118" i="11"/>
  <c r="AC118" i="11"/>
  <c r="AD118" i="11"/>
  <c r="AE118" i="11"/>
  <c r="AB119" i="11"/>
  <c r="AC119" i="11"/>
  <c r="AD119" i="11"/>
  <c r="AE119" i="11"/>
  <c r="AB120" i="11"/>
  <c r="AC120" i="11"/>
  <c r="AD120" i="11"/>
  <c r="AE120" i="11"/>
  <c r="AB121" i="11"/>
  <c r="AC121" i="11"/>
  <c r="AD121" i="11"/>
  <c r="AE121" i="11"/>
  <c r="AB122" i="11"/>
  <c r="AC122" i="11"/>
  <c r="AD122" i="11"/>
  <c r="AE122" i="11"/>
  <c r="AB123" i="11"/>
  <c r="AC123" i="11"/>
  <c r="AD123" i="11"/>
  <c r="AE123" i="11"/>
  <c r="AB25" i="11"/>
  <c r="AC25" i="11"/>
  <c r="AD25" i="11"/>
  <c r="AE25" i="11"/>
  <c r="AE24" i="11"/>
  <c r="AC24" i="11"/>
  <c r="AD24" i="11"/>
  <c r="AB24" i="11"/>
  <c r="K21" i="11"/>
  <c r="G26" i="11"/>
  <c r="G27" i="11"/>
  <c r="G28" i="11"/>
  <c r="G29" i="11"/>
  <c r="G30" i="11"/>
  <c r="G31" i="11"/>
  <c r="G32" i="11"/>
  <c r="P32" i="11" s="1"/>
  <c r="G33" i="11"/>
  <c r="P33" i="11" s="1"/>
  <c r="G34" i="11"/>
  <c r="P34" i="11" s="1"/>
  <c r="AA34" i="11" s="1"/>
  <c r="G35" i="11"/>
  <c r="P35" i="11" s="1"/>
  <c r="G36" i="11"/>
  <c r="P36" i="11" s="1"/>
  <c r="G37" i="11"/>
  <c r="G38" i="11"/>
  <c r="G39" i="11"/>
  <c r="G40" i="11"/>
  <c r="G41" i="11"/>
  <c r="G42" i="11"/>
  <c r="G43" i="11"/>
  <c r="G44" i="11"/>
  <c r="G45" i="11"/>
  <c r="G46" i="11"/>
  <c r="G47" i="11"/>
  <c r="G48" i="11"/>
  <c r="P48" i="11" s="1"/>
  <c r="G49" i="11"/>
  <c r="P49" i="11" s="1"/>
  <c r="G50" i="11"/>
  <c r="P50" i="11" s="1"/>
  <c r="AA50" i="11" s="1"/>
  <c r="G51" i="11"/>
  <c r="P51" i="11" s="1"/>
  <c r="G52" i="11"/>
  <c r="P52" i="11" s="1"/>
  <c r="G53" i="11"/>
  <c r="P53" i="11" s="1"/>
  <c r="G54" i="11"/>
  <c r="P54" i="11" s="1"/>
  <c r="AA54" i="11" s="1"/>
  <c r="G55" i="11"/>
  <c r="P55" i="11" s="1"/>
  <c r="G56" i="11"/>
  <c r="P56" i="11" s="1"/>
  <c r="G57" i="11"/>
  <c r="G58" i="11"/>
  <c r="G59" i="11"/>
  <c r="G60" i="11"/>
  <c r="G61" i="11"/>
  <c r="G62" i="11"/>
  <c r="G63" i="11"/>
  <c r="G64" i="11"/>
  <c r="G65" i="11"/>
  <c r="G66" i="11"/>
  <c r="G67" i="11"/>
  <c r="G68" i="11"/>
  <c r="P68" i="11" s="1"/>
  <c r="G69" i="11"/>
  <c r="P69" i="11" s="1"/>
  <c r="G70" i="11"/>
  <c r="P70" i="11" s="1"/>
  <c r="AA70" i="11" s="1"/>
  <c r="G71" i="11"/>
  <c r="P71" i="11" s="1"/>
  <c r="G72" i="11"/>
  <c r="P72" i="11" s="1"/>
  <c r="G73" i="11"/>
  <c r="P73" i="11" s="1"/>
  <c r="G74" i="11"/>
  <c r="P74" i="11" s="1"/>
  <c r="AA74" i="11" s="1"/>
  <c r="G75" i="11"/>
  <c r="P75" i="11" s="1"/>
  <c r="G76" i="11"/>
  <c r="P76" i="11" s="1"/>
  <c r="G77" i="11"/>
  <c r="G78" i="11"/>
  <c r="G79" i="11"/>
  <c r="G80" i="11"/>
  <c r="G81" i="11"/>
  <c r="G82" i="11"/>
  <c r="G83" i="11"/>
  <c r="G84" i="11"/>
  <c r="G85" i="11"/>
  <c r="P85" i="11" s="1"/>
  <c r="G86" i="11"/>
  <c r="G87" i="11"/>
  <c r="G88" i="11"/>
  <c r="P88" i="11" s="1"/>
  <c r="G89" i="11"/>
  <c r="P89" i="11" s="1"/>
  <c r="G90" i="11"/>
  <c r="P90" i="11" s="1"/>
  <c r="AA90" i="11" s="1"/>
  <c r="G91" i="11"/>
  <c r="P91" i="11" s="1"/>
  <c r="G92" i="11"/>
  <c r="P92" i="11" s="1"/>
  <c r="G93" i="11"/>
  <c r="P93" i="11" s="1"/>
  <c r="G94" i="11"/>
  <c r="P94" i="11" s="1"/>
  <c r="AA94" i="11" s="1"/>
  <c r="G95" i="11"/>
  <c r="P95" i="11" s="1"/>
  <c r="G96" i="11"/>
  <c r="P96" i="11" s="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P108" i="11" s="1"/>
  <c r="G109" i="11"/>
  <c r="P109" i="11" s="1"/>
  <c r="G110" i="11"/>
  <c r="P110" i="11" s="1"/>
  <c r="AA110" i="11" s="1"/>
  <c r="G111" i="11"/>
  <c r="P111" i="11" s="1"/>
  <c r="G112" i="11"/>
  <c r="P112" i="11" s="1"/>
  <c r="G113" i="11"/>
  <c r="P113" i="11" s="1"/>
  <c r="G114" i="11"/>
  <c r="P114" i="11" s="1"/>
  <c r="AA114" i="11" s="1"/>
  <c r="G115" i="11"/>
  <c r="P115" i="11" s="1"/>
  <c r="G116" i="11"/>
  <c r="P116" i="11" s="1"/>
  <c r="G117" i="11"/>
  <c r="G118" i="11"/>
  <c r="G119" i="11"/>
  <c r="G120" i="11"/>
  <c r="G121" i="11"/>
  <c r="G122" i="11"/>
  <c r="G123" i="11"/>
  <c r="G25" i="11"/>
  <c r="G24" i="11"/>
  <c r="P24" i="11" s="1"/>
  <c r="F22" i="11"/>
  <c r="G22" i="11"/>
  <c r="E22" i="11"/>
  <c r="G23" i="3"/>
  <c r="F15" i="11"/>
  <c r="G131" i="11"/>
  <c r="E18" i="11"/>
  <c r="F14" i="11"/>
  <c r="G14" i="11"/>
  <c r="G15" i="11" s="1"/>
  <c r="G16" i="11" s="1"/>
  <c r="G244" i="11" l="1"/>
  <c r="G18" i="11"/>
  <c r="F357" i="11"/>
  <c r="F18" i="11"/>
  <c r="F356" i="11"/>
  <c r="F17" i="11"/>
  <c r="F130" i="11"/>
  <c r="F16" i="11"/>
  <c r="E15" i="11"/>
  <c r="H14" i="11"/>
  <c r="E16" i="11"/>
  <c r="E14" i="11"/>
  <c r="P31" i="11"/>
  <c r="P30" i="11"/>
  <c r="P29" i="11"/>
  <c r="P28" i="11"/>
  <c r="E290" i="11"/>
  <c r="E291" i="11"/>
  <c r="E341" i="11"/>
  <c r="E266" i="11"/>
  <c r="E274" i="11"/>
  <c r="E333" i="11"/>
  <c r="E332" i="11"/>
  <c r="E259" i="11"/>
  <c r="E331" i="11"/>
  <c r="E251" i="11"/>
  <c r="E319" i="11"/>
  <c r="E315" i="11"/>
  <c r="E346" i="11"/>
  <c r="E320" i="11"/>
  <c r="E314" i="11"/>
  <c r="E436" i="11"/>
  <c r="E307" i="11"/>
  <c r="G435" i="11"/>
  <c r="P435" i="11" s="1"/>
  <c r="AA435" i="11" s="1"/>
  <c r="E306" i="11"/>
  <c r="E391" i="11"/>
  <c r="E302" i="11"/>
  <c r="E275" i="11"/>
  <c r="E273" i="11"/>
  <c r="E261" i="11"/>
  <c r="E301" i="11"/>
  <c r="E288" i="11"/>
  <c r="E279" i="11"/>
  <c r="E347" i="11"/>
  <c r="E292" i="11"/>
  <c r="G345" i="11"/>
  <c r="G287" i="11"/>
  <c r="P287" i="11" s="1"/>
  <c r="AA287" i="11" s="1"/>
  <c r="G259" i="11"/>
  <c r="P259" i="11" s="1"/>
  <c r="AA259" i="11" s="1"/>
  <c r="G314" i="11"/>
  <c r="P314" i="11" s="1"/>
  <c r="AA314" i="11" s="1"/>
  <c r="G341" i="11"/>
  <c r="P341" i="11" s="1"/>
  <c r="AA341" i="11" s="1"/>
  <c r="G278" i="11"/>
  <c r="P278" i="11" s="1"/>
  <c r="AA278" i="11" s="1"/>
  <c r="G316" i="11"/>
  <c r="P316" i="11" s="1"/>
  <c r="AA316" i="11" s="1"/>
  <c r="G343" i="11"/>
  <c r="P343" i="11" s="1"/>
  <c r="AA343" i="11" s="1"/>
  <c r="G307" i="11"/>
  <c r="P307" i="11" s="1"/>
  <c r="AA307" i="11" s="1"/>
  <c r="G277" i="11"/>
  <c r="P277" i="11" s="1"/>
  <c r="AA277" i="11" s="1"/>
  <c r="E452" i="11"/>
  <c r="G319" i="11"/>
  <c r="P319" i="11" s="1"/>
  <c r="AA319" i="11" s="1"/>
  <c r="G317" i="11"/>
  <c r="P317" i="11" s="1"/>
  <c r="AA317" i="11" s="1"/>
  <c r="G340" i="11"/>
  <c r="G276" i="11"/>
  <c r="P276" i="11" s="1"/>
  <c r="AA276" i="11" s="1"/>
  <c r="G421" i="11"/>
  <c r="P421" i="11" s="1"/>
  <c r="AA421" i="11" s="1"/>
  <c r="G333" i="11"/>
  <c r="P333" i="11" s="1"/>
  <c r="AA333" i="11" s="1"/>
  <c r="G306" i="11"/>
  <c r="P306" i="11" s="1"/>
  <c r="AA306" i="11" s="1"/>
  <c r="G275" i="11"/>
  <c r="P275" i="11" s="1"/>
  <c r="AA275" i="11" s="1"/>
  <c r="G332" i="11"/>
  <c r="P332" i="11" s="1"/>
  <c r="AA332" i="11" s="1"/>
  <c r="G305" i="11"/>
  <c r="P305" i="11" s="1"/>
  <c r="AA305" i="11" s="1"/>
  <c r="G407" i="11"/>
  <c r="P407" i="11" s="1"/>
  <c r="AA407" i="11" s="1"/>
  <c r="G331" i="11"/>
  <c r="P331" i="11" s="1"/>
  <c r="AA331" i="11" s="1"/>
  <c r="E375" i="11"/>
  <c r="G300" i="11"/>
  <c r="P300" i="11" s="1"/>
  <c r="AA300" i="11" s="1"/>
  <c r="G374" i="11"/>
  <c r="P374" i="11" s="1"/>
  <c r="AA374" i="11" s="1"/>
  <c r="G258" i="11"/>
  <c r="P258" i="11" s="1"/>
  <c r="AA258" i="11" s="1"/>
  <c r="G273" i="11"/>
  <c r="P273" i="11" s="1"/>
  <c r="AA273" i="11" s="1"/>
  <c r="E329" i="11"/>
  <c r="E300" i="11"/>
  <c r="G265" i="11"/>
  <c r="P265" i="11" s="1"/>
  <c r="AA265" i="11" s="1"/>
  <c r="G260" i="11"/>
  <c r="P260" i="11" s="1"/>
  <c r="AA260" i="11" s="1"/>
  <c r="G288" i="11"/>
  <c r="P288" i="11" s="1"/>
  <c r="AA288" i="11" s="1"/>
  <c r="G328" i="11"/>
  <c r="P328" i="11" s="1"/>
  <c r="AA328" i="11" s="1"/>
  <c r="E293" i="11"/>
  <c r="E262" i="11"/>
  <c r="G291" i="11"/>
  <c r="P291" i="11" s="1"/>
  <c r="AA291" i="11" s="1"/>
  <c r="G347" i="11"/>
  <c r="P347" i="11" s="1"/>
  <c r="AA347" i="11" s="1"/>
  <c r="G318" i="11"/>
  <c r="P318" i="11" s="1"/>
  <c r="AA318" i="11" s="1"/>
  <c r="G346" i="11"/>
  <c r="P346" i="11" s="1"/>
  <c r="AA346" i="11" s="1"/>
  <c r="E328" i="11"/>
  <c r="G292" i="11"/>
  <c r="P292" i="11" s="1"/>
  <c r="AA292" i="11" s="1"/>
  <c r="G261" i="11"/>
  <c r="E421" i="11"/>
  <c r="G420" i="11"/>
  <c r="P420" i="11" s="1"/>
  <c r="AA420" i="11" s="1"/>
  <c r="G434" i="11"/>
  <c r="P434" i="11" s="1"/>
  <c r="AA434" i="11" s="1"/>
  <c r="E194" i="11"/>
  <c r="G447" i="11"/>
  <c r="P447" i="11" s="1"/>
  <c r="AA447" i="11" s="1"/>
  <c r="G348" i="11"/>
  <c r="P348" i="11" s="1"/>
  <c r="AA348" i="11" s="1"/>
  <c r="G334" i="11"/>
  <c r="P334" i="11" s="1"/>
  <c r="AA334" i="11" s="1"/>
  <c r="E321" i="11"/>
  <c r="G308" i="11"/>
  <c r="P308" i="11" s="1"/>
  <c r="AA308" i="11" s="1"/>
  <c r="E294" i="11"/>
  <c r="E280" i="11"/>
  <c r="E267" i="11"/>
  <c r="G252" i="11"/>
  <c r="P252" i="11" s="1"/>
  <c r="AA252" i="11" s="1"/>
  <c r="G453" i="11"/>
  <c r="P453" i="11" s="1"/>
  <c r="AA453" i="11" s="1"/>
  <c r="G438" i="11"/>
  <c r="P438" i="11" s="1"/>
  <c r="AA438" i="11" s="1"/>
  <c r="G422" i="11"/>
  <c r="P422" i="11" s="1"/>
  <c r="AA422" i="11" s="1"/>
  <c r="G408" i="11"/>
  <c r="P408" i="11" s="1"/>
  <c r="AA408" i="11" s="1"/>
  <c r="E393" i="11"/>
  <c r="E376" i="11"/>
  <c r="E407" i="11"/>
  <c r="E374" i="11"/>
  <c r="E420" i="11"/>
  <c r="E370" i="11"/>
  <c r="E461" i="11"/>
  <c r="E348" i="11"/>
  <c r="E334" i="11"/>
  <c r="G320" i="11"/>
  <c r="P320" i="11" s="1"/>
  <c r="AA320" i="11" s="1"/>
  <c r="E308" i="11"/>
  <c r="G293" i="11"/>
  <c r="P293" i="11" s="1"/>
  <c r="AA293" i="11" s="1"/>
  <c r="G279" i="11"/>
  <c r="P279" i="11" s="1"/>
  <c r="AA279" i="11" s="1"/>
  <c r="G266" i="11"/>
  <c r="P266" i="11" s="1"/>
  <c r="AA266" i="11" s="1"/>
  <c r="E252" i="11"/>
  <c r="E453" i="11"/>
  <c r="G436" i="11"/>
  <c r="P436" i="11" s="1"/>
  <c r="AA436" i="11" s="1"/>
  <c r="E422" i="11"/>
  <c r="E408" i="11"/>
  <c r="E392" i="11"/>
  <c r="G375" i="11"/>
  <c r="P375" i="11" s="1"/>
  <c r="AA375" i="11" s="1"/>
  <c r="E390" i="11"/>
  <c r="G389" i="11"/>
  <c r="P389" i="11" s="1"/>
  <c r="AA389" i="11" s="1"/>
  <c r="G373" i="11"/>
  <c r="P373" i="11" s="1"/>
  <c r="AA373" i="11" s="1"/>
  <c r="G363" i="11"/>
  <c r="P363" i="11" s="1"/>
  <c r="AA363" i="11" s="1"/>
  <c r="E449" i="11"/>
  <c r="E434" i="11"/>
  <c r="G418" i="11"/>
  <c r="P418" i="11" s="1"/>
  <c r="AA418" i="11" s="1"/>
  <c r="G402" i="11"/>
  <c r="P402" i="11" s="1"/>
  <c r="AA402" i="11" s="1"/>
  <c r="G388" i="11"/>
  <c r="P388" i="11" s="1"/>
  <c r="AA388" i="11" s="1"/>
  <c r="E373" i="11"/>
  <c r="E215" i="11"/>
  <c r="G462" i="11"/>
  <c r="P462" i="11" s="1"/>
  <c r="AA462" i="11" s="1"/>
  <c r="G448" i="11"/>
  <c r="P448" i="11" s="1"/>
  <c r="AA448" i="11" s="1"/>
  <c r="G433" i="11"/>
  <c r="P433" i="11" s="1"/>
  <c r="AA433" i="11" s="1"/>
  <c r="G416" i="11"/>
  <c r="P416" i="11" s="1"/>
  <c r="AA416" i="11" s="1"/>
  <c r="E402" i="11"/>
  <c r="E388" i="11"/>
  <c r="E372" i="11"/>
  <c r="G214" i="11"/>
  <c r="P214" i="11" s="1"/>
  <c r="AA214" i="11" s="1"/>
  <c r="E342" i="11"/>
  <c r="E330" i="11"/>
  <c r="G315" i="11"/>
  <c r="P315" i="11" s="1"/>
  <c r="AA315" i="11" s="1"/>
  <c r="G301" i="11"/>
  <c r="P301" i="11" s="1"/>
  <c r="AA301" i="11" s="1"/>
  <c r="E289" i="11"/>
  <c r="G274" i="11"/>
  <c r="P274" i="11" s="1"/>
  <c r="AA274" i="11" s="1"/>
  <c r="E260" i="11"/>
  <c r="E462" i="11"/>
  <c r="E448" i="11"/>
  <c r="E433" i="11"/>
  <c r="E416" i="11"/>
  <c r="G401" i="11"/>
  <c r="P401" i="11" s="1"/>
  <c r="AA401" i="11" s="1"/>
  <c r="G387" i="11"/>
  <c r="P387" i="11" s="1"/>
  <c r="AA387" i="11" s="1"/>
  <c r="E371" i="11"/>
  <c r="G449" i="11"/>
  <c r="P449" i="11" s="1"/>
  <c r="AA449" i="11" s="1"/>
  <c r="E431" i="11"/>
  <c r="E383" i="11"/>
  <c r="G144" i="11"/>
  <c r="P144" i="11" s="1"/>
  <c r="AA144" i="11" s="1"/>
  <c r="E340" i="11"/>
  <c r="G327" i="11"/>
  <c r="P327" i="11" s="1"/>
  <c r="AA327" i="11" s="1"/>
  <c r="G313" i="11"/>
  <c r="P313" i="11" s="1"/>
  <c r="AA313" i="11" s="1"/>
  <c r="G299" i="11"/>
  <c r="P299" i="11" s="1"/>
  <c r="AA299" i="11" s="1"/>
  <c r="E287" i="11"/>
  <c r="G272" i="11"/>
  <c r="P272" i="11" s="1"/>
  <c r="AA272" i="11" s="1"/>
  <c r="G257" i="11"/>
  <c r="P257" i="11" s="1"/>
  <c r="AA257" i="11" s="1"/>
  <c r="E460" i="11"/>
  <c r="E446" i="11"/>
  <c r="G429" i="11"/>
  <c r="P429" i="11" s="1"/>
  <c r="AA429" i="11" s="1"/>
  <c r="E414" i="11"/>
  <c r="G398" i="11"/>
  <c r="P398" i="11" s="1"/>
  <c r="AA398" i="11" s="1"/>
  <c r="G382" i="11"/>
  <c r="P382" i="11" s="1"/>
  <c r="AA382" i="11" s="1"/>
  <c r="G368" i="11"/>
  <c r="P368" i="11" s="1"/>
  <c r="AA368" i="11" s="1"/>
  <c r="E387" i="11"/>
  <c r="G369" i="11"/>
  <c r="P369" i="11" s="1"/>
  <c r="AA369" i="11" s="1"/>
  <c r="E145" i="11"/>
  <c r="G460" i="11"/>
  <c r="P460" i="11" s="1"/>
  <c r="AA460" i="11" s="1"/>
  <c r="G446" i="11"/>
  <c r="P446" i="11" s="1"/>
  <c r="AA446" i="11" s="1"/>
  <c r="E430" i="11"/>
  <c r="G414" i="11"/>
  <c r="P414" i="11" s="1"/>
  <c r="AA414" i="11" s="1"/>
  <c r="E369" i="11"/>
  <c r="G339" i="11"/>
  <c r="P339" i="11" s="1"/>
  <c r="AA339" i="11" s="1"/>
  <c r="E327" i="11"/>
  <c r="E313" i="11"/>
  <c r="E299" i="11"/>
  <c r="G286" i="11"/>
  <c r="P286" i="11" s="1"/>
  <c r="AA286" i="11" s="1"/>
  <c r="E272" i="11"/>
  <c r="G256" i="11"/>
  <c r="P256" i="11" s="1"/>
  <c r="AA256" i="11" s="1"/>
  <c r="G458" i="11"/>
  <c r="P458" i="11" s="1"/>
  <c r="AA458" i="11" s="1"/>
  <c r="E443" i="11"/>
  <c r="E429" i="11"/>
  <c r="G413" i="11"/>
  <c r="P413" i="11" s="1"/>
  <c r="AA413" i="11" s="1"/>
  <c r="G396" i="11"/>
  <c r="P396" i="11" s="1"/>
  <c r="AA396" i="11" s="1"/>
  <c r="E382" i="11"/>
  <c r="E368" i="11"/>
  <c r="G461" i="11"/>
  <c r="P461" i="11" s="1"/>
  <c r="AA461" i="11" s="1"/>
  <c r="E415" i="11"/>
  <c r="E400" i="11"/>
  <c r="E339" i="11"/>
  <c r="G326" i="11"/>
  <c r="P326" i="11" s="1"/>
  <c r="AA326" i="11" s="1"/>
  <c r="G312" i="11"/>
  <c r="P312" i="11" s="1"/>
  <c r="AA312" i="11" s="1"/>
  <c r="G298" i="11"/>
  <c r="P298" i="11" s="1"/>
  <c r="AA298" i="11" s="1"/>
  <c r="E286" i="11"/>
  <c r="E271" i="11"/>
  <c r="G255" i="11"/>
  <c r="P255" i="11" s="1"/>
  <c r="AA255" i="11" s="1"/>
  <c r="G456" i="11"/>
  <c r="P456" i="11" s="1"/>
  <c r="AA456" i="11" s="1"/>
  <c r="G442" i="11"/>
  <c r="P442" i="11" s="1"/>
  <c r="AA442" i="11" s="1"/>
  <c r="G428" i="11"/>
  <c r="P428" i="11" s="1"/>
  <c r="AA428" i="11" s="1"/>
  <c r="E413" i="11"/>
  <c r="E396" i="11"/>
  <c r="G381" i="11"/>
  <c r="P381" i="11" s="1"/>
  <c r="AA381" i="11" s="1"/>
  <c r="G367" i="11"/>
  <c r="P367" i="11" s="1"/>
  <c r="AA367" i="11" s="1"/>
  <c r="G386" i="11"/>
  <c r="P386" i="11" s="1"/>
  <c r="AA386" i="11" s="1"/>
  <c r="G338" i="11"/>
  <c r="P338" i="11" s="1"/>
  <c r="AA338" i="11" s="1"/>
  <c r="E326" i="11"/>
  <c r="E312" i="11"/>
  <c r="G297" i="11"/>
  <c r="P297" i="11" s="1"/>
  <c r="AA297" i="11" s="1"/>
  <c r="G285" i="11"/>
  <c r="P285" i="11" s="1"/>
  <c r="AA285" i="11" s="1"/>
  <c r="E270" i="11"/>
  <c r="E255" i="11"/>
  <c r="E456" i="11"/>
  <c r="E442" i="11"/>
  <c r="E428" i="11"/>
  <c r="E412" i="11"/>
  <c r="G395" i="11"/>
  <c r="P395" i="11" s="1"/>
  <c r="AA395" i="11" s="1"/>
  <c r="E381" i="11"/>
  <c r="E367" i="11"/>
  <c r="E172" i="11"/>
  <c r="G337" i="11"/>
  <c r="P337" i="11" s="1"/>
  <c r="AA337" i="11" s="1"/>
  <c r="G325" i="11"/>
  <c r="P325" i="11" s="1"/>
  <c r="AA325" i="11" s="1"/>
  <c r="G311" i="11"/>
  <c r="P311" i="11" s="1"/>
  <c r="AA311" i="11" s="1"/>
  <c r="G296" i="11"/>
  <c r="P296" i="11" s="1"/>
  <c r="AA296" i="11" s="1"/>
  <c r="E282" i="11"/>
  <c r="E269" i="11"/>
  <c r="G254" i="11"/>
  <c r="P254" i="11" s="1"/>
  <c r="AA254" i="11" s="1"/>
  <c r="G455" i="11"/>
  <c r="P455" i="11" s="1"/>
  <c r="AA455" i="11" s="1"/>
  <c r="G441" i="11"/>
  <c r="P441" i="11" s="1"/>
  <c r="AA441" i="11" s="1"/>
  <c r="G427" i="11"/>
  <c r="P427" i="11" s="1"/>
  <c r="AA427" i="11" s="1"/>
  <c r="E411" i="11"/>
  <c r="E395" i="11"/>
  <c r="G380" i="11"/>
  <c r="P380" i="11" s="1"/>
  <c r="AA380" i="11" s="1"/>
  <c r="G366" i="11"/>
  <c r="P366" i="11" s="1"/>
  <c r="AA366" i="11" s="1"/>
  <c r="E451" i="11"/>
  <c r="E450" i="11"/>
  <c r="G415" i="11"/>
  <c r="P415" i="11" s="1"/>
  <c r="AA415" i="11" s="1"/>
  <c r="E447" i="11"/>
  <c r="G336" i="11"/>
  <c r="P336" i="11" s="1"/>
  <c r="AA336" i="11" s="1"/>
  <c r="G323" i="11"/>
  <c r="P323" i="11" s="1"/>
  <c r="AA323" i="11" s="1"/>
  <c r="E311" i="11"/>
  <c r="G295" i="11"/>
  <c r="P295" i="11" s="1"/>
  <c r="AA295" i="11" s="1"/>
  <c r="G281" i="11"/>
  <c r="P281" i="11" s="1"/>
  <c r="AA281" i="11" s="1"/>
  <c r="G268" i="11"/>
  <c r="P268" i="11" s="1"/>
  <c r="AA268" i="11" s="1"/>
  <c r="E254" i="11"/>
  <c r="E455" i="11"/>
  <c r="E441" i="11"/>
  <c r="E427" i="11"/>
  <c r="E410" i="11"/>
  <c r="G394" i="11"/>
  <c r="P394" i="11" s="1"/>
  <c r="AA394" i="11" s="1"/>
  <c r="E380" i="11"/>
  <c r="E435" i="11"/>
  <c r="E389" i="11"/>
  <c r="E401" i="11"/>
  <c r="G400" i="11"/>
  <c r="P400" i="11" s="1"/>
  <c r="AA400" i="11" s="1"/>
  <c r="G250" i="11"/>
  <c r="P250" i="11" s="1"/>
  <c r="AA250" i="11" s="1"/>
  <c r="G335" i="11"/>
  <c r="P335" i="11" s="1"/>
  <c r="AA335" i="11" s="1"/>
  <c r="E322" i="11"/>
  <c r="E310" i="11"/>
  <c r="E295" i="11"/>
  <c r="E281" i="11"/>
  <c r="E268" i="11"/>
  <c r="G253" i="11"/>
  <c r="P253" i="11" s="1"/>
  <c r="AA253" i="11" s="1"/>
  <c r="G454" i="11"/>
  <c r="P454" i="11" s="1"/>
  <c r="AA454" i="11" s="1"/>
  <c r="G440" i="11"/>
  <c r="P440" i="11" s="1"/>
  <c r="AA440" i="11" s="1"/>
  <c r="G426" i="11"/>
  <c r="P426" i="11" s="1"/>
  <c r="AA426" i="11" s="1"/>
  <c r="G409" i="11"/>
  <c r="P409" i="11" s="1"/>
  <c r="AA409" i="11" s="1"/>
  <c r="E394" i="11"/>
  <c r="G378" i="11"/>
  <c r="P378" i="11" s="1"/>
  <c r="AA378" i="11" s="1"/>
  <c r="G406" i="11"/>
  <c r="P406" i="11" s="1"/>
  <c r="AA406" i="11" s="1"/>
  <c r="E403" i="11"/>
  <c r="E432" i="11"/>
  <c r="E349" i="11"/>
  <c r="E335" i="11"/>
  <c r="G321" i="11"/>
  <c r="P321" i="11" s="1"/>
  <c r="AA321" i="11" s="1"/>
  <c r="E309" i="11"/>
  <c r="G294" i="11"/>
  <c r="P294" i="11" s="1"/>
  <c r="AA294" i="11" s="1"/>
  <c r="G280" i="11"/>
  <c r="P280" i="11" s="1"/>
  <c r="AA280" i="11" s="1"/>
  <c r="G267" i="11"/>
  <c r="P267" i="11" s="1"/>
  <c r="AA267" i="11" s="1"/>
  <c r="E253" i="11"/>
  <c r="E454" i="11"/>
  <c r="E440" i="11"/>
  <c r="E423" i="11"/>
  <c r="E409" i="11"/>
  <c r="G393" i="11"/>
  <c r="P393" i="11" s="1"/>
  <c r="AA393" i="11" s="1"/>
  <c r="G376" i="11"/>
  <c r="P376" i="11" s="1"/>
  <c r="AA376" i="11" s="1"/>
  <c r="E17" i="11"/>
  <c r="G354" i="11"/>
  <c r="G355" i="11" s="1"/>
  <c r="G356" i="11" s="1"/>
  <c r="E241" i="11"/>
  <c r="E242" i="11" s="1"/>
  <c r="E243" i="11" s="1"/>
  <c r="E244" i="11"/>
  <c r="F241" i="11"/>
  <c r="F242" i="11"/>
  <c r="F243" i="11"/>
  <c r="F131" i="11"/>
  <c r="G357" i="11"/>
  <c r="G128" i="11"/>
  <c r="G129" i="11" s="1"/>
  <c r="G130" i="11" s="1"/>
  <c r="F129" i="11"/>
  <c r="G241" i="11"/>
  <c r="G242" i="11" s="1"/>
  <c r="G243" i="11" s="1"/>
  <c r="E131" i="11"/>
  <c r="G17" i="11"/>
  <c r="E354" i="11"/>
  <c r="E355" i="11" s="1"/>
  <c r="E356" i="11" s="1"/>
  <c r="E357" i="11"/>
  <c r="F354" i="11"/>
  <c r="E128" i="11"/>
  <c r="E129" i="11" s="1"/>
  <c r="E130" i="11" s="1"/>
  <c r="F128" i="11"/>
  <c r="F355" i="11"/>
  <c r="F244" i="11"/>
  <c r="P107" i="11"/>
  <c r="AA107" i="11" s="1"/>
  <c r="P87" i="11"/>
  <c r="AA87" i="11" s="1"/>
  <c r="P67" i="11"/>
  <c r="AA67" i="11" s="1"/>
  <c r="P47" i="11"/>
  <c r="AA47" i="11" s="1"/>
  <c r="P27" i="11"/>
  <c r="AA27" i="11" s="1"/>
  <c r="P345" i="11"/>
  <c r="AA345" i="11" s="1"/>
  <c r="P261" i="11"/>
  <c r="AA261" i="11" s="1"/>
  <c r="P106" i="11"/>
  <c r="AA106" i="11" s="1"/>
  <c r="P86" i="11"/>
  <c r="P66" i="11"/>
  <c r="AA66" i="11" s="1"/>
  <c r="P46" i="11"/>
  <c r="AA46" i="11" s="1"/>
  <c r="P26" i="11"/>
  <c r="AA26" i="11" s="1"/>
  <c r="K134" i="11"/>
  <c r="K360" i="11"/>
  <c r="K247" i="11"/>
  <c r="P65" i="11"/>
  <c r="AA65" i="11" s="1"/>
  <c r="P84" i="11"/>
  <c r="AA84" i="11" s="1"/>
  <c r="P103" i="11"/>
  <c r="AA103" i="11" s="1"/>
  <c r="P62" i="11"/>
  <c r="AA62" i="11" s="1"/>
  <c r="P340" i="11"/>
  <c r="AA340" i="11" s="1"/>
  <c r="P105" i="11"/>
  <c r="AA105" i="11" s="1"/>
  <c r="P64" i="11"/>
  <c r="AA64" i="11" s="1"/>
  <c r="P43" i="11"/>
  <c r="AA43" i="11" s="1"/>
  <c r="P122" i="11"/>
  <c r="AA122" i="11" s="1"/>
  <c r="P121" i="11"/>
  <c r="AA121" i="11" s="1"/>
  <c r="P101" i="11"/>
  <c r="AA101" i="11" s="1"/>
  <c r="P81" i="11"/>
  <c r="AA81" i="11" s="1"/>
  <c r="P61" i="11"/>
  <c r="AA61" i="11" s="1"/>
  <c r="P41" i="11"/>
  <c r="AA41" i="11" s="1"/>
  <c r="P383" i="11"/>
  <c r="AA383" i="11" s="1"/>
  <c r="P44" i="11"/>
  <c r="AA44" i="11" s="1"/>
  <c r="P63" i="11"/>
  <c r="AA63" i="11" s="1"/>
  <c r="P262" i="11"/>
  <c r="AA262" i="11" s="1"/>
  <c r="AA24" i="11"/>
  <c r="P45" i="11"/>
  <c r="AA45" i="11" s="1"/>
  <c r="P123" i="11"/>
  <c r="AA123" i="11" s="1"/>
  <c r="P82" i="11"/>
  <c r="AA82" i="11" s="1"/>
  <c r="P100" i="11"/>
  <c r="AA100" i="11" s="1"/>
  <c r="P40" i="11"/>
  <c r="AA40" i="11" s="1"/>
  <c r="P119" i="11"/>
  <c r="AA119" i="11" s="1"/>
  <c r="P99" i="11"/>
  <c r="AA99" i="11" s="1"/>
  <c r="P79" i="11"/>
  <c r="AA79" i="11" s="1"/>
  <c r="P59" i="11"/>
  <c r="AA59" i="11" s="1"/>
  <c r="P39" i="11"/>
  <c r="AA39" i="11" s="1"/>
  <c r="P104" i="11"/>
  <c r="AA104" i="11" s="1"/>
  <c r="P83" i="11"/>
  <c r="AA83" i="11" s="1"/>
  <c r="P42" i="11"/>
  <c r="AA42" i="11" s="1"/>
  <c r="P80" i="11"/>
  <c r="AA80" i="11" s="1"/>
  <c r="P118" i="11"/>
  <c r="AA118" i="11" s="1"/>
  <c r="P98" i="11"/>
  <c r="AA98" i="11" s="1"/>
  <c r="P78" i="11"/>
  <c r="AA78" i="11" s="1"/>
  <c r="P58" i="11"/>
  <c r="AA58" i="11" s="1"/>
  <c r="P38" i="11"/>
  <c r="AA38" i="11" s="1"/>
  <c r="P25" i="11"/>
  <c r="P102" i="11"/>
  <c r="AA102" i="11" s="1"/>
  <c r="P120" i="11"/>
  <c r="AA120" i="11" s="1"/>
  <c r="P60" i="11"/>
  <c r="AA60" i="11" s="1"/>
  <c r="P117" i="11"/>
  <c r="AA117" i="11" s="1"/>
  <c r="P97" i="11"/>
  <c r="AA97" i="11" s="1"/>
  <c r="P77" i="11"/>
  <c r="AA77" i="11" s="1"/>
  <c r="P57" i="11"/>
  <c r="AA57" i="11" s="1"/>
  <c r="P37" i="11"/>
  <c r="AA37" i="11" s="1"/>
  <c r="E212" i="11"/>
  <c r="E186" i="11"/>
  <c r="G185" i="11"/>
  <c r="P185" i="11" s="1"/>
  <c r="AA185" i="11" s="1"/>
  <c r="G227" i="11"/>
  <c r="P227" i="11" s="1"/>
  <c r="AA227" i="11" s="1"/>
  <c r="G204" i="11"/>
  <c r="P204" i="11" s="1"/>
  <c r="AA204" i="11" s="1"/>
  <c r="E181" i="11"/>
  <c r="G157" i="11"/>
  <c r="P157" i="11" s="1"/>
  <c r="AA157" i="11" s="1"/>
  <c r="G459" i="11"/>
  <c r="P459" i="11" s="1"/>
  <c r="AA459" i="11" s="1"/>
  <c r="G439" i="11"/>
  <c r="P439" i="11" s="1"/>
  <c r="AA439" i="11" s="1"/>
  <c r="G419" i="11"/>
  <c r="P419" i="11" s="1"/>
  <c r="AA419" i="11" s="1"/>
  <c r="G399" i="11"/>
  <c r="P399" i="11" s="1"/>
  <c r="AA399" i="11" s="1"/>
  <c r="G379" i="11"/>
  <c r="P379" i="11" s="1"/>
  <c r="AA379" i="11" s="1"/>
  <c r="E141" i="11"/>
  <c r="G201" i="11"/>
  <c r="P201" i="11" s="1"/>
  <c r="AA201" i="11" s="1"/>
  <c r="E155" i="11"/>
  <c r="E345" i="11"/>
  <c r="E325" i="11"/>
  <c r="E305" i="11"/>
  <c r="E285" i="11"/>
  <c r="G271" i="11"/>
  <c r="P271" i="11" s="1"/>
  <c r="AA271" i="11" s="1"/>
  <c r="E265" i="11"/>
  <c r="G251" i="11"/>
  <c r="P251" i="11" s="1"/>
  <c r="AA251" i="11" s="1"/>
  <c r="G452" i="11"/>
  <c r="P452" i="11" s="1"/>
  <c r="AA452" i="11" s="1"/>
  <c r="G432" i="11"/>
  <c r="P432" i="11" s="1"/>
  <c r="AA432" i="11" s="1"/>
  <c r="E426" i="11"/>
  <c r="G412" i="11"/>
  <c r="P412" i="11" s="1"/>
  <c r="AA412" i="11" s="1"/>
  <c r="E406" i="11"/>
  <c r="G392" i="11"/>
  <c r="P392" i="11" s="1"/>
  <c r="AA392" i="11" s="1"/>
  <c r="E386" i="11"/>
  <c r="G372" i="11"/>
  <c r="P372" i="11" s="1"/>
  <c r="AA372" i="11" s="1"/>
  <c r="E366" i="11"/>
  <c r="G213" i="11"/>
  <c r="P213" i="11" s="1"/>
  <c r="AA213" i="11" s="1"/>
  <c r="G160" i="11"/>
  <c r="P160" i="11" s="1"/>
  <c r="AA160" i="11" s="1"/>
  <c r="E185" i="11"/>
  <c r="E227" i="11"/>
  <c r="E201" i="11"/>
  <c r="E179" i="11"/>
  <c r="E154" i="11"/>
  <c r="G344" i="11"/>
  <c r="P344" i="11" s="1"/>
  <c r="AA344" i="11" s="1"/>
  <c r="E338" i="11"/>
  <c r="G324" i="11"/>
  <c r="P324" i="11" s="1"/>
  <c r="AA324" i="11" s="1"/>
  <c r="E318" i="11"/>
  <c r="G304" i="11"/>
  <c r="P304" i="11" s="1"/>
  <c r="AA304" i="11" s="1"/>
  <c r="E298" i="11"/>
  <c r="G284" i="11"/>
  <c r="P284" i="11" s="1"/>
  <c r="AA284" i="11" s="1"/>
  <c r="E278" i="11"/>
  <c r="G264" i="11"/>
  <c r="P264" i="11" s="1"/>
  <c r="AA264" i="11" s="1"/>
  <c r="E258" i="11"/>
  <c r="E459" i="11"/>
  <c r="G445" i="11"/>
  <c r="P445" i="11" s="1"/>
  <c r="AA445" i="11" s="1"/>
  <c r="E439" i="11"/>
  <c r="G425" i="11"/>
  <c r="P425" i="11" s="1"/>
  <c r="AA425" i="11" s="1"/>
  <c r="E419" i="11"/>
  <c r="G405" i="11"/>
  <c r="P405" i="11" s="1"/>
  <c r="AA405" i="11" s="1"/>
  <c r="E399" i="11"/>
  <c r="N399" i="11" s="1"/>
  <c r="Y399" i="11" s="1"/>
  <c r="G385" i="11"/>
  <c r="P385" i="11" s="1"/>
  <c r="AA385" i="11" s="1"/>
  <c r="E379" i="11"/>
  <c r="G365" i="11"/>
  <c r="P365" i="11" s="1"/>
  <c r="AA365" i="11" s="1"/>
  <c r="G200" i="11"/>
  <c r="P200" i="11" s="1"/>
  <c r="AA200" i="11" s="1"/>
  <c r="E214" i="11"/>
  <c r="G212" i="11"/>
  <c r="P212" i="11" s="1"/>
  <c r="AA212" i="11" s="1"/>
  <c r="E139" i="11"/>
  <c r="G186" i="11"/>
  <c r="P186" i="11" s="1"/>
  <c r="AA186" i="11" s="1"/>
  <c r="G231" i="11"/>
  <c r="P231" i="11" s="1"/>
  <c r="AA231" i="11" s="1"/>
  <c r="G226" i="11"/>
  <c r="P226" i="11" s="1"/>
  <c r="AA226" i="11" s="1"/>
  <c r="G153" i="11"/>
  <c r="P153" i="11" s="1"/>
  <c r="AA153" i="11" s="1"/>
  <c r="E226" i="11"/>
  <c r="E152" i="11"/>
  <c r="E250" i="11"/>
  <c r="N250" i="11" s="1"/>
  <c r="E344" i="11"/>
  <c r="G330" i="11"/>
  <c r="P330" i="11" s="1"/>
  <c r="AA330" i="11" s="1"/>
  <c r="E324" i="11"/>
  <c r="G310" i="11"/>
  <c r="P310" i="11" s="1"/>
  <c r="AA310" i="11" s="1"/>
  <c r="E304" i="11"/>
  <c r="G290" i="11"/>
  <c r="P290" i="11" s="1"/>
  <c r="AA290" i="11" s="1"/>
  <c r="E284" i="11"/>
  <c r="G270" i="11"/>
  <c r="P270" i="11" s="1"/>
  <c r="AA270" i="11" s="1"/>
  <c r="E264" i="11"/>
  <c r="G451" i="11"/>
  <c r="P451" i="11" s="1"/>
  <c r="AA451" i="11" s="1"/>
  <c r="E445" i="11"/>
  <c r="G431" i="11"/>
  <c r="P431" i="11" s="1"/>
  <c r="AA431" i="11" s="1"/>
  <c r="E425" i="11"/>
  <c r="G411" i="11"/>
  <c r="P411" i="11" s="1"/>
  <c r="AA411" i="11" s="1"/>
  <c r="E405" i="11"/>
  <c r="G391" i="11"/>
  <c r="P391" i="11" s="1"/>
  <c r="AA391" i="11" s="1"/>
  <c r="E385" i="11"/>
  <c r="G371" i="11"/>
  <c r="P371" i="11" s="1"/>
  <c r="E365" i="11"/>
  <c r="E225" i="11"/>
  <c r="E174" i="11"/>
  <c r="G146" i="11"/>
  <c r="P146" i="11" s="1"/>
  <c r="AA146" i="11" s="1"/>
  <c r="E337" i="11"/>
  <c r="E317" i="11"/>
  <c r="G303" i="11"/>
  <c r="P303" i="11" s="1"/>
  <c r="AA303" i="11" s="1"/>
  <c r="E297" i="11"/>
  <c r="G283" i="11"/>
  <c r="P283" i="11" s="1"/>
  <c r="AA283" i="11" s="1"/>
  <c r="E277" i="11"/>
  <c r="G263" i="11"/>
  <c r="P263" i="11" s="1"/>
  <c r="AA263" i="11" s="1"/>
  <c r="E257" i="11"/>
  <c r="E458" i="11"/>
  <c r="G444" i="11"/>
  <c r="P444" i="11" s="1"/>
  <c r="AA444" i="11" s="1"/>
  <c r="E438" i="11"/>
  <c r="G424" i="11"/>
  <c r="P424" i="11" s="1"/>
  <c r="AA424" i="11" s="1"/>
  <c r="E418" i="11"/>
  <c r="G404" i="11"/>
  <c r="P404" i="11" s="1"/>
  <c r="AA404" i="11" s="1"/>
  <c r="E398" i="11"/>
  <c r="G384" i="11"/>
  <c r="P384" i="11" s="1"/>
  <c r="AA384" i="11" s="1"/>
  <c r="E378" i="11"/>
  <c r="G364" i="11"/>
  <c r="P364" i="11" s="1"/>
  <c r="AA364" i="11" s="1"/>
  <c r="E221" i="11"/>
  <c r="E199" i="11"/>
  <c r="G173" i="11"/>
  <c r="P173" i="11" s="1"/>
  <c r="AA173" i="11" s="1"/>
  <c r="E146" i="11"/>
  <c r="G457" i="11"/>
  <c r="P457" i="11" s="1"/>
  <c r="AA457" i="11" s="1"/>
  <c r="G437" i="11"/>
  <c r="P437" i="11" s="1"/>
  <c r="AA437" i="11" s="1"/>
  <c r="G417" i="11"/>
  <c r="P417" i="11" s="1"/>
  <c r="AA417" i="11" s="1"/>
  <c r="G397" i="11"/>
  <c r="P397" i="11" s="1"/>
  <c r="AA397" i="11" s="1"/>
  <c r="G377" i="11"/>
  <c r="P377" i="11" s="1"/>
  <c r="AA377" i="11" s="1"/>
  <c r="E235" i="11"/>
  <c r="E187" i="11"/>
  <c r="E234" i="11"/>
  <c r="G158" i="11"/>
  <c r="P158" i="11" s="1"/>
  <c r="AA158" i="11" s="1"/>
  <c r="G172" i="11"/>
  <c r="P172" i="11" s="1"/>
  <c r="AA172" i="11" s="1"/>
  <c r="G145" i="11"/>
  <c r="P145" i="11" s="1"/>
  <c r="AA145" i="11" s="1"/>
  <c r="G349" i="11"/>
  <c r="P349" i="11" s="1"/>
  <c r="AA349" i="11" s="1"/>
  <c r="E343" i="11"/>
  <c r="G329" i="11"/>
  <c r="P329" i="11" s="1"/>
  <c r="AA329" i="11" s="1"/>
  <c r="E323" i="11"/>
  <c r="G309" i="11"/>
  <c r="P309" i="11" s="1"/>
  <c r="AA309" i="11" s="1"/>
  <c r="E303" i="11"/>
  <c r="G289" i="11"/>
  <c r="P289" i="11" s="1"/>
  <c r="AA289" i="11" s="1"/>
  <c r="E283" i="11"/>
  <c r="G269" i="11"/>
  <c r="P269" i="11" s="1"/>
  <c r="AA269" i="11" s="1"/>
  <c r="E263" i="11"/>
  <c r="G450" i="11"/>
  <c r="P450" i="11" s="1"/>
  <c r="AA450" i="11" s="1"/>
  <c r="E444" i="11"/>
  <c r="G430" i="11"/>
  <c r="P430" i="11" s="1"/>
  <c r="AA430" i="11" s="1"/>
  <c r="E424" i="11"/>
  <c r="G410" i="11"/>
  <c r="P410" i="11" s="1"/>
  <c r="AA410" i="11" s="1"/>
  <c r="E404" i="11"/>
  <c r="G390" i="11"/>
  <c r="P390" i="11" s="1"/>
  <c r="AA390" i="11" s="1"/>
  <c r="E384" i="11"/>
  <c r="G370" i="11"/>
  <c r="P370" i="11" s="1"/>
  <c r="AA370" i="11" s="1"/>
  <c r="E364" i="11"/>
  <c r="G187" i="11"/>
  <c r="P187" i="11" s="1"/>
  <c r="AA187" i="11" s="1"/>
  <c r="E166" i="11"/>
  <c r="E159" i="11"/>
  <c r="E207" i="11"/>
  <c r="G174" i="11"/>
  <c r="P174" i="11" s="1"/>
  <c r="AA174" i="11" s="1"/>
  <c r="G217" i="11"/>
  <c r="P217" i="11" s="1"/>
  <c r="AA217" i="11" s="1"/>
  <c r="E195" i="11"/>
  <c r="G342" i="11"/>
  <c r="P342" i="11" s="1"/>
  <c r="AA342" i="11" s="1"/>
  <c r="E336" i="11"/>
  <c r="G322" i="11"/>
  <c r="P322" i="11" s="1"/>
  <c r="AA322" i="11" s="1"/>
  <c r="E316" i="11"/>
  <c r="G302" i="11"/>
  <c r="P302" i="11" s="1"/>
  <c r="AA302" i="11" s="1"/>
  <c r="E296" i="11"/>
  <c r="G282" i="11"/>
  <c r="P282" i="11" s="1"/>
  <c r="AA282" i="11" s="1"/>
  <c r="E276" i="11"/>
  <c r="N276" i="11" s="1"/>
  <c r="Y276" i="11" s="1"/>
  <c r="E363" i="11"/>
  <c r="E457" i="11"/>
  <c r="G443" i="11"/>
  <c r="P443" i="11" s="1"/>
  <c r="AA443" i="11" s="1"/>
  <c r="E437" i="11"/>
  <c r="G423" i="11"/>
  <c r="P423" i="11" s="1"/>
  <c r="AA423" i="11" s="1"/>
  <c r="E417" i="11"/>
  <c r="G403" i="11"/>
  <c r="P403" i="11" s="1"/>
  <c r="AA403" i="11" s="1"/>
  <c r="E397" i="11"/>
  <c r="G225" i="11"/>
  <c r="P225" i="11" s="1"/>
  <c r="AA225" i="11" s="1"/>
  <c r="G211" i="11"/>
  <c r="P211" i="11" s="1"/>
  <c r="AA211" i="11" s="1"/>
  <c r="G197" i="11"/>
  <c r="P197" i="11" s="1"/>
  <c r="AA197" i="11" s="1"/>
  <c r="G184" i="11"/>
  <c r="P184" i="11" s="1"/>
  <c r="AA184" i="11" s="1"/>
  <c r="G140" i="11"/>
  <c r="P140" i="11" s="1"/>
  <c r="AA140" i="11" s="1"/>
  <c r="G198" i="11"/>
  <c r="P198" i="11" s="1"/>
  <c r="AA198" i="11" s="1"/>
  <c r="G171" i="11"/>
  <c r="P171" i="11" s="1"/>
  <c r="AA171" i="11" s="1"/>
  <c r="G141" i="11"/>
  <c r="P141" i="11" s="1"/>
  <c r="AA141" i="11" s="1"/>
  <c r="G154" i="11"/>
  <c r="P154" i="11" s="1"/>
  <c r="AA154" i="11" s="1"/>
  <c r="G181" i="11"/>
  <c r="P181" i="11" s="1"/>
  <c r="AA181" i="11" s="1"/>
  <c r="G167" i="11"/>
  <c r="P167" i="11" s="1"/>
  <c r="AA167" i="11" s="1"/>
  <c r="G224" i="11"/>
  <c r="P224" i="11" s="1"/>
  <c r="AA224" i="11" s="1"/>
  <c r="G194" i="11"/>
  <c r="P194" i="11" s="1"/>
  <c r="AA194" i="11" s="1"/>
  <c r="G221" i="11"/>
  <c r="P221" i="11" s="1"/>
  <c r="AA221" i="11" s="1"/>
  <c r="G207" i="11"/>
  <c r="P207" i="11" s="1"/>
  <c r="AA207" i="11" s="1"/>
  <c r="G180" i="11"/>
  <c r="P180" i="11" s="1"/>
  <c r="AA180" i="11" s="1"/>
  <c r="G166" i="11"/>
  <c r="P166" i="11" s="1"/>
  <c r="AA166" i="11" s="1"/>
  <c r="G152" i="11"/>
  <c r="P152" i="11" s="1"/>
  <c r="AA152" i="11" s="1"/>
  <c r="G234" i="11"/>
  <c r="P234" i="11" s="1"/>
  <c r="AA234" i="11" s="1"/>
  <c r="G138" i="11"/>
  <c r="P138" i="11" s="1"/>
  <c r="AA138" i="11" s="1"/>
  <c r="G233" i="11"/>
  <c r="P233" i="11" s="1"/>
  <c r="AA233" i="11" s="1"/>
  <c r="E206" i="11"/>
  <c r="G178" i="11"/>
  <c r="P178" i="11" s="1"/>
  <c r="AA178" i="11" s="1"/>
  <c r="E165" i="11"/>
  <c r="N165" i="11" s="1"/>
  <c r="Y165" i="11" s="1"/>
  <c r="G193" i="11"/>
  <c r="P193" i="11" s="1"/>
  <c r="AA193" i="11" s="1"/>
  <c r="G165" i="11"/>
  <c r="P165" i="11" s="1"/>
  <c r="AA165" i="11" s="1"/>
  <c r="G206" i="11"/>
  <c r="P206" i="11" s="1"/>
  <c r="AA206" i="11" s="1"/>
  <c r="G192" i="11"/>
  <c r="P192" i="11" s="1"/>
  <c r="AA192" i="11" s="1"/>
  <c r="G151" i="11"/>
  <c r="P151" i="11" s="1"/>
  <c r="AA151" i="11" s="1"/>
  <c r="G232" i="11"/>
  <c r="P232" i="11" s="1"/>
  <c r="AA232" i="11" s="1"/>
  <c r="E219" i="11"/>
  <c r="G205" i="11"/>
  <c r="P205" i="11" s="1"/>
  <c r="AA205" i="11" s="1"/>
  <c r="E192" i="11"/>
  <c r="G164" i="11"/>
  <c r="P164" i="11" s="1"/>
  <c r="AA164" i="11" s="1"/>
  <c r="G220" i="11"/>
  <c r="P220" i="11" s="1"/>
  <c r="AA220" i="11" s="1"/>
  <c r="G218" i="11"/>
  <c r="P218" i="11" s="1"/>
  <c r="AA218" i="11" s="1"/>
  <c r="G191" i="11"/>
  <c r="P191" i="11" s="1"/>
  <c r="AA191" i="11" s="1"/>
  <c r="G177" i="11"/>
  <c r="P177" i="11" s="1"/>
  <c r="AA177" i="11" s="1"/>
  <c r="G161" i="11"/>
  <c r="P161" i="11" s="1"/>
  <c r="AA161" i="11" s="1"/>
  <c r="G147" i="11"/>
  <c r="P147" i="11" s="1"/>
  <c r="AA147" i="11" s="1"/>
  <c r="E232" i="11"/>
  <c r="E205" i="11"/>
  <c r="E175" i="11"/>
  <c r="E161" i="11"/>
  <c r="E228" i="11"/>
  <c r="E208" i="11"/>
  <c r="E188" i="11"/>
  <c r="E168" i="11"/>
  <c r="E148" i="11"/>
  <c r="E167" i="11"/>
  <c r="E147" i="11"/>
  <c r="E220" i="11"/>
  <c r="E200" i="11"/>
  <c r="E180" i="11"/>
  <c r="E160" i="11"/>
  <c r="E140" i="11"/>
  <c r="E233" i="11"/>
  <c r="G219" i="11"/>
  <c r="P219" i="11" s="1"/>
  <c r="AA219" i="11" s="1"/>
  <c r="E213" i="11"/>
  <c r="G199" i="11"/>
  <c r="P199" i="11" s="1"/>
  <c r="AA199" i="11" s="1"/>
  <c r="E193" i="11"/>
  <c r="G179" i="11"/>
  <c r="P179" i="11" s="1"/>
  <c r="AA179" i="11" s="1"/>
  <c r="E173" i="11"/>
  <c r="G159" i="11"/>
  <c r="P159" i="11" s="1"/>
  <c r="AA159" i="11" s="1"/>
  <c r="E153" i="11"/>
  <c r="G139" i="11"/>
  <c r="P139" i="11" s="1"/>
  <c r="AA139" i="11" s="1"/>
  <c r="E231" i="11"/>
  <c r="E191" i="11"/>
  <c r="G230" i="11"/>
  <c r="P230" i="11" s="1"/>
  <c r="AA230" i="11" s="1"/>
  <c r="E224" i="11"/>
  <c r="G210" i="11"/>
  <c r="P210" i="11" s="1"/>
  <c r="AA210" i="11" s="1"/>
  <c r="E204" i="11"/>
  <c r="G190" i="11"/>
  <c r="P190" i="11" s="1"/>
  <c r="AA190" i="11" s="1"/>
  <c r="E184" i="11"/>
  <c r="G170" i="11"/>
  <c r="P170" i="11" s="1"/>
  <c r="AA170" i="11" s="1"/>
  <c r="E164" i="11"/>
  <c r="G150" i="11"/>
  <c r="P150" i="11" s="1"/>
  <c r="AA150" i="11" s="1"/>
  <c r="E144" i="11"/>
  <c r="G223" i="11"/>
  <c r="P223" i="11" s="1"/>
  <c r="AA223" i="11" s="1"/>
  <c r="E217" i="11"/>
  <c r="G203" i="11"/>
  <c r="P203" i="11" s="1"/>
  <c r="AA203" i="11" s="1"/>
  <c r="E197" i="11"/>
  <c r="G183" i="11"/>
  <c r="P183" i="11" s="1"/>
  <c r="AA183" i="11" s="1"/>
  <c r="E177" i="11"/>
  <c r="G163" i="11"/>
  <c r="P163" i="11" s="1"/>
  <c r="AA163" i="11" s="1"/>
  <c r="E157" i="11"/>
  <c r="G143" i="11"/>
  <c r="P143" i="11" s="1"/>
  <c r="AA143" i="11" s="1"/>
  <c r="E151" i="11"/>
  <c r="G236" i="11"/>
  <c r="P236" i="11" s="1"/>
  <c r="AA236" i="11" s="1"/>
  <c r="E230" i="11"/>
  <c r="G216" i="11"/>
  <c r="P216" i="11" s="1"/>
  <c r="AA216" i="11" s="1"/>
  <c r="E210" i="11"/>
  <c r="G196" i="11"/>
  <c r="P196" i="11" s="1"/>
  <c r="AA196" i="11" s="1"/>
  <c r="E190" i="11"/>
  <c r="G176" i="11"/>
  <c r="P176" i="11" s="1"/>
  <c r="AA176" i="11" s="1"/>
  <c r="E170" i="11"/>
  <c r="G156" i="11"/>
  <c r="P156" i="11" s="1"/>
  <c r="AA156" i="11" s="1"/>
  <c r="E150" i="11"/>
  <c r="E178" i="11"/>
  <c r="E138" i="11"/>
  <c r="G229" i="11"/>
  <c r="P229" i="11" s="1"/>
  <c r="AA229" i="11" s="1"/>
  <c r="E223" i="11"/>
  <c r="G209" i="11"/>
  <c r="P209" i="11" s="1"/>
  <c r="AA209" i="11" s="1"/>
  <c r="E203" i="11"/>
  <c r="G189" i="11"/>
  <c r="P189" i="11" s="1"/>
  <c r="AA189" i="11" s="1"/>
  <c r="E183" i="11"/>
  <c r="G169" i="11"/>
  <c r="P169" i="11" s="1"/>
  <c r="AA169" i="11" s="1"/>
  <c r="E163" i="11"/>
  <c r="G149" i="11"/>
  <c r="P149" i="11" s="1"/>
  <c r="AA149" i="11" s="1"/>
  <c r="E143" i="11"/>
  <c r="E171" i="11"/>
  <c r="E236" i="11"/>
  <c r="G222" i="11"/>
  <c r="P222" i="11" s="1"/>
  <c r="AA222" i="11" s="1"/>
  <c r="E216" i="11"/>
  <c r="G202" i="11"/>
  <c r="P202" i="11" s="1"/>
  <c r="AA202" i="11" s="1"/>
  <c r="E196" i="11"/>
  <c r="G182" i="11"/>
  <c r="P182" i="11" s="1"/>
  <c r="AA182" i="11" s="1"/>
  <c r="E176" i="11"/>
  <c r="G162" i="11"/>
  <c r="P162" i="11" s="1"/>
  <c r="AA162" i="11" s="1"/>
  <c r="E156" i="11"/>
  <c r="G142" i="11"/>
  <c r="P142" i="11" s="1"/>
  <c r="AA142" i="11" s="1"/>
  <c r="E137" i="11"/>
  <c r="E158" i="11"/>
  <c r="E211" i="11"/>
  <c r="G235" i="11"/>
  <c r="P235" i="11" s="1"/>
  <c r="AA235" i="11" s="1"/>
  <c r="E229" i="11"/>
  <c r="G215" i="11"/>
  <c r="P215" i="11" s="1"/>
  <c r="AA215" i="11" s="1"/>
  <c r="E209" i="11"/>
  <c r="G195" i="11"/>
  <c r="P195" i="11" s="1"/>
  <c r="AA195" i="11" s="1"/>
  <c r="E189" i="11"/>
  <c r="G175" i="11"/>
  <c r="P175" i="11" s="1"/>
  <c r="AA175" i="11" s="1"/>
  <c r="E169" i="11"/>
  <c r="G155" i="11"/>
  <c r="P155" i="11" s="1"/>
  <c r="AA155" i="11" s="1"/>
  <c r="E149" i="11"/>
  <c r="E218" i="11"/>
  <c r="E198" i="11"/>
  <c r="G228" i="11"/>
  <c r="P228" i="11" s="1"/>
  <c r="AA228" i="11" s="1"/>
  <c r="E222" i="11"/>
  <c r="G208" i="11"/>
  <c r="P208" i="11" s="1"/>
  <c r="AA208" i="11" s="1"/>
  <c r="E202" i="11"/>
  <c r="G188" i="11"/>
  <c r="P188" i="11" s="1"/>
  <c r="AA188" i="11" s="1"/>
  <c r="E182" i="11"/>
  <c r="G168" i="11"/>
  <c r="P168" i="11" s="1"/>
  <c r="AA168" i="11" s="1"/>
  <c r="E162" i="11"/>
  <c r="G148" i="11"/>
  <c r="P148" i="11" s="1"/>
  <c r="AA148" i="11" s="1"/>
  <c r="J355" i="11"/>
  <c r="J356" i="11" s="1"/>
  <c r="J357" i="11" s="1"/>
  <c r="J243" i="11"/>
  <c r="J244" i="11" s="1"/>
  <c r="J130" i="11"/>
  <c r="J19" i="11"/>
  <c r="E21" i="11" s="1"/>
  <c r="E24" i="11" s="1"/>
  <c r="N24" i="11" s="1"/>
  <c r="Y24" i="11" s="1"/>
  <c r="N315" i="11"/>
  <c r="Y315" i="11" s="1"/>
  <c r="AA32" i="11"/>
  <c r="AA112" i="11"/>
  <c r="AA72" i="11"/>
  <c r="AA91" i="11"/>
  <c r="AA51" i="11"/>
  <c r="AA30" i="11"/>
  <c r="AA92" i="11"/>
  <c r="AA111" i="11"/>
  <c r="AA71" i="11"/>
  <c r="AA52" i="11"/>
  <c r="AA116" i="11"/>
  <c r="AA96" i="11"/>
  <c r="AA56" i="11"/>
  <c r="AA36" i="11"/>
  <c r="AA89" i="11"/>
  <c r="AA69" i="11"/>
  <c r="AA29" i="11"/>
  <c r="AA93" i="11"/>
  <c r="AA33" i="11"/>
  <c r="AA115" i="11"/>
  <c r="AA75" i="11"/>
  <c r="AA55" i="11"/>
  <c r="AA109" i="11"/>
  <c r="AA49" i="11"/>
  <c r="AA86" i="11"/>
  <c r="AA76" i="11"/>
  <c r="AA31" i="11"/>
  <c r="AA113" i="11"/>
  <c r="AA108" i="11"/>
  <c r="AA88" i="11"/>
  <c r="AA73" i="11"/>
  <c r="AA68" i="11"/>
  <c r="AA53" i="11"/>
  <c r="AA48" i="11"/>
  <c r="AA28" i="11"/>
  <c r="AA95" i="11"/>
  <c r="AA85" i="11"/>
  <c r="AA35" i="11"/>
  <c r="N61" i="2"/>
  <c r="M57" i="2"/>
  <c r="N60" i="2"/>
  <c r="M56" i="2"/>
  <c r="S59" i="2"/>
  <c r="M55" i="2"/>
  <c r="M54" i="2"/>
  <c r="M52" i="2"/>
  <c r="U59" i="2"/>
  <c r="Q64" i="2" s="1"/>
  <c r="S64" i="2" s="1"/>
  <c r="S54" i="2"/>
  <c r="S55" i="2"/>
  <c r="S56" i="2"/>
  <c r="S57" i="2"/>
  <c r="S53" i="2"/>
  <c r="F46" i="9"/>
  <c r="D46" i="9" s="1"/>
  <c r="J50" i="9"/>
  <c r="K50" i="9"/>
  <c r="J43" i="9"/>
  <c r="K43" i="9"/>
  <c r="J44" i="9"/>
  <c r="K44" i="9"/>
  <c r="J45" i="9"/>
  <c r="K45" i="9"/>
  <c r="J46" i="9"/>
  <c r="P46" i="9" s="1"/>
  <c r="K46" i="9"/>
  <c r="J47" i="9"/>
  <c r="K47" i="9"/>
  <c r="J48" i="9"/>
  <c r="K48" i="9"/>
  <c r="J49" i="9"/>
  <c r="K49" i="9"/>
  <c r="K42" i="9"/>
  <c r="J42" i="9"/>
  <c r="C55" i="9"/>
  <c r="C44" i="9"/>
  <c r="C20" i="9"/>
  <c r="C21" i="9"/>
  <c r="C22" i="9"/>
  <c r="C23" i="9"/>
  <c r="C12" i="9"/>
  <c r="C54" i="9"/>
  <c r="H53" i="9"/>
  <c r="C53" i="9"/>
  <c r="C52" i="9"/>
  <c r="T50" i="9"/>
  <c r="S50" i="9"/>
  <c r="H50" i="9"/>
  <c r="I50" i="9" s="1"/>
  <c r="T49" i="9"/>
  <c r="S49" i="9"/>
  <c r="H49" i="9"/>
  <c r="I49" i="9" s="1"/>
  <c r="T48" i="9"/>
  <c r="S48" i="9"/>
  <c r="H48" i="9"/>
  <c r="I48" i="9" s="1"/>
  <c r="T47" i="9"/>
  <c r="S47" i="9"/>
  <c r="H47" i="9"/>
  <c r="I47" i="9" s="1"/>
  <c r="T46" i="9"/>
  <c r="S46" i="9"/>
  <c r="R46" i="9"/>
  <c r="H46" i="9"/>
  <c r="I46" i="9" s="1"/>
  <c r="T45" i="9"/>
  <c r="S45" i="9"/>
  <c r="H45" i="9"/>
  <c r="I45" i="9" s="1"/>
  <c r="T44" i="9"/>
  <c r="S44" i="9"/>
  <c r="H44" i="9"/>
  <c r="I44" i="9" s="1"/>
  <c r="T43" i="9"/>
  <c r="S43" i="9"/>
  <c r="H43" i="9"/>
  <c r="C43" i="9"/>
  <c r="T42" i="9"/>
  <c r="S42" i="9"/>
  <c r="H42" i="9"/>
  <c r="I42" i="9" s="1"/>
  <c r="C42" i="9"/>
  <c r="C41" i="9"/>
  <c r="F42" i="9" s="1"/>
  <c r="H35" i="9"/>
  <c r="G34" i="9"/>
  <c r="H3" i="9"/>
  <c r="G2" i="9"/>
  <c r="T22" i="9"/>
  <c r="T23" i="9"/>
  <c r="T24" i="9"/>
  <c r="T25" i="9"/>
  <c r="T26" i="9"/>
  <c r="T21" i="9"/>
  <c r="S22" i="9"/>
  <c r="S23" i="9"/>
  <c r="S24" i="9"/>
  <c r="S25" i="9"/>
  <c r="S26" i="9"/>
  <c r="S21" i="9"/>
  <c r="J2" i="9"/>
  <c r="D2" i="9"/>
  <c r="J22" i="9"/>
  <c r="K22" i="9"/>
  <c r="J23" i="9"/>
  <c r="K23" i="9"/>
  <c r="J24" i="9"/>
  <c r="K24" i="9"/>
  <c r="J25" i="9"/>
  <c r="K25" i="9"/>
  <c r="J26" i="9"/>
  <c r="K26" i="9"/>
  <c r="K21" i="9"/>
  <c r="J21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K10" i="9"/>
  <c r="J10" i="9"/>
  <c r="F25" i="9"/>
  <c r="D25" i="9" s="1"/>
  <c r="F11" i="9"/>
  <c r="E11" i="9" s="1"/>
  <c r="F14" i="9"/>
  <c r="D14" i="9" s="1"/>
  <c r="F16" i="9"/>
  <c r="D16" i="9" s="1"/>
  <c r="T11" i="9"/>
  <c r="T12" i="9"/>
  <c r="T13" i="9"/>
  <c r="T14" i="9"/>
  <c r="T15" i="9"/>
  <c r="T16" i="9"/>
  <c r="T17" i="9"/>
  <c r="T10" i="9"/>
  <c r="F21" i="9"/>
  <c r="D21" i="9" s="1"/>
  <c r="C11" i="9"/>
  <c r="C9" i="9"/>
  <c r="C10" i="9"/>
  <c r="H22" i="9"/>
  <c r="I22" i="9" s="1"/>
  <c r="H23" i="9"/>
  <c r="H24" i="9"/>
  <c r="H25" i="9"/>
  <c r="H26" i="9"/>
  <c r="I26" i="9" s="1"/>
  <c r="H27" i="9"/>
  <c r="H16" i="9"/>
  <c r="S16" i="9"/>
  <c r="H17" i="9"/>
  <c r="S17" i="9"/>
  <c r="S15" i="9"/>
  <c r="S11" i="9"/>
  <c r="S12" i="9"/>
  <c r="S13" i="9"/>
  <c r="S14" i="9"/>
  <c r="S10" i="9"/>
  <c r="H21" i="9"/>
  <c r="I21" i="9" s="1"/>
  <c r="H11" i="9"/>
  <c r="I11" i="9" s="1"/>
  <c r="H12" i="9"/>
  <c r="I12" i="9" s="1"/>
  <c r="H13" i="9"/>
  <c r="I13" i="9" s="1"/>
  <c r="H14" i="9"/>
  <c r="I14" i="9" s="1"/>
  <c r="H15" i="9"/>
  <c r="I15" i="9" s="1"/>
  <c r="H10" i="9"/>
  <c r="I10" i="9" s="1"/>
  <c r="K14" i="11" l="1"/>
  <c r="E89" i="11"/>
  <c r="N89" i="11" s="1"/>
  <c r="Y89" i="11" s="1"/>
  <c r="E31" i="11"/>
  <c r="N31" i="11" s="1"/>
  <c r="Y31" i="11" s="1"/>
  <c r="E77" i="11"/>
  <c r="N77" i="11" s="1"/>
  <c r="Y77" i="11" s="1"/>
  <c r="E107" i="11"/>
  <c r="N107" i="11" s="1"/>
  <c r="Y107" i="11" s="1"/>
  <c r="E59" i="11"/>
  <c r="N59" i="11" s="1"/>
  <c r="Y59" i="11" s="1"/>
  <c r="F10" i="9"/>
  <c r="F18" i="9"/>
  <c r="F29" i="9"/>
  <c r="F27" i="9"/>
  <c r="D11" i="9"/>
  <c r="E14" i="9"/>
  <c r="F22" i="9"/>
  <c r="D22" i="9" s="1"/>
  <c r="F28" i="9"/>
  <c r="U27" i="9"/>
  <c r="V27" i="9"/>
  <c r="X27" i="9"/>
  <c r="W27" i="9"/>
  <c r="F53" i="9"/>
  <c r="E53" i="9" s="1"/>
  <c r="N459" i="11"/>
  <c r="Y459" i="11" s="1"/>
  <c r="P21" i="11"/>
  <c r="H128" i="11"/>
  <c r="K128" i="11" s="1"/>
  <c r="H17" i="11"/>
  <c r="K17" i="11" s="1"/>
  <c r="H18" i="11"/>
  <c r="K18" i="11" s="1"/>
  <c r="H16" i="11"/>
  <c r="K16" i="11" s="1"/>
  <c r="H15" i="11"/>
  <c r="K15" i="11" s="1"/>
  <c r="P360" i="11"/>
  <c r="AA25" i="11"/>
  <c r="P247" i="11"/>
  <c r="AA371" i="11"/>
  <c r="P134" i="11"/>
  <c r="J358" i="11"/>
  <c r="E360" i="11" s="1"/>
  <c r="J245" i="11"/>
  <c r="E247" i="11" s="1"/>
  <c r="N335" i="11"/>
  <c r="Y335" i="11" s="1"/>
  <c r="N292" i="11"/>
  <c r="Y292" i="11" s="1"/>
  <c r="N318" i="11"/>
  <c r="Y318" i="11" s="1"/>
  <c r="E109" i="11"/>
  <c r="N109" i="11" s="1"/>
  <c r="Y109" i="11" s="1"/>
  <c r="N172" i="11"/>
  <c r="Y172" i="11" s="1"/>
  <c r="N411" i="11"/>
  <c r="Y411" i="11" s="1"/>
  <c r="N347" i="11"/>
  <c r="Y347" i="11" s="1"/>
  <c r="N367" i="11"/>
  <c r="Y367" i="11" s="1"/>
  <c r="E76" i="11"/>
  <c r="N76" i="11" s="1"/>
  <c r="Y76" i="11" s="1"/>
  <c r="N188" i="11"/>
  <c r="Y188" i="11" s="1"/>
  <c r="N322" i="11"/>
  <c r="Y322" i="11" s="1"/>
  <c r="N162" i="11"/>
  <c r="Y162" i="11" s="1"/>
  <c r="N212" i="11"/>
  <c r="Y212" i="11" s="1"/>
  <c r="J131" i="11"/>
  <c r="H131" i="11" s="1"/>
  <c r="K131" i="11" s="1"/>
  <c r="N378" i="11"/>
  <c r="Y378" i="11" s="1"/>
  <c r="N207" i="11"/>
  <c r="Y207" i="11" s="1"/>
  <c r="E94" i="11"/>
  <c r="N94" i="11" s="1"/>
  <c r="Y94" i="11" s="1"/>
  <c r="N189" i="11"/>
  <c r="Y189" i="11" s="1"/>
  <c r="N183" i="11"/>
  <c r="Y183" i="11" s="1"/>
  <c r="N272" i="11"/>
  <c r="Y272" i="11" s="1"/>
  <c r="N432" i="11"/>
  <c r="Y432" i="11" s="1"/>
  <c r="N195" i="11"/>
  <c r="V195" i="11" s="1"/>
  <c r="AF195" i="11" s="1"/>
  <c r="N373" i="11"/>
  <c r="Y373" i="11" s="1"/>
  <c r="N327" i="11"/>
  <c r="Y327" i="11" s="1"/>
  <c r="N376" i="11"/>
  <c r="Y376" i="11" s="1"/>
  <c r="N444" i="11"/>
  <c r="Y444" i="11" s="1"/>
  <c r="N225" i="11"/>
  <c r="Y225" i="11" s="1"/>
  <c r="E72" i="11"/>
  <c r="N72" i="11" s="1"/>
  <c r="Y72" i="11" s="1"/>
  <c r="E51" i="11"/>
  <c r="N51" i="11" s="1"/>
  <c r="Y51" i="11" s="1"/>
  <c r="N157" i="11"/>
  <c r="Y157" i="11" s="1"/>
  <c r="N308" i="11"/>
  <c r="Y308" i="11" s="1"/>
  <c r="N155" i="11"/>
  <c r="Y155" i="11" s="1"/>
  <c r="E37" i="11"/>
  <c r="N37" i="11" s="1"/>
  <c r="Y37" i="11" s="1"/>
  <c r="N182" i="11"/>
  <c r="Y182" i="11" s="1"/>
  <c r="N349" i="11"/>
  <c r="Y349" i="11" s="1"/>
  <c r="E117" i="11"/>
  <c r="N117" i="11" s="1"/>
  <c r="Y117" i="11" s="1"/>
  <c r="E39" i="11"/>
  <c r="N39" i="11" s="1"/>
  <c r="Y39" i="11" s="1"/>
  <c r="E34" i="11"/>
  <c r="N34" i="11" s="1"/>
  <c r="Y34" i="11" s="1"/>
  <c r="N196" i="11"/>
  <c r="Y196" i="11" s="1"/>
  <c r="N321" i="11"/>
  <c r="Y321" i="11" s="1"/>
  <c r="N385" i="11"/>
  <c r="Y385" i="11" s="1"/>
  <c r="E33" i="11"/>
  <c r="N33" i="11" s="1"/>
  <c r="Y33" i="11" s="1"/>
  <c r="N202" i="11"/>
  <c r="Y202" i="11" s="1"/>
  <c r="N166" i="11"/>
  <c r="Y166" i="11" s="1"/>
  <c r="N262" i="11"/>
  <c r="Y262" i="11" s="1"/>
  <c r="N270" i="11"/>
  <c r="Y270" i="11" s="1"/>
  <c r="N168" i="11"/>
  <c r="Y168" i="11" s="1"/>
  <c r="N230" i="11"/>
  <c r="Y230" i="11" s="1"/>
  <c r="N439" i="11"/>
  <c r="Y439" i="11" s="1"/>
  <c r="N205" i="11"/>
  <c r="Y205" i="11" s="1"/>
  <c r="E42" i="11"/>
  <c r="N42" i="11" s="1"/>
  <c r="Y42" i="11" s="1"/>
  <c r="N178" i="11"/>
  <c r="Y178" i="11" s="1"/>
  <c r="N222" i="11"/>
  <c r="Y222" i="11" s="1"/>
  <c r="N412" i="11"/>
  <c r="Y412" i="11" s="1"/>
  <c r="N369" i="11"/>
  <c r="Y369" i="11" s="1"/>
  <c r="N297" i="11"/>
  <c r="V297" i="11" s="1"/>
  <c r="AF297" i="11" s="1"/>
  <c r="E87" i="11"/>
  <c r="N87" i="11" s="1"/>
  <c r="Y87" i="11" s="1"/>
  <c r="N218" i="11"/>
  <c r="Y218" i="11" s="1"/>
  <c r="N337" i="11"/>
  <c r="Y337" i="11" s="1"/>
  <c r="N377" i="11"/>
  <c r="Y377" i="11" s="1"/>
  <c r="E116" i="11"/>
  <c r="N116" i="11" s="1"/>
  <c r="Y116" i="11" s="1"/>
  <c r="N307" i="11"/>
  <c r="Y307" i="11" s="1"/>
  <c r="N301" i="11"/>
  <c r="Y301" i="11" s="1"/>
  <c r="N316" i="11"/>
  <c r="Y316" i="11" s="1"/>
  <c r="N393" i="11"/>
  <c r="Y393" i="11" s="1"/>
  <c r="E67" i="11"/>
  <c r="N67" i="11" s="1"/>
  <c r="Y67" i="11" s="1"/>
  <c r="E122" i="11"/>
  <c r="N122" i="11" s="1"/>
  <c r="Y122" i="11" s="1"/>
  <c r="N304" i="11"/>
  <c r="Y304" i="11" s="1"/>
  <c r="E113" i="11"/>
  <c r="N113" i="11" s="1"/>
  <c r="Y113" i="11" s="1"/>
  <c r="N319" i="11"/>
  <c r="Y319" i="11" s="1"/>
  <c r="E97" i="11"/>
  <c r="N97" i="11" s="1"/>
  <c r="Y97" i="11" s="1"/>
  <c r="N259" i="11"/>
  <c r="Y259" i="11" s="1"/>
  <c r="E111" i="11"/>
  <c r="N111" i="11" s="1"/>
  <c r="Y111" i="11" s="1"/>
  <c r="N271" i="11"/>
  <c r="Y271" i="11" s="1"/>
  <c r="N145" i="11"/>
  <c r="Y145" i="11" s="1"/>
  <c r="N258" i="11"/>
  <c r="Y258" i="11" s="1"/>
  <c r="N371" i="11"/>
  <c r="Y371" i="11" s="1"/>
  <c r="N383" i="11"/>
  <c r="Y383" i="11" s="1"/>
  <c r="N173" i="11"/>
  <c r="Y173" i="11" s="1"/>
  <c r="N192" i="11"/>
  <c r="Y192" i="11" s="1"/>
  <c r="N234" i="11"/>
  <c r="Y234" i="11" s="1"/>
  <c r="N159" i="11"/>
  <c r="V159" i="11" s="1"/>
  <c r="AF159" i="11" s="1"/>
  <c r="N326" i="11"/>
  <c r="Y326" i="11" s="1"/>
  <c r="N380" i="11"/>
  <c r="Y380" i="11" s="1"/>
  <c r="N144" i="11"/>
  <c r="Y144" i="11" s="1"/>
  <c r="N169" i="11"/>
  <c r="Y169" i="11" s="1"/>
  <c r="N224" i="11"/>
  <c r="Y224" i="11" s="1"/>
  <c r="E41" i="11"/>
  <c r="N41" i="11" s="1"/>
  <c r="Y41" i="11" s="1"/>
  <c r="N313" i="11"/>
  <c r="Y313" i="11" s="1"/>
  <c r="N447" i="11"/>
  <c r="Y447" i="11" s="1"/>
  <c r="N216" i="11"/>
  <c r="Y216" i="11" s="1"/>
  <c r="N257" i="11"/>
  <c r="Y257" i="11" s="1"/>
  <c r="N160" i="11"/>
  <c r="Y160" i="11" s="1"/>
  <c r="N401" i="11"/>
  <c r="Y401" i="11" s="1"/>
  <c r="N294" i="11"/>
  <c r="Y294" i="11" s="1"/>
  <c r="N255" i="11"/>
  <c r="Y255" i="11" s="1"/>
  <c r="N417" i="11"/>
  <c r="Y417" i="11" s="1"/>
  <c r="N281" i="11"/>
  <c r="Y281" i="11" s="1"/>
  <c r="N226" i="11"/>
  <c r="Y226" i="11" s="1"/>
  <c r="N435" i="11"/>
  <c r="Y435" i="11" s="1"/>
  <c r="E29" i="11"/>
  <c r="N29" i="11" s="1"/>
  <c r="Y29" i="11" s="1"/>
  <c r="N288" i="11"/>
  <c r="V288" i="11" s="1"/>
  <c r="AF288" i="11" s="1"/>
  <c r="N204" i="11"/>
  <c r="V204" i="11" s="1"/>
  <c r="AF204" i="11" s="1"/>
  <c r="E115" i="11"/>
  <c r="N115" i="11" s="1"/>
  <c r="Y115" i="11" s="1"/>
  <c r="N260" i="11"/>
  <c r="Y260" i="11" s="1"/>
  <c r="N389" i="11"/>
  <c r="Y389" i="11" s="1"/>
  <c r="E49" i="11"/>
  <c r="N49" i="11" s="1"/>
  <c r="Y49" i="11" s="1"/>
  <c r="E70" i="11"/>
  <c r="N70" i="11" s="1"/>
  <c r="Y70" i="11" s="1"/>
  <c r="N139" i="11"/>
  <c r="Y139" i="11" s="1"/>
  <c r="N413" i="11"/>
  <c r="Y413" i="11" s="1"/>
  <c r="N395" i="11"/>
  <c r="Y395" i="11" s="1"/>
  <c r="E71" i="11"/>
  <c r="N71" i="11" s="1"/>
  <c r="Y71" i="11" s="1"/>
  <c r="N457" i="11"/>
  <c r="Y457" i="11" s="1"/>
  <c r="N232" i="11"/>
  <c r="Y232" i="11" s="1"/>
  <c r="E66" i="11"/>
  <c r="N66" i="11" s="1"/>
  <c r="Y66" i="11" s="1"/>
  <c r="N228" i="11"/>
  <c r="Y228" i="11" s="1"/>
  <c r="E79" i="11"/>
  <c r="N79" i="11" s="1"/>
  <c r="Y79" i="11" s="1"/>
  <c r="N275" i="11"/>
  <c r="Y275" i="11" s="1"/>
  <c r="N424" i="11"/>
  <c r="Y424" i="11" s="1"/>
  <c r="N374" i="11"/>
  <c r="Y374" i="11" s="1"/>
  <c r="N161" i="11"/>
  <c r="Y161" i="11" s="1"/>
  <c r="N253" i="11"/>
  <c r="Y253" i="11" s="1"/>
  <c r="N422" i="11"/>
  <c r="Y422" i="11" s="1"/>
  <c r="N142" i="11"/>
  <c r="Y142" i="11" s="1"/>
  <c r="N198" i="11"/>
  <c r="Y198" i="11" s="1"/>
  <c r="N454" i="11"/>
  <c r="Y454" i="11" s="1"/>
  <c r="E123" i="11"/>
  <c r="N123" i="11" s="1"/>
  <c r="Y123" i="11" s="1"/>
  <c r="N193" i="11"/>
  <c r="Y193" i="11" s="1"/>
  <c r="E36" i="11"/>
  <c r="N36" i="11" s="1"/>
  <c r="Y36" i="11" s="1"/>
  <c r="N363" i="11"/>
  <c r="Y363" i="11" s="1"/>
  <c r="N143" i="11"/>
  <c r="Y143" i="11" s="1"/>
  <c r="N421" i="11"/>
  <c r="Y421" i="11" s="1"/>
  <c r="N252" i="11"/>
  <c r="Y252" i="11" s="1"/>
  <c r="E103" i="11"/>
  <c r="N103" i="11" s="1"/>
  <c r="Y103" i="11" s="1"/>
  <c r="N339" i="11"/>
  <c r="Y339" i="11" s="1"/>
  <c r="N187" i="11"/>
  <c r="V187" i="11" s="1"/>
  <c r="AF187" i="11" s="1"/>
  <c r="N179" i="11"/>
  <c r="V179" i="11" s="1"/>
  <c r="AF179" i="11" s="1"/>
  <c r="N215" i="11"/>
  <c r="Y215" i="11" s="1"/>
  <c r="E57" i="11"/>
  <c r="N57" i="11" s="1"/>
  <c r="Y57" i="11" s="1"/>
  <c r="N458" i="11"/>
  <c r="Y458" i="11" s="1"/>
  <c r="E69" i="11"/>
  <c r="N69" i="11" s="1"/>
  <c r="Y69" i="11" s="1"/>
  <c r="N311" i="11"/>
  <c r="Y311" i="11" s="1"/>
  <c r="E81" i="11"/>
  <c r="N81" i="11" s="1"/>
  <c r="Y81" i="11" s="1"/>
  <c r="N436" i="11"/>
  <c r="Y436" i="11" s="1"/>
  <c r="E118" i="11"/>
  <c r="N118" i="11" s="1"/>
  <c r="Y118" i="11" s="1"/>
  <c r="N425" i="11"/>
  <c r="Y425" i="11" s="1"/>
  <c r="N152" i="11"/>
  <c r="Y152" i="11" s="1"/>
  <c r="N229" i="11"/>
  <c r="Y229" i="11" s="1"/>
  <c r="N180" i="11"/>
  <c r="Y180" i="11" s="1"/>
  <c r="N236" i="11"/>
  <c r="Y236" i="11" s="1"/>
  <c r="N265" i="11"/>
  <c r="Y265" i="11" s="1"/>
  <c r="N184" i="11"/>
  <c r="V184" i="11" s="1"/>
  <c r="AF184" i="11" s="1"/>
  <c r="N279" i="11"/>
  <c r="Y279" i="11" s="1"/>
  <c r="N209" i="11"/>
  <c r="V209" i="11" s="1"/>
  <c r="AF209" i="11" s="1"/>
  <c r="E82" i="11"/>
  <c r="N82" i="11" s="1"/>
  <c r="Y82" i="11" s="1"/>
  <c r="N149" i="11"/>
  <c r="Y149" i="11" s="1"/>
  <c r="E43" i="11"/>
  <c r="N43" i="11" s="1"/>
  <c r="Y43" i="11" s="1"/>
  <c r="E63" i="11"/>
  <c r="N63" i="11" s="1"/>
  <c r="Y63" i="11" s="1"/>
  <c r="E83" i="11"/>
  <c r="N83" i="11" s="1"/>
  <c r="Y83" i="11" s="1"/>
  <c r="E105" i="11"/>
  <c r="N105" i="11" s="1"/>
  <c r="Y105" i="11" s="1"/>
  <c r="N171" i="11"/>
  <c r="Y171" i="11" s="1"/>
  <c r="N387" i="11"/>
  <c r="Y387" i="11" s="1"/>
  <c r="E93" i="11"/>
  <c r="N93" i="11" s="1"/>
  <c r="Y93" i="11" s="1"/>
  <c r="E38" i="11"/>
  <c r="N38" i="11" s="1"/>
  <c r="Y38" i="11" s="1"/>
  <c r="E88" i="11"/>
  <c r="N88" i="11" s="1"/>
  <c r="Y88" i="11" s="1"/>
  <c r="N368" i="11"/>
  <c r="Y368" i="11" s="1"/>
  <c r="N336" i="11"/>
  <c r="Y336" i="11" s="1"/>
  <c r="N206" i="11"/>
  <c r="Y206" i="11" s="1"/>
  <c r="N190" i="11"/>
  <c r="Y190" i="11" s="1"/>
  <c r="E106" i="11"/>
  <c r="N106" i="11" s="1"/>
  <c r="Y106" i="11" s="1"/>
  <c r="N299" i="11"/>
  <c r="Y299" i="11" s="1"/>
  <c r="E27" i="11"/>
  <c r="N27" i="11" s="1"/>
  <c r="Y27" i="11" s="1"/>
  <c r="N455" i="11"/>
  <c r="Y455" i="11" s="1"/>
  <c r="N231" i="11"/>
  <c r="Y231" i="11" s="1"/>
  <c r="N285" i="11"/>
  <c r="Y285" i="11" s="1"/>
  <c r="N451" i="11"/>
  <c r="Y451" i="11" s="1"/>
  <c r="E62" i="11"/>
  <c r="N62" i="11" s="1"/>
  <c r="Y62" i="11" s="1"/>
  <c r="E100" i="11"/>
  <c r="N100" i="11" s="1"/>
  <c r="Y100" i="11" s="1"/>
  <c r="N217" i="11"/>
  <c r="Y217" i="11" s="1"/>
  <c r="N340" i="11"/>
  <c r="Y340" i="11" s="1"/>
  <c r="N197" i="11"/>
  <c r="Y197" i="11" s="1"/>
  <c r="N287" i="11"/>
  <c r="Y287" i="11" s="1"/>
  <c r="N433" i="11"/>
  <c r="Y433" i="11" s="1"/>
  <c r="E65" i="11"/>
  <c r="N65" i="11" s="1"/>
  <c r="Y65" i="11" s="1"/>
  <c r="N449" i="11"/>
  <c r="Y449" i="11" s="1"/>
  <c r="N452" i="11"/>
  <c r="Y452" i="11" s="1"/>
  <c r="N273" i="11"/>
  <c r="Y273" i="11" s="1"/>
  <c r="E47" i="11"/>
  <c r="N47" i="11" s="1"/>
  <c r="Y47" i="11" s="1"/>
  <c r="N445" i="11"/>
  <c r="Y445" i="11" s="1"/>
  <c r="N221" i="11"/>
  <c r="Y221" i="11" s="1"/>
  <c r="N269" i="11"/>
  <c r="Y269" i="11" s="1"/>
  <c r="N431" i="11"/>
  <c r="Y431" i="11" s="1"/>
  <c r="E112" i="11"/>
  <c r="N112" i="11" s="1"/>
  <c r="Y112" i="11" s="1"/>
  <c r="E120" i="11"/>
  <c r="N120" i="11" s="1"/>
  <c r="Y120" i="11" s="1"/>
  <c r="N201" i="11"/>
  <c r="Y201" i="11" s="1"/>
  <c r="N330" i="11"/>
  <c r="Y330" i="11" s="1"/>
  <c r="N194" i="11"/>
  <c r="Y194" i="11" s="1"/>
  <c r="N274" i="11"/>
  <c r="Y274" i="11" s="1"/>
  <c r="N397" i="11"/>
  <c r="Y397" i="11" s="1"/>
  <c r="E98" i="11"/>
  <c r="N98" i="11" s="1"/>
  <c r="Y98" i="11" s="1"/>
  <c r="N170" i="11"/>
  <c r="Y170" i="11" s="1"/>
  <c r="N348" i="11"/>
  <c r="Y348" i="11" s="1"/>
  <c r="N461" i="11"/>
  <c r="Y461" i="11" s="1"/>
  <c r="N156" i="11"/>
  <c r="Y156" i="11" s="1"/>
  <c r="N214" i="11"/>
  <c r="Y214" i="11" s="1"/>
  <c r="N381" i="11"/>
  <c r="Y381" i="11" s="1"/>
  <c r="N267" i="11"/>
  <c r="Y267" i="11" s="1"/>
  <c r="N167" i="11"/>
  <c r="V167" i="11" s="1"/>
  <c r="AF167" i="11" s="1"/>
  <c r="N429" i="11"/>
  <c r="Y429" i="11" s="1"/>
  <c r="N396" i="11"/>
  <c r="Y396" i="11" s="1"/>
  <c r="N338" i="11"/>
  <c r="Y338" i="11" s="1"/>
  <c r="N438" i="11"/>
  <c r="Y438" i="11" s="1"/>
  <c r="N428" i="11"/>
  <c r="Y428" i="11" s="1"/>
  <c r="E119" i="11"/>
  <c r="N119" i="11" s="1"/>
  <c r="Y119" i="11" s="1"/>
  <c r="E90" i="11"/>
  <c r="N90" i="11" s="1"/>
  <c r="Y90" i="11" s="1"/>
  <c r="N185" i="11"/>
  <c r="Y185" i="11" s="1"/>
  <c r="N388" i="11"/>
  <c r="Y388" i="11" s="1"/>
  <c r="N333" i="11"/>
  <c r="Y333" i="11" s="1"/>
  <c r="N460" i="11"/>
  <c r="Y460" i="11" s="1"/>
  <c r="N203" i="11"/>
  <c r="Y203" i="11" s="1"/>
  <c r="E74" i="11"/>
  <c r="N74" i="11" s="1"/>
  <c r="Y74" i="11" s="1"/>
  <c r="N148" i="11"/>
  <c r="Y148" i="11" s="1"/>
  <c r="N305" i="11"/>
  <c r="Y305" i="11" s="1"/>
  <c r="E52" i="11"/>
  <c r="N52" i="11" s="1"/>
  <c r="Y52" i="11" s="1"/>
  <c r="N154" i="11"/>
  <c r="Y154" i="11" s="1"/>
  <c r="N419" i="11"/>
  <c r="Y419" i="11" s="1"/>
  <c r="N386" i="11"/>
  <c r="Y386" i="11" s="1"/>
  <c r="N328" i="11"/>
  <c r="V328" i="11" s="1"/>
  <c r="AF328" i="11" s="1"/>
  <c r="N402" i="11"/>
  <c r="Y402" i="11" s="1"/>
  <c r="N418" i="11"/>
  <c r="Y418" i="11" s="1"/>
  <c r="E91" i="11"/>
  <c r="N91" i="11" s="1"/>
  <c r="Y91" i="11" s="1"/>
  <c r="E110" i="11"/>
  <c r="N110" i="11" s="1"/>
  <c r="Y110" i="11" s="1"/>
  <c r="N146" i="11"/>
  <c r="Y146" i="11" s="1"/>
  <c r="N375" i="11"/>
  <c r="Y375" i="11" s="1"/>
  <c r="N268" i="11"/>
  <c r="Y268" i="11" s="1"/>
  <c r="N450" i="11"/>
  <c r="Y450" i="11" s="1"/>
  <c r="N164" i="11"/>
  <c r="Y164" i="11" s="1"/>
  <c r="E104" i="11"/>
  <c r="N104" i="11" s="1"/>
  <c r="Y104" i="11" s="1"/>
  <c r="N138" i="11"/>
  <c r="Y138" i="11" s="1"/>
  <c r="E78" i="11"/>
  <c r="N78" i="11" s="1"/>
  <c r="Y78" i="11" s="1"/>
  <c r="E26" i="11"/>
  <c r="N26" i="11" s="1"/>
  <c r="Y26" i="11" s="1"/>
  <c r="N409" i="11"/>
  <c r="Y409" i="11" s="1"/>
  <c r="N370" i="11"/>
  <c r="Y370" i="11" s="1"/>
  <c r="N312" i="11"/>
  <c r="Y312" i="11" s="1"/>
  <c r="N392" i="11"/>
  <c r="Y392" i="11" s="1"/>
  <c r="N408" i="11"/>
  <c r="Y408" i="11" s="1"/>
  <c r="N437" i="11"/>
  <c r="Y437" i="11" s="1"/>
  <c r="E101" i="11"/>
  <c r="N101" i="11" s="1"/>
  <c r="Y101" i="11" s="1"/>
  <c r="E30" i="11"/>
  <c r="N30" i="11" s="1"/>
  <c r="Y30" i="11" s="1"/>
  <c r="N324" i="11"/>
  <c r="Y324" i="11" s="1"/>
  <c r="N210" i="11"/>
  <c r="Y210" i="11" s="1"/>
  <c r="N440" i="11"/>
  <c r="Y440" i="11" s="1"/>
  <c r="N430" i="11"/>
  <c r="Y430" i="11" s="1"/>
  <c r="E114" i="11"/>
  <c r="N114" i="11" s="1"/>
  <c r="Y114" i="11" s="1"/>
  <c r="E54" i="11"/>
  <c r="N54" i="11" s="1"/>
  <c r="Y54" i="11" s="1"/>
  <c r="N283" i="11"/>
  <c r="Y283" i="11" s="1"/>
  <c r="E46" i="11"/>
  <c r="N46" i="11" s="1"/>
  <c r="Y46" i="11" s="1"/>
  <c r="N406" i="11"/>
  <c r="Y406" i="11" s="1"/>
  <c r="N235" i="11"/>
  <c r="V235" i="11" s="1"/>
  <c r="AF235" i="11" s="1"/>
  <c r="N302" i="11"/>
  <c r="Y302" i="11" s="1"/>
  <c r="N382" i="11"/>
  <c r="Y382" i="11" s="1"/>
  <c r="N405" i="11"/>
  <c r="Y405" i="11" s="1"/>
  <c r="N427" i="11"/>
  <c r="Y427" i="11" s="1"/>
  <c r="E121" i="11"/>
  <c r="N121" i="11" s="1"/>
  <c r="Y121" i="11" s="1"/>
  <c r="E40" i="11"/>
  <c r="N40" i="11" s="1"/>
  <c r="Y40" i="11" s="1"/>
  <c r="N314" i="11"/>
  <c r="Y314" i="11" s="1"/>
  <c r="E32" i="11"/>
  <c r="N32" i="11" s="1"/>
  <c r="Y32" i="11" s="1"/>
  <c r="N394" i="11"/>
  <c r="Y394" i="11" s="1"/>
  <c r="N410" i="11"/>
  <c r="Y410" i="11" s="1"/>
  <c r="N446" i="11"/>
  <c r="Y446" i="11" s="1"/>
  <c r="N456" i="11"/>
  <c r="Y456" i="11" s="1"/>
  <c r="N150" i="11"/>
  <c r="Y150" i="11" s="1"/>
  <c r="N137" i="11"/>
  <c r="Y137" i="11" s="1"/>
  <c r="N448" i="11"/>
  <c r="Y448" i="11" s="1"/>
  <c r="E99" i="11"/>
  <c r="N99" i="11" s="1"/>
  <c r="Y99" i="11" s="1"/>
  <c r="N434" i="11"/>
  <c r="V434" i="11" s="1"/>
  <c r="AF434" i="11" s="1"/>
  <c r="N303" i="11"/>
  <c r="Y303" i="11" s="1"/>
  <c r="E56" i="11"/>
  <c r="N56" i="11" s="1"/>
  <c r="Y56" i="11" s="1"/>
  <c r="N345" i="11"/>
  <c r="Y345" i="11" s="1"/>
  <c r="N199" i="11"/>
  <c r="Y199" i="11" s="1"/>
  <c r="N289" i="11"/>
  <c r="Y289" i="11" s="1"/>
  <c r="N379" i="11"/>
  <c r="Y379" i="11" s="1"/>
  <c r="N334" i="11"/>
  <c r="Y334" i="11" s="1"/>
  <c r="N181" i="11"/>
  <c r="Y181" i="11" s="1"/>
  <c r="N317" i="11"/>
  <c r="Y317" i="11" s="1"/>
  <c r="E60" i="11"/>
  <c r="N60" i="11" s="1"/>
  <c r="Y60" i="11" s="1"/>
  <c r="N291" i="11"/>
  <c r="Y291" i="11" s="1"/>
  <c r="E102" i="11"/>
  <c r="N102" i="11" s="1"/>
  <c r="Y102" i="11" s="1"/>
  <c r="N384" i="11"/>
  <c r="Y384" i="11" s="1"/>
  <c r="N346" i="11"/>
  <c r="Y346" i="11" s="1"/>
  <c r="N390" i="11"/>
  <c r="Y390" i="11" s="1"/>
  <c r="N293" i="11"/>
  <c r="E58" i="11"/>
  <c r="N58" i="11" s="1"/>
  <c r="Y58" i="11" s="1"/>
  <c r="E86" i="11"/>
  <c r="N86" i="11" s="1"/>
  <c r="Y86" i="11" s="1"/>
  <c r="N309" i="11"/>
  <c r="Y309" i="11" s="1"/>
  <c r="N176" i="11"/>
  <c r="V176" i="11" s="1"/>
  <c r="AF176" i="11" s="1"/>
  <c r="N186" i="11"/>
  <c r="Y186" i="11" s="1"/>
  <c r="N256" i="11"/>
  <c r="V256" i="11" s="1"/>
  <c r="AF256" i="11" s="1"/>
  <c r="N298" i="11"/>
  <c r="Y298" i="11" s="1"/>
  <c r="E92" i="11"/>
  <c r="N92" i="11" s="1"/>
  <c r="Y92" i="11" s="1"/>
  <c r="N284" i="11"/>
  <c r="Y284" i="11" s="1"/>
  <c r="E80" i="11"/>
  <c r="N80" i="11" s="1"/>
  <c r="Y80" i="11" s="1"/>
  <c r="N227" i="11"/>
  <c r="V227" i="11" s="1"/>
  <c r="AF227" i="11" s="1"/>
  <c r="N414" i="11"/>
  <c r="Y414" i="11" s="1"/>
  <c r="N233" i="11"/>
  <c r="Y233" i="11" s="1"/>
  <c r="N310" i="11"/>
  <c r="Y310" i="11" s="1"/>
  <c r="N426" i="11"/>
  <c r="Y426" i="11" s="1"/>
  <c r="E48" i="11"/>
  <c r="N443" i="11"/>
  <c r="Y443" i="11" s="1"/>
  <c r="N416" i="11"/>
  <c r="Y416" i="11" s="1"/>
  <c r="N141" i="11"/>
  <c r="Y141" i="11" s="1"/>
  <c r="E108" i="11"/>
  <c r="N108" i="11" s="1"/>
  <c r="Y108" i="11" s="1"/>
  <c r="N208" i="11"/>
  <c r="Y208" i="11" s="1"/>
  <c r="N296" i="11"/>
  <c r="Y296" i="11" s="1"/>
  <c r="N341" i="11"/>
  <c r="Y341" i="11" s="1"/>
  <c r="N403" i="11"/>
  <c r="Y403" i="11" s="1"/>
  <c r="N442" i="11"/>
  <c r="Y442" i="11" s="1"/>
  <c r="N286" i="11"/>
  <c r="Y286" i="11" s="1"/>
  <c r="N147" i="11"/>
  <c r="V147" i="11" s="1"/>
  <c r="AF147" i="11" s="1"/>
  <c r="N263" i="11"/>
  <c r="Y263" i="11" s="1"/>
  <c r="N366" i="11"/>
  <c r="Y366" i="11" s="1"/>
  <c r="N344" i="11"/>
  <c r="Y344" i="11" s="1"/>
  <c r="N391" i="11"/>
  <c r="Y391" i="11" s="1"/>
  <c r="E61" i="11"/>
  <c r="N175" i="11"/>
  <c r="Y175" i="11" s="1"/>
  <c r="N398" i="11"/>
  <c r="Y398" i="11" s="1"/>
  <c r="N404" i="11"/>
  <c r="Y404" i="11" s="1"/>
  <c r="N191" i="11"/>
  <c r="Y191" i="11" s="1"/>
  <c r="N400" i="11"/>
  <c r="Y400" i="11" s="1"/>
  <c r="E73" i="11"/>
  <c r="N73" i="11" s="1"/>
  <c r="Y73" i="11" s="1"/>
  <c r="N251" i="11"/>
  <c r="Y251" i="11" s="1"/>
  <c r="E35" i="11"/>
  <c r="N35" i="11" s="1"/>
  <c r="Y35" i="11" s="1"/>
  <c r="N320" i="11"/>
  <c r="Y320" i="11" s="1"/>
  <c r="N420" i="11"/>
  <c r="Y420" i="11" s="1"/>
  <c r="N264" i="11"/>
  <c r="Y264" i="11" s="1"/>
  <c r="N200" i="11"/>
  <c r="Y200" i="11" s="1"/>
  <c r="E68" i="11"/>
  <c r="N68" i="11" s="1"/>
  <c r="Y68" i="11" s="1"/>
  <c r="N282" i="11"/>
  <c r="Y282" i="11" s="1"/>
  <c r="N278" i="11"/>
  <c r="Y278" i="11" s="1"/>
  <c r="N223" i="11"/>
  <c r="Y223" i="11" s="1"/>
  <c r="N407" i="11"/>
  <c r="Y407" i="11" s="1"/>
  <c r="E84" i="11"/>
  <c r="N84" i="11" s="1"/>
  <c r="Y84" i="11" s="1"/>
  <c r="N158" i="11"/>
  <c r="Y158" i="11" s="1"/>
  <c r="N331" i="11"/>
  <c r="Y331" i="11" s="1"/>
  <c r="E64" i="11"/>
  <c r="N64" i="11" s="1"/>
  <c r="Y64" i="11" s="1"/>
  <c r="N261" i="11"/>
  <c r="Y261" i="11" s="1"/>
  <c r="N280" i="11"/>
  <c r="Y280" i="11" s="1"/>
  <c r="N329" i="11"/>
  <c r="Y329" i="11" s="1"/>
  <c r="N342" i="11"/>
  <c r="Y342" i="11" s="1"/>
  <c r="E25" i="11"/>
  <c r="N25" i="11" s="1"/>
  <c r="Y25" i="11" s="1"/>
  <c r="N213" i="11"/>
  <c r="Y213" i="11" s="1"/>
  <c r="N151" i="11"/>
  <c r="V151" i="11" s="1"/>
  <c r="AF151" i="11" s="1"/>
  <c r="N177" i="11"/>
  <c r="Y177" i="11" s="1"/>
  <c r="N295" i="11"/>
  <c r="Y295" i="11" s="1"/>
  <c r="V77" i="11"/>
  <c r="AF77" i="11" s="1"/>
  <c r="E75" i="11"/>
  <c r="N75" i="11" s="1"/>
  <c r="Y75" i="11" s="1"/>
  <c r="N364" i="11"/>
  <c r="Y364" i="11" s="1"/>
  <c r="N174" i="11"/>
  <c r="Y174" i="11" s="1"/>
  <c r="N219" i="11"/>
  <c r="Y219" i="11" s="1"/>
  <c r="N423" i="11"/>
  <c r="Y423" i="11" s="1"/>
  <c r="N140" i="11"/>
  <c r="Y140" i="11" s="1"/>
  <c r="N306" i="11"/>
  <c r="Y306" i="11" s="1"/>
  <c r="V107" i="11"/>
  <c r="AF107" i="11" s="1"/>
  <c r="E53" i="11"/>
  <c r="N53" i="11" s="1"/>
  <c r="Y53" i="11" s="1"/>
  <c r="N453" i="11"/>
  <c r="Y453" i="11" s="1"/>
  <c r="E85" i="11"/>
  <c r="N85" i="11" s="1"/>
  <c r="Y85" i="11" s="1"/>
  <c r="E45" i="11"/>
  <c r="N45" i="11" s="1"/>
  <c r="Y45" i="11" s="1"/>
  <c r="E96" i="11"/>
  <c r="N96" i="11" s="1"/>
  <c r="Y96" i="11" s="1"/>
  <c r="N325" i="11"/>
  <c r="Y325" i="11" s="1"/>
  <c r="N153" i="11"/>
  <c r="Y153" i="11" s="1"/>
  <c r="N220" i="11"/>
  <c r="Y220" i="11" s="1"/>
  <c r="E50" i="11"/>
  <c r="N365" i="11"/>
  <c r="Y365" i="11" s="1"/>
  <c r="E44" i="11"/>
  <c r="N44" i="11" s="1"/>
  <c r="Y44" i="11" s="1"/>
  <c r="N254" i="11"/>
  <c r="Y254" i="11" s="1"/>
  <c r="E95" i="11"/>
  <c r="E55" i="11"/>
  <c r="E28" i="11"/>
  <c r="V165" i="11"/>
  <c r="AF165" i="11" s="1"/>
  <c r="V399" i="11"/>
  <c r="AF399" i="11" s="1"/>
  <c r="V315" i="11"/>
  <c r="AF315" i="11" s="1"/>
  <c r="V89" i="11"/>
  <c r="AF89" i="11" s="1"/>
  <c r="V31" i="11"/>
  <c r="AF31" i="11" s="1"/>
  <c r="V276" i="11"/>
  <c r="AF276" i="11" s="1"/>
  <c r="V59" i="11"/>
  <c r="AF59" i="11" s="1"/>
  <c r="H130" i="11"/>
  <c r="K130" i="11" s="1"/>
  <c r="H129" i="11"/>
  <c r="K129" i="11" s="1"/>
  <c r="H127" i="11"/>
  <c r="V250" i="11"/>
  <c r="AF250" i="11" s="1"/>
  <c r="Y250" i="11"/>
  <c r="V459" i="11"/>
  <c r="AF459" i="11" s="1"/>
  <c r="Q65" i="2"/>
  <c r="S65" i="2" s="1"/>
  <c r="Q62" i="2"/>
  <c r="S62" i="2" s="1"/>
  <c r="Q61" i="2"/>
  <c r="S61" i="2" s="1"/>
  <c r="Q63" i="2"/>
  <c r="S63" i="2" s="1"/>
  <c r="F50" i="9"/>
  <c r="E50" i="9" s="1"/>
  <c r="F49" i="9"/>
  <c r="F44" i="9"/>
  <c r="E46" i="9"/>
  <c r="X48" i="9"/>
  <c r="F48" i="9"/>
  <c r="E48" i="9" s="1"/>
  <c r="U46" i="9"/>
  <c r="F45" i="9"/>
  <c r="D50" i="9"/>
  <c r="F47" i="9"/>
  <c r="F43" i="9"/>
  <c r="E42" i="9"/>
  <c r="D42" i="9"/>
  <c r="W46" i="9"/>
  <c r="X46" i="9"/>
  <c r="V46" i="9"/>
  <c r="V47" i="9"/>
  <c r="X47" i="9"/>
  <c r="W45" i="9"/>
  <c r="V45" i="9"/>
  <c r="X45" i="9"/>
  <c r="W47" i="9"/>
  <c r="V48" i="9"/>
  <c r="W48" i="9"/>
  <c r="Q46" i="9"/>
  <c r="O46" i="9"/>
  <c r="I53" i="9"/>
  <c r="I43" i="9"/>
  <c r="N46" i="9"/>
  <c r="M46" i="9" s="1"/>
  <c r="F15" i="9"/>
  <c r="F12" i="9"/>
  <c r="E16" i="9"/>
  <c r="F17" i="9"/>
  <c r="F13" i="9"/>
  <c r="E22" i="9"/>
  <c r="E21" i="9"/>
  <c r="E25" i="9"/>
  <c r="F26" i="9"/>
  <c r="U25" i="9"/>
  <c r="W24" i="9"/>
  <c r="X16" i="9"/>
  <c r="F24" i="9"/>
  <c r="F23" i="9"/>
  <c r="D10" i="9"/>
  <c r="E10" i="9"/>
  <c r="I25" i="9"/>
  <c r="U16" i="9"/>
  <c r="I27" i="9"/>
  <c r="W15" i="9"/>
  <c r="W14" i="9"/>
  <c r="I16" i="9"/>
  <c r="V14" i="9"/>
  <c r="W16" i="9"/>
  <c r="V16" i="9"/>
  <c r="V15" i="9"/>
  <c r="X14" i="9"/>
  <c r="X25" i="9"/>
  <c r="W25" i="9"/>
  <c r="V25" i="9"/>
  <c r="I23" i="9"/>
  <c r="V24" i="9"/>
  <c r="X15" i="9"/>
  <c r="V26" i="9"/>
  <c r="X24" i="9"/>
  <c r="X26" i="9"/>
  <c r="I24" i="9"/>
  <c r="W26" i="9"/>
  <c r="I17" i="9"/>
  <c r="X13" i="9"/>
  <c r="W13" i="9"/>
  <c r="U14" i="9"/>
  <c r="V13" i="9"/>
  <c r="X11" i="9"/>
  <c r="V11" i="9"/>
  <c r="U11" i="9"/>
  <c r="W11" i="9"/>
  <c r="E6" i="10"/>
  <c r="F6" i="10" s="1"/>
  <c r="E7" i="10"/>
  <c r="F7" i="10" s="1"/>
  <c r="E8" i="10"/>
  <c r="E9" i="10"/>
  <c r="E10" i="10"/>
  <c r="E11" i="10"/>
  <c r="E12" i="10"/>
  <c r="E13" i="10"/>
  <c r="E14" i="10"/>
  <c r="E15" i="10"/>
  <c r="E16" i="10"/>
  <c r="E5" i="10"/>
  <c r="F29" i="8"/>
  <c r="E29" i="8"/>
  <c r="E28" i="8"/>
  <c r="E27" i="8"/>
  <c r="E24" i="8"/>
  <c r="E26" i="8"/>
  <c r="E25" i="8"/>
  <c r="F7" i="4"/>
  <c r="F6" i="4"/>
  <c r="F5" i="4"/>
  <c r="E7" i="4"/>
  <c r="E6" i="4"/>
  <c r="E5" i="4"/>
  <c r="F10" i="4" s="1"/>
  <c r="H19" i="11" l="1"/>
  <c r="D18" i="9"/>
  <c r="E18" i="9"/>
  <c r="D27" i="9"/>
  <c r="E27" i="9"/>
  <c r="D29" i="9"/>
  <c r="E29" i="9"/>
  <c r="D53" i="9"/>
  <c r="D28" i="9"/>
  <c r="E28" i="9"/>
  <c r="D54" i="9"/>
  <c r="E54" i="9"/>
  <c r="K19" i="11"/>
  <c r="F21" i="11" s="1"/>
  <c r="F88" i="11" s="1"/>
  <c r="O88" i="11" s="1"/>
  <c r="Z88" i="11" s="1"/>
  <c r="V335" i="11"/>
  <c r="AF335" i="11" s="1"/>
  <c r="V292" i="11"/>
  <c r="AF292" i="11" s="1"/>
  <c r="V225" i="11"/>
  <c r="AF225" i="11" s="1"/>
  <c r="V411" i="11"/>
  <c r="AF411" i="11" s="1"/>
  <c r="V378" i="11"/>
  <c r="AF378" i="11" s="1"/>
  <c r="V76" i="11"/>
  <c r="AF76" i="11" s="1"/>
  <c r="V322" i="11"/>
  <c r="AF322" i="11" s="1"/>
  <c r="V162" i="11"/>
  <c r="AF162" i="11" s="1"/>
  <c r="V212" i="11"/>
  <c r="AF212" i="11" s="1"/>
  <c r="V172" i="11"/>
  <c r="AF172" i="11" s="1"/>
  <c r="V422" i="11"/>
  <c r="AF422" i="11" s="1"/>
  <c r="V318" i="11"/>
  <c r="AF318" i="11" s="1"/>
  <c r="V111" i="11"/>
  <c r="AF111" i="11" s="1"/>
  <c r="V367" i="11"/>
  <c r="AF367" i="11" s="1"/>
  <c r="V347" i="11"/>
  <c r="AF347" i="11" s="1"/>
  <c r="V122" i="11"/>
  <c r="AF122" i="11" s="1"/>
  <c r="V272" i="11"/>
  <c r="AF272" i="11" s="1"/>
  <c r="V166" i="11"/>
  <c r="AF166" i="11" s="1"/>
  <c r="V183" i="11"/>
  <c r="AF183" i="11" s="1"/>
  <c r="V34" i="11"/>
  <c r="AF34" i="11" s="1"/>
  <c r="V39" i="11"/>
  <c r="AF39" i="11" s="1"/>
  <c r="V188" i="11"/>
  <c r="AF188" i="11" s="1"/>
  <c r="V207" i="11"/>
  <c r="AF207" i="11" s="1"/>
  <c r="V189" i="11"/>
  <c r="AF189" i="11" s="1"/>
  <c r="V168" i="11"/>
  <c r="AF168" i="11" s="1"/>
  <c r="V196" i="11"/>
  <c r="AF196" i="11" s="1"/>
  <c r="V109" i="11"/>
  <c r="AF109" i="11" s="1"/>
  <c r="V205" i="11"/>
  <c r="AF205" i="11" s="1"/>
  <c r="V115" i="11"/>
  <c r="AF115" i="11" s="1"/>
  <c r="V262" i="11"/>
  <c r="AF262" i="11" s="1"/>
  <c r="V33" i="11"/>
  <c r="AF33" i="11" s="1"/>
  <c r="V270" i="11"/>
  <c r="AF270" i="11" s="1"/>
  <c r="V393" i="11"/>
  <c r="AF393" i="11" s="1"/>
  <c r="Y195" i="11"/>
  <c r="V321" i="11"/>
  <c r="AF321" i="11" s="1"/>
  <c r="V376" i="11"/>
  <c r="AF376" i="11" s="1"/>
  <c r="V444" i="11"/>
  <c r="AF444" i="11" s="1"/>
  <c r="V94" i="11"/>
  <c r="AF94" i="11" s="1"/>
  <c r="K127" i="11"/>
  <c r="K132" i="11" s="1"/>
  <c r="F134" i="11" s="1"/>
  <c r="J132" i="11"/>
  <c r="H132" i="11"/>
  <c r="V178" i="11"/>
  <c r="AF178" i="11" s="1"/>
  <c r="V308" i="11"/>
  <c r="AF308" i="11" s="1"/>
  <c r="V373" i="11"/>
  <c r="AF373" i="11" s="1"/>
  <c r="Y288" i="11"/>
  <c r="V432" i="11"/>
  <c r="AF432" i="11" s="1"/>
  <c r="V157" i="11"/>
  <c r="AF157" i="11" s="1"/>
  <c r="V307" i="11"/>
  <c r="AF307" i="11" s="1"/>
  <c r="V42" i="11"/>
  <c r="AF42" i="11" s="1"/>
  <c r="V271" i="11"/>
  <c r="AF271" i="11" s="1"/>
  <c r="V182" i="11"/>
  <c r="AF182" i="11" s="1"/>
  <c r="V37" i="11"/>
  <c r="AF37" i="11" s="1"/>
  <c r="V41" i="11"/>
  <c r="AF41" i="11" s="1"/>
  <c r="V259" i="11"/>
  <c r="AF259" i="11" s="1"/>
  <c r="V51" i="11"/>
  <c r="AF51" i="11" s="1"/>
  <c r="V301" i="11"/>
  <c r="AF301" i="11" s="1"/>
  <c r="V316" i="11"/>
  <c r="AF316" i="11" s="1"/>
  <c r="V349" i="11"/>
  <c r="AF349" i="11" s="1"/>
  <c r="V97" i="11"/>
  <c r="AF97" i="11" s="1"/>
  <c r="V304" i="11"/>
  <c r="AF304" i="11" s="1"/>
  <c r="V117" i="11"/>
  <c r="AF117" i="11" s="1"/>
  <c r="V439" i="11"/>
  <c r="AF439" i="11" s="1"/>
  <c r="V155" i="11"/>
  <c r="AF155" i="11" s="1"/>
  <c r="V253" i="11"/>
  <c r="AF253" i="11" s="1"/>
  <c r="V202" i="11"/>
  <c r="AF202" i="11" s="1"/>
  <c r="V72" i="11"/>
  <c r="AF72" i="11" s="1"/>
  <c r="V369" i="11"/>
  <c r="AF369" i="11" s="1"/>
  <c r="V385" i="11"/>
  <c r="AF385" i="11" s="1"/>
  <c r="V412" i="11"/>
  <c r="AF412" i="11" s="1"/>
  <c r="V294" i="11"/>
  <c r="AF294" i="11" s="1"/>
  <c r="V29" i="11"/>
  <c r="AF29" i="11" s="1"/>
  <c r="V116" i="11"/>
  <c r="AF116" i="11" s="1"/>
  <c r="V87" i="11"/>
  <c r="AF87" i="11" s="1"/>
  <c r="V218" i="11"/>
  <c r="AF218" i="11" s="1"/>
  <c r="V145" i="11"/>
  <c r="AF145" i="11" s="1"/>
  <c r="V113" i="11"/>
  <c r="AF113" i="11" s="1"/>
  <c r="V337" i="11"/>
  <c r="AF337" i="11" s="1"/>
  <c r="Y297" i="11"/>
  <c r="V234" i="11"/>
  <c r="AF234" i="11" s="1"/>
  <c r="V258" i="11"/>
  <c r="AF258" i="11" s="1"/>
  <c r="V377" i="11"/>
  <c r="AF377" i="11" s="1"/>
  <c r="V222" i="11"/>
  <c r="AF222" i="11" s="1"/>
  <c r="Y159" i="11"/>
  <c r="V67" i="11"/>
  <c r="AF67" i="11" s="1"/>
  <c r="V435" i="11"/>
  <c r="AF435" i="11" s="1"/>
  <c r="V319" i="11"/>
  <c r="AF319" i="11" s="1"/>
  <c r="V374" i="11"/>
  <c r="AF374" i="11" s="1"/>
  <c r="V230" i="11"/>
  <c r="AF230" i="11" s="1"/>
  <c r="V173" i="11"/>
  <c r="AF173" i="11" s="1"/>
  <c r="V383" i="11"/>
  <c r="AF383" i="11" s="1"/>
  <c r="V43" i="11"/>
  <c r="AF43" i="11" s="1"/>
  <c r="V275" i="11"/>
  <c r="AF275" i="11" s="1"/>
  <c r="V424" i="11"/>
  <c r="AF424" i="11" s="1"/>
  <c r="V224" i="11"/>
  <c r="AF224" i="11" s="1"/>
  <c r="V169" i="11"/>
  <c r="AF169" i="11" s="1"/>
  <c r="V226" i="11"/>
  <c r="AF226" i="11" s="1"/>
  <c r="V281" i="11"/>
  <c r="AF281" i="11" s="1"/>
  <c r="V417" i="11"/>
  <c r="AF417" i="11" s="1"/>
  <c r="V255" i="11"/>
  <c r="AF255" i="11" s="1"/>
  <c r="Y179" i="11"/>
  <c r="V458" i="11"/>
  <c r="AF458" i="11" s="1"/>
  <c r="V447" i="11"/>
  <c r="AF447" i="11" s="1"/>
  <c r="V49" i="11"/>
  <c r="AF49" i="11" s="1"/>
  <c r="V371" i="11"/>
  <c r="AF371" i="11" s="1"/>
  <c r="V79" i="11"/>
  <c r="AF79" i="11" s="1"/>
  <c r="V192" i="11"/>
  <c r="AF192" i="11" s="1"/>
  <c r="V401" i="11"/>
  <c r="AF401" i="11" s="1"/>
  <c r="V257" i="11"/>
  <c r="AF257" i="11" s="1"/>
  <c r="V395" i="11"/>
  <c r="AF395" i="11" s="1"/>
  <c r="V144" i="11"/>
  <c r="AF144" i="11" s="1"/>
  <c r="V380" i="11"/>
  <c r="AF380" i="11" s="1"/>
  <c r="V326" i="11"/>
  <c r="AF326" i="11" s="1"/>
  <c r="V313" i="11"/>
  <c r="AF313" i="11" s="1"/>
  <c r="V139" i="11"/>
  <c r="AF139" i="11" s="1"/>
  <c r="V160" i="11"/>
  <c r="AF160" i="11" s="1"/>
  <c r="V216" i="11"/>
  <c r="AF216" i="11" s="1"/>
  <c r="Y204" i="11"/>
  <c r="V413" i="11"/>
  <c r="AF413" i="11" s="1"/>
  <c r="V103" i="11"/>
  <c r="AF103" i="11" s="1"/>
  <c r="Y187" i="11"/>
  <c r="V142" i="11"/>
  <c r="AF142" i="11" s="1"/>
  <c r="V260" i="11"/>
  <c r="AF260" i="11" s="1"/>
  <c r="V232" i="11"/>
  <c r="AF232" i="11" s="1"/>
  <c r="Y184" i="11"/>
  <c r="V70" i="11"/>
  <c r="AF70" i="11" s="1"/>
  <c r="V457" i="11"/>
  <c r="AF457" i="11" s="1"/>
  <c r="V363" i="11"/>
  <c r="AF363" i="11" s="1"/>
  <c r="V71" i="11"/>
  <c r="AF71" i="11" s="1"/>
  <c r="V66" i="11"/>
  <c r="AF66" i="11" s="1"/>
  <c r="V389" i="11"/>
  <c r="AF389" i="11" s="1"/>
  <c r="Y209" i="11"/>
  <c r="V454" i="11"/>
  <c r="AF454" i="11" s="1"/>
  <c r="V152" i="11"/>
  <c r="AF152" i="11" s="1"/>
  <c r="V283" i="11"/>
  <c r="AF283" i="11" s="1"/>
  <c r="V228" i="11"/>
  <c r="AF228" i="11" s="1"/>
  <c r="V198" i="11"/>
  <c r="AF198" i="11" s="1"/>
  <c r="V425" i="11"/>
  <c r="AF425" i="11" s="1"/>
  <c r="V251" i="11"/>
  <c r="AF251" i="11" s="1"/>
  <c r="V161" i="11"/>
  <c r="AF161" i="11" s="1"/>
  <c r="V421" i="11"/>
  <c r="AF421" i="11" s="1"/>
  <c r="V229" i="11"/>
  <c r="AF229" i="11" s="1"/>
  <c r="V36" i="11"/>
  <c r="AF36" i="11" s="1"/>
  <c r="V57" i="11"/>
  <c r="AF57" i="11" s="1"/>
  <c r="V180" i="11"/>
  <c r="AF180" i="11" s="1"/>
  <c r="V410" i="11"/>
  <c r="AF410" i="11" s="1"/>
  <c r="V265" i="11"/>
  <c r="AF265" i="11" s="1"/>
  <c r="V252" i="11"/>
  <c r="AF252" i="11" s="1"/>
  <c r="V279" i="11"/>
  <c r="AF279" i="11" s="1"/>
  <c r="V123" i="11"/>
  <c r="AF123" i="11" s="1"/>
  <c r="V193" i="11"/>
  <c r="AF193" i="11" s="1"/>
  <c r="V69" i="11"/>
  <c r="AF69" i="11" s="1"/>
  <c r="V215" i="11"/>
  <c r="AF215" i="11" s="1"/>
  <c r="V436" i="11"/>
  <c r="AF436" i="11" s="1"/>
  <c r="V81" i="11"/>
  <c r="AF81" i="11" s="1"/>
  <c r="V63" i="11"/>
  <c r="AF63" i="11" s="1"/>
  <c r="V149" i="11"/>
  <c r="AF149" i="11" s="1"/>
  <c r="V82" i="11"/>
  <c r="AF82" i="11" s="1"/>
  <c r="V339" i="11"/>
  <c r="AF339" i="11" s="1"/>
  <c r="V311" i="11"/>
  <c r="AF311" i="11" s="1"/>
  <c r="V118" i="11"/>
  <c r="AF118" i="11" s="1"/>
  <c r="V334" i="11"/>
  <c r="AF334" i="11" s="1"/>
  <c r="V143" i="11"/>
  <c r="AF143" i="11" s="1"/>
  <c r="V236" i="11"/>
  <c r="AF236" i="11" s="1"/>
  <c r="V62" i="11"/>
  <c r="AF62" i="11" s="1"/>
  <c r="V73" i="11"/>
  <c r="AF73" i="11" s="1"/>
  <c r="V181" i="11"/>
  <c r="AF181" i="11" s="1"/>
  <c r="V287" i="11"/>
  <c r="AF287" i="11" s="1"/>
  <c r="Y227" i="11"/>
  <c r="V312" i="11"/>
  <c r="AF312" i="11" s="1"/>
  <c r="V419" i="11"/>
  <c r="AF419" i="11" s="1"/>
  <c r="V370" i="11"/>
  <c r="AF370" i="11" s="1"/>
  <c r="V38" i="11"/>
  <c r="AF38" i="11" s="1"/>
  <c r="V426" i="11"/>
  <c r="AF426" i="11" s="1"/>
  <c r="Y328" i="11"/>
  <c r="V429" i="11"/>
  <c r="AF429" i="11" s="1"/>
  <c r="V65" i="11"/>
  <c r="AF65" i="11" s="1"/>
  <c r="V194" i="11"/>
  <c r="AF194" i="11" s="1"/>
  <c r="V391" i="11"/>
  <c r="AF391" i="11" s="1"/>
  <c r="V40" i="11"/>
  <c r="AF40" i="11" s="1"/>
  <c r="V273" i="11"/>
  <c r="AF273" i="11" s="1"/>
  <c r="V388" i="11"/>
  <c r="AF388" i="11" s="1"/>
  <c r="V83" i="11"/>
  <c r="AF83" i="11" s="1"/>
  <c r="V450" i="11"/>
  <c r="AF450" i="11" s="1"/>
  <c r="V368" i="11"/>
  <c r="AF368" i="11" s="1"/>
  <c r="V197" i="11"/>
  <c r="AF197" i="11" s="1"/>
  <c r="V105" i="11"/>
  <c r="AF105" i="11" s="1"/>
  <c r="V121" i="11"/>
  <c r="AF121" i="11" s="1"/>
  <c r="V171" i="11"/>
  <c r="AF171" i="11" s="1"/>
  <c r="V93" i="11"/>
  <c r="AF93" i="11" s="1"/>
  <c r="V394" i="11"/>
  <c r="AF394" i="11" s="1"/>
  <c r="V381" i="11"/>
  <c r="AF381" i="11" s="1"/>
  <c r="V190" i="11"/>
  <c r="AF190" i="11" s="1"/>
  <c r="V150" i="11"/>
  <c r="AF150" i="11" s="1"/>
  <c r="V324" i="11"/>
  <c r="AF324" i="11" s="1"/>
  <c r="Y167" i="11"/>
  <c r="V445" i="11"/>
  <c r="AF445" i="11" s="1"/>
  <c r="V210" i="11"/>
  <c r="AF210" i="11" s="1"/>
  <c r="V206" i="11"/>
  <c r="AF206" i="11" s="1"/>
  <c r="V414" i="11"/>
  <c r="AF414" i="11" s="1"/>
  <c r="V233" i="11"/>
  <c r="AF233" i="11" s="1"/>
  <c r="V88" i="11"/>
  <c r="AF88" i="11" s="1"/>
  <c r="V438" i="11"/>
  <c r="AF438" i="11" s="1"/>
  <c r="V156" i="11"/>
  <c r="AF156" i="11" s="1"/>
  <c r="V396" i="11"/>
  <c r="AF396" i="11" s="1"/>
  <c r="V91" i="11"/>
  <c r="AF91" i="11" s="1"/>
  <c r="V346" i="11"/>
  <c r="AF346" i="11" s="1"/>
  <c r="V437" i="11"/>
  <c r="AF437" i="11" s="1"/>
  <c r="V386" i="11"/>
  <c r="AF386" i="11" s="1"/>
  <c r="V427" i="11"/>
  <c r="AF427" i="11" s="1"/>
  <c r="H243" i="11"/>
  <c r="V90" i="11"/>
  <c r="AF90" i="11" s="1"/>
  <c r="V336" i="11"/>
  <c r="AF336" i="11" s="1"/>
  <c r="V452" i="11"/>
  <c r="AF452" i="11" s="1"/>
  <c r="V146" i="11"/>
  <c r="AF146" i="11" s="1"/>
  <c r="V99" i="11"/>
  <c r="AF99" i="11" s="1"/>
  <c r="V446" i="11"/>
  <c r="AF446" i="11" s="1"/>
  <c r="V317" i="11"/>
  <c r="AF317" i="11" s="1"/>
  <c r="V387" i="11"/>
  <c r="AF387" i="11" s="1"/>
  <c r="V114" i="11"/>
  <c r="AF114" i="11" s="1"/>
  <c r="V314" i="11"/>
  <c r="AF314" i="11" s="1"/>
  <c r="V263" i="11"/>
  <c r="AF263" i="11" s="1"/>
  <c r="V154" i="11"/>
  <c r="AF154" i="11" s="1"/>
  <c r="H244" i="11"/>
  <c r="H354" i="11"/>
  <c r="V47" i="11"/>
  <c r="AF47" i="11" s="1"/>
  <c r="V431" i="11"/>
  <c r="AF431" i="11" s="1"/>
  <c r="V449" i="11"/>
  <c r="AF449" i="11" s="1"/>
  <c r="V119" i="11"/>
  <c r="AF119" i="11" s="1"/>
  <c r="V392" i="11"/>
  <c r="AF392" i="11" s="1"/>
  <c r="V201" i="11"/>
  <c r="AF201" i="11" s="1"/>
  <c r="V384" i="11"/>
  <c r="AF384" i="11" s="1"/>
  <c r="V101" i="11"/>
  <c r="AF101" i="11" s="1"/>
  <c r="V185" i="11"/>
  <c r="AF185" i="11" s="1"/>
  <c r="V416" i="11"/>
  <c r="AF416" i="11" s="1"/>
  <c r="V309" i="11"/>
  <c r="AF309" i="11" s="1"/>
  <c r="V333" i="11"/>
  <c r="AF333" i="11" s="1"/>
  <c r="V402" i="11"/>
  <c r="AF402" i="11" s="1"/>
  <c r="V30" i="11"/>
  <c r="AF30" i="11" s="1"/>
  <c r="V400" i="11"/>
  <c r="AF400" i="11" s="1"/>
  <c r="V375" i="11"/>
  <c r="AF375" i="11" s="1"/>
  <c r="V299" i="11"/>
  <c r="AF299" i="11" s="1"/>
  <c r="V397" i="11"/>
  <c r="AF397" i="11" s="1"/>
  <c r="V448" i="11"/>
  <c r="AF448" i="11" s="1"/>
  <c r="H356" i="11"/>
  <c r="V302" i="11"/>
  <c r="AF302" i="11" s="1"/>
  <c r="V341" i="11"/>
  <c r="AF341" i="11" s="1"/>
  <c r="V27" i="11"/>
  <c r="AF27" i="11" s="1"/>
  <c r="V285" i="11"/>
  <c r="AF285" i="11" s="1"/>
  <c r="V274" i="11"/>
  <c r="AF274" i="11" s="1"/>
  <c r="V456" i="11"/>
  <c r="AF456" i="11" s="1"/>
  <c r="V102" i="11"/>
  <c r="AF102" i="11" s="1"/>
  <c r="V418" i="11"/>
  <c r="AF418" i="11" s="1"/>
  <c r="V398" i="11"/>
  <c r="AF398" i="11" s="1"/>
  <c r="V269" i="11"/>
  <c r="AF269" i="11" s="1"/>
  <c r="V338" i="11"/>
  <c r="AF338" i="11" s="1"/>
  <c r="V221" i="11"/>
  <c r="AF221" i="11" s="1"/>
  <c r="V390" i="11"/>
  <c r="AF390" i="11" s="1"/>
  <c r="V440" i="11"/>
  <c r="AF440" i="11" s="1"/>
  <c r="Y434" i="11"/>
  <c r="V86" i="11"/>
  <c r="AF86" i="11" s="1"/>
  <c r="V106" i="11"/>
  <c r="AF106" i="11" s="1"/>
  <c r="Y176" i="11"/>
  <c r="V223" i="11"/>
  <c r="AF223" i="11" s="1"/>
  <c r="V443" i="11"/>
  <c r="AF443" i="11" s="1"/>
  <c r="V345" i="11"/>
  <c r="AF345" i="11" s="1"/>
  <c r="V310" i="11"/>
  <c r="AF310" i="11" s="1"/>
  <c r="V382" i="11"/>
  <c r="AF382" i="11" s="1"/>
  <c r="V137" i="11"/>
  <c r="AF137" i="11" s="1"/>
  <c r="V340" i="11"/>
  <c r="AF340" i="11" s="1"/>
  <c r="V408" i="11"/>
  <c r="AF408" i="11" s="1"/>
  <c r="V58" i="11"/>
  <c r="AF58" i="11" s="1"/>
  <c r="V348" i="11"/>
  <c r="AF348" i="11" s="1"/>
  <c r="V305" i="11"/>
  <c r="AF305" i="11" s="1"/>
  <c r="V405" i="11"/>
  <c r="AF405" i="11" s="1"/>
  <c r="Y256" i="11"/>
  <c r="V46" i="11"/>
  <c r="AF46" i="11" s="1"/>
  <c r="V108" i="11"/>
  <c r="AF108" i="11" s="1"/>
  <c r="V170" i="11"/>
  <c r="AF170" i="11" s="1"/>
  <c r="V78" i="11"/>
  <c r="AF78" i="11" s="1"/>
  <c r="V74" i="11"/>
  <c r="AF74" i="11" s="1"/>
  <c r="H355" i="11"/>
  <c r="V298" i="11"/>
  <c r="AF298" i="11" s="1"/>
  <c r="V455" i="11"/>
  <c r="AF455" i="11" s="1"/>
  <c r="V141" i="11"/>
  <c r="AF141" i="11" s="1"/>
  <c r="V379" i="11"/>
  <c r="AF379" i="11" s="1"/>
  <c r="V100" i="11"/>
  <c r="AF100" i="11" s="1"/>
  <c r="V428" i="11"/>
  <c r="AF428" i="11" s="1"/>
  <c r="V203" i="11"/>
  <c r="AF203" i="11" s="1"/>
  <c r="V104" i="11"/>
  <c r="AF104" i="11" s="1"/>
  <c r="V461" i="11"/>
  <c r="AF461" i="11" s="1"/>
  <c r="V220" i="11"/>
  <c r="AF220" i="11" s="1"/>
  <c r="V120" i="11"/>
  <c r="AF120" i="11" s="1"/>
  <c r="V267" i="11"/>
  <c r="AF267" i="11" s="1"/>
  <c r="V98" i="11"/>
  <c r="AF98" i="11" s="1"/>
  <c r="V56" i="11"/>
  <c r="AF56" i="11" s="1"/>
  <c r="V148" i="11"/>
  <c r="AF148" i="11" s="1"/>
  <c r="V284" i="11"/>
  <c r="AF284" i="11" s="1"/>
  <c r="V293" i="11"/>
  <c r="AF293" i="11" s="1"/>
  <c r="Y293" i="11"/>
  <c r="V451" i="11"/>
  <c r="AF451" i="11" s="1"/>
  <c r="V199" i="11"/>
  <c r="AF199" i="11" s="1"/>
  <c r="V291" i="11"/>
  <c r="AF291" i="11" s="1"/>
  <c r="Y235" i="11"/>
  <c r="V164" i="11"/>
  <c r="AF164" i="11" s="1"/>
  <c r="V26" i="11"/>
  <c r="AF26" i="11" s="1"/>
  <c r="V268" i="11"/>
  <c r="AF268" i="11" s="1"/>
  <c r="V186" i="11"/>
  <c r="AF186" i="11" s="1"/>
  <c r="V406" i="11"/>
  <c r="AF406" i="11" s="1"/>
  <c r="V32" i="11"/>
  <c r="AF32" i="11" s="1"/>
  <c r="V54" i="11"/>
  <c r="AF54" i="11" s="1"/>
  <c r="V303" i="11"/>
  <c r="AF303" i="11" s="1"/>
  <c r="V289" i="11"/>
  <c r="AF289" i="11" s="1"/>
  <c r="V110" i="11"/>
  <c r="AF110" i="11" s="1"/>
  <c r="V231" i="11"/>
  <c r="AF231" i="11" s="1"/>
  <c r="V330" i="11"/>
  <c r="AF330" i="11" s="1"/>
  <c r="V52" i="11"/>
  <c r="AF52" i="11" s="1"/>
  <c r="V60" i="11"/>
  <c r="AF60" i="11" s="1"/>
  <c r="N48" i="11"/>
  <c r="Y48" i="11" s="1"/>
  <c r="V112" i="11"/>
  <c r="AF112" i="11" s="1"/>
  <c r="V80" i="11"/>
  <c r="AF80" i="11" s="1"/>
  <c r="V217" i="11"/>
  <c r="AF217" i="11" s="1"/>
  <c r="V92" i="11"/>
  <c r="AF92" i="11" s="1"/>
  <c r="V433" i="11"/>
  <c r="AF433" i="11" s="1"/>
  <c r="V430" i="11"/>
  <c r="AF430" i="11" s="1"/>
  <c r="V404" i="11"/>
  <c r="AF404" i="11" s="1"/>
  <c r="V138" i="11"/>
  <c r="AF138" i="11" s="1"/>
  <c r="V409" i="11"/>
  <c r="AF409" i="11" s="1"/>
  <c r="V306" i="11"/>
  <c r="AF306" i="11" s="1"/>
  <c r="V208" i="11"/>
  <c r="AF208" i="11" s="1"/>
  <c r="V191" i="11"/>
  <c r="AF191" i="11" s="1"/>
  <c r="V64" i="11"/>
  <c r="AF64" i="11" s="1"/>
  <c r="V35" i="11"/>
  <c r="AF35" i="11" s="1"/>
  <c r="Y151" i="11"/>
  <c r="V153" i="11"/>
  <c r="AF153" i="11" s="1"/>
  <c r="V286" i="11"/>
  <c r="AF286" i="11" s="1"/>
  <c r="V403" i="11"/>
  <c r="AF403" i="11" s="1"/>
  <c r="V296" i="11"/>
  <c r="AF296" i="11" s="1"/>
  <c r="N61" i="11"/>
  <c r="Y61" i="11" s="1"/>
  <c r="V75" i="11"/>
  <c r="AF75" i="11" s="1"/>
  <c r="V366" i="11"/>
  <c r="AF366" i="11" s="1"/>
  <c r="V140" i="11"/>
  <c r="AF140" i="11" s="1"/>
  <c r="V200" i="11"/>
  <c r="AF200" i="11" s="1"/>
  <c r="V282" i="11"/>
  <c r="AF282" i="11" s="1"/>
  <c r="V175" i="11"/>
  <c r="AF175" i="11" s="1"/>
  <c r="V280" i="11"/>
  <c r="AF280" i="11" s="1"/>
  <c r="V344" i="11"/>
  <c r="AF344" i="11" s="1"/>
  <c r="V264" i="11"/>
  <c r="AF264" i="11" s="1"/>
  <c r="Y147" i="11"/>
  <c r="V442" i="11"/>
  <c r="AF442" i="11" s="1"/>
  <c r="V320" i="11"/>
  <c r="AF320" i="11" s="1"/>
  <c r="V278" i="11"/>
  <c r="AF278" i="11" s="1"/>
  <c r="V331" i="11"/>
  <c r="AF331" i="11" s="1"/>
  <c r="V158" i="11"/>
  <c r="AF158" i="11" s="1"/>
  <c r="V68" i="11"/>
  <c r="AF68" i="11" s="1"/>
  <c r="V84" i="11"/>
  <c r="AF84" i="11" s="1"/>
  <c r="V453" i="11"/>
  <c r="AF453" i="11" s="1"/>
  <c r="V420" i="11"/>
  <c r="AF420" i="11" s="1"/>
  <c r="V261" i="11"/>
  <c r="AF261" i="11" s="1"/>
  <c r="V329" i="11"/>
  <c r="AF329" i="11" s="1"/>
  <c r="N332" i="11"/>
  <c r="Y332" i="11" s="1"/>
  <c r="V85" i="11"/>
  <c r="AF85" i="11" s="1"/>
  <c r="V96" i="11"/>
  <c r="AF96" i="11" s="1"/>
  <c r="V423" i="11"/>
  <c r="AF423" i="11" s="1"/>
  <c r="V295" i="11"/>
  <c r="AF295" i="11" s="1"/>
  <c r="V342" i="11"/>
  <c r="AF342" i="11" s="1"/>
  <c r="V177" i="11"/>
  <c r="AF177" i="11" s="1"/>
  <c r="V25" i="11"/>
  <c r="AF25" i="11" s="1"/>
  <c r="V213" i="11"/>
  <c r="AF213" i="11" s="1"/>
  <c r="V24" i="11"/>
  <c r="AF24" i="11" s="1"/>
  <c r="V254" i="11"/>
  <c r="AF254" i="11" s="1"/>
  <c r="V53" i="11"/>
  <c r="AF53" i="11" s="1"/>
  <c r="V45" i="11"/>
  <c r="AF45" i="11" s="1"/>
  <c r="N343" i="11"/>
  <c r="Y343" i="11" s="1"/>
  <c r="N323" i="11"/>
  <c r="Y323" i="11" s="1"/>
  <c r="N372" i="11"/>
  <c r="Y372" i="11" s="1"/>
  <c r="N50" i="11"/>
  <c r="Y50" i="11" s="1"/>
  <c r="N441" i="11"/>
  <c r="Y441" i="11" s="1"/>
  <c r="N211" i="11"/>
  <c r="Y211" i="11" s="1"/>
  <c r="N462" i="11"/>
  <c r="Y462" i="11" s="1"/>
  <c r="N415" i="11"/>
  <c r="Y415" i="11" s="1"/>
  <c r="N277" i="11"/>
  <c r="Y277" i="11" s="1"/>
  <c r="N163" i="11"/>
  <c r="Y163" i="11" s="1"/>
  <c r="V44" i="11"/>
  <c r="AF44" i="11" s="1"/>
  <c r="V365" i="11"/>
  <c r="AF365" i="11" s="1"/>
  <c r="V219" i="11"/>
  <c r="AF219" i="11" s="1"/>
  <c r="N95" i="11"/>
  <c r="Y95" i="11" s="1"/>
  <c r="N300" i="11"/>
  <c r="Y300" i="11" s="1"/>
  <c r="N290" i="11"/>
  <c r="Y290" i="11" s="1"/>
  <c r="N28" i="11"/>
  <c r="Y28" i="11" s="1"/>
  <c r="N55" i="11"/>
  <c r="Y55" i="11" s="1"/>
  <c r="N266" i="11"/>
  <c r="Y266" i="11" s="1"/>
  <c r="V364" i="11"/>
  <c r="AF364" i="11" s="1"/>
  <c r="V325" i="11"/>
  <c r="AF325" i="11" s="1"/>
  <c r="V460" i="11"/>
  <c r="AF460" i="11" s="1"/>
  <c r="V174" i="11"/>
  <c r="AF174" i="11" s="1"/>
  <c r="V214" i="11"/>
  <c r="AF214" i="11" s="1"/>
  <c r="V327" i="11"/>
  <c r="AF327" i="11" s="1"/>
  <c r="V407" i="11"/>
  <c r="AF407" i="11" s="1"/>
  <c r="S67" i="2"/>
  <c r="D48" i="9"/>
  <c r="E44" i="9"/>
  <c r="D44" i="9"/>
  <c r="D49" i="9"/>
  <c r="E49" i="9"/>
  <c r="D43" i="9"/>
  <c r="E43" i="9"/>
  <c r="E45" i="9"/>
  <c r="D45" i="9"/>
  <c r="L46" i="9"/>
  <c r="E47" i="9"/>
  <c r="D47" i="9"/>
  <c r="D13" i="9"/>
  <c r="E13" i="9"/>
  <c r="D17" i="9"/>
  <c r="E17" i="9"/>
  <c r="E12" i="9"/>
  <c r="D12" i="9"/>
  <c r="D15" i="9"/>
  <c r="E15" i="9"/>
  <c r="D23" i="9"/>
  <c r="E23" i="9"/>
  <c r="E26" i="9"/>
  <c r="D26" i="9"/>
  <c r="E24" i="9"/>
  <c r="D24" i="9"/>
  <c r="F14" i="10"/>
  <c r="F13" i="10"/>
  <c r="F11" i="10"/>
  <c r="F9" i="10"/>
  <c r="F12" i="10"/>
  <c r="F16" i="10"/>
  <c r="F15" i="10"/>
  <c r="F10" i="10"/>
  <c r="F8" i="10"/>
  <c r="F5" i="10"/>
  <c r="H23" i="2"/>
  <c r="H24" i="2"/>
  <c r="G23" i="2"/>
  <c r="E18" i="3"/>
  <c r="F18" i="3"/>
  <c r="G18" i="3"/>
  <c r="E19" i="3"/>
  <c r="F19" i="3"/>
  <c r="G19" i="3"/>
  <c r="E20" i="3"/>
  <c r="F20" i="3"/>
  <c r="G20" i="3"/>
  <c r="E21" i="3"/>
  <c r="F21" i="3"/>
  <c r="G21" i="3"/>
  <c r="G24" i="3" s="1"/>
  <c r="F17" i="3"/>
  <c r="G17" i="3"/>
  <c r="E17" i="3"/>
  <c r="E23" i="2"/>
  <c r="N6" i="8"/>
  <c r="N7" i="8"/>
  <c r="N8" i="8"/>
  <c r="N9" i="8"/>
  <c r="N10" i="8"/>
  <c r="K6" i="8"/>
  <c r="L6" i="8"/>
  <c r="M6" i="8"/>
  <c r="K7" i="8"/>
  <c r="L7" i="8"/>
  <c r="M7" i="8"/>
  <c r="K8" i="8"/>
  <c r="L8" i="8"/>
  <c r="M8" i="8"/>
  <c r="K9" i="8"/>
  <c r="L9" i="8"/>
  <c r="M9" i="8"/>
  <c r="K10" i="8"/>
  <c r="L10" i="8"/>
  <c r="M10" i="8"/>
  <c r="L5" i="8"/>
  <c r="M5" i="8"/>
  <c r="K5" i="8"/>
  <c r="F6" i="8"/>
  <c r="G6" i="8"/>
  <c r="F7" i="8"/>
  <c r="G7" i="8"/>
  <c r="F8" i="8"/>
  <c r="G8" i="8"/>
  <c r="F9" i="8"/>
  <c r="G9" i="8"/>
  <c r="F10" i="8"/>
  <c r="G10" i="8"/>
  <c r="G5" i="8"/>
  <c r="F5" i="8"/>
  <c r="J28" i="4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Q39" i="7"/>
  <c r="R39" i="7"/>
  <c r="Q40" i="7"/>
  <c r="R40" i="7"/>
  <c r="Q41" i="7"/>
  <c r="R41" i="7"/>
  <c r="Q42" i="7"/>
  <c r="R42" i="7"/>
  <c r="Q43" i="7"/>
  <c r="R43" i="7"/>
  <c r="Q44" i="7"/>
  <c r="R44" i="7"/>
  <c r="Q45" i="7"/>
  <c r="R45" i="7"/>
  <c r="Q46" i="7"/>
  <c r="R46" i="7"/>
  <c r="Q47" i="7"/>
  <c r="R47" i="7"/>
  <c r="Q48" i="7"/>
  <c r="R48" i="7"/>
  <c r="Q49" i="7"/>
  <c r="R49" i="7"/>
  <c r="Q50" i="7"/>
  <c r="R50" i="7"/>
  <c r="Q51" i="7"/>
  <c r="R51" i="7"/>
  <c r="Q52" i="7"/>
  <c r="R52" i="7"/>
  <c r="Q53" i="7"/>
  <c r="R53" i="7"/>
  <c r="Q54" i="7"/>
  <c r="R54" i="7"/>
  <c r="Q55" i="7"/>
  <c r="R55" i="7"/>
  <c r="Q56" i="7"/>
  <c r="R56" i="7"/>
  <c r="Q57" i="7"/>
  <c r="R57" i="7"/>
  <c r="Q58" i="7"/>
  <c r="R58" i="7"/>
  <c r="Q59" i="7"/>
  <c r="R59" i="7"/>
  <c r="Q60" i="7"/>
  <c r="R60" i="7"/>
  <c r="Q61" i="7"/>
  <c r="R61" i="7"/>
  <c r="Q62" i="7"/>
  <c r="R62" i="7"/>
  <c r="Q63" i="7"/>
  <c r="R63" i="7"/>
  <c r="Q64" i="7"/>
  <c r="R64" i="7"/>
  <c r="Q65" i="7"/>
  <c r="R65" i="7"/>
  <c r="Q66" i="7"/>
  <c r="R66" i="7"/>
  <c r="Q67" i="7"/>
  <c r="R67" i="7"/>
  <c r="Q68" i="7"/>
  <c r="R68" i="7"/>
  <c r="Q69" i="7"/>
  <c r="R69" i="7"/>
  <c r="Q70" i="7"/>
  <c r="R70" i="7"/>
  <c r="Q71" i="7"/>
  <c r="R71" i="7"/>
  <c r="Q72" i="7"/>
  <c r="R72" i="7"/>
  <c r="Q73" i="7"/>
  <c r="R73" i="7"/>
  <c r="Q74" i="7"/>
  <c r="R74" i="7"/>
  <c r="Q75" i="7"/>
  <c r="R75" i="7"/>
  <c r="Q76" i="7"/>
  <c r="R76" i="7"/>
  <c r="Q77" i="7"/>
  <c r="R77" i="7"/>
  <c r="Q78" i="7"/>
  <c r="R78" i="7"/>
  <c r="Q79" i="7"/>
  <c r="R79" i="7"/>
  <c r="Q80" i="7"/>
  <c r="R80" i="7"/>
  <c r="Q81" i="7"/>
  <c r="R81" i="7"/>
  <c r="Q82" i="7"/>
  <c r="R82" i="7"/>
  <c r="Q83" i="7"/>
  <c r="R83" i="7"/>
  <c r="Q84" i="7"/>
  <c r="R84" i="7"/>
  <c r="Q85" i="7"/>
  <c r="R85" i="7"/>
  <c r="Q86" i="7"/>
  <c r="R86" i="7"/>
  <c r="Q87" i="7"/>
  <c r="R87" i="7"/>
  <c r="Q88" i="7"/>
  <c r="R88" i="7"/>
  <c r="Q89" i="7"/>
  <c r="R89" i="7"/>
  <c r="Q90" i="7"/>
  <c r="R90" i="7"/>
  <c r="Q91" i="7"/>
  <c r="R91" i="7"/>
  <c r="Q92" i="7"/>
  <c r="R92" i="7"/>
  <c r="Q93" i="7"/>
  <c r="R93" i="7"/>
  <c r="Q94" i="7"/>
  <c r="R94" i="7"/>
  <c r="Q95" i="7"/>
  <c r="R95" i="7"/>
  <c r="Q96" i="7"/>
  <c r="R96" i="7"/>
  <c r="Q97" i="7"/>
  <c r="R97" i="7"/>
  <c r="Q98" i="7"/>
  <c r="R98" i="7"/>
  <c r="Q99" i="7"/>
  <c r="R99" i="7"/>
  <c r="Q100" i="7"/>
  <c r="R100" i="7"/>
  <c r="Q101" i="7"/>
  <c r="R101" i="7"/>
  <c r="Q102" i="7"/>
  <c r="R102" i="7"/>
  <c r="Q103" i="7"/>
  <c r="R103" i="7"/>
  <c r="Q104" i="7"/>
  <c r="R104" i="7"/>
  <c r="R5" i="7"/>
  <c r="Q5" i="7"/>
  <c r="E5" i="6"/>
  <c r="E6" i="6"/>
  <c r="E7" i="6"/>
  <c r="E8" i="6"/>
  <c r="E9" i="6"/>
  <c r="E10" i="6"/>
  <c r="E11" i="6"/>
  <c r="E12" i="6"/>
  <c r="E13" i="6"/>
  <c r="E14" i="6"/>
  <c r="E4" i="6"/>
  <c r="J29" i="4"/>
  <c r="J30" i="4"/>
  <c r="J31" i="4"/>
  <c r="J32" i="4"/>
  <c r="J33" i="4"/>
  <c r="X16" i="5"/>
  <c r="W16" i="5"/>
  <c r="Z2" i="7"/>
  <c r="Y2" i="7"/>
  <c r="O3" i="7"/>
  <c r="AD13" i="5"/>
  <c r="AA11" i="4"/>
  <c r="AJ11" i="4" s="1"/>
  <c r="R44" i="9" s="1"/>
  <c r="AA12" i="4"/>
  <c r="AJ12" i="4" s="1"/>
  <c r="AA13" i="4"/>
  <c r="AJ13" i="4" s="1"/>
  <c r="AA14" i="4"/>
  <c r="AJ14" i="4" s="1"/>
  <c r="R45" i="9" s="1"/>
  <c r="AA15" i="4"/>
  <c r="AJ15" i="4" s="1"/>
  <c r="AA16" i="4"/>
  <c r="AJ16" i="4" s="1"/>
  <c r="R48" i="9" s="1"/>
  <c r="AA17" i="4"/>
  <c r="AJ17" i="4" s="1"/>
  <c r="AA18" i="4"/>
  <c r="AJ18" i="4" s="1"/>
  <c r="AA19" i="4"/>
  <c r="AJ19" i="4" s="1"/>
  <c r="AA20" i="4"/>
  <c r="AJ20" i="4" s="1"/>
  <c r="R28" i="9" s="1"/>
  <c r="AA21" i="4"/>
  <c r="AJ21" i="4" s="1"/>
  <c r="AA10" i="4"/>
  <c r="AJ10" i="4" s="1"/>
  <c r="AB11" i="4"/>
  <c r="AB12" i="4"/>
  <c r="AB13" i="4"/>
  <c r="AB14" i="4"/>
  <c r="AB15" i="4"/>
  <c r="AB16" i="4"/>
  <c r="AB17" i="4"/>
  <c r="AB18" i="4"/>
  <c r="AB19" i="4"/>
  <c r="AB20" i="4"/>
  <c r="AB21" i="4"/>
  <c r="AB10" i="4"/>
  <c r="H6" i="5"/>
  <c r="I6" i="5" s="1"/>
  <c r="H7" i="5"/>
  <c r="O8" i="5"/>
  <c r="O14" i="5" s="1"/>
  <c r="I28" i="4"/>
  <c r="F84" i="11" l="1"/>
  <c r="O84" i="11" s="1"/>
  <c r="Z84" i="11" s="1"/>
  <c r="F38" i="11"/>
  <c r="O38" i="11" s="1"/>
  <c r="Z38" i="11" s="1"/>
  <c r="F26" i="11"/>
  <c r="O26" i="11" s="1"/>
  <c r="Z26" i="11" s="1"/>
  <c r="F62" i="11"/>
  <c r="O62" i="11" s="1"/>
  <c r="Z62" i="11" s="1"/>
  <c r="F69" i="11"/>
  <c r="O69" i="11" s="1"/>
  <c r="Z69" i="11" s="1"/>
  <c r="F113" i="11"/>
  <c r="O113" i="11" s="1"/>
  <c r="Z113" i="11" s="1"/>
  <c r="F28" i="11"/>
  <c r="O28" i="11" s="1"/>
  <c r="Z28" i="11" s="1"/>
  <c r="F66" i="11"/>
  <c r="O66" i="11" s="1"/>
  <c r="Z66" i="11" s="1"/>
  <c r="F81" i="11"/>
  <c r="O81" i="11" s="1"/>
  <c r="Z81" i="11" s="1"/>
  <c r="F73" i="11"/>
  <c r="O73" i="11" s="1"/>
  <c r="Z73" i="11" s="1"/>
  <c r="F91" i="11"/>
  <c r="O91" i="11" s="1"/>
  <c r="Z91" i="11" s="1"/>
  <c r="F75" i="11"/>
  <c r="O75" i="11" s="1"/>
  <c r="Z75" i="11" s="1"/>
  <c r="F36" i="11"/>
  <c r="O36" i="11" s="1"/>
  <c r="Z36" i="11" s="1"/>
  <c r="F90" i="11"/>
  <c r="O90" i="11" s="1"/>
  <c r="Z90" i="11" s="1"/>
  <c r="F121" i="11"/>
  <c r="O121" i="11" s="1"/>
  <c r="Z121" i="11" s="1"/>
  <c r="F46" i="11"/>
  <c r="O46" i="11" s="1"/>
  <c r="Z46" i="11" s="1"/>
  <c r="F34" i="11"/>
  <c r="O34" i="11" s="1"/>
  <c r="Z34" i="11" s="1"/>
  <c r="F53" i="11"/>
  <c r="O53" i="11" s="1"/>
  <c r="Z53" i="11" s="1"/>
  <c r="F41" i="11"/>
  <c r="O41" i="11" s="1"/>
  <c r="Z41" i="11" s="1"/>
  <c r="F43" i="11"/>
  <c r="O43" i="11" s="1"/>
  <c r="Z43" i="11" s="1"/>
  <c r="F32" i="11"/>
  <c r="O32" i="11" s="1"/>
  <c r="Z32" i="11" s="1"/>
  <c r="F37" i="11"/>
  <c r="O37" i="11" s="1"/>
  <c r="Z37" i="11" s="1"/>
  <c r="F112" i="11"/>
  <c r="O112" i="11" s="1"/>
  <c r="Z112" i="11" s="1"/>
  <c r="F40" i="11"/>
  <c r="O40" i="11" s="1"/>
  <c r="Z40" i="11" s="1"/>
  <c r="F59" i="11"/>
  <c r="O59" i="11" s="1"/>
  <c r="Z59" i="11" s="1"/>
  <c r="F45" i="11"/>
  <c r="O45" i="11" s="1"/>
  <c r="Z45" i="11" s="1"/>
  <c r="F39" i="11"/>
  <c r="O39" i="11" s="1"/>
  <c r="Z39" i="11" s="1"/>
  <c r="F74" i="11"/>
  <c r="O74" i="11" s="1"/>
  <c r="Z74" i="11" s="1"/>
  <c r="F95" i="11"/>
  <c r="O95" i="11" s="1"/>
  <c r="Z95" i="11" s="1"/>
  <c r="F42" i="11"/>
  <c r="O42" i="11" s="1"/>
  <c r="Z42" i="11" s="1"/>
  <c r="F76" i="11"/>
  <c r="O76" i="11" s="1"/>
  <c r="Z76" i="11" s="1"/>
  <c r="F31" i="11"/>
  <c r="O31" i="11" s="1"/>
  <c r="Z31" i="11" s="1"/>
  <c r="F120" i="11"/>
  <c r="O120" i="11" s="1"/>
  <c r="Z120" i="11" s="1"/>
  <c r="F64" i="11"/>
  <c r="O64" i="11" s="1"/>
  <c r="Z64" i="11" s="1"/>
  <c r="F102" i="11"/>
  <c r="O102" i="11" s="1"/>
  <c r="Z102" i="11" s="1"/>
  <c r="F82" i="11"/>
  <c r="O82" i="11" s="1"/>
  <c r="Z82" i="11" s="1"/>
  <c r="F117" i="11"/>
  <c r="O117" i="11" s="1"/>
  <c r="Z117" i="11" s="1"/>
  <c r="F58" i="11"/>
  <c r="O58" i="11" s="1"/>
  <c r="Z58" i="11" s="1"/>
  <c r="F27" i="11"/>
  <c r="O27" i="11" s="1"/>
  <c r="Z27" i="11" s="1"/>
  <c r="F116" i="11"/>
  <c r="O116" i="11" s="1"/>
  <c r="Z116" i="11" s="1"/>
  <c r="F52" i="11"/>
  <c r="O52" i="11" s="1"/>
  <c r="Z52" i="11" s="1"/>
  <c r="F71" i="11"/>
  <c r="O71" i="11" s="1"/>
  <c r="Z71" i="11" s="1"/>
  <c r="F57" i="11"/>
  <c r="O57" i="11" s="1"/>
  <c r="Z57" i="11" s="1"/>
  <c r="F98" i="11"/>
  <c r="O98" i="11" s="1"/>
  <c r="Z98" i="11" s="1"/>
  <c r="F48" i="11"/>
  <c r="O48" i="11" s="1"/>
  <c r="Z48" i="11" s="1"/>
  <c r="F92" i="11"/>
  <c r="O92" i="11" s="1"/>
  <c r="Z92" i="11" s="1"/>
  <c r="F78" i="11"/>
  <c r="O78" i="11" s="1"/>
  <c r="Z78" i="11" s="1"/>
  <c r="F114" i="11"/>
  <c r="O114" i="11" s="1"/>
  <c r="Z114" i="11" s="1"/>
  <c r="F86" i="11"/>
  <c r="O86" i="11" s="1"/>
  <c r="Z86" i="11" s="1"/>
  <c r="F83" i="11"/>
  <c r="O83" i="11" s="1"/>
  <c r="Z83" i="11" s="1"/>
  <c r="F65" i="11"/>
  <c r="O65" i="11" s="1"/>
  <c r="Z65" i="11" s="1"/>
  <c r="F106" i="11"/>
  <c r="O106" i="11" s="1"/>
  <c r="Z106" i="11" s="1"/>
  <c r="F80" i="11"/>
  <c r="O80" i="11" s="1"/>
  <c r="Z80" i="11" s="1"/>
  <c r="F87" i="11"/>
  <c r="O87" i="11" s="1"/>
  <c r="Z87" i="11" s="1"/>
  <c r="F54" i="11"/>
  <c r="O54" i="11" s="1"/>
  <c r="Z54" i="11" s="1"/>
  <c r="F97" i="11"/>
  <c r="O97" i="11" s="1"/>
  <c r="Z97" i="11" s="1"/>
  <c r="F50" i="11"/>
  <c r="O50" i="11" s="1"/>
  <c r="Z50" i="11" s="1"/>
  <c r="F118" i="11"/>
  <c r="O118" i="11" s="1"/>
  <c r="Z118" i="11" s="1"/>
  <c r="F77" i="11"/>
  <c r="O77" i="11" s="1"/>
  <c r="Z77" i="11" s="1"/>
  <c r="F51" i="11"/>
  <c r="O51" i="11" s="1"/>
  <c r="Z51" i="11" s="1"/>
  <c r="F115" i="11"/>
  <c r="O115" i="11" s="1"/>
  <c r="Z115" i="11" s="1"/>
  <c r="F44" i="11"/>
  <c r="O44" i="11" s="1"/>
  <c r="Z44" i="11" s="1"/>
  <c r="F30" i="11"/>
  <c r="O30" i="11" s="1"/>
  <c r="Z30" i="11" s="1"/>
  <c r="F49" i="11"/>
  <c r="O49" i="11" s="1"/>
  <c r="Z49" i="11" s="1"/>
  <c r="F108" i="11"/>
  <c r="O108" i="11" s="1"/>
  <c r="Z108" i="11" s="1"/>
  <c r="F47" i="11"/>
  <c r="O47" i="11" s="1"/>
  <c r="Z47" i="11" s="1"/>
  <c r="F122" i="11"/>
  <c r="O122" i="11" s="1"/>
  <c r="Z122" i="11" s="1"/>
  <c r="F70" i="11"/>
  <c r="O70" i="11" s="1"/>
  <c r="Z70" i="11" s="1"/>
  <c r="F79" i="11"/>
  <c r="O79" i="11" s="1"/>
  <c r="Z79" i="11" s="1"/>
  <c r="F103" i="11"/>
  <c r="O103" i="11" s="1"/>
  <c r="Z103" i="11" s="1"/>
  <c r="F99" i="11"/>
  <c r="O99" i="11" s="1"/>
  <c r="Z99" i="11" s="1"/>
  <c r="F93" i="11"/>
  <c r="O93" i="11" s="1"/>
  <c r="Z93" i="11" s="1"/>
  <c r="F61" i="11"/>
  <c r="O61" i="11" s="1"/>
  <c r="Z61" i="11" s="1"/>
  <c r="F100" i="11"/>
  <c r="O100" i="11" s="1"/>
  <c r="Z100" i="11" s="1"/>
  <c r="F72" i="11"/>
  <c r="O72" i="11" s="1"/>
  <c r="Z72" i="11" s="1"/>
  <c r="F29" i="11"/>
  <c r="O29" i="11" s="1"/>
  <c r="Z29" i="11" s="1"/>
  <c r="F110" i="11"/>
  <c r="O110" i="11" s="1"/>
  <c r="Z110" i="11" s="1"/>
  <c r="F68" i="11"/>
  <c r="O68" i="11" s="1"/>
  <c r="Z68" i="11" s="1"/>
  <c r="F56" i="11"/>
  <c r="O56" i="11" s="1"/>
  <c r="Z56" i="11" s="1"/>
  <c r="F24" i="11"/>
  <c r="O24" i="11" s="1"/>
  <c r="Z24" i="11" s="1"/>
  <c r="F119" i="11"/>
  <c r="O119" i="11" s="1"/>
  <c r="Z119" i="11" s="1"/>
  <c r="F89" i="11"/>
  <c r="O89" i="11" s="1"/>
  <c r="Z89" i="11" s="1"/>
  <c r="F94" i="11"/>
  <c r="O94" i="11" s="1"/>
  <c r="Z94" i="11" s="1"/>
  <c r="F111" i="11"/>
  <c r="O111" i="11" s="1"/>
  <c r="Z111" i="11" s="1"/>
  <c r="F33" i="11"/>
  <c r="O33" i="11" s="1"/>
  <c r="Z33" i="11" s="1"/>
  <c r="F109" i="11"/>
  <c r="O109" i="11" s="1"/>
  <c r="Z109" i="11" s="1"/>
  <c r="F60" i="11"/>
  <c r="O60" i="11" s="1"/>
  <c r="Z60" i="11" s="1"/>
  <c r="F107" i="11"/>
  <c r="O107" i="11" s="1"/>
  <c r="Z107" i="11" s="1"/>
  <c r="F35" i="11"/>
  <c r="O35" i="11" s="1"/>
  <c r="Z35" i="11" s="1"/>
  <c r="F55" i="11"/>
  <c r="O55" i="11" s="1"/>
  <c r="Z55" i="11" s="1"/>
  <c r="F104" i="11"/>
  <c r="O104" i="11" s="1"/>
  <c r="Z104" i="11" s="1"/>
  <c r="F63" i="11"/>
  <c r="O63" i="11" s="1"/>
  <c r="Z63" i="11" s="1"/>
  <c r="F67" i="11"/>
  <c r="O67" i="11" s="1"/>
  <c r="Z67" i="11" s="1"/>
  <c r="F105" i="11"/>
  <c r="O105" i="11" s="1"/>
  <c r="Z105" i="11" s="1"/>
  <c r="F96" i="11"/>
  <c r="O96" i="11" s="1"/>
  <c r="Z96" i="11" s="1"/>
  <c r="F85" i="11"/>
  <c r="O85" i="11" s="1"/>
  <c r="Z85" i="11" s="1"/>
  <c r="F101" i="11"/>
  <c r="O101" i="11" s="1"/>
  <c r="Z101" i="11" s="1"/>
  <c r="F123" i="11"/>
  <c r="O123" i="11" s="1"/>
  <c r="Z123" i="11" s="1"/>
  <c r="F25" i="11"/>
  <c r="O25" i="11" s="1"/>
  <c r="Z25" i="11" s="1"/>
  <c r="R47" i="9"/>
  <c r="F171" i="11"/>
  <c r="O171" i="11" s="1"/>
  <c r="Z171" i="11" s="1"/>
  <c r="F194" i="11"/>
  <c r="O194" i="11" s="1"/>
  <c r="Z194" i="11" s="1"/>
  <c r="F154" i="11"/>
  <c r="O154" i="11" s="1"/>
  <c r="Z154" i="11" s="1"/>
  <c r="F152" i="11"/>
  <c r="O152" i="11" s="1"/>
  <c r="Z152" i="11" s="1"/>
  <c r="F148" i="11"/>
  <c r="O148" i="11" s="1"/>
  <c r="Z148" i="11" s="1"/>
  <c r="F206" i="11"/>
  <c r="O206" i="11" s="1"/>
  <c r="Z206" i="11" s="1"/>
  <c r="F190" i="11"/>
  <c r="O190" i="11" s="1"/>
  <c r="Z190" i="11" s="1"/>
  <c r="F164" i="11"/>
  <c r="O164" i="11" s="1"/>
  <c r="Z164" i="11" s="1"/>
  <c r="F225" i="11"/>
  <c r="O225" i="11" s="1"/>
  <c r="Z225" i="11" s="1"/>
  <c r="F221" i="11"/>
  <c r="O221" i="11" s="1"/>
  <c r="Z221" i="11" s="1"/>
  <c r="F217" i="11"/>
  <c r="O217" i="11" s="1"/>
  <c r="Z217" i="11" s="1"/>
  <c r="F235" i="11"/>
  <c r="O235" i="11" s="1"/>
  <c r="Z235" i="11" s="1"/>
  <c r="F168" i="11"/>
  <c r="O168" i="11" s="1"/>
  <c r="Z168" i="11" s="1"/>
  <c r="F181" i="11"/>
  <c r="O181" i="11" s="1"/>
  <c r="Z181" i="11" s="1"/>
  <c r="F138" i="11"/>
  <c r="O138" i="11" s="1"/>
  <c r="Z138" i="11" s="1"/>
  <c r="F200" i="11"/>
  <c r="O200" i="11" s="1"/>
  <c r="Z200" i="11" s="1"/>
  <c r="F187" i="11"/>
  <c r="O187" i="11" s="1"/>
  <c r="Z187" i="11" s="1"/>
  <c r="F161" i="11"/>
  <c r="O161" i="11" s="1"/>
  <c r="Z161" i="11" s="1"/>
  <c r="F177" i="11"/>
  <c r="O177" i="11" s="1"/>
  <c r="Z177" i="11" s="1"/>
  <c r="F195" i="11"/>
  <c r="O195" i="11" s="1"/>
  <c r="Z195" i="11" s="1"/>
  <c r="F173" i="11"/>
  <c r="O173" i="11" s="1"/>
  <c r="Z173" i="11" s="1"/>
  <c r="F224" i="11"/>
  <c r="O224" i="11" s="1"/>
  <c r="Z224" i="11" s="1"/>
  <c r="F185" i="11"/>
  <c r="O185" i="11" s="1"/>
  <c r="Z185" i="11" s="1"/>
  <c r="F229" i="11"/>
  <c r="O229" i="11" s="1"/>
  <c r="Z229" i="11" s="1"/>
  <c r="F150" i="11"/>
  <c r="O150" i="11" s="1"/>
  <c r="Z150" i="11" s="1"/>
  <c r="F165" i="11"/>
  <c r="O165" i="11" s="1"/>
  <c r="Z165" i="11" s="1"/>
  <c r="F208" i="11"/>
  <c r="O208" i="11" s="1"/>
  <c r="Z208" i="11" s="1"/>
  <c r="F174" i="11"/>
  <c r="O174" i="11" s="1"/>
  <c r="Z174" i="11" s="1"/>
  <c r="F234" i="11"/>
  <c r="O234" i="11" s="1"/>
  <c r="Z234" i="11" s="1"/>
  <c r="F216" i="11"/>
  <c r="O216" i="11" s="1"/>
  <c r="Z216" i="11" s="1"/>
  <c r="F189" i="11"/>
  <c r="O189" i="11" s="1"/>
  <c r="Z189" i="11" s="1"/>
  <c r="F182" i="11"/>
  <c r="O182" i="11" s="1"/>
  <c r="Z182" i="11" s="1"/>
  <c r="F153" i="11"/>
  <c r="O153" i="11" s="1"/>
  <c r="Z153" i="11" s="1"/>
  <c r="F184" i="11"/>
  <c r="O184" i="11" s="1"/>
  <c r="Z184" i="11" s="1"/>
  <c r="F159" i="11"/>
  <c r="O159" i="11" s="1"/>
  <c r="Z159" i="11" s="1"/>
  <c r="F199" i="11"/>
  <c r="O199" i="11" s="1"/>
  <c r="Z199" i="11" s="1"/>
  <c r="F143" i="11"/>
  <c r="O143" i="11" s="1"/>
  <c r="Z143" i="11" s="1"/>
  <c r="F222" i="11"/>
  <c r="O222" i="11" s="1"/>
  <c r="Z222" i="11" s="1"/>
  <c r="F188" i="11"/>
  <c r="O188" i="11" s="1"/>
  <c r="Z188" i="11" s="1"/>
  <c r="F228" i="11"/>
  <c r="O228" i="11" s="1"/>
  <c r="Z228" i="11" s="1"/>
  <c r="F219" i="11"/>
  <c r="O219" i="11" s="1"/>
  <c r="Z219" i="11" s="1"/>
  <c r="F141" i="11"/>
  <c r="O141" i="11" s="1"/>
  <c r="Z141" i="11" s="1"/>
  <c r="F186" i="11"/>
  <c r="O186" i="11" s="1"/>
  <c r="Z186" i="11" s="1"/>
  <c r="F147" i="11"/>
  <c r="O147" i="11" s="1"/>
  <c r="Z147" i="11" s="1"/>
  <c r="F204" i="11"/>
  <c r="O204" i="11" s="1"/>
  <c r="Z204" i="11" s="1"/>
  <c r="F236" i="11"/>
  <c r="O236" i="11" s="1"/>
  <c r="Z236" i="11" s="1"/>
  <c r="F205" i="11"/>
  <c r="O205" i="11" s="1"/>
  <c r="Z205" i="11" s="1"/>
  <c r="F158" i="11"/>
  <c r="O158" i="11" s="1"/>
  <c r="Z158" i="11" s="1"/>
  <c r="F220" i="11"/>
  <c r="O220" i="11" s="1"/>
  <c r="Z220" i="11" s="1"/>
  <c r="F157" i="11"/>
  <c r="O157" i="11" s="1"/>
  <c r="Z157" i="11" s="1"/>
  <c r="F223" i="11"/>
  <c r="O223" i="11" s="1"/>
  <c r="Z223" i="11" s="1"/>
  <c r="F175" i="11"/>
  <c r="O175" i="11" s="1"/>
  <c r="Z175" i="11" s="1"/>
  <c r="F139" i="11"/>
  <c r="O139" i="11" s="1"/>
  <c r="Z139" i="11" s="1"/>
  <c r="F155" i="11"/>
  <c r="O155" i="11" s="1"/>
  <c r="Z155" i="11" s="1"/>
  <c r="F198" i="11"/>
  <c r="O198" i="11" s="1"/>
  <c r="Z198" i="11" s="1"/>
  <c r="F192" i="11"/>
  <c r="O192" i="11" s="1"/>
  <c r="Z192" i="11" s="1"/>
  <c r="F196" i="11"/>
  <c r="O196" i="11" s="1"/>
  <c r="Z196" i="11" s="1"/>
  <c r="F169" i="11"/>
  <c r="O169" i="11" s="1"/>
  <c r="Z169" i="11" s="1"/>
  <c r="F162" i="11"/>
  <c r="O162" i="11" s="1"/>
  <c r="Z162" i="11" s="1"/>
  <c r="F227" i="11"/>
  <c r="O227" i="11" s="1"/>
  <c r="Z227" i="11" s="1"/>
  <c r="F211" i="11"/>
  <c r="O211" i="11" s="1"/>
  <c r="Z211" i="11" s="1"/>
  <c r="F233" i="11"/>
  <c r="O233" i="11" s="1"/>
  <c r="Z233" i="11" s="1"/>
  <c r="F166" i="11"/>
  <c r="O166" i="11" s="1"/>
  <c r="Z166" i="11" s="1"/>
  <c r="F212" i="11"/>
  <c r="O212" i="11" s="1"/>
  <c r="Z212" i="11" s="1"/>
  <c r="F230" i="11"/>
  <c r="O230" i="11" s="1"/>
  <c r="Z230" i="11" s="1"/>
  <c r="F203" i="11"/>
  <c r="O203" i="11" s="1"/>
  <c r="Z203" i="11" s="1"/>
  <c r="F231" i="11"/>
  <c r="O231" i="11" s="1"/>
  <c r="Z231" i="11" s="1"/>
  <c r="F179" i="11"/>
  <c r="O179" i="11" s="1"/>
  <c r="Z179" i="11" s="1"/>
  <c r="F144" i="11"/>
  <c r="O144" i="11" s="1"/>
  <c r="Z144" i="11" s="1"/>
  <c r="F172" i="11"/>
  <c r="O172" i="11" s="1"/>
  <c r="Z172" i="11" s="1"/>
  <c r="F151" i="11"/>
  <c r="O151" i="11" s="1"/>
  <c r="Z151" i="11" s="1"/>
  <c r="F218" i="11"/>
  <c r="O218" i="11" s="1"/>
  <c r="Z218" i="11" s="1"/>
  <c r="F213" i="11"/>
  <c r="O213" i="11" s="1"/>
  <c r="Z213" i="11" s="1"/>
  <c r="F176" i="11"/>
  <c r="O176" i="11" s="1"/>
  <c r="Z176" i="11" s="1"/>
  <c r="F149" i="11"/>
  <c r="O149" i="11" s="1"/>
  <c r="Z149" i="11" s="1"/>
  <c r="F142" i="11"/>
  <c r="O142" i="11" s="1"/>
  <c r="Z142" i="11" s="1"/>
  <c r="F156" i="11"/>
  <c r="O156" i="11" s="1"/>
  <c r="Z156" i="11" s="1"/>
  <c r="F145" i="11"/>
  <c r="O145" i="11" s="1"/>
  <c r="Z145" i="11" s="1"/>
  <c r="F140" i="11"/>
  <c r="O140" i="11" s="1"/>
  <c r="Z140" i="11" s="1"/>
  <c r="F146" i="11"/>
  <c r="O146" i="11" s="1"/>
  <c r="Z146" i="11" s="1"/>
  <c r="F137" i="11"/>
  <c r="O135" i="11" s="1"/>
  <c r="F232" i="11"/>
  <c r="O232" i="11" s="1"/>
  <c r="Z232" i="11" s="1"/>
  <c r="F163" i="11"/>
  <c r="O163" i="11" s="1"/>
  <c r="Z163" i="11" s="1"/>
  <c r="F170" i="11"/>
  <c r="O170" i="11" s="1"/>
  <c r="Z170" i="11" s="1"/>
  <c r="F202" i="11"/>
  <c r="O202" i="11" s="1"/>
  <c r="Z202" i="11" s="1"/>
  <c r="F191" i="11"/>
  <c r="O191" i="11" s="1"/>
  <c r="Z191" i="11" s="1"/>
  <c r="F193" i="11"/>
  <c r="O193" i="11" s="1"/>
  <c r="Z193" i="11" s="1"/>
  <c r="F210" i="11"/>
  <c r="O210" i="11" s="1"/>
  <c r="Z210" i="11" s="1"/>
  <c r="F183" i="11"/>
  <c r="O183" i="11" s="1"/>
  <c r="Z183" i="11" s="1"/>
  <c r="F209" i="11"/>
  <c r="O209" i="11" s="1"/>
  <c r="Z209" i="11" s="1"/>
  <c r="F180" i="11"/>
  <c r="O180" i="11" s="1"/>
  <c r="Z180" i="11" s="1"/>
  <c r="F160" i="11"/>
  <c r="O160" i="11" s="1"/>
  <c r="Z160" i="11" s="1"/>
  <c r="F201" i="11"/>
  <c r="O201" i="11" s="1"/>
  <c r="Z201" i="11" s="1"/>
  <c r="F226" i="11"/>
  <c r="O226" i="11" s="1"/>
  <c r="Z226" i="11" s="1"/>
  <c r="F214" i="11"/>
  <c r="O214" i="11" s="1"/>
  <c r="Z214" i="11" s="1"/>
  <c r="F167" i="11"/>
  <c r="O167" i="11" s="1"/>
  <c r="Z167" i="11" s="1"/>
  <c r="F207" i="11"/>
  <c r="O207" i="11" s="1"/>
  <c r="Z207" i="11" s="1"/>
  <c r="F178" i="11"/>
  <c r="O178" i="11" s="1"/>
  <c r="Z178" i="11" s="1"/>
  <c r="F197" i="11"/>
  <c r="O197" i="11" s="1"/>
  <c r="Z197" i="11" s="1"/>
  <c r="F215" i="11"/>
  <c r="O215" i="11" s="1"/>
  <c r="Z215" i="11" s="1"/>
  <c r="R43" i="9"/>
  <c r="R42" i="9"/>
  <c r="R50" i="9"/>
  <c r="R49" i="9"/>
  <c r="H241" i="11"/>
  <c r="K241" i="11" s="1"/>
  <c r="V50" i="11"/>
  <c r="AF50" i="11" s="1"/>
  <c r="V61" i="11"/>
  <c r="AF61" i="11" s="1"/>
  <c r="H240" i="11"/>
  <c r="V211" i="11"/>
  <c r="AF211" i="11" s="1"/>
  <c r="H353" i="11"/>
  <c r="H242" i="11"/>
  <c r="K242" i="11" s="1"/>
  <c r="H357" i="11"/>
  <c r="V48" i="11"/>
  <c r="AF48" i="11" s="1"/>
  <c r="V332" i="11"/>
  <c r="AF332" i="11" s="1"/>
  <c r="V323" i="11"/>
  <c r="AF323" i="11" s="1"/>
  <c r="V343" i="11"/>
  <c r="AF343" i="11" s="1"/>
  <c r="V415" i="11"/>
  <c r="AF415" i="11" s="1"/>
  <c r="V28" i="11"/>
  <c r="AF28" i="11" s="1"/>
  <c r="V95" i="11"/>
  <c r="AF95" i="11" s="1"/>
  <c r="V277" i="11"/>
  <c r="AF277" i="11" s="1"/>
  <c r="V462" i="11"/>
  <c r="AF462" i="11" s="1"/>
  <c r="V441" i="11"/>
  <c r="AF441" i="11" s="1"/>
  <c r="V290" i="11"/>
  <c r="AF290" i="11" s="1"/>
  <c r="V300" i="11"/>
  <c r="AF300" i="11" s="1"/>
  <c r="V372" i="11"/>
  <c r="AF372" i="11" s="1"/>
  <c r="K243" i="11"/>
  <c r="V163" i="11"/>
  <c r="AF163" i="11" s="1"/>
  <c r="V266" i="11"/>
  <c r="AF266" i="11" s="1"/>
  <c r="V55" i="11"/>
  <c r="AF55" i="11" s="1"/>
  <c r="K244" i="11"/>
  <c r="Q10" i="8"/>
  <c r="P7" i="8"/>
  <c r="Q8" i="8"/>
  <c r="Q9" i="8"/>
  <c r="P6" i="8"/>
  <c r="J15" i="7"/>
  <c r="J5" i="7"/>
  <c r="AB5" i="7" s="1"/>
  <c r="J8" i="7"/>
  <c r="J14" i="7"/>
  <c r="J12" i="7"/>
  <c r="J7" i="7"/>
  <c r="J13" i="7"/>
  <c r="J11" i="7"/>
  <c r="J10" i="7"/>
  <c r="J9" i="7"/>
  <c r="J6" i="7"/>
  <c r="N11" i="9"/>
  <c r="M11" i="9" s="1"/>
  <c r="R26" i="9"/>
  <c r="N16" i="9"/>
  <c r="M16" i="9" s="1"/>
  <c r="O14" i="9"/>
  <c r="O16" i="9"/>
  <c r="P14" i="9"/>
  <c r="P16" i="9"/>
  <c r="N14" i="9"/>
  <c r="M14" i="9" s="1"/>
  <c r="Q14" i="9"/>
  <c r="R24" i="9"/>
  <c r="Q16" i="9"/>
  <c r="R16" i="9"/>
  <c r="R25" i="9"/>
  <c r="R23" i="9"/>
  <c r="R11" i="9"/>
  <c r="R12" i="9"/>
  <c r="N25" i="9"/>
  <c r="M25" i="9" s="1"/>
  <c r="O25" i="9"/>
  <c r="Q25" i="9"/>
  <c r="R17" i="9"/>
  <c r="P11" i="9"/>
  <c r="R21" i="9"/>
  <c r="R13" i="9"/>
  <c r="R22" i="9"/>
  <c r="R14" i="9"/>
  <c r="P25" i="9"/>
  <c r="R10" i="9"/>
  <c r="O11" i="9"/>
  <c r="R15" i="9"/>
  <c r="Q11" i="9"/>
  <c r="S9" i="8"/>
  <c r="S8" i="8"/>
  <c r="S7" i="8"/>
  <c r="Q7" i="8"/>
  <c r="Q6" i="8"/>
  <c r="P5" i="8"/>
  <c r="P10" i="8"/>
  <c r="P9" i="8"/>
  <c r="P8" i="8"/>
  <c r="Q5" i="8"/>
  <c r="I7" i="5"/>
  <c r="Z20" i="5"/>
  <c r="Z23" i="5"/>
  <c r="Z27" i="5"/>
  <c r="Z30" i="5"/>
  <c r="Z34" i="5"/>
  <c r="Z44" i="5"/>
  <c r="Z47" i="5"/>
  <c r="Z62" i="5"/>
  <c r="Z65" i="5"/>
  <c r="Z73" i="5"/>
  <c r="Z76" i="5"/>
  <c r="Z80" i="5"/>
  <c r="Z83" i="5"/>
  <c r="Z87" i="5"/>
  <c r="Z90" i="5"/>
  <c r="Z101" i="5"/>
  <c r="Z105" i="5"/>
  <c r="Z109" i="5"/>
  <c r="Z112" i="5"/>
  <c r="Z19" i="5"/>
  <c r="Z22" i="5"/>
  <c r="Z26" i="5"/>
  <c r="Z29" i="5"/>
  <c r="Z33" i="5"/>
  <c r="Z36" i="5"/>
  <c r="Z43" i="5"/>
  <c r="Z46" i="5"/>
  <c r="Z50" i="5"/>
  <c r="Z54" i="5"/>
  <c r="Z61" i="5"/>
  <c r="Z64" i="5"/>
  <c r="Z68" i="5"/>
  <c r="Z75" i="5"/>
  <c r="Z79" i="5"/>
  <c r="Z82" i="5"/>
  <c r="Z89" i="5"/>
  <c r="Z96" i="5"/>
  <c r="Z100" i="5"/>
  <c r="Z107" i="5"/>
  <c r="Z111" i="5"/>
  <c r="Z32" i="5"/>
  <c r="Z39" i="5"/>
  <c r="Z42" i="5"/>
  <c r="Z53" i="5"/>
  <c r="Z57" i="5"/>
  <c r="Z60" i="5"/>
  <c r="Z71" i="5"/>
  <c r="Z78" i="5"/>
  <c r="Z85" i="5"/>
  <c r="Z92" i="5"/>
  <c r="Z95" i="5"/>
  <c r="Z99" i="5"/>
  <c r="Z103" i="5"/>
  <c r="Z24" i="5"/>
  <c r="Z31" i="5"/>
  <c r="Z38" i="5"/>
  <c r="Z41" i="5"/>
  <c r="Z48" i="5"/>
  <c r="Z52" i="5"/>
  <c r="Z21" i="5"/>
  <c r="Z51" i="5"/>
  <c r="Z66" i="5"/>
  <c r="Z91" i="5"/>
  <c r="Z94" i="5"/>
  <c r="Z113" i="5"/>
  <c r="Z117" i="5"/>
  <c r="Z93" i="5"/>
  <c r="Z115" i="5"/>
  <c r="Z28" i="5"/>
  <c r="Z63" i="5"/>
  <c r="Z77" i="5"/>
  <c r="Z110" i="5"/>
  <c r="Z35" i="5"/>
  <c r="Z55" i="5"/>
  <c r="Z58" i="5"/>
  <c r="Z69" i="5"/>
  <c r="Z72" i="5"/>
  <c r="Z86" i="5"/>
  <c r="Z97" i="5"/>
  <c r="Z108" i="5"/>
  <c r="Z37" i="5"/>
  <c r="Z88" i="5"/>
  <c r="Z114" i="5"/>
  <c r="Z40" i="5"/>
  <c r="Z67" i="5"/>
  <c r="Z81" i="5"/>
  <c r="Z84" i="5"/>
  <c r="Z106" i="5"/>
  <c r="Z116" i="5"/>
  <c r="Z18" i="5"/>
  <c r="Z25" i="5"/>
  <c r="Z45" i="5"/>
  <c r="Z49" i="5"/>
  <c r="Z56" i="5"/>
  <c r="Z59" i="5"/>
  <c r="Z70" i="5"/>
  <c r="Z98" i="5"/>
  <c r="Z104" i="5"/>
  <c r="Z74" i="5"/>
  <c r="Z102" i="5"/>
  <c r="AF10" i="4"/>
  <c r="O22" i="11" l="1"/>
  <c r="O137" i="11"/>
  <c r="Z137" i="11" s="1"/>
  <c r="H5" i="7"/>
  <c r="K353" i="11"/>
  <c r="K357" i="11"/>
  <c r="K355" i="11"/>
  <c r="K240" i="11"/>
  <c r="K245" i="11" s="1"/>
  <c r="F247" i="11" s="1"/>
  <c r="K354" i="11"/>
  <c r="K356" i="11"/>
  <c r="H358" i="11"/>
  <c r="H245" i="11"/>
  <c r="AB63" i="7"/>
  <c r="AB71" i="7"/>
  <c r="AB54" i="7"/>
  <c r="AB74" i="7"/>
  <c r="AB60" i="7"/>
  <c r="AB83" i="7"/>
  <c r="AB79" i="7"/>
  <c r="AB82" i="7"/>
  <c r="AB41" i="7"/>
  <c r="AB55" i="7"/>
  <c r="AB37" i="7"/>
  <c r="AB25" i="7"/>
  <c r="AB12" i="7"/>
  <c r="AB21" i="7"/>
  <c r="AB23" i="7"/>
  <c r="AB32" i="7"/>
  <c r="AB40" i="7"/>
  <c r="AB28" i="7"/>
  <c r="AB62" i="7"/>
  <c r="AB36" i="7"/>
  <c r="AB45" i="7"/>
  <c r="AB53" i="7"/>
  <c r="AB61" i="7"/>
  <c r="AB103" i="7"/>
  <c r="AB16" i="7"/>
  <c r="AB35" i="7"/>
  <c r="AB6" i="7"/>
  <c r="AB92" i="7"/>
  <c r="AB58" i="7"/>
  <c r="AB56" i="7"/>
  <c r="AB89" i="7"/>
  <c r="AB77" i="7"/>
  <c r="AB22" i="7"/>
  <c r="AB90" i="7"/>
  <c r="AB99" i="7"/>
  <c r="AB93" i="7"/>
  <c r="AB15" i="7"/>
  <c r="AB31" i="7"/>
  <c r="AB10" i="7"/>
  <c r="AB24" i="7"/>
  <c r="AB64" i="7"/>
  <c r="AB98" i="7"/>
  <c r="AB14" i="7"/>
  <c r="AB26" i="7"/>
  <c r="AB34" i="7"/>
  <c r="AB18" i="7"/>
  <c r="AB52" i="7"/>
  <c r="AB17" i="7"/>
  <c r="AB94" i="7"/>
  <c r="AB87" i="7"/>
  <c r="AB42" i="7"/>
  <c r="AB27" i="7"/>
  <c r="AB78" i="7"/>
  <c r="AB19" i="7"/>
  <c r="AB51" i="7"/>
  <c r="AB38" i="7"/>
  <c r="AB88" i="7"/>
  <c r="AB68" i="7"/>
  <c r="AB76" i="7"/>
  <c r="AB84" i="7"/>
  <c r="AB81" i="7"/>
  <c r="AB59" i="7"/>
  <c r="AB46" i="7"/>
  <c r="AB8" i="7"/>
  <c r="AB95" i="7"/>
  <c r="AB72" i="7"/>
  <c r="AB91" i="7"/>
  <c r="AB69" i="7"/>
  <c r="AB33" i="7"/>
  <c r="AB101" i="7"/>
  <c r="AB102" i="7"/>
  <c r="AB29" i="7"/>
  <c r="AB49" i="7"/>
  <c r="AB43" i="7"/>
  <c r="AB97" i="7"/>
  <c r="AB48" i="7"/>
  <c r="AB67" i="7"/>
  <c r="AB30" i="7"/>
  <c r="AB44" i="7"/>
  <c r="AB100" i="7"/>
  <c r="AB57" i="7"/>
  <c r="AB70" i="7"/>
  <c r="AB39" i="7"/>
  <c r="AB66" i="7"/>
  <c r="AB13" i="7"/>
  <c r="AB65" i="7"/>
  <c r="AB9" i="7"/>
  <c r="AB47" i="7"/>
  <c r="AB75" i="7"/>
  <c r="AB85" i="7"/>
  <c r="AB11" i="7"/>
  <c r="AB50" i="7"/>
  <c r="AB80" i="7"/>
  <c r="AB96" i="7"/>
  <c r="AB73" i="7"/>
  <c r="AB20" i="7"/>
  <c r="AB7" i="7"/>
  <c r="AB86" i="7"/>
  <c r="AB104" i="7"/>
  <c r="L25" i="9"/>
  <c r="L16" i="9"/>
  <c r="L11" i="9"/>
  <c r="L14" i="9"/>
  <c r="E55" i="3"/>
  <c r="Q2" i="8"/>
  <c r="R6" i="8" s="1"/>
  <c r="S6" i="8" s="1"/>
  <c r="AG11" i="4"/>
  <c r="O44" i="9" s="1"/>
  <c r="AH11" i="4"/>
  <c r="P44" i="9" s="1"/>
  <c r="AI11" i="4"/>
  <c r="Q44" i="9" s="1"/>
  <c r="AG12" i="4"/>
  <c r="AH12" i="4"/>
  <c r="AI12" i="4"/>
  <c r="I7" i="7" s="1"/>
  <c r="AG13" i="4"/>
  <c r="AH13" i="4"/>
  <c r="AI13" i="4"/>
  <c r="I8" i="7" s="1"/>
  <c r="AG14" i="4"/>
  <c r="O45" i="9" s="1"/>
  <c r="AH14" i="4"/>
  <c r="P45" i="9" s="1"/>
  <c r="AI14" i="4"/>
  <c r="Q45" i="9" s="1"/>
  <c r="AG15" i="4"/>
  <c r="AH15" i="4"/>
  <c r="AI15" i="4"/>
  <c r="AG16" i="4"/>
  <c r="AH16" i="4"/>
  <c r="AI16" i="4"/>
  <c r="AG17" i="4"/>
  <c r="AH17" i="4"/>
  <c r="AI17" i="4"/>
  <c r="I12" i="7" s="1"/>
  <c r="AG18" i="4"/>
  <c r="AH18" i="4"/>
  <c r="AI18" i="4"/>
  <c r="I13" i="7" s="1"/>
  <c r="AG19" i="4"/>
  <c r="AH19" i="4"/>
  <c r="AI19" i="4"/>
  <c r="I14" i="7" s="1"/>
  <c r="AG20" i="4"/>
  <c r="AH20" i="4"/>
  <c r="AI20" i="4"/>
  <c r="AG21" i="4"/>
  <c r="AH21" i="4"/>
  <c r="AI21" i="4"/>
  <c r="AH10" i="4"/>
  <c r="P42" i="9" s="1"/>
  <c r="Q42" i="9"/>
  <c r="AG10" i="4"/>
  <c r="O42" i="9" s="1"/>
  <c r="AF11" i="4"/>
  <c r="Y11" i="4"/>
  <c r="Y12" i="4"/>
  <c r="Y13" i="4"/>
  <c r="Y14" i="4"/>
  <c r="Y15" i="4"/>
  <c r="Y16" i="4"/>
  <c r="Y17" i="4"/>
  <c r="Y18" i="4"/>
  <c r="Y19" i="4"/>
  <c r="Y20" i="4"/>
  <c r="Y21" i="4"/>
  <c r="T11" i="4"/>
  <c r="T12" i="4"/>
  <c r="T13" i="4"/>
  <c r="T14" i="4"/>
  <c r="T15" i="4"/>
  <c r="T16" i="4"/>
  <c r="T17" i="4"/>
  <c r="T18" i="4"/>
  <c r="T19" i="4"/>
  <c r="T20" i="4"/>
  <c r="T21" i="4"/>
  <c r="T10" i="4"/>
  <c r="AC11" i="4"/>
  <c r="E6" i="7" s="1"/>
  <c r="AC12" i="4"/>
  <c r="E7" i="7" s="1"/>
  <c r="AC13" i="4"/>
  <c r="E8" i="7" s="1"/>
  <c r="AC14" i="4"/>
  <c r="E9" i="7" s="1"/>
  <c r="AC15" i="4"/>
  <c r="E10" i="7" s="1"/>
  <c r="AC16" i="4"/>
  <c r="E11" i="7" s="1"/>
  <c r="AC17" i="4"/>
  <c r="E12" i="7" s="1"/>
  <c r="AC18" i="4"/>
  <c r="E13" i="7" s="1"/>
  <c r="AC19" i="4"/>
  <c r="E14" i="7" s="1"/>
  <c r="AC20" i="4"/>
  <c r="E15" i="7" s="1"/>
  <c r="AC21" i="4"/>
  <c r="AC10" i="4"/>
  <c r="E5" i="7" s="1"/>
  <c r="K28" i="4"/>
  <c r="L28" i="4"/>
  <c r="K29" i="4"/>
  <c r="L29" i="4"/>
  <c r="K30" i="4"/>
  <c r="L30" i="4"/>
  <c r="K31" i="4"/>
  <c r="L31" i="4"/>
  <c r="K32" i="4"/>
  <c r="L32" i="4"/>
  <c r="K33" i="4"/>
  <c r="L33" i="4"/>
  <c r="AF15" i="4"/>
  <c r="P18" i="5"/>
  <c r="G21" i="2"/>
  <c r="G17" i="2"/>
  <c r="G18" i="2"/>
  <c r="G19" i="2"/>
  <c r="G20" i="2"/>
  <c r="N16" i="3"/>
  <c r="N44" i="3" s="1"/>
  <c r="E21" i="2"/>
  <c r="O30" i="5"/>
  <c r="P30" i="5"/>
  <c r="Q30" i="5"/>
  <c r="O31" i="5"/>
  <c r="P31" i="5"/>
  <c r="Q31" i="5"/>
  <c r="O32" i="5"/>
  <c r="P32" i="5"/>
  <c r="Q32" i="5"/>
  <c r="O33" i="5"/>
  <c r="P33" i="5"/>
  <c r="Q33" i="5"/>
  <c r="O34" i="5"/>
  <c r="P34" i="5"/>
  <c r="Q34" i="5"/>
  <c r="O35" i="5"/>
  <c r="P35" i="5"/>
  <c r="Q35" i="5"/>
  <c r="O36" i="5"/>
  <c r="P36" i="5"/>
  <c r="Q36" i="5"/>
  <c r="O37" i="5"/>
  <c r="P37" i="5"/>
  <c r="Q37" i="5"/>
  <c r="O38" i="5"/>
  <c r="P38" i="5"/>
  <c r="Q38" i="5"/>
  <c r="O39" i="5"/>
  <c r="P39" i="5"/>
  <c r="Q39" i="5"/>
  <c r="O40" i="5"/>
  <c r="P40" i="5"/>
  <c r="Q40" i="5"/>
  <c r="O41" i="5"/>
  <c r="P41" i="5"/>
  <c r="Q41" i="5"/>
  <c r="O42" i="5"/>
  <c r="P42" i="5"/>
  <c r="Q42" i="5"/>
  <c r="O43" i="5"/>
  <c r="P43" i="5"/>
  <c r="Q43" i="5"/>
  <c r="O44" i="5"/>
  <c r="P44" i="5"/>
  <c r="Q44" i="5"/>
  <c r="O45" i="5"/>
  <c r="P45" i="5"/>
  <c r="Q45" i="5"/>
  <c r="O46" i="5"/>
  <c r="P46" i="5"/>
  <c r="Q46" i="5"/>
  <c r="O47" i="5"/>
  <c r="P47" i="5"/>
  <c r="Q47" i="5"/>
  <c r="O48" i="5"/>
  <c r="P48" i="5"/>
  <c r="Q48" i="5"/>
  <c r="O49" i="5"/>
  <c r="P49" i="5"/>
  <c r="Q49" i="5"/>
  <c r="O50" i="5"/>
  <c r="P50" i="5"/>
  <c r="Q50" i="5"/>
  <c r="O51" i="5"/>
  <c r="P51" i="5"/>
  <c r="Q51" i="5"/>
  <c r="O52" i="5"/>
  <c r="P52" i="5"/>
  <c r="Q52" i="5"/>
  <c r="O53" i="5"/>
  <c r="P53" i="5"/>
  <c r="Q53" i="5"/>
  <c r="O54" i="5"/>
  <c r="P54" i="5"/>
  <c r="Q54" i="5"/>
  <c r="O55" i="5"/>
  <c r="P55" i="5"/>
  <c r="Q55" i="5"/>
  <c r="O56" i="5"/>
  <c r="P56" i="5"/>
  <c r="Q56" i="5"/>
  <c r="O57" i="5"/>
  <c r="P57" i="5"/>
  <c r="Q57" i="5"/>
  <c r="O58" i="5"/>
  <c r="P58" i="5"/>
  <c r="Q58" i="5"/>
  <c r="O59" i="5"/>
  <c r="P59" i="5"/>
  <c r="Q59" i="5"/>
  <c r="O60" i="5"/>
  <c r="P60" i="5"/>
  <c r="Q60" i="5"/>
  <c r="O61" i="5"/>
  <c r="P61" i="5"/>
  <c r="Q61" i="5"/>
  <c r="O62" i="5"/>
  <c r="P62" i="5"/>
  <c r="Q62" i="5"/>
  <c r="O63" i="5"/>
  <c r="P63" i="5"/>
  <c r="Q63" i="5"/>
  <c r="O64" i="5"/>
  <c r="P64" i="5"/>
  <c r="Q64" i="5"/>
  <c r="O65" i="5"/>
  <c r="P65" i="5"/>
  <c r="Q65" i="5"/>
  <c r="O66" i="5"/>
  <c r="P66" i="5"/>
  <c r="Q66" i="5"/>
  <c r="O67" i="5"/>
  <c r="P67" i="5"/>
  <c r="Q67" i="5"/>
  <c r="O68" i="5"/>
  <c r="P68" i="5"/>
  <c r="Q68" i="5"/>
  <c r="O69" i="5"/>
  <c r="P69" i="5"/>
  <c r="Q69" i="5"/>
  <c r="O70" i="5"/>
  <c r="P70" i="5"/>
  <c r="Q70" i="5"/>
  <c r="O71" i="5"/>
  <c r="P71" i="5"/>
  <c r="Q71" i="5"/>
  <c r="O72" i="5"/>
  <c r="P72" i="5"/>
  <c r="Q72" i="5"/>
  <c r="O73" i="5"/>
  <c r="P73" i="5"/>
  <c r="Q73" i="5"/>
  <c r="O74" i="5"/>
  <c r="P74" i="5"/>
  <c r="Q74" i="5"/>
  <c r="O75" i="5"/>
  <c r="P75" i="5"/>
  <c r="Q75" i="5"/>
  <c r="O76" i="5"/>
  <c r="P76" i="5"/>
  <c r="Q76" i="5"/>
  <c r="O77" i="5"/>
  <c r="P77" i="5"/>
  <c r="Q77" i="5"/>
  <c r="O78" i="5"/>
  <c r="P78" i="5"/>
  <c r="Q78" i="5"/>
  <c r="O79" i="5"/>
  <c r="P79" i="5"/>
  <c r="Q79" i="5"/>
  <c r="O80" i="5"/>
  <c r="P80" i="5"/>
  <c r="Q80" i="5"/>
  <c r="O81" i="5"/>
  <c r="P81" i="5"/>
  <c r="Q81" i="5"/>
  <c r="O82" i="5"/>
  <c r="P82" i="5"/>
  <c r="Q82" i="5"/>
  <c r="O83" i="5"/>
  <c r="P83" i="5"/>
  <c r="Q83" i="5"/>
  <c r="O84" i="5"/>
  <c r="P84" i="5"/>
  <c r="Q84" i="5"/>
  <c r="O85" i="5"/>
  <c r="P85" i="5"/>
  <c r="Q85" i="5"/>
  <c r="O86" i="5"/>
  <c r="P86" i="5"/>
  <c r="Q86" i="5"/>
  <c r="O87" i="5"/>
  <c r="P87" i="5"/>
  <c r="Q87" i="5"/>
  <c r="O88" i="5"/>
  <c r="P88" i="5"/>
  <c r="Q88" i="5"/>
  <c r="O89" i="5"/>
  <c r="P89" i="5"/>
  <c r="Q89" i="5"/>
  <c r="O90" i="5"/>
  <c r="P90" i="5"/>
  <c r="Q90" i="5"/>
  <c r="O91" i="5"/>
  <c r="P91" i="5"/>
  <c r="Q91" i="5"/>
  <c r="O92" i="5"/>
  <c r="P92" i="5"/>
  <c r="Q92" i="5"/>
  <c r="O93" i="5"/>
  <c r="P93" i="5"/>
  <c r="Q93" i="5"/>
  <c r="O94" i="5"/>
  <c r="P94" i="5"/>
  <c r="Q94" i="5"/>
  <c r="O95" i="5"/>
  <c r="P95" i="5"/>
  <c r="Q95" i="5"/>
  <c r="O96" i="5"/>
  <c r="P96" i="5"/>
  <c r="Q96" i="5"/>
  <c r="O97" i="5"/>
  <c r="P97" i="5"/>
  <c r="Q97" i="5"/>
  <c r="O98" i="5"/>
  <c r="P98" i="5"/>
  <c r="Q98" i="5"/>
  <c r="O99" i="5"/>
  <c r="P99" i="5"/>
  <c r="Q99" i="5"/>
  <c r="O100" i="5"/>
  <c r="P100" i="5"/>
  <c r="Q100" i="5"/>
  <c r="O101" i="5"/>
  <c r="P101" i="5"/>
  <c r="Q101" i="5"/>
  <c r="O102" i="5"/>
  <c r="P102" i="5"/>
  <c r="Q102" i="5"/>
  <c r="O103" i="5"/>
  <c r="P103" i="5"/>
  <c r="Q103" i="5"/>
  <c r="O104" i="5"/>
  <c r="P104" i="5"/>
  <c r="Q104" i="5"/>
  <c r="O105" i="5"/>
  <c r="P105" i="5"/>
  <c r="Q105" i="5"/>
  <c r="O106" i="5"/>
  <c r="P106" i="5"/>
  <c r="Q106" i="5"/>
  <c r="O107" i="5"/>
  <c r="P107" i="5"/>
  <c r="Q107" i="5"/>
  <c r="O108" i="5"/>
  <c r="P108" i="5"/>
  <c r="Q108" i="5"/>
  <c r="O109" i="5"/>
  <c r="P109" i="5"/>
  <c r="Q109" i="5"/>
  <c r="O110" i="5"/>
  <c r="P110" i="5"/>
  <c r="Q110" i="5"/>
  <c r="O111" i="5"/>
  <c r="P111" i="5"/>
  <c r="Q111" i="5"/>
  <c r="O112" i="5"/>
  <c r="P112" i="5"/>
  <c r="Q112" i="5"/>
  <c r="O113" i="5"/>
  <c r="P113" i="5"/>
  <c r="Q113" i="5"/>
  <c r="O114" i="5"/>
  <c r="P114" i="5"/>
  <c r="Q114" i="5"/>
  <c r="O115" i="5"/>
  <c r="P115" i="5"/>
  <c r="Q115" i="5"/>
  <c r="O116" i="5"/>
  <c r="P116" i="5"/>
  <c r="Q116" i="5"/>
  <c r="O117" i="5"/>
  <c r="P117" i="5"/>
  <c r="Q117" i="5"/>
  <c r="Q19" i="5"/>
  <c r="Q20" i="5"/>
  <c r="Q21" i="5"/>
  <c r="Q22" i="5"/>
  <c r="Q23" i="5"/>
  <c r="Q24" i="5"/>
  <c r="Q25" i="5"/>
  <c r="Q26" i="5"/>
  <c r="Q27" i="5"/>
  <c r="Q28" i="5"/>
  <c r="Q29" i="5"/>
  <c r="Q18" i="5"/>
  <c r="P19" i="5"/>
  <c r="P20" i="5"/>
  <c r="P21" i="5"/>
  <c r="P22" i="5"/>
  <c r="P23" i="5"/>
  <c r="P24" i="5"/>
  <c r="P25" i="5"/>
  <c r="P26" i="5"/>
  <c r="P27" i="5"/>
  <c r="P28" i="5"/>
  <c r="P29" i="5"/>
  <c r="O19" i="5"/>
  <c r="O20" i="5"/>
  <c r="O21" i="5"/>
  <c r="O22" i="5"/>
  <c r="O23" i="5"/>
  <c r="O24" i="5"/>
  <c r="O25" i="5"/>
  <c r="O26" i="5"/>
  <c r="O27" i="5"/>
  <c r="O28" i="5"/>
  <c r="O29" i="5"/>
  <c r="O18" i="5"/>
  <c r="Q49" i="9" l="1"/>
  <c r="Q28" i="9"/>
  <c r="P49" i="9"/>
  <c r="P28" i="9"/>
  <c r="O49" i="9"/>
  <c r="O28" i="9"/>
  <c r="F293" i="11"/>
  <c r="O293" i="11" s="1"/>
  <c r="Z293" i="11" s="1"/>
  <c r="F322" i="11"/>
  <c r="O322" i="11" s="1"/>
  <c r="Z322" i="11" s="1"/>
  <c r="F342" i="11"/>
  <c r="O342" i="11" s="1"/>
  <c r="Z342" i="11" s="1"/>
  <c r="F327" i="11"/>
  <c r="O327" i="11" s="1"/>
  <c r="Z327" i="11" s="1"/>
  <c r="F261" i="11"/>
  <c r="O261" i="11" s="1"/>
  <c r="Z261" i="11" s="1"/>
  <c r="F273" i="11"/>
  <c r="O273" i="11" s="1"/>
  <c r="Z273" i="11" s="1"/>
  <c r="F302" i="11"/>
  <c r="O302" i="11" s="1"/>
  <c r="Z302" i="11" s="1"/>
  <c r="F347" i="11"/>
  <c r="O347" i="11" s="1"/>
  <c r="Z347" i="11" s="1"/>
  <c r="F260" i="11"/>
  <c r="O260" i="11" s="1"/>
  <c r="Z260" i="11" s="1"/>
  <c r="F313" i="11"/>
  <c r="O313" i="11" s="1"/>
  <c r="Z313" i="11" s="1"/>
  <c r="F333" i="11"/>
  <c r="O333" i="11" s="1"/>
  <c r="Z333" i="11" s="1"/>
  <c r="F282" i="11"/>
  <c r="O282" i="11" s="1"/>
  <c r="Z282" i="11" s="1"/>
  <c r="F314" i="11"/>
  <c r="O314" i="11" s="1"/>
  <c r="Z314" i="11" s="1"/>
  <c r="F334" i="11"/>
  <c r="O334" i="11" s="1"/>
  <c r="Z334" i="11" s="1"/>
  <c r="F266" i="11"/>
  <c r="O266" i="11" s="1"/>
  <c r="Z266" i="11" s="1"/>
  <c r="F307" i="11"/>
  <c r="O307" i="11" s="1"/>
  <c r="Z307" i="11" s="1"/>
  <c r="F253" i="11"/>
  <c r="O253" i="11" s="1"/>
  <c r="Z253" i="11" s="1"/>
  <c r="F294" i="11"/>
  <c r="O294" i="11" s="1"/>
  <c r="Z294" i="11" s="1"/>
  <c r="F262" i="11"/>
  <c r="O262" i="11" s="1"/>
  <c r="Z262" i="11" s="1"/>
  <c r="F274" i="11"/>
  <c r="O274" i="11" s="1"/>
  <c r="Z274" i="11" s="1"/>
  <c r="F306" i="11"/>
  <c r="O306" i="11" s="1"/>
  <c r="Z306" i="11" s="1"/>
  <c r="F326" i="11"/>
  <c r="O326" i="11" s="1"/>
  <c r="Z326" i="11" s="1"/>
  <c r="F346" i="11"/>
  <c r="O346" i="11" s="1"/>
  <c r="Z346" i="11" s="1"/>
  <c r="F286" i="11"/>
  <c r="O286" i="11" s="1"/>
  <c r="Z286" i="11" s="1"/>
  <c r="F315" i="11"/>
  <c r="O315" i="11" s="1"/>
  <c r="Z315" i="11" s="1"/>
  <c r="F335" i="11"/>
  <c r="O335" i="11" s="1"/>
  <c r="Z335" i="11" s="1"/>
  <c r="F254" i="11"/>
  <c r="O254" i="11" s="1"/>
  <c r="Z254" i="11" s="1"/>
  <c r="F295" i="11"/>
  <c r="O295" i="11" s="1"/>
  <c r="Z295" i="11" s="1"/>
  <c r="F275" i="11"/>
  <c r="O275" i="11" s="1"/>
  <c r="Z275" i="11" s="1"/>
  <c r="F279" i="11"/>
  <c r="O279" i="11" s="1"/>
  <c r="Z279" i="11" s="1"/>
  <c r="F320" i="11"/>
  <c r="O320" i="11" s="1"/>
  <c r="Z320" i="11" s="1"/>
  <c r="F259" i="11"/>
  <c r="O259" i="11" s="1"/>
  <c r="Z259" i="11" s="1"/>
  <c r="F300" i="11"/>
  <c r="O300" i="11" s="1"/>
  <c r="Z300" i="11" s="1"/>
  <c r="F341" i="11"/>
  <c r="O341" i="11" s="1"/>
  <c r="Z341" i="11" s="1"/>
  <c r="F301" i="11"/>
  <c r="O301" i="11" s="1"/>
  <c r="Z301" i="11" s="1"/>
  <c r="F287" i="11"/>
  <c r="O287" i="11" s="1"/>
  <c r="Z287" i="11" s="1"/>
  <c r="F340" i="11"/>
  <c r="O340" i="11" s="1"/>
  <c r="Z340" i="11" s="1"/>
  <c r="F280" i="11"/>
  <c r="O280" i="11" s="1"/>
  <c r="Z280" i="11" s="1"/>
  <c r="F321" i="11"/>
  <c r="O321" i="11" s="1"/>
  <c r="Z321" i="11" s="1"/>
  <c r="F281" i="11"/>
  <c r="O281" i="11" s="1"/>
  <c r="Z281" i="11" s="1"/>
  <c r="F255" i="11"/>
  <c r="O255" i="11" s="1"/>
  <c r="Z255" i="11" s="1"/>
  <c r="F288" i="11"/>
  <c r="O288" i="11" s="1"/>
  <c r="Z288" i="11" s="1"/>
  <c r="F319" i="11"/>
  <c r="O319" i="11" s="1"/>
  <c r="Z319" i="11" s="1"/>
  <c r="F339" i="11"/>
  <c r="O339" i="11" s="1"/>
  <c r="Z339" i="11" s="1"/>
  <c r="F268" i="11"/>
  <c r="O268" i="11" s="1"/>
  <c r="Z268" i="11" s="1"/>
  <c r="F267" i="11"/>
  <c r="O267" i="11" s="1"/>
  <c r="Z267" i="11" s="1"/>
  <c r="F308" i="11"/>
  <c r="O308" i="11" s="1"/>
  <c r="Z308" i="11" s="1"/>
  <c r="F328" i="11"/>
  <c r="O328" i="11" s="1"/>
  <c r="Z328" i="11" s="1"/>
  <c r="F348" i="11"/>
  <c r="O348" i="11" s="1"/>
  <c r="Z348" i="11" s="1"/>
  <c r="F299" i="11"/>
  <c r="O299" i="11" s="1"/>
  <c r="Z299" i="11" s="1"/>
  <c r="F272" i="11"/>
  <c r="O272" i="11" s="1"/>
  <c r="Z272" i="11" s="1"/>
  <c r="F258" i="11"/>
  <c r="O258" i="11" s="1"/>
  <c r="Z258" i="11" s="1"/>
  <c r="F330" i="11"/>
  <c r="O330" i="11" s="1"/>
  <c r="Z330" i="11" s="1"/>
  <c r="F283" i="11"/>
  <c r="O283" i="11" s="1"/>
  <c r="Z283" i="11" s="1"/>
  <c r="F265" i="11"/>
  <c r="O265" i="11" s="1"/>
  <c r="Z265" i="11" s="1"/>
  <c r="F316" i="11"/>
  <c r="O316" i="11" s="1"/>
  <c r="Z316" i="11" s="1"/>
  <c r="F329" i="11"/>
  <c r="O329" i="11" s="1"/>
  <c r="Z329" i="11" s="1"/>
  <c r="F298" i="11"/>
  <c r="O298" i="11" s="1"/>
  <c r="Z298" i="11" s="1"/>
  <c r="F251" i="11"/>
  <c r="O251" i="11" s="1"/>
  <c r="Z251" i="11" s="1"/>
  <c r="F277" i="11"/>
  <c r="O277" i="11" s="1"/>
  <c r="Z277" i="11" s="1"/>
  <c r="F264" i="11"/>
  <c r="O264" i="11" s="1"/>
  <c r="Z264" i="11" s="1"/>
  <c r="F252" i="11"/>
  <c r="O252" i="11" s="1"/>
  <c r="Z252" i="11" s="1"/>
  <c r="F271" i="11"/>
  <c r="O271" i="11" s="1"/>
  <c r="Z271" i="11" s="1"/>
  <c r="F297" i="11"/>
  <c r="O297" i="11" s="1"/>
  <c r="Z297" i="11" s="1"/>
  <c r="F263" i="11"/>
  <c r="O263" i="11" s="1"/>
  <c r="Z263" i="11" s="1"/>
  <c r="F276" i="11"/>
  <c r="O276" i="11" s="1"/>
  <c r="Z276" i="11" s="1"/>
  <c r="F289" i="11"/>
  <c r="O289" i="11" s="1"/>
  <c r="Z289" i="11" s="1"/>
  <c r="F310" i="11"/>
  <c r="O310" i="11" s="1"/>
  <c r="Z310" i="11" s="1"/>
  <c r="F256" i="11"/>
  <c r="O256" i="11" s="1"/>
  <c r="Z256" i="11" s="1"/>
  <c r="F318" i="11"/>
  <c r="O318" i="11" s="1"/>
  <c r="Z318" i="11" s="1"/>
  <c r="F304" i="11"/>
  <c r="O304" i="11" s="1"/>
  <c r="Z304" i="11" s="1"/>
  <c r="F296" i="11"/>
  <c r="O296" i="11" s="1"/>
  <c r="Z296" i="11" s="1"/>
  <c r="F309" i="11"/>
  <c r="O309" i="11" s="1"/>
  <c r="Z309" i="11" s="1"/>
  <c r="F331" i="11"/>
  <c r="O331" i="11" s="1"/>
  <c r="Z331" i="11" s="1"/>
  <c r="F344" i="11"/>
  <c r="O344" i="11" s="1"/>
  <c r="Z344" i="11" s="1"/>
  <c r="F292" i="11"/>
  <c r="O292" i="11" s="1"/>
  <c r="Z292" i="11" s="1"/>
  <c r="F312" i="11"/>
  <c r="O312" i="11" s="1"/>
  <c r="Z312" i="11" s="1"/>
  <c r="F290" i="11"/>
  <c r="O290" i="11" s="1"/>
  <c r="Z290" i="11" s="1"/>
  <c r="F285" i="11"/>
  <c r="O285" i="11" s="1"/>
  <c r="Z285" i="11" s="1"/>
  <c r="F311" i="11"/>
  <c r="O311" i="11" s="1"/>
  <c r="Z311" i="11" s="1"/>
  <c r="F337" i="11"/>
  <c r="O337" i="11" s="1"/>
  <c r="Z337" i="11" s="1"/>
  <c r="F250" i="11"/>
  <c r="F270" i="11"/>
  <c r="O270" i="11" s="1"/>
  <c r="Z270" i="11" s="1"/>
  <c r="F343" i="11"/>
  <c r="O343" i="11" s="1"/>
  <c r="Z343" i="11" s="1"/>
  <c r="F345" i="11"/>
  <c r="O345" i="11" s="1"/>
  <c r="Z345" i="11" s="1"/>
  <c r="F291" i="11"/>
  <c r="O291" i="11" s="1"/>
  <c r="Z291" i="11" s="1"/>
  <c r="F317" i="11"/>
  <c r="O317" i="11" s="1"/>
  <c r="Z317" i="11" s="1"/>
  <c r="F323" i="11"/>
  <c r="O323" i="11" s="1"/>
  <c r="Z323" i="11" s="1"/>
  <c r="F305" i="11"/>
  <c r="O305" i="11" s="1"/>
  <c r="Z305" i="11" s="1"/>
  <c r="F338" i="11"/>
  <c r="O338" i="11" s="1"/>
  <c r="Z338" i="11" s="1"/>
  <c r="F325" i="11"/>
  <c r="O325" i="11" s="1"/>
  <c r="Z325" i="11" s="1"/>
  <c r="F303" i="11"/>
  <c r="O303" i="11" s="1"/>
  <c r="Z303" i="11" s="1"/>
  <c r="F336" i="11"/>
  <c r="O336" i="11" s="1"/>
  <c r="Z336" i="11" s="1"/>
  <c r="F349" i="11"/>
  <c r="O349" i="11" s="1"/>
  <c r="Z349" i="11" s="1"/>
  <c r="F269" i="11"/>
  <c r="O269" i="11" s="1"/>
  <c r="Z269" i="11" s="1"/>
  <c r="F278" i="11"/>
  <c r="O278" i="11" s="1"/>
  <c r="Z278" i="11" s="1"/>
  <c r="F324" i="11"/>
  <c r="O324" i="11" s="1"/>
  <c r="Z324" i="11" s="1"/>
  <c r="F332" i="11"/>
  <c r="O332" i="11" s="1"/>
  <c r="Z332" i="11" s="1"/>
  <c r="F284" i="11"/>
  <c r="O284" i="11" s="1"/>
  <c r="Z284" i="11" s="1"/>
  <c r="F257" i="11"/>
  <c r="O257" i="11" s="1"/>
  <c r="Z257" i="11" s="1"/>
  <c r="O47" i="9"/>
  <c r="P47" i="9"/>
  <c r="K358" i="11"/>
  <c r="F360" i="11" s="1"/>
  <c r="O48" i="9"/>
  <c r="O43" i="9"/>
  <c r="O22" i="9"/>
  <c r="I10" i="7"/>
  <c r="Q47" i="9"/>
  <c r="P43" i="9"/>
  <c r="P22" i="9"/>
  <c r="Q50" i="9"/>
  <c r="H6" i="7"/>
  <c r="P50" i="9"/>
  <c r="O50" i="9"/>
  <c r="H10" i="7"/>
  <c r="Q43" i="9"/>
  <c r="Q22" i="9"/>
  <c r="P48" i="9"/>
  <c r="Q48" i="9"/>
  <c r="I11" i="7"/>
  <c r="Q26" i="9"/>
  <c r="Q15" i="9"/>
  <c r="P26" i="9"/>
  <c r="P15" i="9"/>
  <c r="O21" i="9"/>
  <c r="O10" i="9"/>
  <c r="O15" i="9"/>
  <c r="O26" i="9"/>
  <c r="I5" i="7"/>
  <c r="AA27" i="7" s="1"/>
  <c r="S27" i="7" s="1"/>
  <c r="Q10" i="9"/>
  <c r="Q21" i="9"/>
  <c r="P21" i="9"/>
  <c r="P10" i="9"/>
  <c r="I9" i="7"/>
  <c r="Q13" i="9"/>
  <c r="Q24" i="9"/>
  <c r="P13" i="9"/>
  <c r="P24" i="9"/>
  <c r="I15" i="7"/>
  <c r="Q17" i="9"/>
  <c r="O24" i="9"/>
  <c r="O13" i="9"/>
  <c r="P17" i="9"/>
  <c r="O17" i="9"/>
  <c r="I6" i="7"/>
  <c r="Q23" i="9"/>
  <c r="Q12" i="9"/>
  <c r="P12" i="9"/>
  <c r="P23" i="9"/>
  <c r="O23" i="9"/>
  <c r="O12" i="9"/>
  <c r="E51" i="3"/>
  <c r="E52" i="3"/>
  <c r="E54" i="3" s="1"/>
  <c r="E53" i="3"/>
  <c r="R5" i="8"/>
  <c r="R10" i="8"/>
  <c r="S10" i="8" s="1"/>
  <c r="Y37" i="5"/>
  <c r="Y40" i="5"/>
  <c r="Y51" i="5"/>
  <c r="Y55" i="5"/>
  <c r="Y58" i="5"/>
  <c r="Y69" i="5"/>
  <c r="Y72" i="5"/>
  <c r="Y86" i="5"/>
  <c r="Y93" i="5"/>
  <c r="Y97" i="5"/>
  <c r="Y104" i="5"/>
  <c r="Y108" i="5"/>
  <c r="Y19" i="5"/>
  <c r="Y22" i="5"/>
  <c r="Y26" i="5"/>
  <c r="Y29" i="5"/>
  <c r="Y32" i="5"/>
  <c r="Y39" i="5"/>
  <c r="Y42" i="5"/>
  <c r="Y53" i="5"/>
  <c r="Y57" i="5"/>
  <c r="Y60" i="5"/>
  <c r="Y71" i="5"/>
  <c r="Y78" i="5"/>
  <c r="Y85" i="5"/>
  <c r="Y92" i="5"/>
  <c r="Y95" i="5"/>
  <c r="Y99" i="5"/>
  <c r="Y103" i="5"/>
  <c r="Y21" i="5"/>
  <c r="Y25" i="5"/>
  <c r="Y28" i="5"/>
  <c r="Y35" i="5"/>
  <c r="Y45" i="5"/>
  <c r="Y49" i="5"/>
  <c r="Y63" i="5"/>
  <c r="Y67" i="5"/>
  <c r="Y74" i="5"/>
  <c r="Y77" i="5"/>
  <c r="Y81" i="5"/>
  <c r="Y84" i="5"/>
  <c r="Y88" i="5"/>
  <c r="Y102" i="5"/>
  <c r="Y106" i="5"/>
  <c r="Y110" i="5"/>
  <c r="Y20" i="5"/>
  <c r="Y23" i="5"/>
  <c r="Y27" i="5"/>
  <c r="Y30" i="5"/>
  <c r="Y34" i="5"/>
  <c r="Y44" i="5"/>
  <c r="Y47" i="5"/>
  <c r="Y43" i="5"/>
  <c r="Y80" i="5"/>
  <c r="Y83" i="5"/>
  <c r="Y105" i="5"/>
  <c r="Y109" i="5"/>
  <c r="Y115" i="5"/>
  <c r="Y54" i="5"/>
  <c r="Y107" i="5"/>
  <c r="Y94" i="5"/>
  <c r="Y31" i="5"/>
  <c r="Y48" i="5"/>
  <c r="Y52" i="5"/>
  <c r="Y61" i="5"/>
  <c r="Y64" i="5"/>
  <c r="Y75" i="5"/>
  <c r="Y89" i="5"/>
  <c r="Y100" i="5"/>
  <c r="Y111" i="5"/>
  <c r="Y116" i="5"/>
  <c r="Y73" i="5"/>
  <c r="Y87" i="5"/>
  <c r="Y90" i="5"/>
  <c r="Y101" i="5"/>
  <c r="Y112" i="5"/>
  <c r="Y50" i="5"/>
  <c r="Y68" i="5"/>
  <c r="Y79" i="5"/>
  <c r="Y96" i="5"/>
  <c r="Y114" i="5"/>
  <c r="Y38" i="5"/>
  <c r="Y24" i="5"/>
  <c r="Y36" i="5"/>
  <c r="Y56" i="5"/>
  <c r="Y59" i="5"/>
  <c r="Y70" i="5"/>
  <c r="Y98" i="5"/>
  <c r="Y41" i="5"/>
  <c r="Y62" i="5"/>
  <c r="Y65" i="5"/>
  <c r="Y76" i="5"/>
  <c r="Y18" i="5"/>
  <c r="Y33" i="5"/>
  <c r="Y46" i="5"/>
  <c r="Y82" i="5"/>
  <c r="Y66" i="5"/>
  <c r="Y91" i="5"/>
  <c r="Y113" i="5"/>
  <c r="Y117" i="5"/>
  <c r="X19" i="5"/>
  <c r="X22" i="5"/>
  <c r="X26" i="5"/>
  <c r="X29" i="5"/>
  <c r="X33" i="5"/>
  <c r="X36" i="5"/>
  <c r="X43" i="5"/>
  <c r="X46" i="5"/>
  <c r="X50" i="5"/>
  <c r="X54" i="5"/>
  <c r="X61" i="5"/>
  <c r="X64" i="5"/>
  <c r="X68" i="5"/>
  <c r="X75" i="5"/>
  <c r="X79" i="5"/>
  <c r="X82" i="5"/>
  <c r="X89" i="5"/>
  <c r="X96" i="5"/>
  <c r="X100" i="5"/>
  <c r="X107" i="5"/>
  <c r="X111" i="5"/>
  <c r="X21" i="5"/>
  <c r="X25" i="5"/>
  <c r="X28" i="5"/>
  <c r="X35" i="5"/>
  <c r="X45" i="5"/>
  <c r="X49" i="5"/>
  <c r="X63" i="5"/>
  <c r="X67" i="5"/>
  <c r="X74" i="5"/>
  <c r="X77" i="5"/>
  <c r="X81" i="5"/>
  <c r="X84" i="5"/>
  <c r="X88" i="5"/>
  <c r="X102" i="5"/>
  <c r="X106" i="5"/>
  <c r="X110" i="5"/>
  <c r="X113" i="5"/>
  <c r="X24" i="5"/>
  <c r="X31" i="5"/>
  <c r="X38" i="5"/>
  <c r="X41" i="5"/>
  <c r="X48" i="5"/>
  <c r="X52" i="5"/>
  <c r="X56" i="5"/>
  <c r="X59" i="5"/>
  <c r="X66" i="5"/>
  <c r="X70" i="5"/>
  <c r="X91" i="5"/>
  <c r="X94" i="5"/>
  <c r="X98" i="5"/>
  <c r="X37" i="5"/>
  <c r="X40" i="5"/>
  <c r="X51" i="5"/>
  <c r="X30" i="5"/>
  <c r="X39" i="5"/>
  <c r="X55" i="5"/>
  <c r="X58" i="5"/>
  <c r="X69" i="5"/>
  <c r="X72" i="5"/>
  <c r="X86" i="5"/>
  <c r="X97" i="5"/>
  <c r="X108" i="5"/>
  <c r="X116" i="5"/>
  <c r="X104" i="5"/>
  <c r="X42" i="5"/>
  <c r="X71" i="5"/>
  <c r="X85" i="5"/>
  <c r="X18" i="5"/>
  <c r="X34" i="5"/>
  <c r="X105" i="5"/>
  <c r="X23" i="5"/>
  <c r="X44" i="5"/>
  <c r="X78" i="5"/>
  <c r="X92" i="5"/>
  <c r="X95" i="5"/>
  <c r="X103" i="5"/>
  <c r="X60" i="5"/>
  <c r="X80" i="5"/>
  <c r="X32" i="5"/>
  <c r="X53" i="5"/>
  <c r="X62" i="5"/>
  <c r="X65" i="5"/>
  <c r="X73" i="5"/>
  <c r="X76" i="5"/>
  <c r="X87" i="5"/>
  <c r="X90" i="5"/>
  <c r="X101" i="5"/>
  <c r="X109" i="5"/>
  <c r="X112" i="5"/>
  <c r="X115" i="5"/>
  <c r="X93" i="5"/>
  <c r="X114" i="5"/>
  <c r="X27" i="5"/>
  <c r="X57" i="5"/>
  <c r="X99" i="5"/>
  <c r="X117" i="5"/>
  <c r="X20" i="5"/>
  <c r="X47" i="5"/>
  <c r="X83" i="5"/>
  <c r="W32" i="5"/>
  <c r="W39" i="5"/>
  <c r="W42" i="5"/>
  <c r="W53" i="5"/>
  <c r="W57" i="5"/>
  <c r="W60" i="5"/>
  <c r="W71" i="5"/>
  <c r="W78" i="5"/>
  <c r="W85" i="5"/>
  <c r="W92" i="5"/>
  <c r="W95" i="5"/>
  <c r="W99" i="5"/>
  <c r="W103" i="5"/>
  <c r="W21" i="5"/>
  <c r="W25" i="5"/>
  <c r="W28" i="5"/>
  <c r="W24" i="5"/>
  <c r="W31" i="5"/>
  <c r="W38" i="5"/>
  <c r="W41" i="5"/>
  <c r="W48" i="5"/>
  <c r="W52" i="5"/>
  <c r="W56" i="5"/>
  <c r="W59" i="5"/>
  <c r="W66" i="5"/>
  <c r="W70" i="5"/>
  <c r="W91" i="5"/>
  <c r="W94" i="5"/>
  <c r="W98" i="5"/>
  <c r="W20" i="5"/>
  <c r="W23" i="5"/>
  <c r="W27" i="5"/>
  <c r="W30" i="5"/>
  <c r="W34" i="5"/>
  <c r="W44" i="5"/>
  <c r="W47" i="5"/>
  <c r="W62" i="5"/>
  <c r="W65" i="5"/>
  <c r="W73" i="5"/>
  <c r="W76" i="5"/>
  <c r="W80" i="5"/>
  <c r="W83" i="5"/>
  <c r="W87" i="5"/>
  <c r="W90" i="5"/>
  <c r="W101" i="5"/>
  <c r="W105" i="5"/>
  <c r="W109" i="5"/>
  <c r="W112" i="5"/>
  <c r="W19" i="5"/>
  <c r="W22" i="5"/>
  <c r="W26" i="5"/>
  <c r="W29" i="5"/>
  <c r="W33" i="5"/>
  <c r="W36" i="5"/>
  <c r="W43" i="5"/>
  <c r="W46" i="5"/>
  <c r="W50" i="5"/>
  <c r="W54" i="5"/>
  <c r="W35" i="5"/>
  <c r="W61" i="5"/>
  <c r="W64" i="5"/>
  <c r="W75" i="5"/>
  <c r="W89" i="5"/>
  <c r="W100" i="5"/>
  <c r="W111" i="5"/>
  <c r="W79" i="5"/>
  <c r="W96" i="5"/>
  <c r="W63" i="5"/>
  <c r="W77" i="5"/>
  <c r="W102" i="5"/>
  <c r="W55" i="5"/>
  <c r="W72" i="5"/>
  <c r="W86" i="5"/>
  <c r="W116" i="5"/>
  <c r="W40" i="5"/>
  <c r="W67" i="5"/>
  <c r="W81" i="5"/>
  <c r="W84" i="5"/>
  <c r="W106" i="5"/>
  <c r="W115" i="5"/>
  <c r="W68" i="5"/>
  <c r="W82" i="5"/>
  <c r="W117" i="5"/>
  <c r="W88" i="5"/>
  <c r="W110" i="5"/>
  <c r="W51" i="5"/>
  <c r="W69" i="5"/>
  <c r="W97" i="5"/>
  <c r="W108" i="5"/>
  <c r="W18" i="5"/>
  <c r="W45" i="5"/>
  <c r="W49" i="5"/>
  <c r="W93" i="5"/>
  <c r="W104" i="5"/>
  <c r="W114" i="5"/>
  <c r="W37" i="5"/>
  <c r="W107" i="5"/>
  <c r="W74" i="5"/>
  <c r="W113" i="5"/>
  <c r="W58" i="5"/>
  <c r="AF14" i="4"/>
  <c r="AF13" i="4"/>
  <c r="H8" i="7" s="1"/>
  <c r="AF12" i="4"/>
  <c r="H7" i="7" s="1"/>
  <c r="AF21" i="4"/>
  <c r="AF20" i="4"/>
  <c r="N28" i="9" s="1"/>
  <c r="AF19" i="4"/>
  <c r="H14" i="7" s="1"/>
  <c r="AF18" i="4"/>
  <c r="H13" i="7" s="1"/>
  <c r="AF17" i="4"/>
  <c r="H12" i="7" s="1"/>
  <c r="AF16" i="4"/>
  <c r="I31" i="4"/>
  <c r="I33" i="4"/>
  <c r="I32" i="4"/>
  <c r="I29" i="4"/>
  <c r="I30" i="4"/>
  <c r="E38" i="1"/>
  <c r="F373" i="11" l="1"/>
  <c r="O373" i="11" s="1"/>
  <c r="Z373" i="11" s="1"/>
  <c r="F382" i="11"/>
  <c r="O382" i="11" s="1"/>
  <c r="Z382" i="11" s="1"/>
  <c r="F392" i="11"/>
  <c r="O392" i="11" s="1"/>
  <c r="Z392" i="11" s="1"/>
  <c r="F429" i="11"/>
  <c r="O429" i="11" s="1"/>
  <c r="Z429" i="11" s="1"/>
  <c r="F439" i="11"/>
  <c r="O439" i="11" s="1"/>
  <c r="Z439" i="11" s="1"/>
  <c r="F379" i="11"/>
  <c r="O379" i="11" s="1"/>
  <c r="Z379" i="11" s="1"/>
  <c r="F427" i="11"/>
  <c r="O427" i="11" s="1"/>
  <c r="Z427" i="11" s="1"/>
  <c r="F409" i="11"/>
  <c r="O409" i="11" s="1"/>
  <c r="Z409" i="11" s="1"/>
  <c r="F411" i="11"/>
  <c r="O411" i="11" s="1"/>
  <c r="Z411" i="11" s="1"/>
  <c r="F448" i="11"/>
  <c r="O448" i="11" s="1"/>
  <c r="Z448" i="11" s="1"/>
  <c r="F456" i="11"/>
  <c r="O456" i="11" s="1"/>
  <c r="Z456" i="11" s="1"/>
  <c r="F369" i="11"/>
  <c r="O369" i="11" s="1"/>
  <c r="Z369" i="11" s="1"/>
  <c r="F435" i="11"/>
  <c r="O435" i="11" s="1"/>
  <c r="Z435" i="11" s="1"/>
  <c r="F393" i="11"/>
  <c r="O393" i="11" s="1"/>
  <c r="Z393" i="11" s="1"/>
  <c r="F402" i="11"/>
  <c r="O402" i="11" s="1"/>
  <c r="Z402" i="11" s="1"/>
  <c r="F421" i="11"/>
  <c r="O421" i="11" s="1"/>
  <c r="Z421" i="11" s="1"/>
  <c r="F440" i="11"/>
  <c r="O440" i="11" s="1"/>
  <c r="Z440" i="11" s="1"/>
  <c r="F405" i="11"/>
  <c r="O405" i="11" s="1"/>
  <c r="Z405" i="11" s="1"/>
  <c r="F416" i="11"/>
  <c r="O416" i="11" s="1"/>
  <c r="Z416" i="11" s="1"/>
  <c r="F389" i="11"/>
  <c r="O389" i="11" s="1"/>
  <c r="Z389" i="11" s="1"/>
  <c r="F419" i="11"/>
  <c r="O419" i="11" s="1"/>
  <c r="Z419" i="11" s="1"/>
  <c r="F364" i="11"/>
  <c r="O364" i="11" s="1"/>
  <c r="Z364" i="11" s="1"/>
  <c r="F374" i="11"/>
  <c r="O374" i="11" s="1"/>
  <c r="Z374" i="11" s="1"/>
  <c r="F383" i="11"/>
  <c r="O383" i="11" s="1"/>
  <c r="Z383" i="11" s="1"/>
  <c r="F412" i="11"/>
  <c r="O412" i="11" s="1"/>
  <c r="Z412" i="11" s="1"/>
  <c r="F365" i="11"/>
  <c r="O365" i="11" s="1"/>
  <c r="Z365" i="11" s="1"/>
  <c r="F384" i="11"/>
  <c r="O384" i="11" s="1"/>
  <c r="Z384" i="11" s="1"/>
  <c r="F431" i="11"/>
  <c r="O431" i="11" s="1"/>
  <c r="Z431" i="11" s="1"/>
  <c r="F449" i="11"/>
  <c r="O449" i="11" s="1"/>
  <c r="Z449" i="11" s="1"/>
  <c r="F459" i="11"/>
  <c r="O459" i="11" s="1"/>
  <c r="Z459" i="11" s="1"/>
  <c r="F446" i="11"/>
  <c r="O446" i="11" s="1"/>
  <c r="Z446" i="11" s="1"/>
  <c r="F447" i="11"/>
  <c r="O447" i="11" s="1"/>
  <c r="Z447" i="11" s="1"/>
  <c r="F366" i="11"/>
  <c r="O366" i="11" s="1"/>
  <c r="Z366" i="11" s="1"/>
  <c r="F385" i="11"/>
  <c r="O385" i="11" s="1"/>
  <c r="Z385" i="11" s="1"/>
  <c r="F394" i="11"/>
  <c r="O394" i="11" s="1"/>
  <c r="Z394" i="11" s="1"/>
  <c r="F403" i="11"/>
  <c r="O403" i="11" s="1"/>
  <c r="Z403" i="11" s="1"/>
  <c r="F413" i="11"/>
  <c r="O413" i="11" s="1"/>
  <c r="Z413" i="11" s="1"/>
  <c r="F422" i="11"/>
  <c r="O422" i="11" s="1"/>
  <c r="Z422" i="11" s="1"/>
  <c r="F441" i="11"/>
  <c r="O441" i="11" s="1"/>
  <c r="Z441" i="11" s="1"/>
  <c r="F408" i="11"/>
  <c r="O408" i="11" s="1"/>
  <c r="Z408" i="11" s="1"/>
  <c r="F428" i="11"/>
  <c r="O428" i="11" s="1"/>
  <c r="Z428" i="11" s="1"/>
  <c r="F375" i="11"/>
  <c r="O375" i="11" s="1"/>
  <c r="Z375" i="11" s="1"/>
  <c r="F386" i="11"/>
  <c r="O386" i="11" s="1"/>
  <c r="Z386" i="11" s="1"/>
  <c r="F404" i="11"/>
  <c r="O404" i="11" s="1"/>
  <c r="Z404" i="11" s="1"/>
  <c r="F432" i="11"/>
  <c r="O432" i="11" s="1"/>
  <c r="Z432" i="11" s="1"/>
  <c r="F460" i="11"/>
  <c r="O460" i="11" s="1"/>
  <c r="Z460" i="11" s="1"/>
  <c r="F380" i="11"/>
  <c r="O380" i="11" s="1"/>
  <c r="Z380" i="11" s="1"/>
  <c r="F363" i="11"/>
  <c r="F381" i="11"/>
  <c r="O381" i="11" s="1"/>
  <c r="Z381" i="11" s="1"/>
  <c r="F401" i="11"/>
  <c r="O401" i="11" s="1"/>
  <c r="Z401" i="11" s="1"/>
  <c r="F367" i="11"/>
  <c r="O367" i="11" s="1"/>
  <c r="Z367" i="11" s="1"/>
  <c r="F395" i="11"/>
  <c r="O395" i="11" s="1"/>
  <c r="Z395" i="11" s="1"/>
  <c r="F406" i="11"/>
  <c r="O406" i="11" s="1"/>
  <c r="Z406" i="11" s="1"/>
  <c r="F414" i="11"/>
  <c r="O414" i="11" s="1"/>
  <c r="Z414" i="11" s="1"/>
  <c r="F423" i="11"/>
  <c r="O423" i="11" s="1"/>
  <c r="Z423" i="11" s="1"/>
  <c r="F433" i="11"/>
  <c r="O433" i="11" s="1"/>
  <c r="Z433" i="11" s="1"/>
  <c r="F442" i="11"/>
  <c r="O442" i="11" s="1"/>
  <c r="Z442" i="11" s="1"/>
  <c r="F451" i="11"/>
  <c r="O451" i="11" s="1"/>
  <c r="Z451" i="11" s="1"/>
  <c r="F453" i="11"/>
  <c r="O453" i="11" s="1"/>
  <c r="Z453" i="11" s="1"/>
  <c r="F399" i="11"/>
  <c r="O399" i="11" s="1"/>
  <c r="Z399" i="11" s="1"/>
  <c r="F376" i="11"/>
  <c r="O376" i="11" s="1"/>
  <c r="Z376" i="11" s="1"/>
  <c r="F387" i="11"/>
  <c r="O387" i="11" s="1"/>
  <c r="Z387" i="11" s="1"/>
  <c r="F424" i="11"/>
  <c r="O424" i="11" s="1"/>
  <c r="Z424" i="11" s="1"/>
  <c r="F461" i="11"/>
  <c r="O461" i="11" s="1"/>
  <c r="Z461" i="11" s="1"/>
  <c r="F368" i="11"/>
  <c r="O368" i="11" s="1"/>
  <c r="Z368" i="11" s="1"/>
  <c r="F396" i="11"/>
  <c r="O396" i="11" s="1"/>
  <c r="Z396" i="11" s="1"/>
  <c r="F407" i="11"/>
  <c r="O407" i="11" s="1"/>
  <c r="Z407" i="11" s="1"/>
  <c r="F415" i="11"/>
  <c r="O415" i="11" s="1"/>
  <c r="Z415" i="11" s="1"/>
  <c r="F426" i="11"/>
  <c r="O426" i="11" s="1"/>
  <c r="Z426" i="11" s="1"/>
  <c r="F434" i="11"/>
  <c r="O434" i="11" s="1"/>
  <c r="Z434" i="11" s="1"/>
  <c r="F443" i="11"/>
  <c r="O443" i="11" s="1"/>
  <c r="Z443" i="11" s="1"/>
  <c r="F388" i="11"/>
  <c r="O388" i="11" s="1"/>
  <c r="Z388" i="11" s="1"/>
  <c r="F400" i="11"/>
  <c r="O400" i="11" s="1"/>
  <c r="Z400" i="11" s="1"/>
  <c r="F455" i="11"/>
  <c r="O455" i="11" s="1"/>
  <c r="Z455" i="11" s="1"/>
  <c r="F420" i="11"/>
  <c r="O420" i="11" s="1"/>
  <c r="Z420" i="11" s="1"/>
  <c r="F425" i="11"/>
  <c r="O425" i="11" s="1"/>
  <c r="Z425" i="11" s="1"/>
  <c r="F452" i="11"/>
  <c r="O452" i="11" s="1"/>
  <c r="Z452" i="11" s="1"/>
  <c r="F462" i="11"/>
  <c r="O462" i="11" s="1"/>
  <c r="Z462" i="11" s="1"/>
  <c r="F444" i="11"/>
  <c r="O444" i="11" s="1"/>
  <c r="Z444" i="11" s="1"/>
  <c r="F445" i="11"/>
  <c r="O445" i="11" s="1"/>
  <c r="Z445" i="11" s="1"/>
  <c r="F454" i="11"/>
  <c r="O454" i="11" s="1"/>
  <c r="Z454" i="11" s="1"/>
  <c r="F436" i="11"/>
  <c r="O436" i="11" s="1"/>
  <c r="Z436" i="11" s="1"/>
  <c r="F371" i="11"/>
  <c r="O371" i="11" s="1"/>
  <c r="Z371" i="11" s="1"/>
  <c r="F397" i="11"/>
  <c r="O397" i="11" s="1"/>
  <c r="Z397" i="11" s="1"/>
  <c r="F438" i="11"/>
  <c r="O438" i="11" s="1"/>
  <c r="Z438" i="11" s="1"/>
  <c r="F377" i="11"/>
  <c r="O377" i="11" s="1"/>
  <c r="Z377" i="11" s="1"/>
  <c r="F457" i="11"/>
  <c r="O457" i="11" s="1"/>
  <c r="Z457" i="11" s="1"/>
  <c r="F450" i="11"/>
  <c r="O450" i="11" s="1"/>
  <c r="Z450" i="11" s="1"/>
  <c r="F372" i="11"/>
  <c r="O372" i="11" s="1"/>
  <c r="Z372" i="11" s="1"/>
  <c r="F418" i="11"/>
  <c r="O418" i="11" s="1"/>
  <c r="Z418" i="11" s="1"/>
  <c r="F390" i="11"/>
  <c r="O390" i="11" s="1"/>
  <c r="Z390" i="11" s="1"/>
  <c r="F437" i="11"/>
  <c r="O437" i="11" s="1"/>
  <c r="Z437" i="11" s="1"/>
  <c r="F458" i="11"/>
  <c r="O458" i="11" s="1"/>
  <c r="Z458" i="11" s="1"/>
  <c r="F430" i="11"/>
  <c r="O430" i="11" s="1"/>
  <c r="Z430" i="11" s="1"/>
  <c r="F370" i="11"/>
  <c r="O370" i="11" s="1"/>
  <c r="Z370" i="11" s="1"/>
  <c r="F398" i="11"/>
  <c r="O398" i="11" s="1"/>
  <c r="Z398" i="11" s="1"/>
  <c r="F417" i="11"/>
  <c r="O417" i="11" s="1"/>
  <c r="Z417" i="11" s="1"/>
  <c r="F378" i="11"/>
  <c r="O378" i="11" s="1"/>
  <c r="Z378" i="11" s="1"/>
  <c r="F410" i="11"/>
  <c r="O410" i="11" s="1"/>
  <c r="Z410" i="11" s="1"/>
  <c r="F391" i="11"/>
  <c r="O391" i="11" s="1"/>
  <c r="Z391" i="11" s="1"/>
  <c r="O250" i="11"/>
  <c r="Z250" i="11" s="1"/>
  <c r="O248" i="11"/>
  <c r="H15" i="7"/>
  <c r="H9" i="7"/>
  <c r="H11" i="7"/>
  <c r="AA52" i="7"/>
  <c r="S52" i="7" s="1"/>
  <c r="AA25" i="7"/>
  <c r="S25" i="7" s="1"/>
  <c r="AA89" i="7"/>
  <c r="S89" i="7" s="1"/>
  <c r="AA64" i="7"/>
  <c r="S64" i="7" s="1"/>
  <c r="AA66" i="7"/>
  <c r="S66" i="7" s="1"/>
  <c r="AA7" i="7"/>
  <c r="S7" i="7" s="1"/>
  <c r="AA5" i="7"/>
  <c r="AA60" i="7"/>
  <c r="S60" i="7" s="1"/>
  <c r="AA42" i="7"/>
  <c r="S42" i="7" s="1"/>
  <c r="AA57" i="7"/>
  <c r="S57" i="7" s="1"/>
  <c r="AA100" i="7"/>
  <c r="S100" i="7" s="1"/>
  <c r="AA62" i="7"/>
  <c r="S62" i="7" s="1"/>
  <c r="AA102" i="7"/>
  <c r="S102" i="7" s="1"/>
  <c r="AA44" i="7"/>
  <c r="S44" i="7" s="1"/>
  <c r="AA34" i="7"/>
  <c r="S34" i="7" s="1"/>
  <c r="AA68" i="7"/>
  <c r="S68" i="7" s="1"/>
  <c r="AA50" i="7"/>
  <c r="S50" i="7" s="1"/>
  <c r="AA38" i="7"/>
  <c r="S38" i="7" s="1"/>
  <c r="AA40" i="7"/>
  <c r="S40" i="7" s="1"/>
  <c r="AA53" i="7"/>
  <c r="S53" i="7" s="1"/>
  <c r="AA104" i="7"/>
  <c r="S104" i="7" s="1"/>
  <c r="AA56" i="7"/>
  <c r="S56" i="7" s="1"/>
  <c r="AA103" i="7"/>
  <c r="S103" i="7" s="1"/>
  <c r="AA6" i="7"/>
  <c r="S6" i="7" s="1"/>
  <c r="AA84" i="7"/>
  <c r="S84" i="7" s="1"/>
  <c r="AA61" i="7"/>
  <c r="S61" i="7" s="1"/>
  <c r="AA73" i="7"/>
  <c r="S73" i="7" s="1"/>
  <c r="AA82" i="7"/>
  <c r="S82" i="7" s="1"/>
  <c r="AA95" i="7"/>
  <c r="S95" i="7" s="1"/>
  <c r="AA93" i="7"/>
  <c r="S93" i="7" s="1"/>
  <c r="AA54" i="7"/>
  <c r="S54" i="7" s="1"/>
  <c r="AA29" i="7"/>
  <c r="S29" i="7" s="1"/>
  <c r="AA97" i="7"/>
  <c r="S97" i="7" s="1"/>
  <c r="AA79" i="7"/>
  <c r="S79" i="7" s="1"/>
  <c r="AA46" i="7"/>
  <c r="S46" i="7" s="1"/>
  <c r="AA43" i="7"/>
  <c r="S43" i="7" s="1"/>
  <c r="AA30" i="7"/>
  <c r="S30" i="7" s="1"/>
  <c r="AA77" i="7"/>
  <c r="S77" i="7" s="1"/>
  <c r="AA11" i="7"/>
  <c r="S11" i="7" s="1"/>
  <c r="AA94" i="7"/>
  <c r="S94" i="7" s="1"/>
  <c r="AA9" i="7"/>
  <c r="S9" i="7" s="1"/>
  <c r="AA14" i="7"/>
  <c r="S14" i="7" s="1"/>
  <c r="AA80" i="7"/>
  <c r="S80" i="7" s="1"/>
  <c r="AA24" i="7"/>
  <c r="S24" i="7" s="1"/>
  <c r="AA87" i="7"/>
  <c r="S87" i="7" s="1"/>
  <c r="AA20" i="7"/>
  <c r="S20" i="7" s="1"/>
  <c r="AA13" i="7"/>
  <c r="S13" i="7" s="1"/>
  <c r="AA72" i="7"/>
  <c r="S72" i="7" s="1"/>
  <c r="AA10" i="7"/>
  <c r="S10" i="7" s="1"/>
  <c r="AA59" i="7"/>
  <c r="S59" i="7" s="1"/>
  <c r="AA33" i="7"/>
  <c r="S33" i="7" s="1"/>
  <c r="AA49" i="7"/>
  <c r="S49" i="7" s="1"/>
  <c r="AA48" i="7"/>
  <c r="S48" i="7" s="1"/>
  <c r="AA55" i="7"/>
  <c r="S55" i="7" s="1"/>
  <c r="AA74" i="7"/>
  <c r="S74" i="7" s="1"/>
  <c r="AA65" i="7"/>
  <c r="S65" i="7" s="1"/>
  <c r="AA75" i="7"/>
  <c r="S75" i="7" s="1"/>
  <c r="AA19" i="7"/>
  <c r="S19" i="7" s="1"/>
  <c r="AA22" i="7"/>
  <c r="S22" i="7" s="1"/>
  <c r="AA35" i="7"/>
  <c r="S35" i="7" s="1"/>
  <c r="AA18" i="7"/>
  <c r="S18" i="7" s="1"/>
  <c r="AA63" i="7"/>
  <c r="S63" i="7" s="1"/>
  <c r="AA31" i="7"/>
  <c r="S31" i="7" s="1"/>
  <c r="AA21" i="7"/>
  <c r="S21" i="7" s="1"/>
  <c r="AA99" i="7"/>
  <c r="S99" i="7" s="1"/>
  <c r="AA92" i="7"/>
  <c r="S92" i="7" s="1"/>
  <c r="AA36" i="7"/>
  <c r="S36" i="7" s="1"/>
  <c r="AA70" i="7"/>
  <c r="S70" i="7" s="1"/>
  <c r="AA96" i="7"/>
  <c r="S96" i="7" s="1"/>
  <c r="AA101" i="7"/>
  <c r="S101" i="7" s="1"/>
  <c r="AA16" i="7"/>
  <c r="S16" i="7" s="1"/>
  <c r="AA58" i="7"/>
  <c r="S58" i="7" s="1"/>
  <c r="AA8" i="7"/>
  <c r="S8" i="7" s="1"/>
  <c r="AA45" i="7"/>
  <c r="S45" i="7" s="1"/>
  <c r="AA78" i="7"/>
  <c r="S78" i="7" s="1"/>
  <c r="AA12" i="7"/>
  <c r="S12" i="7" s="1"/>
  <c r="AA88" i="7"/>
  <c r="S88" i="7" s="1"/>
  <c r="AA47" i="7"/>
  <c r="S47" i="7" s="1"/>
  <c r="AA86" i="7"/>
  <c r="S86" i="7" s="1"/>
  <c r="AA98" i="7"/>
  <c r="S98" i="7" s="1"/>
  <c r="AA17" i="7"/>
  <c r="S17" i="7" s="1"/>
  <c r="AA81" i="7"/>
  <c r="S81" i="7" s="1"/>
  <c r="AA15" i="7"/>
  <c r="S15" i="7" s="1"/>
  <c r="AA37" i="7"/>
  <c r="S37" i="7" s="1"/>
  <c r="AA26" i="7"/>
  <c r="S26" i="7" s="1"/>
  <c r="AA76" i="7"/>
  <c r="S76" i="7" s="1"/>
  <c r="AA90" i="7"/>
  <c r="S90" i="7" s="1"/>
  <c r="AA28" i="7"/>
  <c r="S28" i="7" s="1"/>
  <c r="AA71" i="7"/>
  <c r="S71" i="7" s="1"/>
  <c r="AA67" i="7"/>
  <c r="S67" i="7" s="1"/>
  <c r="AA69" i="7"/>
  <c r="S69" i="7" s="1"/>
  <c r="AA41" i="7"/>
  <c r="S41" i="7" s="1"/>
  <c r="AA51" i="7"/>
  <c r="S51" i="7" s="1"/>
  <c r="AA83" i="7"/>
  <c r="S83" i="7" s="1"/>
  <c r="AA85" i="7"/>
  <c r="S85" i="7" s="1"/>
  <c r="AA91" i="7"/>
  <c r="S91" i="7" s="1"/>
  <c r="AA23" i="7"/>
  <c r="S23" i="7" s="1"/>
  <c r="AA39" i="7"/>
  <c r="S39" i="7" s="1"/>
  <c r="AA32" i="7"/>
  <c r="S32" i="7" s="1"/>
  <c r="F52" i="3"/>
  <c r="F55" i="3"/>
  <c r="E59" i="3" s="1"/>
  <c r="F54" i="3"/>
  <c r="F51" i="3"/>
  <c r="F53" i="3"/>
  <c r="R2" i="8"/>
  <c r="S5" i="8"/>
  <c r="M17" i="4"/>
  <c r="E39" i="1"/>
  <c r="L17" i="4"/>
  <c r="O363" i="11" l="1"/>
  <c r="Z363" i="11" s="1"/>
  <c r="O361" i="11"/>
  <c r="S5" i="7"/>
  <c r="E58" i="3"/>
  <c r="E57" i="3"/>
  <c r="N10" i="3"/>
  <c r="M10" i="3"/>
  <c r="M16" i="3" s="1"/>
  <c r="M44" i="3" s="1"/>
  <c r="M7" i="3"/>
  <c r="M13" i="3" s="1"/>
  <c r="O8" i="2"/>
  <c r="O10" i="2"/>
  <c r="O6" i="2"/>
  <c r="R10" i="3" l="1"/>
  <c r="M6" i="2"/>
  <c r="N6" i="2"/>
  <c r="N10" i="2"/>
  <c r="N15" i="2" s="1"/>
  <c r="N9" i="2"/>
  <c r="M10" i="2"/>
  <c r="M15" i="2" s="1"/>
  <c r="M7" i="2"/>
  <c r="R9" i="3"/>
  <c r="L7" i="3"/>
  <c r="M8" i="3"/>
  <c r="N8" i="3"/>
  <c r="R8" i="3"/>
  <c r="S8" i="3"/>
  <c r="L9" i="3"/>
  <c r="M9" i="3"/>
  <c r="M15" i="3" s="1"/>
  <c r="S9" i="3"/>
  <c r="S15" i="3" s="1"/>
  <c r="R6" i="3"/>
  <c r="N7" i="3"/>
  <c r="N13" i="3" s="1"/>
  <c r="T6" i="3"/>
  <c r="N9" i="3"/>
  <c r="N15" i="3" s="1"/>
  <c r="T9" i="3"/>
  <c r="L8" i="3"/>
  <c r="T8" i="3"/>
  <c r="R7" i="3"/>
  <c r="S7" i="3"/>
  <c r="S13" i="3" s="1"/>
  <c r="T7" i="3"/>
  <c r="T10" i="3"/>
  <c r="T16" i="3" s="1"/>
  <c r="S10" i="3"/>
  <c r="S16" i="3" s="1"/>
  <c r="L6" i="3"/>
  <c r="M6" i="3"/>
  <c r="N6" i="3"/>
  <c r="S6" i="3"/>
  <c r="L10" i="3"/>
  <c r="F17" i="2"/>
  <c r="E17" i="2"/>
  <c r="E20" i="2"/>
  <c r="E19" i="2"/>
  <c r="E18" i="2"/>
  <c r="F20" i="2"/>
  <c r="F19" i="2"/>
  <c r="F18" i="2"/>
  <c r="F21" i="2"/>
  <c r="E27" i="2"/>
  <c r="T7" i="2"/>
  <c r="T8" i="2"/>
  <c r="U7" i="2"/>
  <c r="S7" i="2"/>
  <c r="T6" i="2"/>
  <c r="S6" i="2"/>
  <c r="U6" i="2"/>
  <c r="U10" i="2"/>
  <c r="T10" i="2"/>
  <c r="T15" i="2" s="1"/>
  <c r="U9" i="2"/>
  <c r="T9" i="2"/>
  <c r="S9" i="2"/>
  <c r="U8" i="2"/>
  <c r="S8" i="2"/>
  <c r="S10" i="2"/>
  <c r="S15" i="2" s="1"/>
  <c r="M8" i="2"/>
  <c r="M9" i="2"/>
  <c r="N8" i="2"/>
  <c r="O7" i="2"/>
  <c r="N7" i="2"/>
  <c r="O9" i="2"/>
  <c r="O14" i="2" s="1"/>
  <c r="L16" i="3" l="1"/>
  <c r="L44" i="3" s="1"/>
  <c r="L12" i="3"/>
  <c r="R16" i="3"/>
  <c r="P44" i="3" s="1"/>
  <c r="U12" i="2"/>
  <c r="U13" i="2"/>
  <c r="U14" i="2"/>
  <c r="S11" i="2"/>
  <c r="N12" i="3"/>
  <c r="H27" i="2"/>
  <c r="N14" i="2"/>
  <c r="R13" i="3"/>
  <c r="R15" i="3"/>
  <c r="N13" i="2"/>
  <c r="L15" i="3"/>
  <c r="F12" i="4"/>
  <c r="F14" i="4"/>
  <c r="F13" i="4"/>
  <c r="F15" i="4"/>
  <c r="M14" i="2"/>
  <c r="G15" i="4"/>
  <c r="G12" i="4"/>
  <c r="G14" i="4"/>
  <c r="G13" i="4"/>
  <c r="F11" i="4"/>
  <c r="G11" i="4"/>
  <c r="G10" i="4"/>
  <c r="R14" i="3"/>
  <c r="M12" i="3"/>
  <c r="N14" i="3"/>
  <c r="L13" i="3"/>
  <c r="N22" i="3"/>
  <c r="L14" i="3"/>
  <c r="N32" i="3" s="1"/>
  <c r="M14" i="3"/>
  <c r="Q44" i="3"/>
  <c r="T13" i="3"/>
  <c r="T14" i="3"/>
  <c r="P31" i="3" s="1"/>
  <c r="S14" i="3"/>
  <c r="T15" i="3"/>
  <c r="R12" i="3"/>
  <c r="N21" i="3" s="1"/>
  <c r="T12" i="3"/>
  <c r="S12" i="3"/>
  <c r="O11" i="2"/>
  <c r="M11" i="2"/>
  <c r="M13" i="2"/>
  <c r="E24" i="2"/>
  <c r="E25" i="2"/>
  <c r="E26" i="2"/>
  <c r="U11" i="2"/>
  <c r="S12" i="2"/>
  <c r="S13" i="2"/>
  <c r="S14" i="2"/>
  <c r="M12" i="2"/>
  <c r="O12" i="2"/>
  <c r="O13" i="2"/>
  <c r="F27" i="2"/>
  <c r="F25" i="2"/>
  <c r="F24" i="2"/>
  <c r="F23" i="2"/>
  <c r="F26" i="2"/>
  <c r="G26" i="2"/>
  <c r="G24" i="2"/>
  <c r="G25" i="2"/>
  <c r="N12" i="2"/>
  <c r="T12" i="2"/>
  <c r="T11" i="2"/>
  <c r="T13" i="2"/>
  <c r="T14" i="2"/>
  <c r="N11" i="2"/>
  <c r="F16" i="4" l="1"/>
  <c r="G16" i="4"/>
  <c r="P21" i="3"/>
  <c r="P32" i="3"/>
  <c r="N31" i="3"/>
  <c r="O31" i="3" s="1"/>
  <c r="R31" i="3" s="1"/>
  <c r="P22" i="3"/>
  <c r="W21" i="4"/>
  <c r="W20" i="4"/>
  <c r="W16" i="4"/>
  <c r="W17" i="4"/>
  <c r="W18" i="4"/>
  <c r="W19" i="4"/>
  <c r="W11" i="4"/>
  <c r="W10" i="4"/>
  <c r="X10" i="4" s="1"/>
  <c r="V10" i="4" s="1"/>
  <c r="W15" i="4"/>
  <c r="W14" i="4"/>
  <c r="W12" i="4"/>
  <c r="W13" i="4"/>
  <c r="K12" i="2"/>
  <c r="G26" i="4"/>
  <c r="O18" i="2"/>
  <c r="K10" i="4"/>
  <c r="H10" i="4"/>
  <c r="K13" i="4"/>
  <c r="H13" i="4"/>
  <c r="H11" i="4"/>
  <c r="K11" i="4"/>
  <c r="K15" i="4"/>
  <c r="H15" i="4"/>
  <c r="K14" i="4"/>
  <c r="H14" i="4"/>
  <c r="H12" i="4"/>
  <c r="K12" i="4"/>
  <c r="R44" i="3"/>
  <c r="H26" i="2"/>
  <c r="H25" i="2"/>
  <c r="Q18" i="2"/>
  <c r="H30" i="2" l="1"/>
  <c r="H28" i="2"/>
  <c r="H29" i="2" s="1"/>
  <c r="F24" i="4"/>
  <c r="L24" i="4" s="1"/>
  <c r="H10" i="8"/>
  <c r="AD10" i="4"/>
  <c r="F23" i="4"/>
  <c r="L23" i="4" s="1"/>
  <c r="H9" i="8"/>
  <c r="F21" i="4"/>
  <c r="L21" i="4" s="1"/>
  <c r="H7" i="8"/>
  <c r="F20" i="4"/>
  <c r="L20" i="4" s="1"/>
  <c r="H6" i="8"/>
  <c r="F19" i="4"/>
  <c r="L19" i="4" s="1"/>
  <c r="G28" i="4"/>
  <c r="H5" i="8"/>
  <c r="F22" i="4"/>
  <c r="L22" i="4" s="1"/>
  <c r="H8" i="8"/>
  <c r="X19" i="4"/>
  <c r="V19" i="4" s="1"/>
  <c r="X17" i="4"/>
  <c r="V17" i="4" s="1"/>
  <c r="X13" i="4"/>
  <c r="AD13" i="4"/>
  <c r="F8" i="7" s="1"/>
  <c r="X15" i="4"/>
  <c r="AD15" i="4"/>
  <c r="AD19" i="4"/>
  <c r="F14" i="7" s="1"/>
  <c r="X18" i="4"/>
  <c r="AD18" i="4"/>
  <c r="F13" i="7" s="1"/>
  <c r="X14" i="4"/>
  <c r="AD14" i="4"/>
  <c r="AD17" i="4"/>
  <c r="F12" i="7" s="1"/>
  <c r="L10" i="4"/>
  <c r="X11" i="4"/>
  <c r="AD11" i="4"/>
  <c r="X12" i="4"/>
  <c r="X16" i="4"/>
  <c r="AD16" i="4"/>
  <c r="X20" i="4"/>
  <c r="AD20" i="4"/>
  <c r="AD12" i="4"/>
  <c r="F7" i="7" s="1"/>
  <c r="X21" i="4"/>
  <c r="AD21" i="4"/>
  <c r="E15" i="5"/>
  <c r="G30" i="4"/>
  <c r="G32" i="4"/>
  <c r="G29" i="4"/>
  <c r="F15" i="5"/>
  <c r="H26" i="4"/>
  <c r="P18" i="2"/>
  <c r="L13" i="4"/>
  <c r="I8" i="8" s="1"/>
  <c r="G17" i="8" s="1"/>
  <c r="L17" i="8" s="1"/>
  <c r="L15" i="4"/>
  <c r="I10" i="8" s="1"/>
  <c r="G19" i="8" s="1"/>
  <c r="L19" i="8" s="1"/>
  <c r="I30" i="2"/>
  <c r="L14" i="4"/>
  <c r="I9" i="8" s="1"/>
  <c r="G18" i="8" s="1"/>
  <c r="L18" i="8" s="1"/>
  <c r="L12" i="4"/>
  <c r="I7" i="8" s="1"/>
  <c r="G16" i="8" s="1"/>
  <c r="L16" i="8" s="1"/>
  <c r="L11" i="4"/>
  <c r="I6" i="8" s="1"/>
  <c r="G15" i="8" s="1"/>
  <c r="L15" i="8" s="1"/>
  <c r="O21" i="3"/>
  <c r="Q33" i="3"/>
  <c r="P34" i="3" s="1"/>
  <c r="O32" i="3"/>
  <c r="M33" i="3"/>
  <c r="K17" i="8" l="1"/>
  <c r="F14" i="8"/>
  <c r="J14" i="8" s="1"/>
  <c r="J26" i="8" s="1"/>
  <c r="K14" i="8"/>
  <c r="K15" i="8"/>
  <c r="K18" i="8"/>
  <c r="K16" i="8"/>
  <c r="K19" i="8"/>
  <c r="K20" i="8" s="1"/>
  <c r="F29" i="5"/>
  <c r="F49" i="5"/>
  <c r="F69" i="5"/>
  <c r="F89" i="5"/>
  <c r="F109" i="5"/>
  <c r="F30" i="5"/>
  <c r="F70" i="5"/>
  <c r="F90" i="5"/>
  <c r="F110" i="5"/>
  <c r="F31" i="5"/>
  <c r="F51" i="5"/>
  <c r="F71" i="5"/>
  <c r="F91" i="5"/>
  <c r="F111" i="5"/>
  <c r="F32" i="5"/>
  <c r="F52" i="5"/>
  <c r="F72" i="5"/>
  <c r="F92" i="5"/>
  <c r="F53" i="5"/>
  <c r="F73" i="5"/>
  <c r="F93" i="5"/>
  <c r="F113" i="5"/>
  <c r="F79" i="5"/>
  <c r="F100" i="5"/>
  <c r="F22" i="5"/>
  <c r="F23" i="5"/>
  <c r="F25" i="5"/>
  <c r="F106" i="5"/>
  <c r="F107" i="5"/>
  <c r="F50" i="5"/>
  <c r="F80" i="5"/>
  <c r="F42" i="5"/>
  <c r="F83" i="5"/>
  <c r="F44" i="5"/>
  <c r="F85" i="5"/>
  <c r="F108" i="5"/>
  <c r="F112" i="5"/>
  <c r="F62" i="5"/>
  <c r="F103" i="5"/>
  <c r="F64" i="5"/>
  <c r="F65" i="5"/>
  <c r="F46" i="5"/>
  <c r="F33" i="5"/>
  <c r="F82" i="5"/>
  <c r="F63" i="5"/>
  <c r="F24" i="5"/>
  <c r="F84" i="5"/>
  <c r="F105" i="5"/>
  <c r="F26" i="5"/>
  <c r="F47" i="5"/>
  <c r="F68" i="5"/>
  <c r="F34" i="5"/>
  <c r="F54" i="5"/>
  <c r="F74" i="5"/>
  <c r="F94" i="5"/>
  <c r="F114" i="5"/>
  <c r="F35" i="5"/>
  <c r="F55" i="5"/>
  <c r="F75" i="5"/>
  <c r="F95" i="5"/>
  <c r="F115" i="5"/>
  <c r="F56" i="5"/>
  <c r="F76" i="5"/>
  <c r="F96" i="5"/>
  <c r="F116" i="5"/>
  <c r="F57" i="5"/>
  <c r="F97" i="5"/>
  <c r="F117" i="5"/>
  <c r="F19" i="5"/>
  <c r="F39" i="5"/>
  <c r="F59" i="5"/>
  <c r="F99" i="5"/>
  <c r="F20" i="5"/>
  <c r="F28" i="5"/>
  <c r="F86" i="5"/>
  <c r="F36" i="5"/>
  <c r="F37" i="5"/>
  <c r="F77" i="5"/>
  <c r="F67" i="5"/>
  <c r="F38" i="5"/>
  <c r="F58" i="5"/>
  <c r="F78" i="5"/>
  <c r="F98" i="5"/>
  <c r="F18" i="5"/>
  <c r="F40" i="5"/>
  <c r="F104" i="5"/>
  <c r="F45" i="5"/>
  <c r="F48" i="5"/>
  <c r="F60" i="5"/>
  <c r="F102" i="5"/>
  <c r="F43" i="5"/>
  <c r="F66" i="5"/>
  <c r="F27" i="5"/>
  <c r="F88" i="5"/>
  <c r="F21" i="5"/>
  <c r="F41" i="5"/>
  <c r="F61" i="5"/>
  <c r="F81" i="5"/>
  <c r="F101" i="5"/>
  <c r="F87" i="5"/>
  <c r="E27" i="5"/>
  <c r="E77" i="5"/>
  <c r="E117" i="5"/>
  <c r="E19" i="5"/>
  <c r="E110" i="5"/>
  <c r="E31" i="5"/>
  <c r="E52" i="5"/>
  <c r="E43" i="5"/>
  <c r="E113" i="5"/>
  <c r="E24" i="5"/>
  <c r="E34" i="5"/>
  <c r="E44" i="5"/>
  <c r="E54" i="5"/>
  <c r="E64" i="5"/>
  <c r="E74" i="5"/>
  <c r="E84" i="5"/>
  <c r="E94" i="5"/>
  <c r="E104" i="5"/>
  <c r="E114" i="5"/>
  <c r="E57" i="5"/>
  <c r="E97" i="5"/>
  <c r="E69" i="5"/>
  <c r="E70" i="5"/>
  <c r="E73" i="5"/>
  <c r="E37" i="5"/>
  <c r="E79" i="5"/>
  <c r="E50" i="5"/>
  <c r="E21" i="5"/>
  <c r="E51" i="5"/>
  <c r="E71" i="5"/>
  <c r="E81" i="5"/>
  <c r="E91" i="5"/>
  <c r="E101" i="5"/>
  <c r="E111" i="5"/>
  <c r="E62" i="5"/>
  <c r="E82" i="5"/>
  <c r="E25" i="5"/>
  <c r="E35" i="5"/>
  <c r="E45" i="5"/>
  <c r="E55" i="5"/>
  <c r="E65" i="5"/>
  <c r="E75" i="5"/>
  <c r="E85" i="5"/>
  <c r="E95" i="5"/>
  <c r="E105" i="5"/>
  <c r="E115" i="5"/>
  <c r="E47" i="5"/>
  <c r="E107" i="5"/>
  <c r="E59" i="5"/>
  <c r="E99" i="5"/>
  <c r="E80" i="5"/>
  <c r="E42" i="5"/>
  <c r="E87" i="5"/>
  <c r="E29" i="5"/>
  <c r="E60" i="5"/>
  <c r="E92" i="5"/>
  <c r="E26" i="5"/>
  <c r="E36" i="5"/>
  <c r="E46" i="5"/>
  <c r="E56" i="5"/>
  <c r="E66" i="5"/>
  <c r="E76" i="5"/>
  <c r="E86" i="5"/>
  <c r="E96" i="5"/>
  <c r="E106" i="5"/>
  <c r="E116" i="5"/>
  <c r="E67" i="5"/>
  <c r="L49" i="9" s="1"/>
  <c r="E49" i="5"/>
  <c r="E109" i="5"/>
  <c r="E40" i="5"/>
  <c r="E41" i="5"/>
  <c r="E102" i="5"/>
  <c r="E93" i="5"/>
  <c r="E28" i="5"/>
  <c r="E38" i="5"/>
  <c r="E48" i="5"/>
  <c r="E58" i="5"/>
  <c r="E68" i="5"/>
  <c r="E78" i="5"/>
  <c r="E88" i="5"/>
  <c r="E98" i="5"/>
  <c r="E108" i="5"/>
  <c r="E18" i="5"/>
  <c r="L28" i="9" s="1"/>
  <c r="E39" i="5"/>
  <c r="E89" i="5"/>
  <c r="E30" i="5"/>
  <c r="E100" i="5"/>
  <c r="E61" i="5"/>
  <c r="E22" i="5"/>
  <c r="E72" i="5"/>
  <c r="E33" i="5"/>
  <c r="E53" i="5"/>
  <c r="E63" i="5"/>
  <c r="E103" i="5"/>
  <c r="E20" i="5"/>
  <c r="E32" i="5"/>
  <c r="E112" i="5"/>
  <c r="E23" i="5"/>
  <c r="E83" i="5"/>
  <c r="E90" i="5"/>
  <c r="F5" i="7"/>
  <c r="F15" i="7"/>
  <c r="F6" i="7"/>
  <c r="F9" i="7"/>
  <c r="F11" i="7"/>
  <c r="F10" i="7"/>
  <c r="O22" i="3"/>
  <c r="O14" i="8"/>
  <c r="P18" i="8"/>
  <c r="F17" i="8"/>
  <c r="O17" i="8"/>
  <c r="P16" i="8"/>
  <c r="F15" i="8"/>
  <c r="J15" i="8" s="1"/>
  <c r="O15" i="8"/>
  <c r="F16" i="8"/>
  <c r="J16" i="8" s="1"/>
  <c r="O16" i="8"/>
  <c r="P15" i="8"/>
  <c r="P19" i="8"/>
  <c r="P17" i="8"/>
  <c r="J10" i="4"/>
  <c r="H19" i="4"/>
  <c r="M19" i="4" s="1"/>
  <c r="N19" i="4" s="1"/>
  <c r="I5" i="8"/>
  <c r="G14" i="8" s="1"/>
  <c r="F18" i="8"/>
  <c r="J18" i="8" s="1"/>
  <c r="O18" i="8"/>
  <c r="F19" i="8"/>
  <c r="J19" i="8" s="1"/>
  <c r="O19" i="8"/>
  <c r="AE19" i="4"/>
  <c r="G14" i="7" s="1"/>
  <c r="AE17" i="4"/>
  <c r="G12" i="7" s="1"/>
  <c r="AE20" i="4"/>
  <c r="M28" i="9" s="1"/>
  <c r="V12" i="4"/>
  <c r="AE12" i="4"/>
  <c r="G7" i="7" s="1"/>
  <c r="V14" i="4"/>
  <c r="AE14" i="4"/>
  <c r="AE21" i="4"/>
  <c r="V18" i="4"/>
  <c r="AE18" i="4"/>
  <c r="G13" i="7" s="1"/>
  <c r="V15" i="4"/>
  <c r="AE15" i="4"/>
  <c r="V16" i="4"/>
  <c r="AE16" i="4"/>
  <c r="V11" i="4"/>
  <c r="AE11" i="4"/>
  <c r="AE10" i="4"/>
  <c r="AE13" i="4"/>
  <c r="G8" i="7" s="1"/>
  <c r="V13" i="4"/>
  <c r="H24" i="4"/>
  <c r="M24" i="4" s="1"/>
  <c r="N24" i="4" s="1"/>
  <c r="H33" i="4"/>
  <c r="J13" i="4"/>
  <c r="H31" i="4"/>
  <c r="G31" i="4"/>
  <c r="H29" i="4"/>
  <c r="G33" i="4"/>
  <c r="H28" i="4"/>
  <c r="H30" i="4"/>
  <c r="H23" i="4"/>
  <c r="M23" i="4" s="1"/>
  <c r="H32" i="4"/>
  <c r="H22" i="4"/>
  <c r="M22" i="4" s="1"/>
  <c r="J14" i="4"/>
  <c r="J12" i="4"/>
  <c r="H21" i="4"/>
  <c r="M21" i="4" s="1"/>
  <c r="N21" i="4" s="1"/>
  <c r="J11" i="4"/>
  <c r="H20" i="4"/>
  <c r="M20" i="4" s="1"/>
  <c r="M23" i="3"/>
  <c r="Q23" i="3"/>
  <c r="P24" i="3" s="1"/>
  <c r="P33" i="3"/>
  <c r="N33" i="3"/>
  <c r="N34" i="3"/>
  <c r="S18" i="2"/>
  <c r="L10" i="9" l="1"/>
  <c r="L21" i="9"/>
  <c r="T18" i="5"/>
  <c r="T14" i="5" s="1"/>
  <c r="S15" i="8"/>
  <c r="S14" i="8"/>
  <c r="V42" i="9" s="1"/>
  <c r="J27" i="8"/>
  <c r="K27" i="8" s="1"/>
  <c r="N29" i="4"/>
  <c r="Z10" i="9"/>
  <c r="M19" i="8"/>
  <c r="L14" i="8"/>
  <c r="S19" i="8"/>
  <c r="V17" i="9" s="1"/>
  <c r="N32" i="4"/>
  <c r="N30" i="4"/>
  <c r="J17" i="8"/>
  <c r="N31" i="4" s="1"/>
  <c r="N33" i="4"/>
  <c r="L42" i="9"/>
  <c r="V5" i="7"/>
  <c r="N5" i="7" s="1"/>
  <c r="L23" i="9"/>
  <c r="L44" i="9"/>
  <c r="M14" i="8"/>
  <c r="N28" i="4"/>
  <c r="F14" i="5"/>
  <c r="G11" i="7"/>
  <c r="G10" i="7"/>
  <c r="G9" i="7"/>
  <c r="G15" i="7"/>
  <c r="G5" i="7"/>
  <c r="G6" i="7"/>
  <c r="K8" i="10"/>
  <c r="K7" i="10"/>
  <c r="V50" i="9"/>
  <c r="V43" i="9"/>
  <c r="V22" i="9"/>
  <c r="I14" i="10"/>
  <c r="I13" i="10"/>
  <c r="I16" i="10"/>
  <c r="I15" i="10"/>
  <c r="U28" i="9" s="1"/>
  <c r="I11" i="10"/>
  <c r="I12" i="10"/>
  <c r="I5" i="10"/>
  <c r="I6" i="10"/>
  <c r="I8" i="10"/>
  <c r="I7" i="10"/>
  <c r="V10" i="9"/>
  <c r="V21" i="9"/>
  <c r="V23" i="9"/>
  <c r="V12" i="9"/>
  <c r="T19" i="8"/>
  <c r="T15" i="8"/>
  <c r="N16" i="8"/>
  <c r="N14" i="8"/>
  <c r="R14" i="8" s="1"/>
  <c r="N23" i="3"/>
  <c r="N17" i="8"/>
  <c r="N19" i="8"/>
  <c r="R19" i="8" s="1"/>
  <c r="N18" i="8"/>
  <c r="R18" i="8" s="1"/>
  <c r="Q19" i="8"/>
  <c r="Q14" i="8"/>
  <c r="P14" i="8"/>
  <c r="T14" i="8" s="1"/>
  <c r="N15" i="8"/>
  <c r="R15" i="8" s="1"/>
  <c r="N24" i="3"/>
  <c r="N22" i="4"/>
  <c r="N23" i="4"/>
  <c r="N20" i="4"/>
  <c r="O33" i="3"/>
  <c r="Q35" i="3" s="1"/>
  <c r="P23" i="3"/>
  <c r="N20" i="2"/>
  <c r="R20" i="2"/>
  <c r="P19" i="2"/>
  <c r="R17" i="8" l="1"/>
  <c r="V44" i="9"/>
  <c r="T16" i="5"/>
  <c r="V49" i="9"/>
  <c r="V28" i="9"/>
  <c r="W49" i="9"/>
  <c r="W28" i="9"/>
  <c r="U19" i="8"/>
  <c r="U14" i="8"/>
  <c r="X42" i="9" s="1"/>
  <c r="U49" i="9"/>
  <c r="U44" i="9"/>
  <c r="U42" i="9"/>
  <c r="K6" i="10"/>
  <c r="W23" i="9" s="1"/>
  <c r="K5" i="10"/>
  <c r="W21" i="9" s="1"/>
  <c r="L16" i="10"/>
  <c r="L15" i="10"/>
  <c r="X28" i="9" s="1"/>
  <c r="U43" i="9"/>
  <c r="U22" i="9"/>
  <c r="U50" i="9"/>
  <c r="X43" i="9"/>
  <c r="X22" i="9"/>
  <c r="U48" i="9"/>
  <c r="W50" i="9"/>
  <c r="N18" i="4"/>
  <c r="I9" i="10"/>
  <c r="I10" i="10"/>
  <c r="U12" i="9"/>
  <c r="U23" i="9"/>
  <c r="U10" i="9"/>
  <c r="Y10" i="9" s="1"/>
  <c r="Y11" i="9" s="1"/>
  <c r="U21" i="9"/>
  <c r="U17" i="9"/>
  <c r="X23" i="9"/>
  <c r="U15" i="9"/>
  <c r="W17" i="9"/>
  <c r="R16" i="8"/>
  <c r="O34" i="3"/>
  <c r="M35" i="3"/>
  <c r="N36" i="3" s="1"/>
  <c r="R33" i="3"/>
  <c r="O23" i="3"/>
  <c r="O24" i="3" s="1"/>
  <c r="P36" i="3"/>
  <c r="O20" i="2"/>
  <c r="Q20" i="2"/>
  <c r="X21" i="9" l="1"/>
  <c r="X44" i="9"/>
  <c r="X12" i="9"/>
  <c r="X10" i="9"/>
  <c r="Z11" i="9"/>
  <c r="X17" i="9"/>
  <c r="X49" i="9"/>
  <c r="W22" i="9"/>
  <c r="W42" i="9"/>
  <c r="W12" i="9"/>
  <c r="W44" i="9"/>
  <c r="W10" i="9"/>
  <c r="W43" i="9"/>
  <c r="X50" i="9"/>
  <c r="U47" i="9"/>
  <c r="U45" i="9"/>
  <c r="U26" i="9"/>
  <c r="U24" i="9"/>
  <c r="U13" i="9"/>
  <c r="N35" i="3"/>
  <c r="P35" i="3"/>
  <c r="M25" i="3"/>
  <c r="R23" i="3"/>
  <c r="Q25" i="3"/>
  <c r="P26" i="3" s="1"/>
  <c r="P20" i="2"/>
  <c r="O35" i="3" l="1"/>
  <c r="O36" i="3" s="1"/>
  <c r="N26" i="3"/>
  <c r="N25" i="3"/>
  <c r="P25" i="3"/>
  <c r="S20" i="2"/>
  <c r="R22" i="2"/>
  <c r="N22" i="2"/>
  <c r="P21" i="2"/>
  <c r="M37" i="3" l="1"/>
  <c r="Q37" i="3"/>
  <c r="R35" i="3"/>
  <c r="O22" i="2"/>
  <c r="Q22" i="2"/>
  <c r="M38" i="3" l="1"/>
  <c r="N43" i="3" s="1"/>
  <c r="M39" i="3"/>
  <c r="N40" i="3" s="1"/>
  <c r="L43" i="3" s="1"/>
  <c r="P37" i="3"/>
  <c r="Q39" i="3"/>
  <c r="P40" i="3" s="1"/>
  <c r="P43" i="3" s="1"/>
  <c r="P38" i="3"/>
  <c r="Q38" i="3"/>
  <c r="R43" i="3" s="1"/>
  <c r="N37" i="3"/>
  <c r="N38" i="3"/>
  <c r="P22" i="2"/>
  <c r="R24" i="2" s="1"/>
  <c r="O37" i="3" l="1"/>
  <c r="O38" i="3" s="1"/>
  <c r="M43" i="3" s="1"/>
  <c r="N24" i="2"/>
  <c r="S22" i="2"/>
  <c r="P23" i="2"/>
  <c r="R37" i="3" l="1"/>
  <c r="R39" i="3" s="1"/>
  <c r="Q43" i="3"/>
  <c r="Q24" i="2"/>
  <c r="O24" i="2"/>
  <c r="P24" i="2" l="1"/>
  <c r="P25" i="2" l="1"/>
  <c r="N26" i="2"/>
  <c r="S24" i="2"/>
  <c r="R26" i="2"/>
  <c r="O26" i="2" l="1"/>
  <c r="Q26" i="2"/>
  <c r="P26" i="2" l="1"/>
  <c r="S26" i="2" s="1"/>
  <c r="P27" i="2" l="1"/>
  <c r="N28" i="2"/>
  <c r="R28" i="2"/>
  <c r="Q28" i="2" l="1"/>
  <c r="O28" i="2"/>
  <c r="P28" i="2" l="1"/>
  <c r="S28" i="2" s="1"/>
  <c r="R30" i="2" l="1"/>
  <c r="P29" i="2"/>
  <c r="N30" i="2"/>
  <c r="Q30" i="2" l="1"/>
  <c r="O30" i="2"/>
  <c r="P30" i="2" l="1"/>
  <c r="S30" i="2" s="1"/>
  <c r="N32" i="2" l="1"/>
  <c r="P31" i="2"/>
  <c r="R32" i="2"/>
  <c r="Q32" i="2" l="1"/>
  <c r="O32" i="2"/>
  <c r="P32" i="2" l="1"/>
  <c r="S32" i="2" s="1"/>
  <c r="P33" i="2" l="1"/>
  <c r="R34" i="2"/>
  <c r="N34" i="2"/>
  <c r="Q34" i="2" l="1"/>
  <c r="O34" i="2"/>
  <c r="P34" i="2" l="1"/>
  <c r="R36" i="2" s="1"/>
  <c r="S34" i="2" l="1"/>
  <c r="N36" i="2"/>
  <c r="P35" i="2"/>
  <c r="O25" i="3"/>
  <c r="O26" i="3" l="1"/>
  <c r="O36" i="2"/>
  <c r="Q36" i="2"/>
  <c r="Q27" i="3"/>
  <c r="M27" i="3"/>
  <c r="R25" i="3"/>
  <c r="M29" i="3" l="1"/>
  <c r="N30" i="3" s="1"/>
  <c r="L42" i="3" s="1"/>
  <c r="Q29" i="3"/>
  <c r="P30" i="3" s="1"/>
  <c r="P42" i="3" s="1"/>
  <c r="P28" i="3"/>
  <c r="N27" i="3"/>
  <c r="P36" i="2"/>
  <c r="S36" i="2" s="1"/>
  <c r="S38" i="2" s="1"/>
  <c r="M28" i="3"/>
  <c r="N42" i="3" s="1"/>
  <c r="Q28" i="3"/>
  <c r="R42" i="3" s="1"/>
  <c r="N28" i="3"/>
  <c r="P27" i="3"/>
  <c r="O42" i="3" l="1"/>
  <c r="O43" i="3" s="1"/>
  <c r="M47" i="3"/>
  <c r="K42" i="3"/>
  <c r="K43" i="3" s="1"/>
  <c r="Q47" i="3"/>
  <c r="O27" i="3"/>
  <c r="O28" i="3" s="1"/>
  <c r="M42" i="3" s="1"/>
  <c r="Q42" i="3" l="1"/>
  <c r="N47" i="3"/>
  <c r="P48" i="3"/>
  <c r="N48" i="3"/>
  <c r="P47" i="3"/>
  <c r="R27" i="3"/>
  <c r="R29" i="3" s="1"/>
  <c r="O47" i="3" l="1"/>
  <c r="R47" i="3" s="1"/>
  <c r="Q49" i="3" l="1"/>
  <c r="P50" i="3" s="1"/>
  <c r="M49" i="3"/>
  <c r="N50" i="3" s="1"/>
  <c r="O48" i="3"/>
  <c r="N49" i="3" l="1"/>
  <c r="P49" i="3"/>
  <c r="O49" i="3" l="1"/>
  <c r="M51" i="3" s="1"/>
  <c r="O50" i="3" l="1"/>
  <c r="Q51" i="3"/>
  <c r="O18" i="3" s="1"/>
  <c r="R49" i="3"/>
  <c r="N52" i="3"/>
  <c r="P52" i="3" l="1"/>
  <c r="P51" i="3"/>
  <c r="N51" i="3"/>
  <c r="O51" i="3" l="1"/>
  <c r="R51" i="3" s="1"/>
  <c r="R52" i="3" s="1"/>
  <c r="R19" i="3" s="1"/>
  <c r="O52" i="3"/>
  <c r="G15" i="5" l="1"/>
  <c r="G18" i="5" s="1"/>
  <c r="G20" i="5" l="1"/>
  <c r="G40" i="5"/>
  <c r="G60" i="5"/>
  <c r="G80" i="5"/>
  <c r="G100" i="5"/>
  <c r="G28" i="5"/>
  <c r="G88" i="5"/>
  <c r="G98" i="5"/>
  <c r="G59" i="5"/>
  <c r="G27" i="5"/>
  <c r="G47" i="5"/>
  <c r="G67" i="5"/>
  <c r="G87" i="5"/>
  <c r="G107" i="5"/>
  <c r="G68" i="5"/>
  <c r="G36" i="5"/>
  <c r="G97" i="5"/>
  <c r="G32" i="5"/>
  <c r="G34" i="5"/>
  <c r="G54" i="5"/>
  <c r="G74" i="5"/>
  <c r="G94" i="5"/>
  <c r="G114" i="5"/>
  <c r="G48" i="5"/>
  <c r="G108" i="5"/>
  <c r="G71" i="5"/>
  <c r="G78" i="5"/>
  <c r="G105" i="5"/>
  <c r="G79" i="5"/>
  <c r="G46" i="5"/>
  <c r="G66" i="5"/>
  <c r="G106" i="5"/>
  <c r="G53" i="5"/>
  <c r="G113" i="5"/>
  <c r="G21" i="5"/>
  <c r="G41" i="5"/>
  <c r="G61" i="5"/>
  <c r="G81" i="5"/>
  <c r="G101" i="5"/>
  <c r="G116" i="5"/>
  <c r="G111" i="5"/>
  <c r="G38" i="5"/>
  <c r="G85" i="5"/>
  <c r="G72" i="5"/>
  <c r="G112" i="5"/>
  <c r="G33" i="5"/>
  <c r="G96" i="5"/>
  <c r="G92" i="5"/>
  <c r="G35" i="5"/>
  <c r="G55" i="5"/>
  <c r="G75" i="5"/>
  <c r="G95" i="5"/>
  <c r="G115" i="5"/>
  <c r="G29" i="5"/>
  <c r="G49" i="5"/>
  <c r="G69" i="5"/>
  <c r="G89" i="5"/>
  <c r="G109" i="5"/>
  <c r="G76" i="5"/>
  <c r="G58" i="5"/>
  <c r="G45" i="5"/>
  <c r="G99" i="5"/>
  <c r="G73" i="5"/>
  <c r="G22" i="5"/>
  <c r="G42" i="5"/>
  <c r="G62" i="5"/>
  <c r="G82" i="5"/>
  <c r="G102" i="5"/>
  <c r="G56" i="5"/>
  <c r="G65" i="5"/>
  <c r="G19" i="5"/>
  <c r="L14" i="5" s="1"/>
  <c r="G26" i="5"/>
  <c r="G23" i="5"/>
  <c r="G43" i="5"/>
  <c r="G63" i="5"/>
  <c r="G83" i="5"/>
  <c r="G103" i="5"/>
  <c r="G30" i="5"/>
  <c r="G50" i="5"/>
  <c r="G70" i="5"/>
  <c r="G90" i="5"/>
  <c r="G110" i="5"/>
  <c r="G37" i="5"/>
  <c r="G57" i="5"/>
  <c r="G77" i="5"/>
  <c r="G117" i="5"/>
  <c r="G24" i="5"/>
  <c r="G44" i="5"/>
  <c r="G64" i="5"/>
  <c r="G84" i="5"/>
  <c r="G104" i="5"/>
  <c r="G31" i="5"/>
  <c r="G51" i="5"/>
  <c r="G91" i="5"/>
  <c r="G25" i="5"/>
  <c r="G52" i="5"/>
  <c r="G39" i="5"/>
  <c r="G86" i="5"/>
  <c r="G93" i="5"/>
  <c r="G14" i="5" l="1"/>
  <c r="N18" i="5"/>
  <c r="V18" i="5"/>
  <c r="V14" i="5" s="1"/>
  <c r="X5" i="7"/>
  <c r="N21" i="9"/>
  <c r="M21" i="9" s="1"/>
  <c r="N42" i="9"/>
  <c r="M42" i="9" s="1"/>
  <c r="N44" i="9"/>
  <c r="M44" i="9" s="1"/>
  <c r="N23" i="9"/>
  <c r="M23" i="9" s="1"/>
  <c r="N49" i="9"/>
  <c r="M49" i="9" s="1"/>
  <c r="N14" i="5"/>
  <c r="V19" i="5"/>
  <c r="X6" i="7"/>
  <c r="M18" i="5"/>
  <c r="N19" i="5"/>
  <c r="AJ18" i="5" l="1"/>
  <c r="U18" i="5"/>
  <c r="W5" i="7"/>
  <c r="O5" i="7" s="1"/>
  <c r="P5" i="7"/>
  <c r="U19" i="5"/>
  <c r="AI19" i="5" s="1"/>
  <c r="V20" i="5"/>
  <c r="AJ20" i="5" s="1"/>
  <c r="X7" i="7"/>
  <c r="AJ19" i="5"/>
  <c r="P6" i="7"/>
  <c r="W6" i="7"/>
  <c r="O6" i="7" s="1"/>
  <c r="M19" i="5"/>
  <c r="K18" i="5" s="1"/>
  <c r="N20" i="5"/>
  <c r="AM19" i="5" l="1"/>
  <c r="U14" i="5"/>
  <c r="L5" i="7"/>
  <c r="U16" i="5"/>
  <c r="AI18" i="5"/>
  <c r="AI14" i="5" s="1"/>
  <c r="AD18" i="5"/>
  <c r="AD19" i="5"/>
  <c r="U20" i="5"/>
  <c r="AI20" i="5" s="1"/>
  <c r="AL20" i="5" s="1"/>
  <c r="AM20" i="5"/>
  <c r="V21" i="5"/>
  <c r="U21" i="5" s="1"/>
  <c r="AI21" i="5" s="1"/>
  <c r="X8" i="7"/>
  <c r="L6" i="7"/>
  <c r="P7" i="7"/>
  <c r="W7" i="7"/>
  <c r="O7" i="7" s="1"/>
  <c r="M20" i="5"/>
  <c r="K19" i="5" s="1"/>
  <c r="N21" i="5"/>
  <c r="AL19" i="5" l="1"/>
  <c r="AL21" i="5"/>
  <c r="AD20" i="5"/>
  <c r="V22" i="5"/>
  <c r="AJ22" i="5" s="1"/>
  <c r="X9" i="7"/>
  <c r="AJ21" i="5"/>
  <c r="AM21" i="5" s="1"/>
  <c r="L7" i="7"/>
  <c r="P8" i="7"/>
  <c r="W8" i="7"/>
  <c r="O8" i="7" s="1"/>
  <c r="AD21" i="5"/>
  <c r="M21" i="5"/>
  <c r="N22" i="5"/>
  <c r="U22" i="5" l="1"/>
  <c r="AM22" i="5"/>
  <c r="L8" i="7"/>
  <c r="P9" i="7"/>
  <c r="W9" i="7"/>
  <c r="O9" i="7" s="1"/>
  <c r="V23" i="5"/>
  <c r="U23" i="5" s="1"/>
  <c r="AI23" i="5" s="1"/>
  <c r="X10" i="7"/>
  <c r="K20" i="5"/>
  <c r="M22" i="5"/>
  <c r="N23" i="5"/>
  <c r="AI22" i="5" l="1"/>
  <c r="AL22" i="5" s="1"/>
  <c r="AD22" i="5"/>
  <c r="L9" i="7"/>
  <c r="AJ23" i="5"/>
  <c r="AM23" i="5" s="1"/>
  <c r="P10" i="7"/>
  <c r="W10" i="7"/>
  <c r="O10" i="7" s="1"/>
  <c r="V24" i="5"/>
  <c r="AJ24" i="5" s="1"/>
  <c r="AM24" i="5" s="1"/>
  <c r="X11" i="7"/>
  <c r="AD23" i="5"/>
  <c r="K21" i="5"/>
  <c r="M23" i="5"/>
  <c r="N24" i="5"/>
  <c r="AL23" i="5" l="1"/>
  <c r="L10" i="7"/>
  <c r="P11" i="7"/>
  <c r="W11" i="7"/>
  <c r="O11" i="7" s="1"/>
  <c r="V25" i="5"/>
  <c r="U25" i="5" s="1"/>
  <c r="AI25" i="5" s="1"/>
  <c r="X12" i="7"/>
  <c r="U24" i="5"/>
  <c r="K22" i="5"/>
  <c r="M24" i="5"/>
  <c r="N25" i="5"/>
  <c r="AI24" i="5" l="1"/>
  <c r="AL24" i="5" s="1"/>
  <c r="L11" i="7"/>
  <c r="AD24" i="5"/>
  <c r="P12" i="7"/>
  <c r="W12" i="7"/>
  <c r="O12" i="7" s="1"/>
  <c r="V26" i="5"/>
  <c r="AJ26" i="5" s="1"/>
  <c r="X13" i="7"/>
  <c r="AJ25" i="5"/>
  <c r="AM25" i="5" s="1"/>
  <c r="AD25" i="5"/>
  <c r="K23" i="5"/>
  <c r="M25" i="5"/>
  <c r="N26" i="5"/>
  <c r="AL25" i="5" l="1"/>
  <c r="AM26" i="5"/>
  <c r="U26" i="5"/>
  <c r="P13" i="7"/>
  <c r="W13" i="7"/>
  <c r="O13" i="7" s="1"/>
  <c r="V27" i="5"/>
  <c r="U27" i="5" s="1"/>
  <c r="AI27" i="5" s="1"/>
  <c r="X14" i="7"/>
  <c r="L12" i="7"/>
  <c r="K24" i="5"/>
  <c r="M26" i="5"/>
  <c r="N27" i="5"/>
  <c r="AI26" i="5" l="1"/>
  <c r="AL26" i="5" s="1"/>
  <c r="AD26" i="5"/>
  <c r="AJ27" i="5"/>
  <c r="AM27" i="5" s="1"/>
  <c r="V28" i="5"/>
  <c r="AJ28" i="5" s="1"/>
  <c r="AM28" i="5" s="1"/>
  <c r="X15" i="7"/>
  <c r="P14" i="7"/>
  <c r="W14" i="7"/>
  <c r="O14" i="7" s="1"/>
  <c r="L13" i="7"/>
  <c r="AD27" i="5"/>
  <c r="K25" i="5"/>
  <c r="M27" i="5"/>
  <c r="N28" i="5"/>
  <c r="AL27" i="5" l="1"/>
  <c r="U28" i="5"/>
  <c r="AI28" i="5" s="1"/>
  <c r="AL28" i="5" s="1"/>
  <c r="L14" i="7"/>
  <c r="V29" i="5"/>
  <c r="AJ29" i="5" s="1"/>
  <c r="AM29" i="5" s="1"/>
  <c r="X16" i="7"/>
  <c r="P15" i="7"/>
  <c r="W15" i="7"/>
  <c r="O15" i="7" s="1"/>
  <c r="K26" i="5"/>
  <c r="M28" i="5"/>
  <c r="N29" i="5"/>
  <c r="AD28" i="5" l="1"/>
  <c r="L15" i="7"/>
  <c r="V30" i="5"/>
  <c r="U30" i="5" s="1"/>
  <c r="AI30" i="5" s="1"/>
  <c r="X17" i="7"/>
  <c r="U29" i="5"/>
  <c r="AI29" i="5" s="1"/>
  <c r="AL29" i="5" s="1"/>
  <c r="P16" i="7"/>
  <c r="W16" i="7"/>
  <c r="O16" i="7" s="1"/>
  <c r="K27" i="5"/>
  <c r="M29" i="5"/>
  <c r="N30" i="5"/>
  <c r="L16" i="7" l="1"/>
  <c r="AJ30" i="5"/>
  <c r="AM30" i="5" s="1"/>
  <c r="AL30" i="5"/>
  <c r="AD29" i="5"/>
  <c r="V31" i="5"/>
  <c r="U31" i="5" s="1"/>
  <c r="AI31" i="5" s="1"/>
  <c r="AL31" i="5" s="1"/>
  <c r="X18" i="7"/>
  <c r="P17" i="7"/>
  <c r="W17" i="7"/>
  <c r="O17" i="7" s="1"/>
  <c r="AD30" i="5"/>
  <c r="K28" i="5"/>
  <c r="M30" i="5"/>
  <c r="N31" i="5"/>
  <c r="L17" i="7" l="1"/>
  <c r="V32" i="5"/>
  <c r="AJ32" i="5" s="1"/>
  <c r="X19" i="7"/>
  <c r="AJ31" i="5"/>
  <c r="AM31" i="5" s="1"/>
  <c r="P18" i="7"/>
  <c r="W18" i="7"/>
  <c r="O18" i="7" s="1"/>
  <c r="AD31" i="5"/>
  <c r="K29" i="5"/>
  <c r="M31" i="5"/>
  <c r="N32" i="5"/>
  <c r="U32" i="5" l="1"/>
  <c r="AI32" i="5" s="1"/>
  <c r="AL32" i="5" s="1"/>
  <c r="AM32" i="5"/>
  <c r="L18" i="7"/>
  <c r="V33" i="5"/>
  <c r="AJ33" i="5" s="1"/>
  <c r="AM33" i="5" s="1"/>
  <c r="X20" i="7"/>
  <c r="P19" i="7"/>
  <c r="W19" i="7"/>
  <c r="O19" i="7" s="1"/>
  <c r="K30" i="5"/>
  <c r="M32" i="5"/>
  <c r="N33" i="5"/>
  <c r="AD32" i="5" l="1"/>
  <c r="U33" i="5"/>
  <c r="AI33" i="5" s="1"/>
  <c r="AL33" i="5" s="1"/>
  <c r="V34" i="5"/>
  <c r="AJ34" i="5" s="1"/>
  <c r="AM34" i="5" s="1"/>
  <c r="X21" i="7"/>
  <c r="L19" i="7"/>
  <c r="P20" i="7"/>
  <c r="W20" i="7"/>
  <c r="O20" i="7" s="1"/>
  <c r="K31" i="5"/>
  <c r="M33" i="5"/>
  <c r="N34" i="5"/>
  <c r="U34" i="5" l="1"/>
  <c r="AI34" i="5" s="1"/>
  <c r="AL34" i="5" s="1"/>
  <c r="AD33" i="5"/>
  <c r="L20" i="7"/>
  <c r="V35" i="5"/>
  <c r="AJ35" i="5" s="1"/>
  <c r="AM35" i="5" s="1"/>
  <c r="X22" i="7"/>
  <c r="P21" i="7"/>
  <c r="W21" i="7"/>
  <c r="O21" i="7" s="1"/>
  <c r="K32" i="5"/>
  <c r="M34" i="5"/>
  <c r="N35" i="5"/>
  <c r="AD34" i="5" l="1"/>
  <c r="U35" i="5"/>
  <c r="AI35" i="5" s="1"/>
  <c r="AL35" i="5" s="1"/>
  <c r="L21" i="7"/>
  <c r="V36" i="5"/>
  <c r="AJ36" i="5" s="1"/>
  <c r="AM36" i="5" s="1"/>
  <c r="X23" i="7"/>
  <c r="P22" i="7"/>
  <c r="W22" i="7"/>
  <c r="O22" i="7" s="1"/>
  <c r="K33" i="5"/>
  <c r="M35" i="5"/>
  <c r="N36" i="5"/>
  <c r="L22" i="7" l="1"/>
  <c r="U36" i="5"/>
  <c r="AI36" i="5" s="1"/>
  <c r="AL36" i="5" s="1"/>
  <c r="AD35" i="5"/>
  <c r="V37" i="5"/>
  <c r="AJ37" i="5" s="1"/>
  <c r="AM37" i="5" s="1"/>
  <c r="X24" i="7"/>
  <c r="P23" i="7"/>
  <c r="W23" i="7"/>
  <c r="O23" i="7" s="1"/>
  <c r="K34" i="5"/>
  <c r="M36" i="5"/>
  <c r="N37" i="5"/>
  <c r="AD36" i="5" l="1"/>
  <c r="U37" i="5"/>
  <c r="AI37" i="5" s="1"/>
  <c r="AL37" i="5" s="1"/>
  <c r="L23" i="7"/>
  <c r="V38" i="5"/>
  <c r="AJ38" i="5" s="1"/>
  <c r="AM38" i="5" s="1"/>
  <c r="X25" i="7"/>
  <c r="P24" i="7"/>
  <c r="W24" i="7"/>
  <c r="O24" i="7" s="1"/>
  <c r="K35" i="5"/>
  <c r="M37" i="5"/>
  <c r="N38" i="5"/>
  <c r="AD37" i="5" l="1"/>
  <c r="L24" i="7"/>
  <c r="U38" i="5"/>
  <c r="AI38" i="5" s="1"/>
  <c r="AL38" i="5" s="1"/>
  <c r="V39" i="5"/>
  <c r="AJ39" i="5" s="1"/>
  <c r="AM39" i="5" s="1"/>
  <c r="X26" i="7"/>
  <c r="P25" i="7"/>
  <c r="W25" i="7"/>
  <c r="O25" i="7" s="1"/>
  <c r="K36" i="5"/>
  <c r="M38" i="5"/>
  <c r="N39" i="5"/>
  <c r="AD38" i="5" l="1"/>
  <c r="U39" i="5"/>
  <c r="AI39" i="5" s="1"/>
  <c r="AL39" i="5" s="1"/>
  <c r="L25" i="7"/>
  <c r="V40" i="5"/>
  <c r="U40" i="5" s="1"/>
  <c r="AI40" i="5" s="1"/>
  <c r="X27" i="7"/>
  <c r="P26" i="7"/>
  <c r="W26" i="7"/>
  <c r="O26" i="7" s="1"/>
  <c r="K37" i="5"/>
  <c r="M39" i="5"/>
  <c r="N40" i="5"/>
  <c r="AL40" i="5" l="1"/>
  <c r="AD39" i="5"/>
  <c r="L26" i="7"/>
  <c r="AJ40" i="5"/>
  <c r="AM40" i="5" s="1"/>
  <c r="V41" i="5"/>
  <c r="U41" i="5" s="1"/>
  <c r="AI41" i="5" s="1"/>
  <c r="AL41" i="5" s="1"/>
  <c r="X28" i="7"/>
  <c r="P27" i="7"/>
  <c r="W27" i="7"/>
  <c r="O27" i="7" s="1"/>
  <c r="AD40" i="5"/>
  <c r="K38" i="5"/>
  <c r="M40" i="5"/>
  <c r="N41" i="5"/>
  <c r="L27" i="7" l="1"/>
  <c r="AJ41" i="5"/>
  <c r="AM41" i="5" s="1"/>
  <c r="V42" i="5"/>
  <c r="AJ42" i="5" s="1"/>
  <c r="X29" i="7"/>
  <c r="P28" i="7"/>
  <c r="W28" i="7"/>
  <c r="O28" i="7" s="1"/>
  <c r="AD41" i="5"/>
  <c r="K39" i="5"/>
  <c r="M41" i="5"/>
  <c r="N42" i="5"/>
  <c r="AM42" i="5" l="1"/>
  <c r="L28" i="7"/>
  <c r="V43" i="5"/>
  <c r="AJ43" i="5" s="1"/>
  <c r="AM43" i="5" s="1"/>
  <c r="X30" i="7"/>
  <c r="U42" i="5"/>
  <c r="AI42" i="5" s="1"/>
  <c r="AL42" i="5" s="1"/>
  <c r="P29" i="7"/>
  <c r="W29" i="7"/>
  <c r="O29" i="7" s="1"/>
  <c r="K40" i="5"/>
  <c r="M42" i="5"/>
  <c r="N43" i="5"/>
  <c r="U43" i="5" l="1"/>
  <c r="AI43" i="5" s="1"/>
  <c r="AL43" i="5" s="1"/>
  <c r="L29" i="7"/>
  <c r="AD42" i="5"/>
  <c r="V44" i="5"/>
  <c r="U44" i="5" s="1"/>
  <c r="AI44" i="5" s="1"/>
  <c r="X31" i="7"/>
  <c r="P30" i="7"/>
  <c r="W30" i="7"/>
  <c r="O30" i="7" s="1"/>
  <c r="K41" i="5"/>
  <c r="M43" i="5"/>
  <c r="N44" i="5"/>
  <c r="AL44" i="5" l="1"/>
  <c r="AD43" i="5"/>
  <c r="L30" i="7"/>
  <c r="AJ44" i="5"/>
  <c r="AM44" i="5" s="1"/>
  <c r="V45" i="5"/>
  <c r="U45" i="5" s="1"/>
  <c r="AI45" i="5" s="1"/>
  <c r="AL45" i="5" s="1"/>
  <c r="X32" i="7"/>
  <c r="P31" i="7"/>
  <c r="W31" i="7"/>
  <c r="O31" i="7" s="1"/>
  <c r="AD44" i="5"/>
  <c r="K42" i="5"/>
  <c r="M44" i="5"/>
  <c r="N45" i="5"/>
  <c r="L31" i="7" l="1"/>
  <c r="AJ45" i="5"/>
  <c r="AM45" i="5" s="1"/>
  <c r="V46" i="5"/>
  <c r="AJ46" i="5" s="1"/>
  <c r="X33" i="7"/>
  <c r="P32" i="7"/>
  <c r="W32" i="7"/>
  <c r="O32" i="7" s="1"/>
  <c r="AD45" i="5"/>
  <c r="K43" i="5"/>
  <c r="M45" i="5"/>
  <c r="N46" i="5"/>
  <c r="AM46" i="5" l="1"/>
  <c r="U46" i="5"/>
  <c r="AI46" i="5" s="1"/>
  <c r="AL46" i="5" s="1"/>
  <c r="V47" i="5"/>
  <c r="AJ47" i="5" s="1"/>
  <c r="AM47" i="5" s="1"/>
  <c r="X34" i="7"/>
  <c r="L32" i="7"/>
  <c r="P33" i="7"/>
  <c r="W33" i="7"/>
  <c r="O33" i="7" s="1"/>
  <c r="K44" i="5"/>
  <c r="M46" i="5"/>
  <c r="N47" i="5"/>
  <c r="AD46" i="5" l="1"/>
  <c r="L33" i="7"/>
  <c r="U47" i="5"/>
  <c r="AI47" i="5" s="1"/>
  <c r="AL47" i="5" s="1"/>
  <c r="V48" i="5"/>
  <c r="AJ48" i="5" s="1"/>
  <c r="AM48" i="5" s="1"/>
  <c r="X35" i="7"/>
  <c r="P34" i="7"/>
  <c r="W34" i="7"/>
  <c r="O34" i="7" s="1"/>
  <c r="K45" i="5"/>
  <c r="M47" i="5"/>
  <c r="N48" i="5"/>
  <c r="U48" i="5" l="1"/>
  <c r="AI48" i="5" s="1"/>
  <c r="AL48" i="5" s="1"/>
  <c r="L34" i="7"/>
  <c r="AD47" i="5"/>
  <c r="V49" i="5"/>
  <c r="AJ49" i="5" s="1"/>
  <c r="AM49" i="5" s="1"/>
  <c r="X36" i="7"/>
  <c r="P35" i="7"/>
  <c r="W35" i="7"/>
  <c r="O35" i="7" s="1"/>
  <c r="K46" i="5"/>
  <c r="M48" i="5"/>
  <c r="N49" i="5"/>
  <c r="AD48" i="5" l="1"/>
  <c r="U49" i="5"/>
  <c r="AI49" i="5" s="1"/>
  <c r="AL49" i="5" s="1"/>
  <c r="L35" i="7"/>
  <c r="V50" i="5"/>
  <c r="AJ50" i="5" s="1"/>
  <c r="AM50" i="5" s="1"/>
  <c r="X37" i="7"/>
  <c r="P36" i="7"/>
  <c r="W36" i="7"/>
  <c r="O36" i="7" s="1"/>
  <c r="K47" i="5"/>
  <c r="M49" i="5"/>
  <c r="N50" i="5"/>
  <c r="U50" i="5" l="1"/>
  <c r="AI50" i="5" s="1"/>
  <c r="AL50" i="5" s="1"/>
  <c r="AD49" i="5"/>
  <c r="L36" i="7"/>
  <c r="V51" i="5"/>
  <c r="AJ51" i="5" s="1"/>
  <c r="AM51" i="5" s="1"/>
  <c r="X38" i="7"/>
  <c r="P37" i="7"/>
  <c r="W37" i="7"/>
  <c r="O37" i="7" s="1"/>
  <c r="K48" i="5"/>
  <c r="M50" i="5"/>
  <c r="N51" i="5"/>
  <c r="AD50" i="5" l="1"/>
  <c r="L37" i="7"/>
  <c r="U51" i="5"/>
  <c r="AI51" i="5" s="1"/>
  <c r="AL51" i="5" s="1"/>
  <c r="V52" i="5"/>
  <c r="U52" i="5" s="1"/>
  <c r="AI52" i="5" s="1"/>
  <c r="X39" i="7"/>
  <c r="P38" i="7"/>
  <c r="W38" i="7"/>
  <c r="O38" i="7" s="1"/>
  <c r="K49" i="5"/>
  <c r="M51" i="5"/>
  <c r="N52" i="5"/>
  <c r="AL52" i="5" l="1"/>
  <c r="AD51" i="5"/>
  <c r="AJ52" i="5"/>
  <c r="AM52" i="5" s="1"/>
  <c r="L38" i="7"/>
  <c r="V53" i="5"/>
  <c r="AJ53" i="5" s="1"/>
  <c r="AM53" i="5" s="1"/>
  <c r="X40" i="7"/>
  <c r="P39" i="7"/>
  <c r="W39" i="7"/>
  <c r="O39" i="7" s="1"/>
  <c r="AD52" i="5"/>
  <c r="K50" i="5"/>
  <c r="M52" i="5"/>
  <c r="N53" i="5"/>
  <c r="L39" i="7" l="1"/>
  <c r="U53" i="5"/>
  <c r="AI53" i="5" s="1"/>
  <c r="AL53" i="5" s="1"/>
  <c r="V54" i="5"/>
  <c r="AJ54" i="5" s="1"/>
  <c r="AM54" i="5" s="1"/>
  <c r="X41" i="7"/>
  <c r="P40" i="7"/>
  <c r="W40" i="7"/>
  <c r="O40" i="7" s="1"/>
  <c r="K51" i="5"/>
  <c r="M53" i="5"/>
  <c r="N54" i="5"/>
  <c r="L40" i="7" l="1"/>
  <c r="AD53" i="5"/>
  <c r="U54" i="5"/>
  <c r="AI54" i="5" s="1"/>
  <c r="AL54" i="5" s="1"/>
  <c r="V55" i="5"/>
  <c r="AJ55" i="5" s="1"/>
  <c r="AM55" i="5" s="1"/>
  <c r="X42" i="7"/>
  <c r="P41" i="7"/>
  <c r="W41" i="7"/>
  <c r="O41" i="7" s="1"/>
  <c r="K52" i="5"/>
  <c r="M54" i="5"/>
  <c r="N55" i="5"/>
  <c r="AD54" i="5" l="1"/>
  <c r="U55" i="5"/>
  <c r="AI55" i="5" s="1"/>
  <c r="AL55" i="5" s="1"/>
  <c r="L41" i="7"/>
  <c r="V56" i="5"/>
  <c r="AJ56" i="5" s="1"/>
  <c r="AM56" i="5" s="1"/>
  <c r="X43" i="7"/>
  <c r="P42" i="7"/>
  <c r="W42" i="7"/>
  <c r="O42" i="7" s="1"/>
  <c r="K53" i="5"/>
  <c r="M55" i="5"/>
  <c r="N56" i="5"/>
  <c r="U56" i="5" l="1"/>
  <c r="AI56" i="5" s="1"/>
  <c r="AL56" i="5" s="1"/>
  <c r="AD55" i="5"/>
  <c r="L42" i="7"/>
  <c r="V57" i="5"/>
  <c r="AJ57" i="5" s="1"/>
  <c r="AM57" i="5" s="1"/>
  <c r="X44" i="7"/>
  <c r="P43" i="7"/>
  <c r="W43" i="7"/>
  <c r="O43" i="7" s="1"/>
  <c r="K54" i="5"/>
  <c r="M56" i="5"/>
  <c r="N57" i="5"/>
  <c r="U57" i="5" l="1"/>
  <c r="AI57" i="5" s="1"/>
  <c r="AL57" i="5" s="1"/>
  <c r="AD56" i="5"/>
  <c r="L43" i="7"/>
  <c r="V58" i="5"/>
  <c r="AJ58" i="5" s="1"/>
  <c r="AM58" i="5" s="1"/>
  <c r="X45" i="7"/>
  <c r="P44" i="7"/>
  <c r="W44" i="7"/>
  <c r="O44" i="7" s="1"/>
  <c r="K55" i="5"/>
  <c r="M57" i="5"/>
  <c r="N58" i="5"/>
  <c r="AD57" i="5" l="1"/>
  <c r="U58" i="5"/>
  <c r="AI58" i="5" s="1"/>
  <c r="AL58" i="5" s="1"/>
  <c r="L44" i="7"/>
  <c r="V59" i="5"/>
  <c r="U59" i="5" s="1"/>
  <c r="AI59" i="5" s="1"/>
  <c r="X46" i="7"/>
  <c r="P45" i="7"/>
  <c r="W45" i="7"/>
  <c r="O45" i="7" s="1"/>
  <c r="K56" i="5"/>
  <c r="M58" i="5"/>
  <c r="N59" i="5"/>
  <c r="AL59" i="5" l="1"/>
  <c r="AD58" i="5"/>
  <c r="L45" i="7"/>
  <c r="AJ59" i="5"/>
  <c r="AM59" i="5" s="1"/>
  <c r="V60" i="5"/>
  <c r="AJ60" i="5" s="1"/>
  <c r="X47" i="7"/>
  <c r="P46" i="7"/>
  <c r="W46" i="7"/>
  <c r="O46" i="7" s="1"/>
  <c r="AD59" i="5"/>
  <c r="K57" i="5"/>
  <c r="M59" i="5"/>
  <c r="N60" i="5"/>
  <c r="U60" i="5" l="1"/>
  <c r="AI60" i="5" s="1"/>
  <c r="AL60" i="5" s="1"/>
  <c r="AM60" i="5"/>
  <c r="L46" i="7"/>
  <c r="V61" i="5"/>
  <c r="AJ61" i="5" s="1"/>
  <c r="AM61" i="5" s="1"/>
  <c r="X48" i="7"/>
  <c r="P47" i="7"/>
  <c r="W47" i="7"/>
  <c r="O47" i="7" s="1"/>
  <c r="K58" i="5"/>
  <c r="M60" i="5"/>
  <c r="N61" i="5"/>
  <c r="U61" i="5" l="1"/>
  <c r="AI61" i="5" s="1"/>
  <c r="AL61" i="5" s="1"/>
  <c r="AD60" i="5"/>
  <c r="L47" i="7"/>
  <c r="P48" i="7"/>
  <c r="W48" i="7"/>
  <c r="O48" i="7" s="1"/>
  <c r="V62" i="5"/>
  <c r="AJ62" i="5" s="1"/>
  <c r="AM62" i="5" s="1"/>
  <c r="X49" i="7"/>
  <c r="K59" i="5"/>
  <c r="M61" i="5"/>
  <c r="N62" i="5"/>
  <c r="AD61" i="5" l="1"/>
  <c r="U62" i="5"/>
  <c r="AI62" i="5" s="1"/>
  <c r="AL62" i="5" s="1"/>
  <c r="L48" i="7"/>
  <c r="V63" i="5"/>
  <c r="U63" i="5" s="1"/>
  <c r="AI63" i="5" s="1"/>
  <c r="X50" i="7"/>
  <c r="P49" i="7"/>
  <c r="W49" i="7"/>
  <c r="O49" i="7" s="1"/>
  <c r="K60" i="5"/>
  <c r="M62" i="5"/>
  <c r="N63" i="5"/>
  <c r="AL63" i="5" l="1"/>
  <c r="AD62" i="5"/>
  <c r="L49" i="7"/>
  <c r="AJ63" i="5"/>
  <c r="AM63" i="5" s="1"/>
  <c r="V64" i="5"/>
  <c r="U64" i="5" s="1"/>
  <c r="AI64" i="5" s="1"/>
  <c r="AL64" i="5" s="1"/>
  <c r="X51" i="7"/>
  <c r="P50" i="7"/>
  <c r="W50" i="7"/>
  <c r="O50" i="7" s="1"/>
  <c r="AD63" i="5"/>
  <c r="K61" i="5"/>
  <c r="M63" i="5"/>
  <c r="N64" i="5"/>
  <c r="AJ64" i="5" l="1"/>
  <c r="AM64" i="5" s="1"/>
  <c r="L50" i="7"/>
  <c r="V65" i="5"/>
  <c r="U65" i="5" s="1"/>
  <c r="AI65" i="5" s="1"/>
  <c r="AL65" i="5" s="1"/>
  <c r="X52" i="7"/>
  <c r="P51" i="7"/>
  <c r="W51" i="7"/>
  <c r="O51" i="7" s="1"/>
  <c r="AD64" i="5"/>
  <c r="K62" i="5"/>
  <c r="M64" i="5"/>
  <c r="N65" i="5"/>
  <c r="AJ65" i="5" l="1"/>
  <c r="AM65" i="5" s="1"/>
  <c r="L51" i="7"/>
  <c r="V66" i="5"/>
  <c r="AJ66" i="5" s="1"/>
  <c r="X53" i="7"/>
  <c r="P52" i="7"/>
  <c r="W52" i="7"/>
  <c r="O52" i="7" s="1"/>
  <c r="AD65" i="5"/>
  <c r="K63" i="5"/>
  <c r="M65" i="5"/>
  <c r="N66" i="5"/>
  <c r="N22" i="9" l="1"/>
  <c r="M22" i="9" s="1"/>
  <c r="N10" i="9"/>
  <c r="N26" i="9"/>
  <c r="M26" i="9" s="1"/>
  <c r="N12" i="9"/>
  <c r="M12" i="9" s="1"/>
  <c r="N17" i="9"/>
  <c r="M17" i="9" s="1"/>
  <c r="N24" i="9"/>
  <c r="M24" i="9" s="1"/>
  <c r="N15" i="9"/>
  <c r="M15" i="9" s="1"/>
  <c r="N13" i="9"/>
  <c r="M13" i="9" s="1"/>
  <c r="AM66" i="5"/>
  <c r="U66" i="5"/>
  <c r="AI66" i="5" s="1"/>
  <c r="AL66" i="5" s="1"/>
  <c r="L52" i="7"/>
  <c r="V67" i="5"/>
  <c r="AJ67" i="5" s="1"/>
  <c r="AM67" i="5" s="1"/>
  <c r="X54" i="7"/>
  <c r="P53" i="7"/>
  <c r="W53" i="7"/>
  <c r="O53" i="7" s="1"/>
  <c r="K64" i="5"/>
  <c r="M66" i="5"/>
  <c r="N67" i="5"/>
  <c r="M10" i="9" l="1"/>
  <c r="M7" i="9" s="1"/>
  <c r="O4" i="9"/>
  <c r="A20" i="9"/>
  <c r="AD66" i="5"/>
  <c r="U67" i="5"/>
  <c r="AI67" i="5" s="1"/>
  <c r="AL67" i="5" s="1"/>
  <c r="L53" i="7"/>
  <c r="V68" i="5"/>
  <c r="U68" i="5" s="1"/>
  <c r="AI68" i="5" s="1"/>
  <c r="X55" i="7"/>
  <c r="P54" i="7"/>
  <c r="W54" i="7"/>
  <c r="O54" i="7" s="1"/>
  <c r="K65" i="5"/>
  <c r="M67" i="5"/>
  <c r="N68" i="5"/>
  <c r="P4" i="9" l="1"/>
  <c r="A9" i="9"/>
  <c r="AL68" i="5"/>
  <c r="AD67" i="5"/>
  <c r="AJ68" i="5"/>
  <c r="AM68" i="5" s="1"/>
  <c r="L54" i="7"/>
  <c r="V69" i="5"/>
  <c r="AJ69" i="5" s="1"/>
  <c r="X56" i="7"/>
  <c r="P55" i="7"/>
  <c r="W55" i="7"/>
  <c r="O55" i="7" s="1"/>
  <c r="AD68" i="5"/>
  <c r="K66" i="5"/>
  <c r="M68" i="5"/>
  <c r="N69" i="5"/>
  <c r="N43" i="9" l="1"/>
  <c r="M43" i="9" s="1"/>
  <c r="N47" i="9"/>
  <c r="M47" i="9" s="1"/>
  <c r="N50" i="9"/>
  <c r="M50" i="9" s="1"/>
  <c r="N45" i="9"/>
  <c r="M45" i="9" s="1"/>
  <c r="N48" i="9"/>
  <c r="M48" i="9" s="1"/>
  <c r="AM69" i="5"/>
  <c r="U69" i="5"/>
  <c r="AI69" i="5" s="1"/>
  <c r="AL69" i="5" s="1"/>
  <c r="L55" i="7"/>
  <c r="P56" i="7"/>
  <c r="W56" i="7"/>
  <c r="O56" i="7" s="1"/>
  <c r="V70" i="5"/>
  <c r="U70" i="5" s="1"/>
  <c r="AI70" i="5" s="1"/>
  <c r="X57" i="7"/>
  <c r="K67" i="5"/>
  <c r="M69" i="5"/>
  <c r="N70" i="5"/>
  <c r="A41" i="9" l="1"/>
  <c r="AD69" i="5"/>
  <c r="AL70" i="5"/>
  <c r="L56" i="7"/>
  <c r="AJ70" i="5"/>
  <c r="AM70" i="5" s="1"/>
  <c r="V71" i="5"/>
  <c r="AJ71" i="5" s="1"/>
  <c r="AM71" i="5" s="1"/>
  <c r="X58" i="7"/>
  <c r="P57" i="7"/>
  <c r="W57" i="7"/>
  <c r="O57" i="7" s="1"/>
  <c r="AD70" i="5"/>
  <c r="K68" i="5"/>
  <c r="M70" i="5"/>
  <c r="N71" i="5"/>
  <c r="U71" i="5" l="1"/>
  <c r="AI71" i="5" s="1"/>
  <c r="AL71" i="5" s="1"/>
  <c r="L57" i="7"/>
  <c r="V72" i="5"/>
  <c r="AJ72" i="5" s="1"/>
  <c r="AM72" i="5" s="1"/>
  <c r="X59" i="7"/>
  <c r="P58" i="7"/>
  <c r="W58" i="7"/>
  <c r="O58" i="7" s="1"/>
  <c r="K69" i="5"/>
  <c r="M71" i="5"/>
  <c r="N72" i="5"/>
  <c r="AD71" i="5" l="1"/>
  <c r="U72" i="5"/>
  <c r="AI72" i="5" s="1"/>
  <c r="AL72" i="5" s="1"/>
  <c r="L58" i="7"/>
  <c r="V73" i="5"/>
  <c r="AJ73" i="5" s="1"/>
  <c r="AM73" i="5" s="1"/>
  <c r="X60" i="7"/>
  <c r="P59" i="7"/>
  <c r="W59" i="7"/>
  <c r="O59" i="7" s="1"/>
  <c r="K70" i="5"/>
  <c r="M72" i="5"/>
  <c r="N73" i="5"/>
  <c r="AD72" i="5" l="1"/>
  <c r="U73" i="5"/>
  <c r="AI73" i="5" s="1"/>
  <c r="AL73" i="5" s="1"/>
  <c r="V74" i="5"/>
  <c r="U74" i="5" s="1"/>
  <c r="AI74" i="5" s="1"/>
  <c r="X61" i="7"/>
  <c r="L59" i="7"/>
  <c r="P60" i="7"/>
  <c r="W60" i="7"/>
  <c r="O60" i="7" s="1"/>
  <c r="K71" i="5"/>
  <c r="M73" i="5"/>
  <c r="N74" i="5"/>
  <c r="AL74" i="5" l="1"/>
  <c r="AJ74" i="5"/>
  <c r="AM74" i="5" s="1"/>
  <c r="AD73" i="5"/>
  <c r="L60" i="7"/>
  <c r="V75" i="5"/>
  <c r="AJ75" i="5" s="1"/>
  <c r="X62" i="7"/>
  <c r="P61" i="7"/>
  <c r="W61" i="7"/>
  <c r="O61" i="7" s="1"/>
  <c r="AD74" i="5"/>
  <c r="K72" i="5"/>
  <c r="M74" i="5"/>
  <c r="N75" i="5"/>
  <c r="AM75" i="5" l="1"/>
  <c r="U75" i="5"/>
  <c r="AI75" i="5" s="1"/>
  <c r="AL75" i="5" s="1"/>
  <c r="L61" i="7"/>
  <c r="P62" i="7"/>
  <c r="W62" i="7"/>
  <c r="O62" i="7" s="1"/>
  <c r="V76" i="5"/>
  <c r="AJ76" i="5" s="1"/>
  <c r="AM76" i="5" s="1"/>
  <c r="X63" i="7"/>
  <c r="K73" i="5"/>
  <c r="M75" i="5"/>
  <c r="N76" i="5"/>
  <c r="AD75" i="5" l="1"/>
  <c r="L62" i="7"/>
  <c r="U76" i="5"/>
  <c r="AI76" i="5" s="1"/>
  <c r="AL76" i="5" s="1"/>
  <c r="V77" i="5"/>
  <c r="AJ77" i="5" s="1"/>
  <c r="AM77" i="5" s="1"/>
  <c r="X64" i="7"/>
  <c r="P63" i="7"/>
  <c r="W63" i="7"/>
  <c r="O63" i="7" s="1"/>
  <c r="K74" i="5"/>
  <c r="M76" i="5"/>
  <c r="N77" i="5"/>
  <c r="U77" i="5" l="1"/>
  <c r="AI77" i="5" s="1"/>
  <c r="AL77" i="5" s="1"/>
  <c r="L63" i="7"/>
  <c r="AD76" i="5"/>
  <c r="P64" i="7"/>
  <c r="W64" i="7"/>
  <c r="O64" i="7" s="1"/>
  <c r="V78" i="5"/>
  <c r="AJ78" i="5" s="1"/>
  <c r="AM78" i="5" s="1"/>
  <c r="X65" i="7"/>
  <c r="K75" i="5"/>
  <c r="M77" i="5"/>
  <c r="N78" i="5"/>
  <c r="AD77" i="5" l="1"/>
  <c r="L64" i="7"/>
  <c r="U78" i="5"/>
  <c r="AI78" i="5" s="1"/>
  <c r="AL78" i="5" s="1"/>
  <c r="V79" i="5"/>
  <c r="U79" i="5" s="1"/>
  <c r="AI79" i="5" s="1"/>
  <c r="X66" i="7"/>
  <c r="P65" i="7"/>
  <c r="W65" i="7"/>
  <c r="O65" i="7" s="1"/>
  <c r="K76" i="5"/>
  <c r="M78" i="5"/>
  <c r="N79" i="5"/>
  <c r="AD78" i="5" l="1"/>
  <c r="AL79" i="5"/>
  <c r="AJ79" i="5"/>
  <c r="AM79" i="5" s="1"/>
  <c r="L65" i="7"/>
  <c r="P66" i="7"/>
  <c r="W66" i="7"/>
  <c r="O66" i="7" s="1"/>
  <c r="V80" i="5"/>
  <c r="U80" i="5" s="1"/>
  <c r="AI80" i="5" s="1"/>
  <c r="AL80" i="5" s="1"/>
  <c r="X67" i="7"/>
  <c r="AD79" i="5"/>
  <c r="K77" i="5"/>
  <c r="M79" i="5"/>
  <c r="N80" i="5"/>
  <c r="L66" i="7" l="1"/>
  <c r="AJ80" i="5"/>
  <c r="AM80" i="5" s="1"/>
  <c r="P67" i="7"/>
  <c r="W67" i="7"/>
  <c r="O67" i="7" s="1"/>
  <c r="V81" i="5"/>
  <c r="AJ81" i="5" s="1"/>
  <c r="X68" i="7"/>
  <c r="AD80" i="5"/>
  <c r="K78" i="5"/>
  <c r="M80" i="5"/>
  <c r="N81" i="5"/>
  <c r="L67" i="7" l="1"/>
  <c r="U81" i="5"/>
  <c r="AI81" i="5" s="1"/>
  <c r="AL81" i="5" s="1"/>
  <c r="AM81" i="5"/>
  <c r="P68" i="7"/>
  <c r="W68" i="7"/>
  <c r="O68" i="7" s="1"/>
  <c r="V82" i="5"/>
  <c r="AJ82" i="5" s="1"/>
  <c r="AM82" i="5" s="1"/>
  <c r="X69" i="7"/>
  <c r="K79" i="5"/>
  <c r="M81" i="5"/>
  <c r="N82" i="5"/>
  <c r="AD81" i="5" l="1"/>
  <c r="L68" i="7"/>
  <c r="U82" i="5"/>
  <c r="AI82" i="5" s="1"/>
  <c r="AL82" i="5" s="1"/>
  <c r="P69" i="7"/>
  <c r="W69" i="7"/>
  <c r="O69" i="7" s="1"/>
  <c r="V83" i="5"/>
  <c r="AJ83" i="5" s="1"/>
  <c r="AM83" i="5" s="1"/>
  <c r="X70" i="7"/>
  <c r="K80" i="5"/>
  <c r="M82" i="5"/>
  <c r="N83" i="5"/>
  <c r="L69" i="7" l="1"/>
  <c r="U83" i="5"/>
  <c r="AI83" i="5" s="1"/>
  <c r="AL83" i="5" s="1"/>
  <c r="AD82" i="5"/>
  <c r="P70" i="7"/>
  <c r="W70" i="7"/>
  <c r="O70" i="7" s="1"/>
  <c r="V84" i="5"/>
  <c r="AJ84" i="5" s="1"/>
  <c r="AM84" i="5" s="1"/>
  <c r="X71" i="7"/>
  <c r="K81" i="5"/>
  <c r="M83" i="5"/>
  <c r="N84" i="5"/>
  <c r="L70" i="7" l="1"/>
  <c r="AD83" i="5"/>
  <c r="U84" i="5"/>
  <c r="AI84" i="5" s="1"/>
  <c r="AL84" i="5" s="1"/>
  <c r="P71" i="7"/>
  <c r="W71" i="7"/>
  <c r="O71" i="7" s="1"/>
  <c r="V85" i="5"/>
  <c r="AJ85" i="5" s="1"/>
  <c r="AM85" i="5" s="1"/>
  <c r="X72" i="7"/>
  <c r="K82" i="5"/>
  <c r="M84" i="5"/>
  <c r="N85" i="5"/>
  <c r="AD84" i="5" l="1"/>
  <c r="L71" i="7"/>
  <c r="U85" i="5"/>
  <c r="AI85" i="5" s="1"/>
  <c r="AL85" i="5" s="1"/>
  <c r="V86" i="5"/>
  <c r="AJ86" i="5" s="1"/>
  <c r="AM86" i="5" s="1"/>
  <c r="X73" i="7"/>
  <c r="P72" i="7"/>
  <c r="W72" i="7"/>
  <c r="O72" i="7" s="1"/>
  <c r="K83" i="5"/>
  <c r="M85" i="5"/>
  <c r="N86" i="5"/>
  <c r="AD85" i="5" l="1"/>
  <c r="U86" i="5"/>
  <c r="AI86" i="5" s="1"/>
  <c r="AL86" i="5" s="1"/>
  <c r="L72" i="7"/>
  <c r="V87" i="5"/>
  <c r="AJ87" i="5" s="1"/>
  <c r="AM87" i="5" s="1"/>
  <c r="X74" i="7"/>
  <c r="P73" i="7"/>
  <c r="W73" i="7"/>
  <c r="O73" i="7" s="1"/>
  <c r="K84" i="5"/>
  <c r="M86" i="5"/>
  <c r="N87" i="5"/>
  <c r="AD86" i="5" l="1"/>
  <c r="L73" i="7"/>
  <c r="U87" i="5"/>
  <c r="AI87" i="5" s="1"/>
  <c r="AL87" i="5" s="1"/>
  <c r="P74" i="7"/>
  <c r="W74" i="7"/>
  <c r="O74" i="7" s="1"/>
  <c r="V88" i="5"/>
  <c r="AJ88" i="5" s="1"/>
  <c r="AM88" i="5" s="1"/>
  <c r="X75" i="7"/>
  <c r="K85" i="5"/>
  <c r="M87" i="5"/>
  <c r="N88" i="5"/>
  <c r="U88" i="5" l="1"/>
  <c r="AI88" i="5" s="1"/>
  <c r="AL88" i="5" s="1"/>
  <c r="AD87" i="5"/>
  <c r="L74" i="7"/>
  <c r="V89" i="5"/>
  <c r="AJ89" i="5" s="1"/>
  <c r="AM89" i="5" s="1"/>
  <c r="X76" i="7"/>
  <c r="P75" i="7"/>
  <c r="W75" i="7"/>
  <c r="O75" i="7" s="1"/>
  <c r="K86" i="5"/>
  <c r="M88" i="5"/>
  <c r="N89" i="5"/>
  <c r="U89" i="5" l="1"/>
  <c r="AI89" i="5" s="1"/>
  <c r="AL89" i="5" s="1"/>
  <c r="AD88" i="5"/>
  <c r="L75" i="7"/>
  <c r="V90" i="5"/>
  <c r="U90" i="5" s="1"/>
  <c r="AI90" i="5" s="1"/>
  <c r="X77" i="7"/>
  <c r="P76" i="7"/>
  <c r="W76" i="7"/>
  <c r="O76" i="7" s="1"/>
  <c r="K87" i="5"/>
  <c r="M89" i="5"/>
  <c r="N90" i="5"/>
  <c r="AD89" i="5" l="1"/>
  <c r="AL90" i="5"/>
  <c r="L76" i="7"/>
  <c r="AJ90" i="5"/>
  <c r="AM90" i="5" s="1"/>
  <c r="V91" i="5"/>
  <c r="AJ91" i="5" s="1"/>
  <c r="AM91" i="5" s="1"/>
  <c r="X78" i="7"/>
  <c r="P77" i="7"/>
  <c r="W77" i="7"/>
  <c r="O77" i="7" s="1"/>
  <c r="AD90" i="5"/>
  <c r="K88" i="5"/>
  <c r="M90" i="5"/>
  <c r="N91" i="5"/>
  <c r="U91" i="5" l="1"/>
  <c r="AI91" i="5" s="1"/>
  <c r="AL91" i="5" s="1"/>
  <c r="L77" i="7"/>
  <c r="V92" i="5"/>
  <c r="AJ92" i="5" s="1"/>
  <c r="AM92" i="5" s="1"/>
  <c r="X79" i="7"/>
  <c r="P78" i="7"/>
  <c r="W78" i="7"/>
  <c r="O78" i="7" s="1"/>
  <c r="K89" i="5"/>
  <c r="M91" i="5"/>
  <c r="N92" i="5"/>
  <c r="AD91" i="5" l="1"/>
  <c r="U92" i="5"/>
  <c r="AI92" i="5" s="1"/>
  <c r="AL92" i="5" s="1"/>
  <c r="L78" i="7"/>
  <c r="V93" i="5"/>
  <c r="AJ93" i="5" s="1"/>
  <c r="AM93" i="5" s="1"/>
  <c r="X80" i="7"/>
  <c r="P79" i="7"/>
  <c r="W79" i="7"/>
  <c r="O79" i="7" s="1"/>
  <c r="K90" i="5"/>
  <c r="M92" i="5"/>
  <c r="N93" i="5"/>
  <c r="L79" i="7" l="1"/>
  <c r="AD92" i="5"/>
  <c r="U93" i="5"/>
  <c r="AI93" i="5" s="1"/>
  <c r="AL93" i="5" s="1"/>
  <c r="V94" i="5"/>
  <c r="U94" i="5" s="1"/>
  <c r="AI94" i="5" s="1"/>
  <c r="X81" i="7"/>
  <c r="P80" i="7"/>
  <c r="W80" i="7"/>
  <c r="O80" i="7" s="1"/>
  <c r="K91" i="5"/>
  <c r="M93" i="5"/>
  <c r="N94" i="5"/>
  <c r="AD93" i="5" l="1"/>
  <c r="AL94" i="5"/>
  <c r="AJ94" i="5"/>
  <c r="AM94" i="5" s="1"/>
  <c r="L80" i="7"/>
  <c r="P81" i="7"/>
  <c r="W81" i="7"/>
  <c r="O81" i="7" s="1"/>
  <c r="V95" i="5"/>
  <c r="AJ95" i="5" s="1"/>
  <c r="X82" i="7"/>
  <c r="AD94" i="5"/>
  <c r="K92" i="5"/>
  <c r="M94" i="5"/>
  <c r="N95" i="5"/>
  <c r="AM95" i="5" l="1"/>
  <c r="L81" i="7"/>
  <c r="U95" i="5"/>
  <c r="AI95" i="5" s="1"/>
  <c r="AL95" i="5" s="1"/>
  <c r="V96" i="5"/>
  <c r="U96" i="5" s="1"/>
  <c r="AI96" i="5" s="1"/>
  <c r="X83" i="7"/>
  <c r="P82" i="7"/>
  <c r="W82" i="7"/>
  <c r="O82" i="7" s="1"/>
  <c r="K93" i="5"/>
  <c r="M95" i="5"/>
  <c r="N96" i="5"/>
  <c r="AD95" i="5" l="1"/>
  <c r="L82" i="7"/>
  <c r="AL96" i="5"/>
  <c r="AJ96" i="5"/>
  <c r="AM96" i="5" s="1"/>
  <c r="V97" i="5"/>
  <c r="U97" i="5" s="1"/>
  <c r="AI97" i="5" s="1"/>
  <c r="AL97" i="5" s="1"/>
  <c r="X84" i="7"/>
  <c r="P83" i="7"/>
  <c r="W83" i="7"/>
  <c r="O83" i="7" s="1"/>
  <c r="AD96" i="5"/>
  <c r="K94" i="5"/>
  <c r="M96" i="5"/>
  <c r="N97" i="5"/>
  <c r="AJ97" i="5" l="1"/>
  <c r="AM97" i="5" s="1"/>
  <c r="L83" i="7"/>
  <c r="V98" i="5"/>
  <c r="AJ98" i="5" s="1"/>
  <c r="X85" i="7"/>
  <c r="P84" i="7"/>
  <c r="W84" i="7"/>
  <c r="O84" i="7" s="1"/>
  <c r="AD97" i="5"/>
  <c r="K95" i="5"/>
  <c r="M97" i="5"/>
  <c r="N98" i="5"/>
  <c r="AM98" i="5" l="1"/>
  <c r="U98" i="5"/>
  <c r="AI98" i="5" s="1"/>
  <c r="AL98" i="5" s="1"/>
  <c r="L84" i="7"/>
  <c r="V99" i="5"/>
  <c r="AJ99" i="5" s="1"/>
  <c r="AM99" i="5" s="1"/>
  <c r="X86" i="7"/>
  <c r="P85" i="7"/>
  <c r="W85" i="7"/>
  <c r="O85" i="7" s="1"/>
  <c r="K96" i="5"/>
  <c r="M98" i="5"/>
  <c r="N99" i="5"/>
  <c r="U99" i="5" l="1"/>
  <c r="AI99" i="5" s="1"/>
  <c r="AL99" i="5" s="1"/>
  <c r="AD98" i="5"/>
  <c r="L85" i="7"/>
  <c r="V100" i="5"/>
  <c r="AJ100" i="5" s="1"/>
  <c r="AM100" i="5" s="1"/>
  <c r="X87" i="7"/>
  <c r="P86" i="7"/>
  <c r="W86" i="7"/>
  <c r="O86" i="7" s="1"/>
  <c r="K97" i="5"/>
  <c r="M99" i="5"/>
  <c r="N100" i="5"/>
  <c r="AD99" i="5" l="1"/>
  <c r="U100" i="5"/>
  <c r="AI100" i="5" s="1"/>
  <c r="AL100" i="5" s="1"/>
  <c r="L86" i="7"/>
  <c r="V101" i="5"/>
  <c r="AJ101" i="5" s="1"/>
  <c r="AM101" i="5" s="1"/>
  <c r="X88" i="7"/>
  <c r="P87" i="7"/>
  <c r="W87" i="7"/>
  <c r="O87" i="7" s="1"/>
  <c r="K98" i="5"/>
  <c r="M100" i="5"/>
  <c r="N101" i="5"/>
  <c r="U101" i="5" l="1"/>
  <c r="AI101" i="5" s="1"/>
  <c r="AL101" i="5" s="1"/>
  <c r="AD100" i="5"/>
  <c r="L87" i="7"/>
  <c r="V102" i="5"/>
  <c r="AJ102" i="5" s="1"/>
  <c r="AM102" i="5" s="1"/>
  <c r="X89" i="7"/>
  <c r="P88" i="7"/>
  <c r="W88" i="7"/>
  <c r="O88" i="7" s="1"/>
  <c r="K99" i="5"/>
  <c r="M101" i="5"/>
  <c r="N102" i="5"/>
  <c r="AD101" i="5" l="1"/>
  <c r="U102" i="5"/>
  <c r="AI102" i="5" s="1"/>
  <c r="AL102" i="5" s="1"/>
  <c r="L88" i="7"/>
  <c r="V103" i="5"/>
  <c r="U103" i="5" s="1"/>
  <c r="AI103" i="5" s="1"/>
  <c r="X90" i="7"/>
  <c r="P89" i="7"/>
  <c r="W89" i="7"/>
  <c r="O89" i="7" s="1"/>
  <c r="K100" i="5"/>
  <c r="M102" i="5"/>
  <c r="N103" i="5"/>
  <c r="AL103" i="5" l="1"/>
  <c r="AD102" i="5"/>
  <c r="L89" i="7"/>
  <c r="AJ103" i="5"/>
  <c r="AM103" i="5" s="1"/>
  <c r="P90" i="7"/>
  <c r="W90" i="7"/>
  <c r="O90" i="7" s="1"/>
  <c r="V104" i="5"/>
  <c r="AJ104" i="5" s="1"/>
  <c r="AM104" i="5" s="1"/>
  <c r="X91" i="7"/>
  <c r="AD103" i="5"/>
  <c r="K101" i="5"/>
  <c r="M103" i="5"/>
  <c r="N104" i="5"/>
  <c r="U104" i="5" l="1"/>
  <c r="AI104" i="5" s="1"/>
  <c r="AL104" i="5" s="1"/>
  <c r="L90" i="7"/>
  <c r="V105" i="5"/>
  <c r="AJ105" i="5" s="1"/>
  <c r="AM105" i="5" s="1"/>
  <c r="X92" i="7"/>
  <c r="P91" i="7"/>
  <c r="W91" i="7"/>
  <c r="O91" i="7" s="1"/>
  <c r="K102" i="5"/>
  <c r="M104" i="5"/>
  <c r="N105" i="5"/>
  <c r="U105" i="5" l="1"/>
  <c r="AI105" i="5" s="1"/>
  <c r="AL105" i="5" s="1"/>
  <c r="AD104" i="5"/>
  <c r="L91" i="7"/>
  <c r="V106" i="5"/>
  <c r="AJ106" i="5" s="1"/>
  <c r="AM106" i="5" s="1"/>
  <c r="X93" i="7"/>
  <c r="P92" i="7"/>
  <c r="W92" i="7"/>
  <c r="O92" i="7" s="1"/>
  <c r="K103" i="5"/>
  <c r="M105" i="5"/>
  <c r="N106" i="5"/>
  <c r="AD105" i="5" l="1"/>
  <c r="U106" i="5"/>
  <c r="AI106" i="5" s="1"/>
  <c r="AL106" i="5" s="1"/>
  <c r="L92" i="7"/>
  <c r="V107" i="5"/>
  <c r="AJ107" i="5" s="1"/>
  <c r="AM107" i="5" s="1"/>
  <c r="X94" i="7"/>
  <c r="P93" i="7"/>
  <c r="W93" i="7"/>
  <c r="O93" i="7" s="1"/>
  <c r="K104" i="5"/>
  <c r="M106" i="5"/>
  <c r="N107" i="5"/>
  <c r="U107" i="5" l="1"/>
  <c r="AI107" i="5" s="1"/>
  <c r="AL107" i="5" s="1"/>
  <c r="AD106" i="5"/>
  <c r="L93" i="7"/>
  <c r="V108" i="5"/>
  <c r="AJ108" i="5" s="1"/>
  <c r="AM108" i="5" s="1"/>
  <c r="X95" i="7"/>
  <c r="P94" i="7"/>
  <c r="W94" i="7"/>
  <c r="O94" i="7" s="1"/>
  <c r="K105" i="5"/>
  <c r="M107" i="5"/>
  <c r="N108" i="5"/>
  <c r="AD107" i="5" l="1"/>
  <c r="U108" i="5"/>
  <c r="AI108" i="5" s="1"/>
  <c r="AL108" i="5" s="1"/>
  <c r="L94" i="7"/>
  <c r="V109" i="5"/>
  <c r="U109" i="5" s="1"/>
  <c r="AI109" i="5" s="1"/>
  <c r="X96" i="7"/>
  <c r="P95" i="7"/>
  <c r="W95" i="7"/>
  <c r="O95" i="7" s="1"/>
  <c r="K106" i="5"/>
  <c r="M108" i="5"/>
  <c r="N109" i="5"/>
  <c r="AL109" i="5" l="1"/>
  <c r="AD108" i="5"/>
  <c r="AJ109" i="5"/>
  <c r="AM109" i="5" s="1"/>
  <c r="L95" i="7"/>
  <c r="V110" i="5"/>
  <c r="AJ110" i="5" s="1"/>
  <c r="X97" i="7"/>
  <c r="P96" i="7"/>
  <c r="W96" i="7"/>
  <c r="O96" i="7" s="1"/>
  <c r="AD109" i="5"/>
  <c r="K107" i="5"/>
  <c r="M109" i="5"/>
  <c r="N110" i="5"/>
  <c r="AM110" i="5" l="1"/>
  <c r="U110" i="5"/>
  <c r="AI110" i="5" s="1"/>
  <c r="AL110" i="5" s="1"/>
  <c r="L96" i="7"/>
  <c r="V111" i="5"/>
  <c r="U111" i="5" s="1"/>
  <c r="AI111" i="5" s="1"/>
  <c r="X98" i="7"/>
  <c r="P97" i="7"/>
  <c r="W97" i="7"/>
  <c r="O97" i="7" s="1"/>
  <c r="K108" i="5"/>
  <c r="M110" i="5"/>
  <c r="N111" i="5"/>
  <c r="AL111" i="5" l="1"/>
  <c r="AJ111" i="5"/>
  <c r="AM111" i="5" s="1"/>
  <c r="AD110" i="5"/>
  <c r="L97" i="7"/>
  <c r="V112" i="5"/>
  <c r="AJ112" i="5" s="1"/>
  <c r="X99" i="7"/>
  <c r="P98" i="7"/>
  <c r="W98" i="7"/>
  <c r="O98" i="7" s="1"/>
  <c r="AD111" i="5"/>
  <c r="K109" i="5"/>
  <c r="M111" i="5"/>
  <c r="N112" i="5"/>
  <c r="AM112" i="5" l="1"/>
  <c r="U112" i="5"/>
  <c r="AI112" i="5" s="1"/>
  <c r="AL112" i="5" s="1"/>
  <c r="L98" i="7"/>
  <c r="V113" i="5"/>
  <c r="U113" i="5" s="1"/>
  <c r="AI113" i="5" s="1"/>
  <c r="X100" i="7"/>
  <c r="P99" i="7"/>
  <c r="W99" i="7"/>
  <c r="O99" i="7" s="1"/>
  <c r="K110" i="5"/>
  <c r="M112" i="5"/>
  <c r="N113" i="5"/>
  <c r="AD112" i="5" l="1"/>
  <c r="AL113" i="5"/>
  <c r="AJ113" i="5"/>
  <c r="AM113" i="5" s="1"/>
  <c r="L99" i="7"/>
  <c r="V114" i="5"/>
  <c r="AJ114" i="5" s="1"/>
  <c r="X101" i="7"/>
  <c r="P100" i="7"/>
  <c r="W100" i="7"/>
  <c r="O100" i="7" s="1"/>
  <c r="AD113" i="5"/>
  <c r="K111" i="5"/>
  <c r="M113" i="5"/>
  <c r="N114" i="5"/>
  <c r="U114" i="5" l="1"/>
  <c r="AI114" i="5" s="1"/>
  <c r="AL114" i="5" s="1"/>
  <c r="AM114" i="5"/>
  <c r="L100" i="7"/>
  <c r="P101" i="7"/>
  <c r="W101" i="7"/>
  <c r="O101" i="7" s="1"/>
  <c r="V115" i="5"/>
  <c r="AJ115" i="5" s="1"/>
  <c r="AM115" i="5" s="1"/>
  <c r="X102" i="7"/>
  <c r="K112" i="5"/>
  <c r="M114" i="5"/>
  <c r="N115" i="5"/>
  <c r="AD114" i="5" l="1"/>
  <c r="L101" i="7"/>
  <c r="U115" i="5"/>
  <c r="AI115" i="5" s="1"/>
  <c r="AL115" i="5" s="1"/>
  <c r="P102" i="7"/>
  <c r="W102" i="7"/>
  <c r="O102" i="7" s="1"/>
  <c r="V116" i="5"/>
  <c r="AJ116" i="5" s="1"/>
  <c r="AM116" i="5" s="1"/>
  <c r="X103" i="7"/>
  <c r="K113" i="5"/>
  <c r="M115" i="5"/>
  <c r="N116" i="5"/>
  <c r="AD115" i="5" l="1"/>
  <c r="L102" i="7"/>
  <c r="U116" i="5"/>
  <c r="AI116" i="5" s="1"/>
  <c r="AL116" i="5" s="1"/>
  <c r="V117" i="5"/>
  <c r="V15" i="5" s="1"/>
  <c r="X104" i="7"/>
  <c r="P103" i="7"/>
  <c r="W103" i="7"/>
  <c r="O103" i="7" s="1"/>
  <c r="K114" i="5"/>
  <c r="M116" i="5"/>
  <c r="N117" i="5"/>
  <c r="U117" i="5" l="1"/>
  <c r="V13" i="5"/>
  <c r="AD116" i="5"/>
  <c r="AJ117" i="5"/>
  <c r="AM117" i="5" s="1"/>
  <c r="L103" i="7"/>
  <c r="P104" i="7"/>
  <c r="W104" i="7"/>
  <c r="O104" i="7" s="1"/>
  <c r="M117" i="5"/>
  <c r="P15" i="5"/>
  <c r="K115" i="5"/>
  <c r="N119" i="5"/>
  <c r="N121" i="5" s="1"/>
  <c r="AI117" i="5" l="1"/>
  <c r="AL117" i="5" s="1"/>
  <c r="U15" i="5"/>
  <c r="AD117" i="5"/>
  <c r="V118" i="5"/>
  <c r="L104" i="7"/>
  <c r="L4" i="7" s="1"/>
  <c r="M119" i="5"/>
  <c r="M121" i="5" s="1"/>
  <c r="N118" i="5"/>
  <c r="K116" i="5"/>
  <c r="AJ118" i="5"/>
  <c r="AM118" i="5" s="1"/>
  <c r="V6" i="7"/>
  <c r="N6" i="7" s="1"/>
  <c r="T6" i="7" s="1"/>
  <c r="T19" i="5"/>
  <c r="L21" i="5"/>
  <c r="AC18" i="5"/>
  <c r="AE18" i="5" s="1"/>
  <c r="B20" i="5"/>
  <c r="L18" i="5"/>
  <c r="AC19" i="5" l="1"/>
  <c r="AE19" i="5" s="1"/>
  <c r="AF19" i="5" s="1"/>
  <c r="T5" i="7"/>
  <c r="U5" i="7" s="1"/>
  <c r="AH19" i="5"/>
  <c r="T21" i="5"/>
  <c r="V8" i="7"/>
  <c r="N8" i="7" s="1"/>
  <c r="T8" i="7" s="1"/>
  <c r="T20" i="5"/>
  <c r="V7" i="7"/>
  <c r="N7" i="7" s="1"/>
  <c r="T7" i="7" s="1"/>
  <c r="U6" i="7" s="1"/>
  <c r="L20" i="5"/>
  <c r="L19" i="5"/>
  <c r="AH18" i="5"/>
  <c r="U7" i="7" l="1"/>
  <c r="AK19" i="5"/>
  <c r="AH14" i="5"/>
  <c r="AH20" i="5"/>
  <c r="AK20" i="5" s="1"/>
  <c r="AC20" i="5"/>
  <c r="AE20" i="5" s="1"/>
  <c r="AF20" i="5" s="1"/>
  <c r="V9" i="7"/>
  <c r="N9" i="7" s="1"/>
  <c r="T9" i="7" s="1"/>
  <c r="U8" i="7" s="1"/>
  <c r="L22" i="5"/>
  <c r="T22" i="5"/>
  <c r="AC21" i="5"/>
  <c r="AE21" i="5" s="1"/>
  <c r="AH21" i="5"/>
  <c r="AK21" i="5" s="1"/>
  <c r="AF21" i="5" l="1"/>
  <c r="T23" i="5"/>
  <c r="L23" i="5"/>
  <c r="V10" i="7"/>
  <c r="N10" i="7" s="1"/>
  <c r="T10" i="7" s="1"/>
  <c r="U9" i="7" s="1"/>
  <c r="AC22" i="5"/>
  <c r="AE22" i="5" s="1"/>
  <c r="AF22" i="5" s="1"/>
  <c r="AH22" i="5"/>
  <c r="AK22" i="5" s="1"/>
  <c r="L24" i="5" l="1"/>
  <c r="V11" i="7"/>
  <c r="N11" i="7" s="1"/>
  <c r="T11" i="7" s="1"/>
  <c r="U10" i="7" s="1"/>
  <c r="T24" i="5"/>
  <c r="AH23" i="5"/>
  <c r="AK23" i="5" s="1"/>
  <c r="AC23" i="5"/>
  <c r="AE23" i="5" s="1"/>
  <c r="AF23" i="5" s="1"/>
  <c r="AC24" i="5" l="1"/>
  <c r="AE24" i="5" s="1"/>
  <c r="AF24" i="5" s="1"/>
  <c r="AH24" i="5"/>
  <c r="AK24" i="5" s="1"/>
  <c r="T25" i="5"/>
  <c r="V12" i="7"/>
  <c r="N12" i="7" s="1"/>
  <c r="T12" i="7" s="1"/>
  <c r="U11" i="7" s="1"/>
  <c r="L25" i="5"/>
  <c r="L26" i="5" l="1"/>
  <c r="V13" i="7"/>
  <c r="N13" i="7" s="1"/>
  <c r="T13" i="7" s="1"/>
  <c r="U12" i="7" s="1"/>
  <c r="T26" i="5"/>
  <c r="AH25" i="5"/>
  <c r="AK25" i="5" s="1"/>
  <c r="AC25" i="5"/>
  <c r="AE25" i="5" s="1"/>
  <c r="AF25" i="5" s="1"/>
  <c r="T27" i="5" l="1"/>
  <c r="L27" i="5"/>
  <c r="V14" i="7"/>
  <c r="N14" i="7" s="1"/>
  <c r="T14" i="7" s="1"/>
  <c r="U13" i="7" s="1"/>
  <c r="AC26" i="5"/>
  <c r="AE26" i="5" s="1"/>
  <c r="AF26" i="5" s="1"/>
  <c r="AH26" i="5"/>
  <c r="AK26" i="5" s="1"/>
  <c r="AH27" i="5" l="1"/>
  <c r="AK27" i="5" s="1"/>
  <c r="AC27" i="5"/>
  <c r="AE27" i="5" s="1"/>
  <c r="AF27" i="5" s="1"/>
  <c r="V15" i="7"/>
  <c r="N15" i="7" s="1"/>
  <c r="T15" i="7" s="1"/>
  <c r="U14" i="7" s="1"/>
  <c r="T28" i="5"/>
  <c r="L28" i="5"/>
  <c r="AC28" i="5" l="1"/>
  <c r="AE28" i="5" s="1"/>
  <c r="AF28" i="5" s="1"/>
  <c r="AH28" i="5"/>
  <c r="AK28" i="5" s="1"/>
  <c r="T29" i="5"/>
  <c r="V16" i="7"/>
  <c r="N16" i="7" s="1"/>
  <c r="T16" i="7" s="1"/>
  <c r="U15" i="7" s="1"/>
  <c r="L29" i="5"/>
  <c r="L30" i="5" l="1"/>
  <c r="V17" i="7"/>
  <c r="N17" i="7" s="1"/>
  <c r="T17" i="7" s="1"/>
  <c r="U16" i="7" s="1"/>
  <c r="T30" i="5"/>
  <c r="AH29" i="5"/>
  <c r="AK29" i="5" s="1"/>
  <c r="AC29" i="5"/>
  <c r="AE29" i="5" s="1"/>
  <c r="AF29" i="5" s="1"/>
  <c r="AC30" i="5" l="1"/>
  <c r="AE30" i="5" s="1"/>
  <c r="AF30" i="5" s="1"/>
  <c r="AH30" i="5"/>
  <c r="AK30" i="5" s="1"/>
  <c r="V18" i="7"/>
  <c r="N18" i="7" s="1"/>
  <c r="T18" i="7" s="1"/>
  <c r="U17" i="7" s="1"/>
  <c r="T31" i="5"/>
  <c r="L31" i="5"/>
  <c r="AC31" i="5" l="1"/>
  <c r="AE31" i="5" s="1"/>
  <c r="AF31" i="5" s="1"/>
  <c r="AH31" i="5"/>
  <c r="AK31" i="5" s="1"/>
  <c r="T32" i="5"/>
  <c r="L32" i="5"/>
  <c r="V19" i="7"/>
  <c r="N19" i="7" s="1"/>
  <c r="T19" i="7" s="1"/>
  <c r="U18" i="7" s="1"/>
  <c r="AC32" i="5" l="1"/>
  <c r="AE32" i="5" s="1"/>
  <c r="AF32" i="5" s="1"/>
  <c r="AH32" i="5"/>
  <c r="AK32" i="5" s="1"/>
  <c r="T33" i="5"/>
  <c r="V20" i="7"/>
  <c r="N20" i="7" s="1"/>
  <c r="T20" i="7" s="1"/>
  <c r="U19" i="7" s="1"/>
  <c r="L33" i="5"/>
  <c r="L34" i="5" l="1"/>
  <c r="V21" i="7"/>
  <c r="N21" i="7" s="1"/>
  <c r="T21" i="7" s="1"/>
  <c r="U20" i="7" s="1"/>
  <c r="T34" i="5"/>
  <c r="AH33" i="5"/>
  <c r="AK33" i="5" s="1"/>
  <c r="AC33" i="5"/>
  <c r="AE33" i="5" s="1"/>
  <c r="AF33" i="5" s="1"/>
  <c r="AC34" i="5" l="1"/>
  <c r="AE34" i="5" s="1"/>
  <c r="AF34" i="5" s="1"/>
  <c r="AH34" i="5"/>
  <c r="AK34" i="5" s="1"/>
  <c r="L35" i="5"/>
  <c r="V22" i="7"/>
  <c r="N22" i="7" s="1"/>
  <c r="T22" i="7" s="1"/>
  <c r="U21" i="7" s="1"/>
  <c r="T35" i="5"/>
  <c r="AC35" i="5" l="1"/>
  <c r="AE35" i="5" s="1"/>
  <c r="AF35" i="5" s="1"/>
  <c r="AH35" i="5"/>
  <c r="AK35" i="5" s="1"/>
  <c r="V23" i="7"/>
  <c r="N23" i="7" s="1"/>
  <c r="T23" i="7" s="1"/>
  <c r="U22" i="7" s="1"/>
  <c r="T36" i="5"/>
  <c r="L36" i="5"/>
  <c r="AC36" i="5" l="1"/>
  <c r="AE36" i="5" s="1"/>
  <c r="AF36" i="5" s="1"/>
  <c r="AH36" i="5"/>
  <c r="AK36" i="5" s="1"/>
  <c r="V24" i="7"/>
  <c r="N24" i="7" s="1"/>
  <c r="T24" i="7" s="1"/>
  <c r="U23" i="7" s="1"/>
  <c r="L37" i="5"/>
  <c r="T37" i="5"/>
  <c r="AC37" i="5" l="1"/>
  <c r="AE37" i="5" s="1"/>
  <c r="AF37" i="5" s="1"/>
  <c r="AH37" i="5"/>
  <c r="AK37" i="5" s="1"/>
  <c r="L38" i="5"/>
  <c r="T38" i="5"/>
  <c r="V25" i="7"/>
  <c r="N25" i="7" s="1"/>
  <c r="T25" i="7" s="1"/>
  <c r="U24" i="7" s="1"/>
  <c r="AH38" i="5" l="1"/>
  <c r="AK38" i="5" s="1"/>
  <c r="AC38" i="5"/>
  <c r="AE38" i="5" s="1"/>
  <c r="AF38" i="5" s="1"/>
  <c r="V26" i="7"/>
  <c r="N26" i="7" s="1"/>
  <c r="T26" i="7" s="1"/>
  <c r="U25" i="7" s="1"/>
  <c r="T39" i="5"/>
  <c r="L39" i="5"/>
  <c r="AH39" i="5" l="1"/>
  <c r="AK39" i="5" s="1"/>
  <c r="AC39" i="5"/>
  <c r="AE39" i="5" s="1"/>
  <c r="AF39" i="5" s="1"/>
  <c r="T40" i="5"/>
  <c r="L40" i="5"/>
  <c r="V27" i="7"/>
  <c r="N27" i="7" s="1"/>
  <c r="T27" i="7" s="1"/>
  <c r="U26" i="7" s="1"/>
  <c r="T41" i="5" l="1"/>
  <c r="V28" i="7"/>
  <c r="N28" i="7" s="1"/>
  <c r="T28" i="7" s="1"/>
  <c r="U27" i="7" s="1"/>
  <c r="L41" i="5"/>
  <c r="AC40" i="5"/>
  <c r="AE40" i="5" s="1"/>
  <c r="AF40" i="5" s="1"/>
  <c r="AH40" i="5"/>
  <c r="AK40" i="5" s="1"/>
  <c r="V29" i="7" l="1"/>
  <c r="N29" i="7" s="1"/>
  <c r="T29" i="7" s="1"/>
  <c r="U28" i="7" s="1"/>
  <c r="L42" i="5"/>
  <c r="T42" i="5"/>
  <c r="AH41" i="5"/>
  <c r="AK41" i="5" s="1"/>
  <c r="AC41" i="5"/>
  <c r="AE41" i="5" s="1"/>
  <c r="AF41" i="5" s="1"/>
  <c r="T43" i="5" l="1"/>
  <c r="L43" i="5"/>
  <c r="V30" i="7"/>
  <c r="N30" i="7" s="1"/>
  <c r="T30" i="7" s="1"/>
  <c r="U29" i="7" s="1"/>
  <c r="AC42" i="5"/>
  <c r="AE42" i="5" s="1"/>
  <c r="AF42" i="5" s="1"/>
  <c r="AH42" i="5"/>
  <c r="AK42" i="5" s="1"/>
  <c r="AC43" i="5" l="1"/>
  <c r="AE43" i="5" s="1"/>
  <c r="AF43" i="5" s="1"/>
  <c r="AH43" i="5"/>
  <c r="AK43" i="5" s="1"/>
  <c r="V31" i="7"/>
  <c r="N31" i="7" s="1"/>
  <c r="T31" i="7" s="1"/>
  <c r="U30" i="7" s="1"/>
  <c r="T44" i="5"/>
  <c r="L44" i="5"/>
  <c r="AC44" i="5" l="1"/>
  <c r="AE44" i="5" s="1"/>
  <c r="AF44" i="5" s="1"/>
  <c r="AH44" i="5"/>
  <c r="AK44" i="5" s="1"/>
  <c r="V32" i="7"/>
  <c r="N32" i="7" s="1"/>
  <c r="T32" i="7" s="1"/>
  <c r="U31" i="7" s="1"/>
  <c r="L45" i="5"/>
  <c r="T45" i="5"/>
  <c r="AH45" i="5" l="1"/>
  <c r="AK45" i="5" s="1"/>
  <c r="AC45" i="5"/>
  <c r="AE45" i="5" s="1"/>
  <c r="AF45" i="5" s="1"/>
  <c r="L46" i="5"/>
  <c r="V33" i="7"/>
  <c r="N33" i="7" s="1"/>
  <c r="T33" i="7" s="1"/>
  <c r="U32" i="7" s="1"/>
  <c r="T46" i="5"/>
  <c r="AH46" i="5" l="1"/>
  <c r="AK46" i="5" s="1"/>
  <c r="AC46" i="5"/>
  <c r="AE46" i="5" s="1"/>
  <c r="AF46" i="5" s="1"/>
  <c r="V34" i="7"/>
  <c r="N34" i="7" s="1"/>
  <c r="T34" i="7" s="1"/>
  <c r="U33" i="7" s="1"/>
  <c r="B19" i="5"/>
  <c r="C20" i="5" s="1"/>
  <c r="L47" i="5"/>
  <c r="T47" i="5"/>
  <c r="AC47" i="5" l="1"/>
  <c r="AE47" i="5" s="1"/>
  <c r="AF47" i="5" s="1"/>
  <c r="AH47" i="5"/>
  <c r="AK47" i="5" s="1"/>
  <c r="V35" i="7"/>
  <c r="N35" i="7" s="1"/>
  <c r="T35" i="7" s="1"/>
  <c r="U34" i="7" s="1"/>
  <c r="T48" i="5"/>
  <c r="L48" i="5"/>
  <c r="T49" i="5" l="1"/>
  <c r="L49" i="5"/>
  <c r="V36" i="7"/>
  <c r="N36" i="7" s="1"/>
  <c r="T36" i="7" s="1"/>
  <c r="U35" i="7" s="1"/>
  <c r="AC48" i="5"/>
  <c r="AE48" i="5" s="1"/>
  <c r="AF48" i="5" s="1"/>
  <c r="AH48" i="5"/>
  <c r="AK48" i="5" s="1"/>
  <c r="T50" i="5" l="1"/>
  <c r="L50" i="5"/>
  <c r="V37" i="7"/>
  <c r="N37" i="7" s="1"/>
  <c r="T37" i="7" s="1"/>
  <c r="U36" i="7" s="1"/>
  <c r="AH49" i="5"/>
  <c r="AK49" i="5" s="1"/>
  <c r="AC49" i="5"/>
  <c r="AE49" i="5" s="1"/>
  <c r="AF49" i="5" s="1"/>
  <c r="T51" i="5" l="1"/>
  <c r="L51" i="5"/>
  <c r="V38" i="7"/>
  <c r="N38" i="7" s="1"/>
  <c r="T38" i="7" s="1"/>
  <c r="U37" i="7" s="1"/>
  <c r="AC50" i="5"/>
  <c r="AE50" i="5" s="1"/>
  <c r="AF50" i="5" s="1"/>
  <c r="AH50" i="5"/>
  <c r="AK50" i="5" s="1"/>
  <c r="AC51" i="5" l="1"/>
  <c r="AE51" i="5" s="1"/>
  <c r="AF51" i="5" s="1"/>
  <c r="AH51" i="5"/>
  <c r="AK51" i="5" s="1"/>
  <c r="T52" i="5"/>
  <c r="V39" i="7"/>
  <c r="N39" i="7" s="1"/>
  <c r="T39" i="7" s="1"/>
  <c r="U38" i="7" s="1"/>
  <c r="L52" i="5"/>
  <c r="T53" i="5" l="1"/>
  <c r="V40" i="7"/>
  <c r="N40" i="7" s="1"/>
  <c r="T40" i="7" s="1"/>
  <c r="U39" i="7" s="1"/>
  <c r="L53" i="5"/>
  <c r="AC52" i="5"/>
  <c r="AE52" i="5" s="1"/>
  <c r="AF52" i="5" s="1"/>
  <c r="AH52" i="5"/>
  <c r="AK52" i="5" s="1"/>
  <c r="V41" i="7" l="1"/>
  <c r="N41" i="7" s="1"/>
  <c r="T41" i="7" s="1"/>
  <c r="U40" i="7" s="1"/>
  <c r="T54" i="5"/>
  <c r="L54" i="5"/>
  <c r="AH53" i="5"/>
  <c r="AK53" i="5" s="1"/>
  <c r="AC53" i="5"/>
  <c r="AE53" i="5" s="1"/>
  <c r="AF53" i="5" s="1"/>
  <c r="T55" i="5" l="1"/>
  <c r="V42" i="7"/>
  <c r="N42" i="7" s="1"/>
  <c r="T42" i="7" s="1"/>
  <c r="U41" i="7" s="1"/>
  <c r="L55" i="5"/>
  <c r="AC54" i="5"/>
  <c r="AE54" i="5" s="1"/>
  <c r="AF54" i="5" s="1"/>
  <c r="AH54" i="5"/>
  <c r="AK54" i="5" s="1"/>
  <c r="AH55" i="5" l="1"/>
  <c r="AK55" i="5" s="1"/>
  <c r="AC55" i="5"/>
  <c r="AE55" i="5" s="1"/>
  <c r="AF55" i="5" s="1"/>
  <c r="T56" i="5"/>
  <c r="V43" i="7"/>
  <c r="N43" i="7" s="1"/>
  <c r="T43" i="7" s="1"/>
  <c r="U42" i="7" s="1"/>
  <c r="L56" i="5"/>
  <c r="L57" i="5" l="1"/>
  <c r="V44" i="7"/>
  <c r="N44" i="7" s="1"/>
  <c r="T44" i="7" s="1"/>
  <c r="U43" i="7" s="1"/>
  <c r="T57" i="5"/>
  <c r="AH56" i="5"/>
  <c r="AK56" i="5" s="1"/>
  <c r="AC56" i="5"/>
  <c r="AE56" i="5" s="1"/>
  <c r="AF56" i="5" s="1"/>
  <c r="AH57" i="5" l="1"/>
  <c r="AK57" i="5" s="1"/>
  <c r="AC57" i="5"/>
  <c r="AE57" i="5" s="1"/>
  <c r="AF57" i="5" s="1"/>
  <c r="L58" i="5"/>
  <c r="T58" i="5"/>
  <c r="V45" i="7"/>
  <c r="N45" i="7" s="1"/>
  <c r="T45" i="7" s="1"/>
  <c r="U44" i="7" s="1"/>
  <c r="V46" i="7" l="1"/>
  <c r="N46" i="7" s="1"/>
  <c r="T46" i="7" s="1"/>
  <c r="U45" i="7" s="1"/>
  <c r="L59" i="5"/>
  <c r="T59" i="5"/>
  <c r="AC58" i="5"/>
  <c r="AE58" i="5" s="1"/>
  <c r="AF58" i="5" s="1"/>
  <c r="AH58" i="5"/>
  <c r="AK58" i="5" s="1"/>
  <c r="AC59" i="5" l="1"/>
  <c r="AE59" i="5" s="1"/>
  <c r="AF59" i="5" s="1"/>
  <c r="AH59" i="5"/>
  <c r="AK59" i="5" s="1"/>
  <c r="T60" i="5"/>
  <c r="V47" i="7"/>
  <c r="N47" i="7" s="1"/>
  <c r="T47" i="7" s="1"/>
  <c r="U46" i="7" s="1"/>
  <c r="L60" i="5"/>
  <c r="AC60" i="5" l="1"/>
  <c r="AE60" i="5" s="1"/>
  <c r="AF60" i="5" s="1"/>
  <c r="AH60" i="5"/>
  <c r="AK60" i="5" s="1"/>
  <c r="L61" i="5"/>
  <c r="T61" i="5"/>
  <c r="V48" i="7"/>
  <c r="N48" i="7" s="1"/>
  <c r="T48" i="7" s="1"/>
  <c r="U47" i="7" s="1"/>
  <c r="AH61" i="5" l="1"/>
  <c r="AK61" i="5" s="1"/>
  <c r="AC61" i="5"/>
  <c r="AE61" i="5" s="1"/>
  <c r="AF61" i="5" s="1"/>
  <c r="L62" i="5"/>
  <c r="V49" i="7"/>
  <c r="N49" i="7" s="1"/>
  <c r="T49" i="7" s="1"/>
  <c r="U48" i="7" s="1"/>
  <c r="T62" i="5"/>
  <c r="AH62" i="5" l="1"/>
  <c r="AK62" i="5" s="1"/>
  <c r="AC62" i="5"/>
  <c r="AE62" i="5" s="1"/>
  <c r="AF62" i="5" s="1"/>
  <c r="V50" i="7"/>
  <c r="N50" i="7" s="1"/>
  <c r="T50" i="7" s="1"/>
  <c r="U49" i="7" s="1"/>
  <c r="T63" i="5"/>
  <c r="L63" i="5"/>
  <c r="AC63" i="5" l="1"/>
  <c r="AE63" i="5" s="1"/>
  <c r="AF63" i="5" s="1"/>
  <c r="AH63" i="5"/>
  <c r="AK63" i="5" s="1"/>
  <c r="T64" i="5"/>
  <c r="V51" i="7"/>
  <c r="N51" i="7" s="1"/>
  <c r="T51" i="7" s="1"/>
  <c r="U50" i="7" s="1"/>
  <c r="L64" i="5"/>
  <c r="T65" i="5" l="1"/>
  <c r="V52" i="7"/>
  <c r="N52" i="7" s="1"/>
  <c r="T52" i="7" s="1"/>
  <c r="U51" i="7" s="1"/>
  <c r="L65" i="5"/>
  <c r="AH64" i="5"/>
  <c r="AK64" i="5" s="1"/>
  <c r="AC64" i="5"/>
  <c r="AE64" i="5" s="1"/>
  <c r="AF64" i="5" s="1"/>
  <c r="T66" i="5" l="1"/>
  <c r="L66" i="5"/>
  <c r="V53" i="7"/>
  <c r="N53" i="7" s="1"/>
  <c r="T53" i="7" s="1"/>
  <c r="U52" i="7" s="1"/>
  <c r="AH65" i="5"/>
  <c r="AK65" i="5" s="1"/>
  <c r="AC65" i="5"/>
  <c r="AE65" i="5" s="1"/>
  <c r="AF65" i="5" s="1"/>
  <c r="L22" i="9" l="1"/>
  <c r="L13" i="9"/>
  <c r="L12" i="9"/>
  <c r="L24" i="9"/>
  <c r="L17" i="9"/>
  <c r="L26" i="9"/>
  <c r="V54" i="7"/>
  <c r="N54" i="7" s="1"/>
  <c r="T54" i="7" s="1"/>
  <c r="U53" i="7" s="1"/>
  <c r="T67" i="5"/>
  <c r="B18" i="5"/>
  <c r="L67" i="5"/>
  <c r="L15" i="9"/>
  <c r="AH66" i="5"/>
  <c r="AK66" i="5" s="1"/>
  <c r="AC66" i="5"/>
  <c r="AE66" i="5" s="1"/>
  <c r="AF66" i="5" s="1"/>
  <c r="Z17" i="9" l="1"/>
  <c r="Y17" i="9"/>
  <c r="Z13" i="9"/>
  <c r="Y13" i="9"/>
  <c r="AH67" i="5"/>
  <c r="AK67" i="5" s="1"/>
  <c r="AC67" i="5"/>
  <c r="AE67" i="5" s="1"/>
  <c r="AF67" i="5" s="1"/>
  <c r="C19" i="5"/>
  <c r="B21" i="5"/>
  <c r="B22" i="5"/>
  <c r="L68" i="5"/>
  <c r="V55" i="7"/>
  <c r="N55" i="7" s="1"/>
  <c r="T55" i="7" s="1"/>
  <c r="U54" i="7" s="1"/>
  <c r="T68" i="5"/>
  <c r="Y18" i="9" l="1"/>
  <c r="Y14" i="9"/>
  <c r="L5" i="9"/>
  <c r="L4" i="9"/>
  <c r="N4" i="9" s="1"/>
  <c r="Q4" i="9" s="1"/>
  <c r="Z14" i="9"/>
  <c r="Z18" i="9"/>
  <c r="T69" i="5"/>
  <c r="V56" i="7"/>
  <c r="N56" i="7" s="1"/>
  <c r="T56" i="7" s="1"/>
  <c r="U55" i="7" s="1"/>
  <c r="L69" i="5"/>
  <c r="AC68" i="5"/>
  <c r="AE68" i="5" s="1"/>
  <c r="AF68" i="5" s="1"/>
  <c r="AH68" i="5"/>
  <c r="AK68" i="5" s="1"/>
  <c r="N5" i="9" l="1"/>
  <c r="Q5" i="9" s="1"/>
  <c r="L48" i="9"/>
  <c r="L43" i="9"/>
  <c r="V57" i="7"/>
  <c r="N57" i="7" s="1"/>
  <c r="T57" i="7" s="1"/>
  <c r="U56" i="7" s="1"/>
  <c r="L47" i="9"/>
  <c r="L45" i="9"/>
  <c r="L50" i="9"/>
  <c r="T70" i="5"/>
  <c r="L70" i="5"/>
  <c r="AC69" i="5"/>
  <c r="AE69" i="5" s="1"/>
  <c r="AF69" i="5" s="1"/>
  <c r="AH69" i="5"/>
  <c r="AK69" i="5" s="1"/>
  <c r="V58" i="7" l="1"/>
  <c r="N58" i="7" s="1"/>
  <c r="T58" i="7" s="1"/>
  <c r="U57" i="7" s="1"/>
  <c r="T71" i="5"/>
  <c r="L71" i="5"/>
  <c r="AC70" i="5"/>
  <c r="AE70" i="5" s="1"/>
  <c r="AF70" i="5" s="1"/>
  <c r="AH70" i="5"/>
  <c r="AK70" i="5" s="1"/>
  <c r="T72" i="5" l="1"/>
  <c r="V59" i="7"/>
  <c r="N59" i="7" s="1"/>
  <c r="T59" i="7" s="1"/>
  <c r="U58" i="7" s="1"/>
  <c r="L72" i="5"/>
  <c r="AC71" i="5"/>
  <c r="AE71" i="5" s="1"/>
  <c r="AF71" i="5" s="1"/>
  <c r="AH71" i="5"/>
  <c r="AK71" i="5" s="1"/>
  <c r="T73" i="5" l="1"/>
  <c r="V60" i="7"/>
  <c r="N60" i="7" s="1"/>
  <c r="T60" i="7" s="1"/>
  <c r="U59" i="7" s="1"/>
  <c r="L73" i="5"/>
  <c r="AH72" i="5"/>
  <c r="AK72" i="5" s="1"/>
  <c r="AC72" i="5"/>
  <c r="AE72" i="5" s="1"/>
  <c r="AF72" i="5" s="1"/>
  <c r="V61" i="7" l="1"/>
  <c r="N61" i="7" s="1"/>
  <c r="T61" i="7" s="1"/>
  <c r="U60" i="7" s="1"/>
  <c r="T74" i="5"/>
  <c r="L74" i="5"/>
  <c r="AH73" i="5"/>
  <c r="AK73" i="5" s="1"/>
  <c r="AC73" i="5"/>
  <c r="AE73" i="5" s="1"/>
  <c r="AF73" i="5" s="1"/>
  <c r="L75" i="5" l="1"/>
  <c r="V62" i="7"/>
  <c r="N62" i="7" s="1"/>
  <c r="T62" i="7" s="1"/>
  <c r="U61" i="7" s="1"/>
  <c r="T75" i="5"/>
  <c r="AC74" i="5"/>
  <c r="AE74" i="5" s="1"/>
  <c r="AF74" i="5" s="1"/>
  <c r="AH74" i="5"/>
  <c r="AK74" i="5" s="1"/>
  <c r="AC75" i="5" l="1"/>
  <c r="AE75" i="5" s="1"/>
  <c r="AF75" i="5" s="1"/>
  <c r="AH75" i="5"/>
  <c r="AK75" i="5" s="1"/>
  <c r="V63" i="7"/>
  <c r="N63" i="7" s="1"/>
  <c r="T63" i="7" s="1"/>
  <c r="U62" i="7" s="1"/>
  <c r="T76" i="5"/>
  <c r="L76" i="5"/>
  <c r="T77" i="5" l="1"/>
  <c r="L77" i="5"/>
  <c r="V64" i="7"/>
  <c r="N64" i="7" s="1"/>
  <c r="T64" i="7" s="1"/>
  <c r="U63" i="7" s="1"/>
  <c r="AH76" i="5"/>
  <c r="AK76" i="5" s="1"/>
  <c r="AC76" i="5"/>
  <c r="AE76" i="5" s="1"/>
  <c r="AF76" i="5" s="1"/>
  <c r="L78" i="5" l="1"/>
  <c r="V65" i="7"/>
  <c r="N65" i="7" s="1"/>
  <c r="T65" i="7" s="1"/>
  <c r="U64" i="7" s="1"/>
  <c r="T78" i="5"/>
  <c r="AC77" i="5"/>
  <c r="AE77" i="5" s="1"/>
  <c r="AF77" i="5" s="1"/>
  <c r="AH77" i="5"/>
  <c r="AK77" i="5" s="1"/>
  <c r="AH78" i="5" l="1"/>
  <c r="AK78" i="5" s="1"/>
  <c r="AC78" i="5"/>
  <c r="AE78" i="5" s="1"/>
  <c r="AF78" i="5" s="1"/>
  <c r="V66" i="7"/>
  <c r="N66" i="7" s="1"/>
  <c r="T66" i="7" s="1"/>
  <c r="U65" i="7" s="1"/>
  <c r="T79" i="5"/>
  <c r="L79" i="5"/>
  <c r="AH79" i="5" l="1"/>
  <c r="AK79" i="5" s="1"/>
  <c r="AC79" i="5"/>
  <c r="AE79" i="5" s="1"/>
  <c r="AF79" i="5" s="1"/>
  <c r="T80" i="5"/>
  <c r="L80" i="5"/>
  <c r="V67" i="7"/>
  <c r="N67" i="7" s="1"/>
  <c r="T67" i="7" s="1"/>
  <c r="U66" i="7" s="1"/>
  <c r="T81" i="5" l="1"/>
  <c r="V68" i="7"/>
  <c r="N68" i="7" s="1"/>
  <c r="T68" i="7" s="1"/>
  <c r="U67" i="7" s="1"/>
  <c r="L81" i="5"/>
  <c r="AC80" i="5"/>
  <c r="AE80" i="5" s="1"/>
  <c r="AF80" i="5" s="1"/>
  <c r="AH80" i="5"/>
  <c r="AK80" i="5" s="1"/>
  <c r="L82" i="5" l="1"/>
  <c r="V69" i="7"/>
  <c r="N69" i="7" s="1"/>
  <c r="T69" i="7" s="1"/>
  <c r="U68" i="7" s="1"/>
  <c r="T82" i="5"/>
  <c r="AH81" i="5"/>
  <c r="AK81" i="5" s="1"/>
  <c r="AC81" i="5"/>
  <c r="AE81" i="5" s="1"/>
  <c r="AF81" i="5" s="1"/>
  <c r="AH82" i="5" l="1"/>
  <c r="AK82" i="5" s="1"/>
  <c r="AC82" i="5"/>
  <c r="AE82" i="5" s="1"/>
  <c r="AF82" i="5" s="1"/>
  <c r="L83" i="5"/>
  <c r="T83" i="5"/>
  <c r="V70" i="7"/>
  <c r="N70" i="7" s="1"/>
  <c r="T70" i="7" s="1"/>
  <c r="U69" i="7" s="1"/>
  <c r="T84" i="5" l="1"/>
  <c r="V71" i="7"/>
  <c r="N71" i="7" s="1"/>
  <c r="T71" i="7" s="1"/>
  <c r="U70" i="7" s="1"/>
  <c r="L84" i="5"/>
  <c r="AC83" i="5"/>
  <c r="AE83" i="5" s="1"/>
  <c r="AF83" i="5" s="1"/>
  <c r="AH83" i="5"/>
  <c r="AK83" i="5" s="1"/>
  <c r="V72" i="7" l="1"/>
  <c r="N72" i="7" s="1"/>
  <c r="T72" i="7" s="1"/>
  <c r="U71" i="7" s="1"/>
  <c r="T85" i="5"/>
  <c r="L85" i="5"/>
  <c r="AH84" i="5"/>
  <c r="AK84" i="5" s="1"/>
  <c r="AC84" i="5"/>
  <c r="AE84" i="5" s="1"/>
  <c r="AF84" i="5" s="1"/>
  <c r="L86" i="5" l="1"/>
  <c r="V73" i="7"/>
  <c r="N73" i="7" s="1"/>
  <c r="T73" i="7" s="1"/>
  <c r="U72" i="7" s="1"/>
  <c r="T86" i="5"/>
  <c r="AH85" i="5"/>
  <c r="AK85" i="5" s="1"/>
  <c r="AC85" i="5"/>
  <c r="AE85" i="5" s="1"/>
  <c r="AF85" i="5" s="1"/>
  <c r="AC86" i="5" l="1"/>
  <c r="AE86" i="5" s="1"/>
  <c r="AF86" i="5" s="1"/>
  <c r="AH86" i="5"/>
  <c r="AK86" i="5" s="1"/>
  <c r="B17" i="5"/>
  <c r="C22" i="5" s="1"/>
  <c r="T87" i="5"/>
  <c r="L87" i="5"/>
  <c r="V74" i="7"/>
  <c r="N74" i="7" s="1"/>
  <c r="T74" i="7" s="1"/>
  <c r="U73" i="7" s="1"/>
  <c r="AC87" i="5" l="1"/>
  <c r="AE87" i="5" s="1"/>
  <c r="AF87" i="5" s="1"/>
  <c r="AH87" i="5"/>
  <c r="AK87" i="5" s="1"/>
  <c r="T88" i="5"/>
  <c r="L88" i="5"/>
  <c r="V75" i="7"/>
  <c r="N75" i="7" s="1"/>
  <c r="T75" i="7" s="1"/>
  <c r="U74" i="7" s="1"/>
  <c r="C18" i="5"/>
  <c r="AC88" i="5" l="1"/>
  <c r="AE88" i="5" s="1"/>
  <c r="AF88" i="5" s="1"/>
  <c r="AH88" i="5"/>
  <c r="AK88" i="5" s="1"/>
  <c r="L89" i="5"/>
  <c r="T89" i="5"/>
  <c r="V76" i="7"/>
  <c r="N76" i="7" s="1"/>
  <c r="T76" i="7" s="1"/>
  <c r="U75" i="7" s="1"/>
  <c r="AC89" i="5" l="1"/>
  <c r="AE89" i="5" s="1"/>
  <c r="AF89" i="5" s="1"/>
  <c r="AH89" i="5"/>
  <c r="AK89" i="5" s="1"/>
  <c r="L90" i="5"/>
  <c r="V77" i="7"/>
  <c r="N77" i="7" s="1"/>
  <c r="T77" i="7" s="1"/>
  <c r="U76" i="7" s="1"/>
  <c r="T90" i="5"/>
  <c r="AC90" i="5" l="1"/>
  <c r="AE90" i="5" s="1"/>
  <c r="AF90" i="5" s="1"/>
  <c r="AH90" i="5"/>
  <c r="AK90" i="5" s="1"/>
  <c r="T91" i="5"/>
  <c r="L91" i="5"/>
  <c r="V78" i="7"/>
  <c r="N78" i="7" s="1"/>
  <c r="T78" i="7" s="1"/>
  <c r="U77" i="7" s="1"/>
  <c r="T92" i="5" l="1"/>
  <c r="V79" i="7"/>
  <c r="N79" i="7" s="1"/>
  <c r="T79" i="7" s="1"/>
  <c r="U78" i="7" s="1"/>
  <c r="L92" i="5"/>
  <c r="AC91" i="5"/>
  <c r="AE91" i="5" s="1"/>
  <c r="AF91" i="5" s="1"/>
  <c r="AH91" i="5"/>
  <c r="AK91" i="5" s="1"/>
  <c r="AH92" i="5" l="1"/>
  <c r="AK92" i="5" s="1"/>
  <c r="AC92" i="5"/>
  <c r="AE92" i="5" s="1"/>
  <c r="AF92" i="5" s="1"/>
  <c r="L93" i="5"/>
  <c r="V80" i="7"/>
  <c r="N80" i="7" s="1"/>
  <c r="T80" i="7" s="1"/>
  <c r="U79" i="7" s="1"/>
  <c r="T93" i="5"/>
  <c r="V81" i="7" l="1"/>
  <c r="N81" i="7" s="1"/>
  <c r="T81" i="7" s="1"/>
  <c r="U80" i="7" s="1"/>
  <c r="L94" i="5"/>
  <c r="T94" i="5"/>
  <c r="AC93" i="5"/>
  <c r="AE93" i="5" s="1"/>
  <c r="AF93" i="5" s="1"/>
  <c r="AH93" i="5"/>
  <c r="AK93" i="5" s="1"/>
  <c r="AC94" i="5" l="1"/>
  <c r="AE94" i="5" s="1"/>
  <c r="AF94" i="5" s="1"/>
  <c r="AH94" i="5"/>
  <c r="AK94" i="5" s="1"/>
  <c r="L95" i="5"/>
  <c r="V82" i="7"/>
  <c r="N82" i="7" s="1"/>
  <c r="T82" i="7" s="1"/>
  <c r="U81" i="7" s="1"/>
  <c r="T95" i="5"/>
  <c r="AC95" i="5" l="1"/>
  <c r="AE95" i="5" s="1"/>
  <c r="AF95" i="5" s="1"/>
  <c r="AH95" i="5"/>
  <c r="AK95" i="5" s="1"/>
  <c r="T96" i="5"/>
  <c r="V83" i="7"/>
  <c r="N83" i="7" s="1"/>
  <c r="T83" i="7" s="1"/>
  <c r="U82" i="7" s="1"/>
  <c r="L96" i="5"/>
  <c r="AH96" i="5" l="1"/>
  <c r="AK96" i="5" s="1"/>
  <c r="AC96" i="5"/>
  <c r="AE96" i="5" s="1"/>
  <c r="AF96" i="5" s="1"/>
  <c r="L97" i="5"/>
  <c r="V84" i="7"/>
  <c r="N84" i="7" s="1"/>
  <c r="T84" i="7" s="1"/>
  <c r="U83" i="7" s="1"/>
  <c r="T97" i="5"/>
  <c r="AH97" i="5" l="1"/>
  <c r="AK97" i="5" s="1"/>
  <c r="AC97" i="5"/>
  <c r="AE97" i="5" s="1"/>
  <c r="AF97" i="5" s="1"/>
  <c r="T98" i="5"/>
  <c r="V85" i="7"/>
  <c r="N85" i="7" s="1"/>
  <c r="T85" i="7" s="1"/>
  <c r="U84" i="7" s="1"/>
  <c r="L98" i="5"/>
  <c r="V86" i="7" l="1"/>
  <c r="N86" i="7" s="1"/>
  <c r="T86" i="7" s="1"/>
  <c r="U85" i="7" s="1"/>
  <c r="T99" i="5"/>
  <c r="L99" i="5"/>
  <c r="AC98" i="5"/>
  <c r="AE98" i="5" s="1"/>
  <c r="AF98" i="5" s="1"/>
  <c r="AH98" i="5"/>
  <c r="AK98" i="5" s="1"/>
  <c r="T100" i="5" l="1"/>
  <c r="L100" i="5"/>
  <c r="V87" i="7"/>
  <c r="N87" i="7" s="1"/>
  <c r="T87" i="7" s="1"/>
  <c r="U86" i="7" s="1"/>
  <c r="AC99" i="5"/>
  <c r="AE99" i="5" s="1"/>
  <c r="AF99" i="5" s="1"/>
  <c r="AH99" i="5"/>
  <c r="AK99" i="5" s="1"/>
  <c r="L101" i="5" l="1"/>
  <c r="T101" i="5"/>
  <c r="V88" i="7"/>
  <c r="N88" i="7" s="1"/>
  <c r="T88" i="7" s="1"/>
  <c r="U87" i="7" s="1"/>
  <c r="AH100" i="5"/>
  <c r="AK100" i="5" s="1"/>
  <c r="AC100" i="5"/>
  <c r="AE100" i="5" s="1"/>
  <c r="AF100" i="5" s="1"/>
  <c r="AH101" i="5" l="1"/>
  <c r="AK101" i="5" s="1"/>
  <c r="AC101" i="5"/>
  <c r="AE101" i="5" s="1"/>
  <c r="AF101" i="5" s="1"/>
  <c r="V89" i="7"/>
  <c r="N89" i="7" s="1"/>
  <c r="T89" i="7" s="1"/>
  <c r="U88" i="7" s="1"/>
  <c r="T102" i="5"/>
  <c r="L102" i="5"/>
  <c r="T103" i="5" l="1"/>
  <c r="V90" i="7"/>
  <c r="N90" i="7" s="1"/>
  <c r="T90" i="7" s="1"/>
  <c r="U89" i="7" s="1"/>
  <c r="L103" i="5"/>
  <c r="AC102" i="5"/>
  <c r="AE102" i="5" s="1"/>
  <c r="AF102" i="5" s="1"/>
  <c r="AH102" i="5"/>
  <c r="AK102" i="5" s="1"/>
  <c r="T104" i="5" l="1"/>
  <c r="V91" i="7"/>
  <c r="N91" i="7" s="1"/>
  <c r="T91" i="7" s="1"/>
  <c r="U90" i="7" s="1"/>
  <c r="L104" i="5"/>
  <c r="AC103" i="5"/>
  <c r="AE103" i="5" s="1"/>
  <c r="AF103" i="5" s="1"/>
  <c r="AH103" i="5"/>
  <c r="AK103" i="5" s="1"/>
  <c r="AH104" i="5" l="1"/>
  <c r="AK104" i="5" s="1"/>
  <c r="AC104" i="5"/>
  <c r="AE104" i="5" s="1"/>
  <c r="AF104" i="5" s="1"/>
  <c r="V92" i="7"/>
  <c r="N92" i="7" s="1"/>
  <c r="T92" i="7" s="1"/>
  <c r="U91" i="7" s="1"/>
  <c r="L105" i="5"/>
  <c r="T105" i="5"/>
  <c r="L106" i="5" l="1"/>
  <c r="T106" i="5"/>
  <c r="V93" i="7"/>
  <c r="N93" i="7" s="1"/>
  <c r="T93" i="7" s="1"/>
  <c r="U92" i="7" s="1"/>
  <c r="AH105" i="5"/>
  <c r="AK105" i="5" s="1"/>
  <c r="AC105" i="5"/>
  <c r="AE105" i="5" s="1"/>
  <c r="AF105" i="5" s="1"/>
  <c r="AC106" i="5" l="1"/>
  <c r="AE106" i="5" s="1"/>
  <c r="AF106" i="5" s="1"/>
  <c r="AH106" i="5"/>
  <c r="AK106" i="5" s="1"/>
  <c r="V94" i="7"/>
  <c r="N94" i="7" s="1"/>
  <c r="T94" i="7" s="1"/>
  <c r="U93" i="7" s="1"/>
  <c r="T107" i="5"/>
  <c r="B16" i="5"/>
  <c r="C17" i="5" s="1"/>
  <c r="L107" i="5"/>
  <c r="AH107" i="5" l="1"/>
  <c r="AK107" i="5" s="1"/>
  <c r="AC107" i="5"/>
  <c r="AE107" i="5" s="1"/>
  <c r="AF107" i="5" s="1"/>
  <c r="T108" i="5"/>
  <c r="V95" i="7"/>
  <c r="N95" i="7" s="1"/>
  <c r="T95" i="7" s="1"/>
  <c r="U94" i="7" s="1"/>
  <c r="L108" i="5"/>
  <c r="L109" i="5" l="1"/>
  <c r="T109" i="5"/>
  <c r="V96" i="7"/>
  <c r="N96" i="7" s="1"/>
  <c r="T96" i="7" s="1"/>
  <c r="U95" i="7" s="1"/>
  <c r="AH108" i="5"/>
  <c r="AK108" i="5" s="1"/>
  <c r="AC108" i="5"/>
  <c r="AE108" i="5" s="1"/>
  <c r="AF108" i="5" s="1"/>
  <c r="V97" i="7" l="1"/>
  <c r="N97" i="7" s="1"/>
  <c r="T97" i="7" s="1"/>
  <c r="U96" i="7" s="1"/>
  <c r="L110" i="5"/>
  <c r="T110" i="5"/>
  <c r="AH109" i="5"/>
  <c r="AK109" i="5" s="1"/>
  <c r="AC109" i="5"/>
  <c r="AE109" i="5" s="1"/>
  <c r="AF109" i="5" s="1"/>
  <c r="AC110" i="5" l="1"/>
  <c r="AE110" i="5" s="1"/>
  <c r="AF110" i="5" s="1"/>
  <c r="AH110" i="5"/>
  <c r="AK110" i="5" s="1"/>
  <c r="V98" i="7"/>
  <c r="N98" i="7" s="1"/>
  <c r="T98" i="7" s="1"/>
  <c r="U97" i="7" s="1"/>
  <c r="T111" i="5"/>
  <c r="L111" i="5"/>
  <c r="T112" i="5" l="1"/>
  <c r="L112" i="5"/>
  <c r="V99" i="7"/>
  <c r="N99" i="7" s="1"/>
  <c r="T99" i="7" s="1"/>
  <c r="U98" i="7" s="1"/>
  <c r="AH111" i="5"/>
  <c r="AK111" i="5" s="1"/>
  <c r="AC111" i="5"/>
  <c r="AE111" i="5" s="1"/>
  <c r="AF111" i="5" s="1"/>
  <c r="L113" i="5" l="1"/>
  <c r="V100" i="7"/>
  <c r="N100" i="7" s="1"/>
  <c r="T100" i="7" s="1"/>
  <c r="U99" i="7" s="1"/>
  <c r="T113" i="5"/>
  <c r="AC112" i="5"/>
  <c r="AE112" i="5" s="1"/>
  <c r="AF112" i="5" s="1"/>
  <c r="AH112" i="5"/>
  <c r="AK112" i="5" s="1"/>
  <c r="V101" i="7" l="1"/>
  <c r="N101" i="7" s="1"/>
  <c r="T101" i="7" s="1"/>
  <c r="U100" i="7" s="1"/>
  <c r="T114" i="5"/>
  <c r="L114" i="5"/>
  <c r="AC113" i="5"/>
  <c r="AE113" i="5" s="1"/>
  <c r="AF113" i="5" s="1"/>
  <c r="AH113" i="5"/>
  <c r="AK113" i="5" s="1"/>
  <c r="AC114" i="5" l="1"/>
  <c r="AE114" i="5" s="1"/>
  <c r="AF114" i="5" s="1"/>
  <c r="AH114" i="5"/>
  <c r="AK114" i="5" s="1"/>
  <c r="T115" i="5"/>
  <c r="L115" i="5"/>
  <c r="V102" i="7"/>
  <c r="N102" i="7" s="1"/>
  <c r="T102" i="7" s="1"/>
  <c r="U101" i="7" s="1"/>
  <c r="T116" i="5" l="1"/>
  <c r="V103" i="7"/>
  <c r="N103" i="7" s="1"/>
  <c r="T103" i="7" s="1"/>
  <c r="U102" i="7" s="1"/>
  <c r="L116" i="5"/>
  <c r="AH115" i="5"/>
  <c r="AK115" i="5" s="1"/>
  <c r="AC115" i="5"/>
  <c r="AE115" i="5" s="1"/>
  <c r="AF115" i="5" s="1"/>
  <c r="B15" i="5" l="1"/>
  <c r="T117" i="5"/>
  <c r="T15" i="5" s="1"/>
  <c r="L117" i="5"/>
  <c r="V104" i="7"/>
  <c r="N104" i="7" s="1"/>
  <c r="T104" i="7" s="1"/>
  <c r="E14" i="5"/>
  <c r="AH116" i="5"/>
  <c r="AK116" i="5" s="1"/>
  <c r="AC116" i="5"/>
  <c r="AE116" i="5" s="1"/>
  <c r="AF116" i="5" s="1"/>
  <c r="M118" i="5" l="1"/>
  <c r="AI118" i="5" s="1"/>
  <c r="AL118" i="5" s="1"/>
  <c r="Q15" i="5"/>
  <c r="L119" i="5"/>
  <c r="L121" i="5" s="1"/>
  <c r="AC117" i="5"/>
  <c r="AE117" i="5" s="1"/>
  <c r="AH117" i="5"/>
  <c r="U118" i="5"/>
  <c r="U104" i="7"/>
  <c r="U103" i="7"/>
  <c r="C15" i="5"/>
  <c r="C16" i="5"/>
  <c r="AK117" i="5" l="1"/>
  <c r="AK118" i="5"/>
  <c r="AF117" i="5"/>
  <c r="AE1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33C2A353-6B4A-404D-86F6-0323EC0A58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94405336-3050-4D0B-B491-49F203D21FD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H14" authorId="0" shapeId="0" xr:uid="{62DB24E5-2496-46DF-8B54-81153AAB989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原始暴伤倍率1.5</t>
        </r>
      </text>
    </comment>
    <comment ref="H15" authorId="0" shapeId="0" xr:uid="{49A8C359-C83F-485B-BD1D-2252C3B7EA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原始攻速默认为1，每张卡可能不尽相同</t>
        </r>
      </text>
    </comment>
    <comment ref="D30" authorId="0" shapeId="0" xr:uid="{61BDB054-8789-4D6D-8FAA-38D60FA8D87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会有投放上限，一般会投放到2倍的参数水平，超过后不建议再投放了</t>
        </r>
      </text>
    </comment>
    <comment ref="D36" authorId="0" shapeId="0" xr:uid="{83911AD7-4591-4C3E-A2C2-F509AAF6430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攻防节奏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Administrator</author>
  </authors>
  <commentList>
    <comment ref="I9" authorId="0" shapeId="0" xr:uid="{7801B636-C517-4706-A431-2D11F02C82F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必然绑定 战法牧</t>
        </r>
      </text>
    </comment>
    <comment ref="F18" authorId="0" shapeId="0" xr:uid="{CD00E56B-C237-4834-8EC3-D923693CA3C2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攻速只影响普攻，普攻输出占比</t>
        </r>
      </text>
    </comment>
    <comment ref="I18" authorId="0" shapeId="0" xr:uid="{7846312F-4918-4D36-AC0E-92727B1862C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满暴</t>
        </r>
      </text>
    </comment>
    <comment ref="K18" authorId="0" shapeId="0" xr:uid="{F0F7BAA2-EF83-4EA0-A2A5-D164DE20C39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每秒攻击次数</t>
        </r>
      </text>
    </comment>
    <comment ref="F24" authorId="0" shapeId="0" xr:uid="{302F5942-79B0-4B11-B0C5-A46C79F9EFA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技能为非攻击</t>
        </r>
      </text>
    </comment>
    <comment ref="J27" authorId="1" shapeId="0" xr:uid="{4998A772-4095-45CB-8F5F-67010106279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初始暴击率0.05</t>
        </r>
      </text>
    </comment>
    <comment ref="F33" authorId="0" shapeId="0" xr:uid="{CE5D09E3-40F2-47C5-B066-E76B2DCDEA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治疗应该是玩技能的，属性什么的不重要，比如降低CD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8" authorId="0" shapeId="0" xr:uid="{56AA40FA-DA85-4E36-8A62-12390695AD2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伤害和承伤2选一,此处标记的比例是伤害或承伤的最大比例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  <author>admin</author>
  </authors>
  <commentList>
    <comment ref="J4" authorId="0" shapeId="0" xr:uid="{53DB34AB-2681-4592-A6C0-7FCC0BB0D27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按照最大防御率计算</t>
        </r>
      </text>
    </comment>
    <comment ref="K13" authorId="1" shapeId="0" xr:uid="{6797F4E7-B886-4D50-A479-EBAF695FE78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治疗对标伤害，换算攻击时，要扣除暴击影响（0.4*0.5）</t>
        </r>
      </text>
    </comment>
    <comment ref="L13" authorId="1" shapeId="0" xr:uid="{E6FF2B6A-DD49-42F7-8242-CE56E1BABE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治疗对标伤害，伤害对标承伤，承伤由血和减伤构成，取各自减伤</t>
        </r>
      </text>
    </comment>
    <comment ref="M13" authorId="1" shapeId="0" xr:uid="{9C6828BF-7DEC-40F2-A778-5070B8C94FD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减伤取平均值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" authorId="0" shapeId="0" xr:uid="{012823D1-8ADB-4272-88F0-A252760107B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" authorId="0" shapeId="0" xr:uid="{DC92A511-373F-41E0-A201-27FF7AB4E46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" authorId="0" shapeId="0" xr:uid="{BB656DD2-3D38-4E1B-B194-53B66AF1F165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" authorId="0" shapeId="0" xr:uid="{2802D3C4-6289-42EE-BA12-BFB7E68F618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  <comment ref="G33" authorId="0" shapeId="0" xr:uid="{64B76674-2210-4836-A5F6-B403EB8F49B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5" authorId="0" shapeId="0" xr:uid="{AE1DEBAF-58CA-4237-946B-EDC9229842E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5" authorId="0" shapeId="0" xr:uid="{8558A9A0-3AB0-4ED7-AA0D-8557B634775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5" authorId="0" shapeId="0" xr:uid="{3F7762D7-8CCD-4B36-A2C2-E0FCDC43D7B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</commentList>
</comments>
</file>

<file path=xl/sharedStrings.xml><?xml version="1.0" encoding="utf-8"?>
<sst xmlns="http://schemas.openxmlformats.org/spreadsheetml/2006/main" count="970" uniqueCount="334">
  <si>
    <t>战</t>
    <phoneticPr fontId="1" type="noConversion"/>
  </si>
  <si>
    <t>法</t>
    <phoneticPr fontId="1" type="noConversion"/>
  </si>
  <si>
    <t>牧</t>
    <phoneticPr fontId="1" type="noConversion"/>
  </si>
  <si>
    <t>坦克</t>
    <phoneticPr fontId="1" type="noConversion"/>
  </si>
  <si>
    <t>输出</t>
    <phoneticPr fontId="1" type="noConversion"/>
  </si>
  <si>
    <t>治疗</t>
    <phoneticPr fontId="1" type="noConversion"/>
  </si>
  <si>
    <t>增益-进攻</t>
    <phoneticPr fontId="1" type="noConversion"/>
  </si>
  <si>
    <t>增益-防御</t>
    <phoneticPr fontId="1" type="noConversion"/>
  </si>
  <si>
    <t>无限养成、有卡点、重PVP，用浮动参数的防御公式</t>
    <phoneticPr fontId="1" type="noConversion"/>
  </si>
  <si>
    <t>有限养成、无卡点、轻PVP，用固定参数的防御公式</t>
    <phoneticPr fontId="1" type="noConversion"/>
  </si>
  <si>
    <t>无限养成、重PVP，高级属性对投增减模式</t>
    <phoneticPr fontId="1" type="noConversion"/>
  </si>
  <si>
    <t>攻速</t>
    <phoneticPr fontId="1" type="noConversion"/>
  </si>
  <si>
    <t>攻击</t>
    <phoneticPr fontId="1" type="noConversion"/>
  </si>
  <si>
    <t>伤害</t>
    <phoneticPr fontId="1" type="noConversion"/>
  </si>
  <si>
    <t>承伤</t>
    <phoneticPr fontId="1" type="noConversion"/>
  </si>
  <si>
    <t>战斗节奏</t>
    <phoneticPr fontId="1" type="noConversion"/>
  </si>
  <si>
    <t>职业</t>
    <phoneticPr fontId="1" type="noConversion"/>
  </si>
  <si>
    <t>基础模型</t>
    <phoneticPr fontId="1" type="noConversion"/>
  </si>
  <si>
    <t>站位</t>
    <phoneticPr fontId="1" type="noConversion"/>
  </si>
  <si>
    <t>标准模型</t>
    <phoneticPr fontId="1" type="noConversion"/>
  </si>
  <si>
    <t>治疗总量</t>
    <phoneticPr fontId="1" type="noConversion"/>
  </si>
  <si>
    <t>坦克治疗</t>
    <phoneticPr fontId="1" type="noConversion"/>
  </si>
  <si>
    <t>剩余人数</t>
    <phoneticPr fontId="1" type="noConversion"/>
  </si>
  <si>
    <t>模型定义</t>
    <phoneticPr fontId="1" type="noConversion"/>
  </si>
  <si>
    <t>模型计算</t>
    <phoneticPr fontId="1" type="noConversion"/>
  </si>
  <si>
    <t>最优模型</t>
    <phoneticPr fontId="1" type="noConversion"/>
  </si>
  <si>
    <t>节奏</t>
    <phoneticPr fontId="1" type="noConversion"/>
  </si>
  <si>
    <t>治疗能力大于输出时，有战斗限时保底，但数值一般不会设定治疗大于输出</t>
    <phoneticPr fontId="1" type="noConversion"/>
  </si>
  <si>
    <t>不同职业定位不同，在3个维度进行分化处理</t>
    <phoneticPr fontId="1" type="noConversion"/>
  </si>
  <si>
    <t>战斗公式</t>
    <phoneticPr fontId="1" type="noConversion"/>
  </si>
  <si>
    <t>属性</t>
    <phoneticPr fontId="1" type="noConversion"/>
  </si>
  <si>
    <t>基础属性</t>
    <phoneticPr fontId="1" type="noConversion"/>
  </si>
  <si>
    <t>攻击力</t>
    <phoneticPr fontId="1" type="noConversion"/>
  </si>
  <si>
    <t>防御力</t>
    <phoneticPr fontId="1" type="noConversion"/>
  </si>
  <si>
    <t>生命上限</t>
    <phoneticPr fontId="1" type="noConversion"/>
  </si>
  <si>
    <t>暴击率</t>
    <phoneticPr fontId="1" type="noConversion"/>
  </si>
  <si>
    <t>基础属性修正</t>
    <phoneticPr fontId="1" type="noConversion"/>
  </si>
  <si>
    <t>攻击力%</t>
    <phoneticPr fontId="1" type="noConversion"/>
  </si>
  <si>
    <t>防御力%</t>
    <phoneticPr fontId="1" type="noConversion"/>
  </si>
  <si>
    <t>生命上限%</t>
    <phoneticPr fontId="1" type="noConversion"/>
  </si>
  <si>
    <t>高级属性</t>
    <phoneticPr fontId="1" type="noConversion"/>
  </si>
  <si>
    <t>来源</t>
    <phoneticPr fontId="1" type="noConversion"/>
  </si>
  <si>
    <t>面板</t>
    <phoneticPr fontId="1" type="noConversion"/>
  </si>
  <si>
    <t>面板、技能</t>
    <phoneticPr fontId="1" type="noConversion"/>
  </si>
  <si>
    <t>防御/(参数+防御）</t>
    <phoneticPr fontId="1" type="noConversion"/>
  </si>
  <si>
    <t>累积公式</t>
    <phoneticPr fontId="1" type="noConversion"/>
  </si>
  <si>
    <t>加、减</t>
    <phoneticPr fontId="1" type="noConversion"/>
  </si>
  <si>
    <t>举例</t>
    <phoneticPr fontId="1" type="noConversion"/>
  </si>
  <si>
    <t>卡牌+10攻击力，武器+10攻击力，Debuff-15攻击力；攻击力=10+10-15=5</t>
    <phoneticPr fontId="1" type="noConversion"/>
  </si>
  <si>
    <t>卡牌+10防御力，防具+10防御力，Debuff-5防御力；防御力=10+10-5=15</t>
    <phoneticPr fontId="1" type="noConversion"/>
  </si>
  <si>
    <t>卡牌+100生命上限，防具+100生命上限，Debuff-10生命上限；生命上限=100+100-10=190</t>
    <phoneticPr fontId="1" type="noConversion"/>
  </si>
  <si>
    <t>卡牌+5%暴击率，天赋+10%暴击率，Debuff-5%暴击率；暴击率=5%+10%-5%=10%</t>
    <phoneticPr fontId="1" type="noConversion"/>
  </si>
  <si>
    <t>范围</t>
    <phoneticPr fontId="1" type="noConversion"/>
  </si>
  <si>
    <t>[0,75%]</t>
    <phoneticPr fontId="1" type="noConversion"/>
  </si>
  <si>
    <t>[1,300%]</t>
    <phoneticPr fontId="1" type="noConversion"/>
  </si>
  <si>
    <t>暴伤倍率</t>
    <phoneticPr fontId="1" type="noConversion"/>
  </si>
  <si>
    <t>卡牌+5%暴伤倍率，天赋+10%暴伤倍率，Debuff-5%暴伤倍率；暴伤倍率=150%+5%+10%-5%=160%</t>
    <phoneticPr fontId="1" type="noConversion"/>
  </si>
  <si>
    <t>（0,3]</t>
    <phoneticPr fontId="1" type="noConversion"/>
  </si>
  <si>
    <t>卡牌+0.1攻速，天赋+0.3攻速，Debuff-0.2攻速；攻速=1+0.1+0.3-0.2=1.2</t>
    <phoneticPr fontId="1" type="noConversion"/>
  </si>
  <si>
    <t>最终基础属性=基础属性*（1+基础属性修正）</t>
    <phoneticPr fontId="1" type="noConversion"/>
  </si>
  <si>
    <t>卡牌+10%基础属性修正，装备+10%基础属性修正，Debuff-30%基础属性修正；基础属性修正=10%+10%-30%=-10%</t>
    <phoneticPr fontId="1" type="noConversion"/>
  </si>
  <si>
    <t>[1,∞)</t>
    <phoneticPr fontId="1" type="noConversion"/>
  </si>
  <si>
    <t>(-0.75,∞)</t>
    <phoneticPr fontId="1" type="noConversion"/>
  </si>
  <si>
    <t>[-75%,500%]</t>
    <phoneticPr fontId="1" type="noConversion"/>
  </si>
  <si>
    <t>卡牌+10%高级属性，装备+10%高级属性，Debuff-100%高级属性；高级属性=10%+10%-100%=-80%；max(-80%,-75%)=-75%</t>
    <phoneticPr fontId="1" type="noConversion"/>
  </si>
  <si>
    <t>攻击力*（1+攻击力%）</t>
    <phoneticPr fontId="1" type="noConversion"/>
  </si>
  <si>
    <t>模块</t>
    <phoneticPr fontId="1" type="noConversion"/>
  </si>
  <si>
    <t>根据暴击率判定是否暴击，非暴击时系数为1，暴击时系数为暴伤倍率</t>
    <phoneticPr fontId="1" type="noConversion"/>
  </si>
  <si>
    <t>防御</t>
    <phoneticPr fontId="1" type="noConversion"/>
  </si>
  <si>
    <t>暴击系数</t>
    <phoneticPr fontId="1" type="noConversion"/>
  </si>
  <si>
    <t>冷却%</t>
    <phoneticPr fontId="1" type="noConversion"/>
  </si>
  <si>
    <t>1+伤害%</t>
    <phoneticPr fontId="1" type="noConversion"/>
  </si>
  <si>
    <t>最终伤害</t>
    <phoneticPr fontId="1" type="noConversion"/>
  </si>
  <si>
    <t>攻击*暴击系数*防御*伤害</t>
    <phoneticPr fontId="1" type="noConversion"/>
  </si>
  <si>
    <t>计算</t>
    <phoneticPr fontId="1" type="noConversion"/>
  </si>
  <si>
    <t>生命上限*（1+生命上限%）</t>
    <phoneticPr fontId="1" type="noConversion"/>
  </si>
  <si>
    <t>攻击类属性是A单位，防御类属性取B单位</t>
    <phoneticPr fontId="1" type="noConversion"/>
  </si>
  <si>
    <t>最终治疗</t>
    <phoneticPr fontId="1" type="noConversion"/>
  </si>
  <si>
    <t>最终生命</t>
    <phoneticPr fontId="1" type="noConversion"/>
  </si>
  <si>
    <t>治疗量*（1+治疗%）*（1+受到治疗%）</t>
    <phoneticPr fontId="1" type="noConversion"/>
  </si>
  <si>
    <t>整体战法牧组合</t>
    <phoneticPr fontId="1" type="noConversion"/>
  </si>
  <si>
    <t>第0列</t>
    <phoneticPr fontId="1" type="noConversion"/>
  </si>
  <si>
    <t>规定模式下，期望更多的组合PK是平衡的，增强策略</t>
    <phoneticPr fontId="1" type="noConversion"/>
  </si>
  <si>
    <t>战斗力</t>
    <phoneticPr fontId="1" type="noConversion"/>
  </si>
  <si>
    <t>暴击倍率</t>
    <phoneticPr fontId="1" type="noConversion"/>
  </si>
  <si>
    <t>每份价值</t>
    <phoneticPr fontId="1" type="noConversion"/>
  </si>
  <si>
    <t>角色设定</t>
    <phoneticPr fontId="1" type="noConversion"/>
  </si>
  <si>
    <t>扩展类型</t>
    <phoneticPr fontId="1" type="noConversion"/>
  </si>
  <si>
    <t>大类型</t>
    <phoneticPr fontId="1" type="noConversion"/>
  </si>
  <si>
    <t>突击</t>
    <phoneticPr fontId="1" type="noConversion"/>
  </si>
  <si>
    <t>伤害偏向</t>
    <phoneticPr fontId="1" type="noConversion"/>
  </si>
  <si>
    <t>承伤偏向</t>
    <phoneticPr fontId="1" type="noConversion"/>
  </si>
  <si>
    <t>实际伤害</t>
    <phoneticPr fontId="1" type="noConversion"/>
  </si>
  <si>
    <t>实际承伤</t>
    <phoneticPr fontId="1" type="noConversion"/>
  </si>
  <si>
    <t>魔法</t>
    <phoneticPr fontId="1" type="noConversion"/>
  </si>
  <si>
    <t>射击</t>
    <phoneticPr fontId="1" type="noConversion"/>
  </si>
  <si>
    <t>刺杀</t>
    <phoneticPr fontId="1" type="noConversion"/>
  </si>
  <si>
    <t>恢复</t>
    <phoneticPr fontId="1" type="noConversion"/>
  </si>
  <si>
    <t>防御见长，输出较低</t>
    <phoneticPr fontId="1" type="noConversion"/>
  </si>
  <si>
    <t>有一定输出和防御能力</t>
    <phoneticPr fontId="1" type="noConversion"/>
  </si>
  <si>
    <t>群体输出能力强</t>
    <phoneticPr fontId="1" type="noConversion"/>
  </si>
  <si>
    <t>单体输出能力强</t>
    <phoneticPr fontId="1" type="noConversion"/>
  </si>
  <si>
    <t>对后排输出能力强</t>
    <phoneticPr fontId="1" type="noConversion"/>
  </si>
  <si>
    <t>更侧重单体治疗能力</t>
    <phoneticPr fontId="1" type="noConversion"/>
  </si>
  <si>
    <t>攻击战斗力</t>
    <phoneticPr fontId="1" type="noConversion"/>
  </si>
  <si>
    <t>防御战斗力</t>
    <phoneticPr fontId="1" type="noConversion"/>
  </si>
  <si>
    <t>提供标准的伤害、承伤、防御力、暴击率、暴击倍率、攻速的成长曲线</t>
    <phoneticPr fontId="1" type="noConversion"/>
  </si>
  <si>
    <t>卡牌提供上述属性的偏向参数，由此计算出实际攻击力和生命上限</t>
    <phoneticPr fontId="1" type="noConversion"/>
  </si>
  <si>
    <t>输出的技能成长带来的伤害和坦克、治疗的承伤技能应该是相互平衡的</t>
    <phoneticPr fontId="1" type="noConversion"/>
  </si>
  <si>
    <t>角色偏向</t>
    <phoneticPr fontId="1" type="noConversion"/>
  </si>
  <si>
    <t>数值分配</t>
    <phoneticPr fontId="1" type="noConversion"/>
  </si>
  <si>
    <t>角色成长</t>
    <phoneticPr fontId="1" type="noConversion"/>
  </si>
  <si>
    <t>角色分类</t>
    <phoneticPr fontId="1" type="noConversion"/>
  </si>
  <si>
    <t>成长系统</t>
    <phoneticPr fontId="1" type="noConversion"/>
  </si>
  <si>
    <t>权重</t>
    <phoneticPr fontId="1" type="noConversion"/>
  </si>
  <si>
    <t>升级</t>
    <phoneticPr fontId="1" type="noConversion"/>
  </si>
  <si>
    <t>公共%</t>
    <phoneticPr fontId="1" type="noConversion"/>
  </si>
  <si>
    <t>装备%</t>
    <phoneticPr fontId="1" type="noConversion"/>
  </si>
  <si>
    <t>比例</t>
    <phoneticPr fontId="1" type="noConversion"/>
  </si>
  <si>
    <t>模板计算出每张卡的最终形态，扣除公共部分和单条属性，其余的占比是卡牌自身成长，结果会导致成长过程中攻防属性比例不同步</t>
    <phoneticPr fontId="1" type="noConversion"/>
  </si>
  <si>
    <t>增益效果%</t>
    <phoneticPr fontId="1" type="noConversion"/>
  </si>
  <si>
    <t>[-75%,501%]</t>
  </si>
  <si>
    <t>坦克</t>
  </si>
  <si>
    <t>输出</t>
  </si>
  <si>
    <t>治疗</t>
  </si>
  <si>
    <t>价值比</t>
    <phoneticPr fontId="1" type="noConversion"/>
  </si>
  <si>
    <t>属性放大</t>
    <phoneticPr fontId="1" type="noConversion"/>
  </si>
  <si>
    <t>攻击向战斗力=攻击力*（1+暴击率*(暴击倍率-1)）*（攻速价值+技能倍率价值）*攻击力价值</t>
    <phoneticPr fontId="1" type="noConversion"/>
  </si>
  <si>
    <t>减益效果%</t>
    <phoneticPr fontId="1" type="noConversion"/>
  </si>
  <si>
    <t>追求属性</t>
    <phoneticPr fontId="1" type="noConversion"/>
  </si>
  <si>
    <t>防御力、生命上限、减益效果%</t>
    <phoneticPr fontId="1" type="noConversion"/>
  </si>
  <si>
    <t>攻击力、暴击率、暴击倍率、攻速</t>
    <phoneticPr fontId="1" type="noConversion"/>
  </si>
  <si>
    <t>冷却%、增益效果%</t>
    <phoneticPr fontId="1" type="noConversion"/>
  </si>
  <si>
    <t>第1列</t>
    <phoneticPr fontId="1" type="noConversion"/>
  </si>
  <si>
    <t>第2列</t>
    <phoneticPr fontId="1" type="noConversion"/>
  </si>
  <si>
    <t>队伍攻防随卡牌阵亡变化</t>
    <phoneticPr fontId="1" type="noConversion"/>
  </si>
  <si>
    <t>最少配置</t>
    <phoneticPr fontId="1" type="noConversion"/>
  </si>
  <si>
    <t>最多配置</t>
    <phoneticPr fontId="1" type="noConversion"/>
  </si>
  <si>
    <t>偏向参数</t>
    <phoneticPr fontId="1" type="noConversion"/>
  </si>
  <si>
    <t>防御力</t>
  </si>
  <si>
    <t>暴击率</t>
  </si>
  <si>
    <t>暴击倍率</t>
  </si>
  <si>
    <t>攻速</t>
  </si>
  <si>
    <t>标准值</t>
    <phoneticPr fontId="1" type="noConversion"/>
  </si>
  <si>
    <t>偏向</t>
  </si>
  <si>
    <t>偏向</t>
    <phoneticPr fontId="1" type="noConversion"/>
  </si>
  <si>
    <t>伤害</t>
  </si>
  <si>
    <t>承伤</t>
  </si>
  <si>
    <t>无</t>
    <phoneticPr fontId="1" type="noConversion"/>
  </si>
  <si>
    <t>角色详细</t>
    <phoneticPr fontId="1" type="noConversion"/>
  </si>
  <si>
    <t>角色名</t>
    <phoneticPr fontId="1" type="noConversion"/>
  </si>
  <si>
    <t>防御</t>
  </si>
  <si>
    <t>突击</t>
  </si>
  <si>
    <t>魔法</t>
  </si>
  <si>
    <t>射击</t>
  </si>
  <si>
    <t>刺杀</t>
  </si>
  <si>
    <t>恢复</t>
  </si>
  <si>
    <t>输入值范围</t>
    <phoneticPr fontId="1" type="noConversion"/>
  </si>
  <si>
    <t>伤害偏向极值</t>
    <phoneticPr fontId="1" type="noConversion"/>
  </si>
  <si>
    <t>防御力偏向极值</t>
    <phoneticPr fontId="1" type="noConversion"/>
  </si>
  <si>
    <t>R</t>
    <phoneticPr fontId="1" type="noConversion"/>
  </si>
  <si>
    <t>劣势属性比</t>
    <phoneticPr fontId="1" type="noConversion"/>
  </si>
  <si>
    <t>成长模板</t>
    <phoneticPr fontId="1" type="noConversion"/>
  </si>
  <si>
    <t>角色属性</t>
    <phoneticPr fontId="1" type="noConversion"/>
  </si>
  <si>
    <t>等级</t>
    <phoneticPr fontId="1" type="noConversion"/>
  </si>
  <si>
    <t>攻击力</t>
  </si>
  <si>
    <t>生命上限</t>
  </si>
  <si>
    <t>普攻占比</t>
  </si>
  <si>
    <t>普攻占比</t>
    <phoneticPr fontId="1" type="noConversion"/>
  </si>
  <si>
    <t>战力</t>
    <phoneticPr fontId="1" type="noConversion"/>
  </si>
  <si>
    <t>战力差</t>
    <phoneticPr fontId="1" type="noConversion"/>
  </si>
  <si>
    <t>升级攻击</t>
    <phoneticPr fontId="1" type="noConversion"/>
  </si>
  <si>
    <t>升级生命</t>
    <phoneticPr fontId="1" type="noConversion"/>
  </si>
  <si>
    <t>升级防御</t>
    <phoneticPr fontId="1" type="noConversion"/>
  </si>
  <si>
    <t>角色升级</t>
    <phoneticPr fontId="1" type="noConversion"/>
  </si>
  <si>
    <t>升星%</t>
    <phoneticPr fontId="1" type="noConversion"/>
  </si>
  <si>
    <t>星级</t>
    <phoneticPr fontId="1" type="noConversion"/>
  </si>
  <si>
    <t>角色品星</t>
    <phoneticPr fontId="1" type="noConversion"/>
  </si>
  <si>
    <t>数值</t>
    <phoneticPr fontId="1" type="noConversion"/>
  </si>
  <si>
    <t>品质</t>
    <phoneticPr fontId="1" type="noConversion"/>
  </si>
  <si>
    <t>SR</t>
    <phoneticPr fontId="1" type="noConversion"/>
  </si>
  <si>
    <t>SSR</t>
    <phoneticPr fontId="1" type="noConversion"/>
  </si>
  <si>
    <t>UR</t>
    <phoneticPr fontId="1" type="noConversion"/>
  </si>
  <si>
    <t>升级*（1+升星%）*（1+公共%+装备%）；升级中自带品质效果,也就是：升级=基础值*品质系数</t>
    <phoneticPr fontId="1" type="noConversion"/>
  </si>
  <si>
    <t>属性参数</t>
    <phoneticPr fontId="1" type="noConversion"/>
  </si>
  <si>
    <t>升级属性</t>
    <phoneticPr fontId="1" type="noConversion"/>
  </si>
  <si>
    <t>等级</t>
  </si>
  <si>
    <t>SSR</t>
  </si>
  <si>
    <t>SSR-10星</t>
    <phoneticPr fontId="1" type="noConversion"/>
  </si>
  <si>
    <t>△</t>
    <phoneticPr fontId="1" type="noConversion"/>
  </si>
  <si>
    <t>填写在角色表，用于基础数值计算</t>
    <phoneticPr fontId="1" type="noConversion"/>
  </si>
  <si>
    <t>填写在角色等级成长表，用于基础数值计算</t>
    <phoneticPr fontId="1" type="noConversion"/>
  </si>
  <si>
    <t>预览各角色升级数值</t>
    <phoneticPr fontId="1" type="noConversion"/>
  </si>
  <si>
    <t>技能模板</t>
    <phoneticPr fontId="1" type="noConversion"/>
  </si>
  <si>
    <t>大类型</t>
  </si>
  <si>
    <t>实际伤害</t>
  </si>
  <si>
    <t>实际承伤</t>
  </si>
  <si>
    <t>扩展类型</t>
  </si>
  <si>
    <t>大招CD</t>
    <phoneticPr fontId="1" type="noConversion"/>
  </si>
  <si>
    <t>伤害倍率</t>
    <phoneticPr fontId="1" type="noConversion"/>
  </si>
  <si>
    <t>治疗倍率/D</t>
  </si>
  <si>
    <t>治疗倍率/D</t>
    <phoneticPr fontId="1" type="noConversion"/>
  </si>
  <si>
    <t>治疗倍率/H</t>
  </si>
  <si>
    <t>治疗倍率/H</t>
    <phoneticPr fontId="1" type="noConversion"/>
  </si>
  <si>
    <t>防御率</t>
    <phoneticPr fontId="1" type="noConversion"/>
  </si>
  <si>
    <t>生命值</t>
    <phoneticPr fontId="1" type="noConversion"/>
  </si>
  <si>
    <t>技能升级倍率</t>
    <phoneticPr fontId="1" type="noConversion"/>
  </si>
  <si>
    <t>升级后普攻占比</t>
    <phoneticPr fontId="1" type="noConversion"/>
  </si>
  <si>
    <t>升级后输出提升</t>
    <phoneticPr fontId="1" type="noConversion"/>
  </si>
  <si>
    <t>治疗提升</t>
    <phoneticPr fontId="1" type="noConversion"/>
  </si>
  <si>
    <t>治疗倍率/A</t>
    <phoneticPr fontId="1" type="noConversion"/>
  </si>
  <si>
    <t>角色技能</t>
    <phoneticPr fontId="1" type="noConversion"/>
  </si>
  <si>
    <t>公共技能</t>
    <phoneticPr fontId="1" type="noConversion"/>
  </si>
  <si>
    <t>最少配置</t>
  </si>
  <si>
    <t>最多配置</t>
  </si>
  <si>
    <t>标准模型</t>
  </si>
  <si>
    <t>站位</t>
  </si>
  <si>
    <t>职业</t>
  </si>
  <si>
    <t>基础模型（废）</t>
    <phoneticPr fontId="1" type="noConversion"/>
  </si>
  <si>
    <t>更多伤害的意思</t>
    <phoneticPr fontId="1" type="noConversion"/>
  </si>
  <si>
    <t>1-100000/（100000+防御力*（1+防御力%））</t>
    <phoneticPr fontId="1" type="noConversion"/>
  </si>
  <si>
    <t>战斗模拟</t>
    <phoneticPr fontId="1" type="noConversion"/>
  </si>
  <si>
    <t>PVP</t>
    <phoneticPr fontId="1" type="noConversion"/>
  </si>
  <si>
    <t>攻方位置</t>
    <phoneticPr fontId="1" type="noConversion"/>
  </si>
  <si>
    <t>守方位置</t>
    <phoneticPr fontId="1" type="noConversion"/>
  </si>
  <si>
    <t>技能简述</t>
    <phoneticPr fontId="1" type="noConversion"/>
  </si>
  <si>
    <t>升级伤害倍率</t>
    <phoneticPr fontId="1" type="noConversion"/>
  </si>
  <si>
    <t>升级治疗倍率/D</t>
    <phoneticPr fontId="1" type="noConversion"/>
  </si>
  <si>
    <t>升级治疗倍率/H</t>
    <phoneticPr fontId="1" type="noConversion"/>
  </si>
  <si>
    <t>升级治疗倍率/A</t>
    <phoneticPr fontId="1" type="noConversion"/>
  </si>
  <si>
    <t>治疗倍率/A</t>
  </si>
  <si>
    <t>攻击造成伤害，并恢复全体生命</t>
    <phoneticPr fontId="1" type="noConversion"/>
  </si>
  <si>
    <t>角色等级</t>
    <phoneticPr fontId="1" type="noConversion"/>
  </si>
  <si>
    <t>技能等级</t>
    <phoneticPr fontId="1" type="noConversion"/>
  </si>
  <si>
    <t>伤害倍率提升</t>
    <phoneticPr fontId="1" type="noConversion"/>
  </si>
  <si>
    <t>治疗倍率/D提升</t>
    <phoneticPr fontId="1" type="noConversion"/>
  </si>
  <si>
    <t>治疗倍率/H提升</t>
    <phoneticPr fontId="1" type="noConversion"/>
  </si>
  <si>
    <t>治疗倍率/A提升</t>
    <phoneticPr fontId="1" type="noConversion"/>
  </si>
  <si>
    <t>自己攻击治疗</t>
    <phoneticPr fontId="1" type="noConversion"/>
  </si>
  <si>
    <t>自己血量治疗</t>
    <phoneticPr fontId="1" type="noConversion"/>
  </si>
  <si>
    <t>全队血量治疗</t>
    <phoneticPr fontId="1" type="noConversion"/>
  </si>
  <si>
    <t xml:space="preserve"> </t>
    <phoneticPr fontId="1" type="noConversion"/>
  </si>
  <si>
    <t>A</t>
    <phoneticPr fontId="1" type="noConversion"/>
  </si>
  <si>
    <t>B</t>
    <phoneticPr fontId="1" type="noConversion"/>
  </si>
  <si>
    <t>阵型行数</t>
    <phoneticPr fontId="1" type="noConversion"/>
  </si>
  <si>
    <t>阵型列数</t>
    <phoneticPr fontId="1" type="noConversion"/>
  </si>
  <si>
    <t>饼干1</t>
    <phoneticPr fontId="1" type="noConversion"/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</si>
  <si>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</si>
  <si>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</si>
  <si>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</si>
  <si>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</si>
  <si>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</si>
  <si>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</si>
  <si>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</si>
  <si>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</si>
  <si>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</si>
  <si>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</si>
  <si>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</si>
  <si>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大招CD初始</t>
    <phoneticPr fontId="1" type="noConversion"/>
  </si>
  <si>
    <t>PVE</t>
    <phoneticPr fontId="1" type="noConversion"/>
  </si>
  <si>
    <t>A胜</t>
    <phoneticPr fontId="1" type="noConversion"/>
  </si>
  <si>
    <t>B胜</t>
    <phoneticPr fontId="1" type="noConversion"/>
  </si>
  <si>
    <t>怪物1</t>
    <phoneticPr fontId="1" type="noConversion"/>
  </si>
  <si>
    <t>怪物为临时数据</t>
    <phoneticPr fontId="1" type="noConversion"/>
  </si>
  <si>
    <t>公共技能不做PVP数值平衡，只做自己内部的相克平衡（PVE的对策调整），对整体战局的影响控制在一定比例内</t>
    <phoneticPr fontId="1" type="noConversion"/>
  </si>
  <si>
    <t>饼干1</t>
  </si>
  <si>
    <t>回合数</t>
    <phoneticPr fontId="1" type="noConversion"/>
  </si>
  <si>
    <t>对方人数</t>
    <phoneticPr fontId="1" type="noConversion"/>
  </si>
  <si>
    <t>对方单体血量</t>
    <phoneticPr fontId="1" type="noConversion"/>
  </si>
  <si>
    <t>对方单人回合</t>
    <phoneticPr fontId="1" type="noConversion"/>
  </si>
  <si>
    <t>对方总回合</t>
    <phoneticPr fontId="1" type="noConversion"/>
  </si>
  <si>
    <t>对方单人攻击</t>
    <phoneticPr fontId="1" type="noConversion"/>
  </si>
  <si>
    <t>血量/攻击</t>
    <phoneticPr fontId="1" type="noConversion"/>
  </si>
  <si>
    <t>血量/对方人数</t>
    <phoneticPr fontId="1" type="noConversion"/>
  </si>
  <si>
    <t>血量/对方人数/攻击</t>
    <phoneticPr fontId="1" type="noConversion"/>
  </si>
  <si>
    <t>对方人数*（1+对方人数）/2</t>
    <phoneticPr fontId="1" type="noConversion"/>
  </si>
  <si>
    <t>怪物血量</t>
    <phoneticPr fontId="1" type="noConversion"/>
  </si>
  <si>
    <t>怪物攻击</t>
    <phoneticPr fontId="1" type="noConversion"/>
  </si>
  <si>
    <t>血量/怪物数量</t>
    <phoneticPr fontId="1" type="noConversion"/>
  </si>
  <si>
    <t>血量/(血量/对方人数/攻击*对方人数*（1+对方人数）/2)</t>
    <phoneticPr fontId="1" type="noConversion"/>
  </si>
  <si>
    <t>2*攻击/(1+怪物数量)）</t>
    <phoneticPr fontId="1" type="noConversion"/>
  </si>
  <si>
    <t>怪物设定</t>
    <phoneticPr fontId="1" type="noConversion"/>
  </si>
  <si>
    <t>怪物战斗的基础模型是对标角色的标准模型而定，最基础的模型把怪物看成一个整体（BOSS）进行基础计算</t>
    <phoneticPr fontId="1" type="noConversion"/>
  </si>
  <si>
    <t>在整体基础上，在根据怪物实际数量进行攻防的分割：伤害=2*整体伤害/(1+怪物数量)）；承伤=整体承伤/怪物数量</t>
    <phoneticPr fontId="1" type="noConversion"/>
  </si>
  <si>
    <t>1~1</t>
  </si>
  <si>
    <t>1~2</t>
  </si>
  <si>
    <t>2~1</t>
  </si>
  <si>
    <t>2~2</t>
  </si>
  <si>
    <t>角色模型</t>
    <phoneticPr fontId="1" type="noConversion"/>
  </si>
  <si>
    <t>剩余数量</t>
    <phoneticPr fontId="1" type="noConversion"/>
  </si>
  <si>
    <t>角色数据</t>
    <phoneticPr fontId="1" type="noConversion"/>
  </si>
  <si>
    <t>怪物数据</t>
    <phoneticPr fontId="1" type="noConversion"/>
  </si>
  <si>
    <t>总计</t>
    <phoneticPr fontId="1" type="noConversion"/>
  </si>
  <si>
    <t>怪物属性</t>
    <phoneticPr fontId="1" type="noConversion"/>
  </si>
  <si>
    <t>属性放大</t>
  </si>
  <si>
    <t>大招CD</t>
  </si>
  <si>
    <t>大招威力</t>
    <phoneticPr fontId="1" type="noConversion"/>
  </si>
  <si>
    <t>1分9</t>
    <phoneticPr fontId="1" type="noConversion"/>
  </si>
  <si>
    <t>全阵容</t>
    <phoneticPr fontId="1" type="noConversion"/>
  </si>
  <si>
    <t>缺治疗</t>
    <phoneticPr fontId="1" type="noConversion"/>
  </si>
  <si>
    <t>缺坦克</t>
    <phoneticPr fontId="1" type="noConversion"/>
  </si>
  <si>
    <t>缺输出</t>
    <phoneticPr fontId="1" type="noConversion"/>
  </si>
  <si>
    <t>具体细算是需要结合公共技能增益</t>
    <phoneticPr fontId="1" type="noConversion"/>
  </si>
  <si>
    <t>不应该分优劣属性，本身角色的特点已经设定，装备和公共升星一样独立增加数值，只是DIY的上下限分别是优势角色和劣势角色，控制好上下限即可？</t>
    <phoneticPr fontId="1" type="noConversion"/>
  </si>
  <si>
    <t>属性比例</t>
    <phoneticPr fontId="1" type="noConversion"/>
  </si>
  <si>
    <t>治疗技能强了3倍多？</t>
    <phoneticPr fontId="1" type="noConversion"/>
  </si>
  <si>
    <t>标准站位</t>
    <phoneticPr fontId="1" type="noConversion"/>
  </si>
  <si>
    <t>每列战法牧组合；牧的治疗平分到每行</t>
    <phoneticPr fontId="1" type="noConversion"/>
  </si>
  <si>
    <t>不同职业定位不同，在3个维度进行处理</t>
    <phoneticPr fontId="1" type="noConversion"/>
  </si>
  <si>
    <t>后排</t>
    <phoneticPr fontId="1" type="noConversion"/>
  </si>
  <si>
    <t>中排</t>
    <phoneticPr fontId="1" type="noConversion"/>
  </si>
  <si>
    <t>前排</t>
    <phoneticPr fontId="1" type="noConversion"/>
  </si>
  <si>
    <t>行位</t>
    <phoneticPr fontId="1" type="noConversion"/>
  </si>
  <si>
    <t>优先攻击对位（行）敌人</t>
    <phoneticPr fontId="1" type="noConversion"/>
  </si>
  <si>
    <t>标准节奏</t>
    <phoneticPr fontId="1" type="noConversion"/>
  </si>
  <si>
    <t>有限养成、轻PVP，高级属性对投，独立计算</t>
    <phoneticPr fontId="1" type="noConversion"/>
  </si>
  <si>
    <t>属性关系</t>
    <phoneticPr fontId="1" type="noConversion"/>
  </si>
  <si>
    <t>相当于多少生命上限</t>
    <phoneticPr fontId="1" type="noConversion"/>
  </si>
  <si>
    <t>相当于多少攻击力</t>
  </si>
  <si>
    <t>防御向战斗力=生命上限*（1+防御力价值）*生命上限价值+技能倍率价值*生命上限价值</t>
    <phoneticPr fontId="1" type="noConversion"/>
  </si>
  <si>
    <t>总战斗力=攻击向战斗力+防御向战斗力</t>
    <phoneticPr fontId="1" type="noConversion"/>
  </si>
  <si>
    <t>综合考虑属性的战斗价值和技能（增益、减益）的战斗价值</t>
    <phoneticPr fontId="1" type="noConversion"/>
  </si>
  <si>
    <t>更详细的角色设定在本表的拓展表：角色怪物数据生成-角色基础</t>
    <phoneticPr fontId="1" type="noConversion"/>
  </si>
  <si>
    <t>单体攻击</t>
    <phoneticPr fontId="1" type="noConversion"/>
  </si>
  <si>
    <t>单体血量</t>
    <phoneticPr fontId="1" type="noConversion"/>
  </si>
  <si>
    <t>群体血量</t>
    <phoneticPr fontId="1" type="noConversion"/>
  </si>
  <si>
    <t>综合考量，攻击力的提升效果会有一定折扣，但防御值价值恒定，攻击力没有折扣会导致防御值价值越来越低</t>
    <phoneticPr fontId="1" type="noConversion"/>
  </si>
  <si>
    <t>怪物3</t>
  </si>
  <si>
    <t>怪物2</t>
  </si>
  <si>
    <t>怪物4</t>
  </si>
  <si>
    <t>饼干2</t>
    <phoneticPr fontId="1" type="noConversion"/>
  </si>
  <si>
    <t>占比</t>
    <phoneticPr fontId="1" type="noConversion"/>
  </si>
  <si>
    <t>偏向测试</t>
    <phoneticPr fontId="1" type="noConversion"/>
  </si>
  <si>
    <t>偏向节奏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</si>
</sst>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"/>
    <numFmt numFmtId="177" formatCode="0.0"/>
    <numFmt numFmtId="178" formatCode="0.00_ "/>
    <numFmt numFmtId="179" formatCode="0.000"/>
    <numFmt numFmtId="180" formatCode="0_ "/>
    <numFmt numFmtId="181" formatCode="0.0000"/>
    <numFmt numFmtId="182" formatCode="_ * #,##0_ ;_ * \-#,##0_ ;_ * &quot;-&quot;??_ ;_ @_ "/>
    <numFmt numFmtId="183" formatCode="0.0_ "/>
  </numFmts>
  <fonts count="1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theme="1"/>
      <name val="微软雅黑"/>
      <family val="2"/>
      <charset val="134"/>
    </font>
    <font>
      <sz val="18"/>
      <color theme="0"/>
      <name val="华文行楷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9"/>
      <color theme="0" tint="-0.34998626667073579"/>
      <name val="微软雅黑"/>
      <family val="2"/>
      <charset val="134"/>
    </font>
    <font>
      <sz val="9"/>
      <color rgb="FF00B0F0"/>
      <name val="微软雅黑"/>
      <family val="2"/>
      <charset val="134"/>
    </font>
    <font>
      <i/>
      <sz val="9"/>
      <color theme="0" tint="-0.14999847407452621"/>
      <name val="微软雅黑"/>
      <family val="2"/>
      <charset val="134"/>
    </font>
    <font>
      <i/>
      <sz val="9"/>
      <color theme="0" tint="-0.249977111117893"/>
      <name val="微软雅黑"/>
      <family val="2"/>
      <charset val="134"/>
    </font>
    <font>
      <i/>
      <sz val="9"/>
      <color theme="1"/>
      <name val="微软雅黑"/>
      <family val="2"/>
      <charset val="134"/>
    </font>
    <font>
      <b/>
      <i/>
      <sz val="9"/>
      <color theme="0" tint="-0.34998626667073579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i/>
      <sz val="9"/>
      <color theme="0" tint="-0.249977111117893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176" fontId="2" fillId="0" borderId="1" xfId="1" applyNumberFormat="1" applyFont="1" applyBorder="1" applyAlignment="1">
      <alignment horizontal="center" vertical="center" shrinkToFit="1"/>
    </xf>
    <xf numFmtId="10" fontId="2" fillId="0" borderId="1" xfId="1" applyNumberFormat="1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177" fontId="2" fillId="0" borderId="1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78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2" fillId="0" borderId="1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9" fontId="2" fillId="0" borderId="1" xfId="0" applyNumberFormat="1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9" fontId="2" fillId="0" borderId="1" xfId="1" applyNumberFormat="1" applyFont="1" applyBorder="1" applyAlignment="1">
      <alignment horizontal="center" vertical="center" shrinkToFit="1"/>
    </xf>
    <xf numFmtId="9" fontId="2" fillId="0" borderId="1" xfId="1" applyFont="1" applyBorder="1" applyAlignment="1">
      <alignment horizontal="center" vertical="center" shrinkToFit="1"/>
    </xf>
    <xf numFmtId="0" fontId="5" fillId="3" borderId="1" xfId="0" applyFont="1" applyFill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2" fillId="0" borderId="1" xfId="1" applyNumberFormat="1" applyFont="1" applyBorder="1" applyAlignment="1">
      <alignment horizontal="center" vertical="center" shrinkToFit="1"/>
    </xf>
    <xf numFmtId="182" fontId="2" fillId="0" borderId="1" xfId="2" applyNumberFormat="1" applyFont="1" applyBorder="1" applyAlignment="1">
      <alignment horizontal="center" vertical="center" shrinkToFit="1"/>
    </xf>
    <xf numFmtId="178" fontId="5" fillId="0" borderId="1" xfId="0" applyNumberFormat="1" applyFont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2" fontId="5" fillId="0" borderId="1" xfId="0" applyNumberFormat="1" applyFont="1" applyBorder="1" applyAlignment="1">
      <alignment horizontal="center" vertical="center" shrinkToFit="1"/>
    </xf>
    <xf numFmtId="2" fontId="5" fillId="3" borderId="1" xfId="0" applyNumberFormat="1" applyFont="1" applyFill="1" applyBorder="1" applyAlignment="1">
      <alignment horizontal="center" vertical="center" shrinkToFit="1"/>
    </xf>
    <xf numFmtId="1" fontId="2" fillId="0" borderId="1" xfId="1" applyNumberFormat="1" applyFont="1" applyBorder="1" applyAlignment="1">
      <alignment horizontal="center" vertical="center" shrinkToFit="1"/>
    </xf>
    <xf numFmtId="180" fontId="5" fillId="0" borderId="1" xfId="0" applyNumberFormat="1" applyFont="1" applyBorder="1" applyAlignment="1">
      <alignment horizontal="center" vertical="center" shrinkToFit="1"/>
    </xf>
    <xf numFmtId="58" fontId="2" fillId="0" borderId="1" xfId="0" applyNumberFormat="1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1" fillId="0" borderId="9" xfId="0" applyFont="1" applyBorder="1" applyAlignment="1">
      <alignment horizontal="center" vertical="center" shrinkToFit="1"/>
    </xf>
    <xf numFmtId="0" fontId="5" fillId="0" borderId="9" xfId="0" applyFont="1" applyBorder="1" applyAlignment="1">
      <alignment horizontal="center" vertical="center" shrinkToFit="1"/>
    </xf>
    <xf numFmtId="0" fontId="2" fillId="0" borderId="16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vertical="center" shrinkToFit="1"/>
    </xf>
    <xf numFmtId="0" fontId="2" fillId="3" borderId="17" xfId="0" applyFont="1" applyFill="1" applyBorder="1" applyAlignment="1">
      <alignment horizontal="center" vertical="center" shrinkToFit="1"/>
    </xf>
    <xf numFmtId="0" fontId="2" fillId="0" borderId="18" xfId="0" applyFont="1" applyBorder="1" applyAlignment="1">
      <alignment horizontal="center" vertical="center" shrinkToFit="1"/>
    </xf>
    <xf numFmtId="0" fontId="2" fillId="0" borderId="19" xfId="0" applyFont="1" applyBorder="1" applyAlignment="1">
      <alignment horizontal="center" vertical="center" shrinkToFit="1"/>
    </xf>
    <xf numFmtId="2" fontId="2" fillId="0" borderId="20" xfId="0" applyNumberFormat="1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77" fontId="2" fillId="0" borderId="22" xfId="0" applyNumberFormat="1" applyFont="1" applyBorder="1" applyAlignment="1">
      <alignment horizontal="center" vertical="center" shrinkToFit="1"/>
    </xf>
    <xf numFmtId="2" fontId="2" fillId="0" borderId="22" xfId="0" applyNumberFormat="1" applyFont="1" applyBorder="1" applyAlignment="1">
      <alignment horizontal="center" vertical="center" shrinkToFit="1"/>
    </xf>
    <xf numFmtId="2" fontId="2" fillId="0" borderId="23" xfId="0" applyNumberFormat="1" applyFont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177" fontId="2" fillId="0" borderId="10" xfId="0" applyNumberFormat="1" applyFont="1" applyBorder="1" applyAlignment="1">
      <alignment horizontal="center" vertical="center" shrinkToFit="1"/>
    </xf>
    <xf numFmtId="2" fontId="2" fillId="0" borderId="10" xfId="0" applyNumberFormat="1" applyFont="1" applyBorder="1" applyAlignment="1">
      <alignment horizontal="center" vertical="center" shrinkToFit="1"/>
    </xf>
    <xf numFmtId="0" fontId="11" fillId="0" borderId="10" xfId="0" applyFon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0" fontId="2" fillId="0" borderId="23" xfId="0" applyFont="1" applyBorder="1" applyAlignment="1">
      <alignment horizontal="center" vertical="center" shrinkToFit="1"/>
    </xf>
    <xf numFmtId="178" fontId="2" fillId="0" borderId="8" xfId="0" applyNumberFormat="1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4" fillId="0" borderId="1" xfId="0" applyFont="1" applyBorder="1" applyAlignment="1">
      <alignment horizontal="center" vertical="center" shrinkToFit="1"/>
    </xf>
    <xf numFmtId="9" fontId="9" fillId="0" borderId="1" xfId="1" applyFont="1" applyBorder="1" applyAlignment="1">
      <alignment horizontal="center" vertical="center" shrinkToFit="1"/>
    </xf>
    <xf numFmtId="9" fontId="9" fillId="0" borderId="1" xfId="0" applyNumberFormat="1" applyFont="1" applyBorder="1" applyAlignment="1">
      <alignment horizontal="center" vertical="center" shrinkToFit="1"/>
    </xf>
    <xf numFmtId="176" fontId="9" fillId="0" borderId="1" xfId="1" applyNumberFormat="1" applyFont="1" applyBorder="1" applyAlignment="1">
      <alignment horizontal="center" vertical="center" shrinkToFit="1"/>
    </xf>
    <xf numFmtId="10" fontId="9" fillId="0" borderId="1" xfId="0" applyNumberFormat="1" applyFont="1" applyBorder="1" applyAlignment="1">
      <alignment horizontal="center" vertical="center" shrinkToFit="1"/>
    </xf>
    <xf numFmtId="183" fontId="2" fillId="0" borderId="1" xfId="0" applyNumberFormat="1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22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 shrinkToFit="1"/>
    </xf>
    <xf numFmtId="9" fontId="12" fillId="0" borderId="1" xfId="1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shrinkToFit="1"/>
    </xf>
    <xf numFmtId="0" fontId="16" fillId="3" borderId="1" xfId="0" applyFont="1" applyFill="1" applyBorder="1" applyAlignment="1">
      <alignment horizontal="center" vertical="center" shrinkToFit="1"/>
    </xf>
    <xf numFmtId="9" fontId="16" fillId="0" borderId="1" xfId="1" applyFont="1" applyBorder="1" applyAlignment="1">
      <alignment horizontal="center" vertical="center" shrinkToFit="1"/>
    </xf>
    <xf numFmtId="9" fontId="12" fillId="0" borderId="1" xfId="0" applyNumberFormat="1" applyFont="1" applyBorder="1" applyAlignment="1">
      <alignment horizontal="center" vertical="center" shrinkToFit="1"/>
    </xf>
    <xf numFmtId="180" fontId="12" fillId="0" borderId="1" xfId="0" applyNumberFormat="1" applyFont="1" applyBorder="1" applyAlignment="1">
      <alignment horizontal="center" vertical="center" shrinkToFit="1"/>
    </xf>
    <xf numFmtId="179" fontId="12" fillId="0" borderId="1" xfId="0" applyNumberFormat="1" applyFont="1" applyBorder="1" applyAlignment="1">
      <alignment horizontal="center" vertical="center" shrinkToFit="1"/>
    </xf>
    <xf numFmtId="9" fontId="12" fillId="3" borderId="1" xfId="1" applyFont="1" applyFill="1" applyBorder="1" applyAlignment="1">
      <alignment horizontal="center" vertical="center" shrinkToFit="1"/>
    </xf>
    <xf numFmtId="0" fontId="12" fillId="3" borderId="1" xfId="0" applyFont="1" applyFill="1" applyBorder="1" applyAlignment="1">
      <alignment horizontal="center" vertical="center" shrinkToFit="1"/>
    </xf>
    <xf numFmtId="10" fontId="12" fillId="0" borderId="1" xfId="0" applyNumberFormat="1" applyFont="1" applyBorder="1" applyAlignment="1">
      <alignment horizontal="center" vertical="center" shrinkToFit="1"/>
    </xf>
    <xf numFmtId="0" fontId="16" fillId="4" borderId="1" xfId="0" applyFont="1" applyFill="1" applyBorder="1" applyAlignment="1">
      <alignment horizontal="center" vertical="center" shrinkToFit="1"/>
    </xf>
    <xf numFmtId="181" fontId="12" fillId="0" borderId="1" xfId="0" applyNumberFormat="1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28" xfId="0" applyFont="1" applyBorder="1" applyAlignment="1">
      <alignment horizontal="center" vertical="center" shrinkToFit="1"/>
    </xf>
    <xf numFmtId="0" fontId="5" fillId="0" borderId="29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24" xfId="0" applyFont="1" applyBorder="1" applyAlignment="1">
      <alignment horizontal="center" vertical="center" shrinkToFit="1"/>
    </xf>
    <xf numFmtId="0" fontId="2" fillId="0" borderId="25" xfId="0" applyFont="1" applyBorder="1" applyAlignment="1">
      <alignment horizontal="center" vertical="center" shrinkToFit="1"/>
    </xf>
    <xf numFmtId="0" fontId="2" fillId="0" borderId="26" xfId="0" applyFont="1" applyBorder="1" applyAlignment="1">
      <alignment horizontal="center" vertical="center" shrinkToFit="1"/>
    </xf>
    <xf numFmtId="179" fontId="2" fillId="0" borderId="8" xfId="0" applyNumberFormat="1" applyFont="1" applyBorder="1" applyAlignment="1">
      <alignment horizontal="center" vertical="center" shrinkToFit="1"/>
    </xf>
    <xf numFmtId="2" fontId="2" fillId="0" borderId="8" xfId="0" applyNumberFormat="1" applyFont="1" applyBorder="1" applyAlignment="1">
      <alignment horizontal="center" vertical="center" shrinkToFit="1"/>
    </xf>
    <xf numFmtId="0" fontId="5" fillId="3" borderId="22" xfId="0" applyFont="1" applyFill="1" applyBorder="1" applyAlignment="1">
      <alignment horizontal="center" vertical="center" shrinkToFit="1"/>
    </xf>
    <xf numFmtId="0" fontId="2" fillId="0" borderId="30" xfId="0" applyFont="1" applyBorder="1" applyAlignment="1">
      <alignment horizontal="center" vertical="center" shrinkToFit="1"/>
    </xf>
  </cellXfs>
  <cellStyles count="3">
    <cellStyle name="百分比" xfId="1" builtinId="5"/>
    <cellStyle name="常规" xfId="0" builtinId="0"/>
    <cellStyle name="千位分隔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10</c:v>
                </c:pt>
                <c:pt idx="1">
                  <c:v>10.5</c:v>
                </c:pt>
                <c:pt idx="2">
                  <c:v>11.025</c:v>
                </c:pt>
                <c:pt idx="3">
                  <c:v>11.576250000000002</c:v>
                </c:pt>
                <c:pt idx="4">
                  <c:v>12.1550625</c:v>
                </c:pt>
                <c:pt idx="5">
                  <c:v>12.762815625000002</c:v>
                </c:pt>
                <c:pt idx="6">
                  <c:v>13.40095640625</c:v>
                </c:pt>
                <c:pt idx="7">
                  <c:v>14.071004226562502</c:v>
                </c:pt>
                <c:pt idx="8">
                  <c:v>14.774554437890625</c:v>
                </c:pt>
                <c:pt idx="9">
                  <c:v>15.513282159785158</c:v>
                </c:pt>
                <c:pt idx="10">
                  <c:v>16.288946267774417</c:v>
                </c:pt>
                <c:pt idx="11">
                  <c:v>17.103393581163139</c:v>
                </c:pt>
                <c:pt idx="12">
                  <c:v>17.958563260221293</c:v>
                </c:pt>
                <c:pt idx="13">
                  <c:v>18.856491423232359</c:v>
                </c:pt>
                <c:pt idx="14">
                  <c:v>19.799315994393972</c:v>
                </c:pt>
                <c:pt idx="15">
                  <c:v>20.789281794113677</c:v>
                </c:pt>
                <c:pt idx="16">
                  <c:v>21.828745883819359</c:v>
                </c:pt>
                <c:pt idx="17">
                  <c:v>22.920183178010333</c:v>
                </c:pt>
                <c:pt idx="18">
                  <c:v>24.066192336910849</c:v>
                </c:pt>
                <c:pt idx="19">
                  <c:v>25.269501953756389</c:v>
                </c:pt>
                <c:pt idx="20">
                  <c:v>26.53297705144421</c:v>
                </c:pt>
                <c:pt idx="21">
                  <c:v>27.859625904016418</c:v>
                </c:pt>
                <c:pt idx="22">
                  <c:v>29.252607199217238</c:v>
                </c:pt>
                <c:pt idx="23">
                  <c:v>30.715237559178107</c:v>
                </c:pt>
                <c:pt idx="24">
                  <c:v>32.250999437137004</c:v>
                </c:pt>
                <c:pt idx="25">
                  <c:v>33.863549408993862</c:v>
                </c:pt>
                <c:pt idx="26">
                  <c:v>35.556726879443552</c:v>
                </c:pt>
                <c:pt idx="27">
                  <c:v>37.334563223415735</c:v>
                </c:pt>
                <c:pt idx="28">
                  <c:v>39.201291384586511</c:v>
                </c:pt>
                <c:pt idx="29">
                  <c:v>41.16135595381585</c:v>
                </c:pt>
                <c:pt idx="30">
                  <c:v>43.219423751506625</c:v>
                </c:pt>
                <c:pt idx="31">
                  <c:v>45.380394939081974</c:v>
                </c:pt>
                <c:pt idx="32">
                  <c:v>47.649414686036067</c:v>
                </c:pt>
                <c:pt idx="33">
                  <c:v>50.031885420337872</c:v>
                </c:pt>
                <c:pt idx="34">
                  <c:v>52.533479691354763</c:v>
                </c:pt>
                <c:pt idx="35">
                  <c:v>55.160153675922516</c:v>
                </c:pt>
                <c:pt idx="36">
                  <c:v>57.918161359718631</c:v>
                </c:pt>
                <c:pt idx="37">
                  <c:v>60.814069427704567</c:v>
                </c:pt>
                <c:pt idx="38">
                  <c:v>63.854772899089781</c:v>
                </c:pt>
                <c:pt idx="39">
                  <c:v>67.047511544044283</c:v>
                </c:pt>
                <c:pt idx="40">
                  <c:v>70.399887121246493</c:v>
                </c:pt>
                <c:pt idx="41">
                  <c:v>73.91988147730882</c:v>
                </c:pt>
                <c:pt idx="42">
                  <c:v>77.61587555117427</c:v>
                </c:pt>
                <c:pt idx="43">
                  <c:v>81.496669328732992</c:v>
                </c:pt>
                <c:pt idx="44">
                  <c:v>85.571502795169621</c:v>
                </c:pt>
                <c:pt idx="45">
                  <c:v>89.850077934928123</c:v>
                </c:pt>
                <c:pt idx="46">
                  <c:v>94.342581831674508</c:v>
                </c:pt>
                <c:pt idx="47">
                  <c:v>99.059710923258265</c:v>
                </c:pt>
                <c:pt idx="48">
                  <c:v>104.01269646942117</c:v>
                </c:pt>
                <c:pt idx="49">
                  <c:v>109.21333129289224</c:v>
                </c:pt>
                <c:pt idx="50">
                  <c:v>114.67399785753685</c:v>
                </c:pt>
                <c:pt idx="51">
                  <c:v>120.40769775041369</c:v>
                </c:pt>
                <c:pt idx="52">
                  <c:v>126.42808263793438</c:v>
                </c:pt>
                <c:pt idx="53">
                  <c:v>132.74948676983109</c:v>
                </c:pt>
                <c:pt idx="54">
                  <c:v>139.38696110832262</c:v>
                </c:pt>
                <c:pt idx="55">
                  <c:v>146.35630916373879</c:v>
                </c:pt>
                <c:pt idx="56">
                  <c:v>153.6741246219257</c:v>
                </c:pt>
                <c:pt idx="57">
                  <c:v>161.35783085302199</c:v>
                </c:pt>
                <c:pt idx="58">
                  <c:v>169.42572239567312</c:v>
                </c:pt>
                <c:pt idx="59">
                  <c:v>177.89700851545678</c:v>
                </c:pt>
                <c:pt idx="60">
                  <c:v>186.79185894122958</c:v>
                </c:pt>
                <c:pt idx="61">
                  <c:v>196.13145188829111</c:v>
                </c:pt>
                <c:pt idx="62">
                  <c:v>205.9380244827056</c:v>
                </c:pt>
                <c:pt idx="63">
                  <c:v>216.23492570684095</c:v>
                </c:pt>
                <c:pt idx="64">
                  <c:v>227.04667199218301</c:v>
                </c:pt>
                <c:pt idx="65">
                  <c:v>238.39900559179216</c:v>
                </c:pt>
                <c:pt idx="66">
                  <c:v>250.31895587138177</c:v>
                </c:pt>
                <c:pt idx="67">
                  <c:v>262.83490366495084</c:v>
                </c:pt>
                <c:pt idx="68">
                  <c:v>275.97664884819841</c:v>
                </c:pt>
                <c:pt idx="69">
                  <c:v>289.7754812906083</c:v>
                </c:pt>
                <c:pt idx="70">
                  <c:v>304.26425535513874</c:v>
                </c:pt>
                <c:pt idx="71">
                  <c:v>319.47746812289569</c:v>
                </c:pt>
                <c:pt idx="72">
                  <c:v>335.45134152904046</c:v>
                </c:pt>
                <c:pt idx="73">
                  <c:v>352.22390860549245</c:v>
                </c:pt>
                <c:pt idx="74">
                  <c:v>369.83510403576707</c:v>
                </c:pt>
                <c:pt idx="75">
                  <c:v>388.32685923755548</c:v>
                </c:pt>
                <c:pt idx="76">
                  <c:v>407.7432021994332</c:v>
                </c:pt>
                <c:pt idx="77">
                  <c:v>428.13036230940497</c:v>
                </c:pt>
                <c:pt idx="78">
                  <c:v>449.53688042487505</c:v>
                </c:pt>
                <c:pt idx="79">
                  <c:v>472.013724446119</c:v>
                </c:pt>
                <c:pt idx="80">
                  <c:v>495.61441066842491</c:v>
                </c:pt>
                <c:pt idx="81">
                  <c:v>520.3951312018462</c:v>
                </c:pt>
                <c:pt idx="82">
                  <c:v>546.41488776193853</c:v>
                </c:pt>
                <c:pt idx="83">
                  <c:v>573.73563215003537</c:v>
                </c:pt>
                <c:pt idx="84">
                  <c:v>602.42241375753724</c:v>
                </c:pt>
                <c:pt idx="85">
                  <c:v>632.54353444541402</c:v>
                </c:pt>
                <c:pt idx="86">
                  <c:v>664.17071116768466</c:v>
                </c:pt>
                <c:pt idx="87">
                  <c:v>697.37924672606914</c:v>
                </c:pt>
                <c:pt idx="88">
                  <c:v>732.24820906237244</c:v>
                </c:pt>
                <c:pt idx="89">
                  <c:v>768.86061951549107</c:v>
                </c:pt>
                <c:pt idx="90">
                  <c:v>807.30365049126567</c:v>
                </c:pt>
                <c:pt idx="91">
                  <c:v>847.66883301582902</c:v>
                </c:pt>
                <c:pt idx="92">
                  <c:v>890.05227466662041</c:v>
                </c:pt>
                <c:pt idx="93">
                  <c:v>934.55488839995155</c:v>
                </c:pt>
                <c:pt idx="94">
                  <c:v>981.28263281994873</c:v>
                </c:pt>
                <c:pt idx="95">
                  <c:v>1030.3467644609466</c:v>
                </c:pt>
                <c:pt idx="96">
                  <c:v>1081.8641026839939</c:v>
                </c:pt>
                <c:pt idx="97">
                  <c:v>1135.9573078181936</c:v>
                </c:pt>
                <c:pt idx="98">
                  <c:v>1192.7551732091033</c:v>
                </c:pt>
                <c:pt idx="99">
                  <c:v>1252.3929318695587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1-409B-B935-47930E1A4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10</c:v>
                </c:pt>
                <c:pt idx="1">
                  <c:v>10.5</c:v>
                </c:pt>
                <c:pt idx="2">
                  <c:v>11.025</c:v>
                </c:pt>
                <c:pt idx="3">
                  <c:v>11.576250000000002</c:v>
                </c:pt>
                <c:pt idx="4">
                  <c:v>12.1550625</c:v>
                </c:pt>
                <c:pt idx="5">
                  <c:v>12.762815625000002</c:v>
                </c:pt>
                <c:pt idx="6">
                  <c:v>13.40095640625</c:v>
                </c:pt>
                <c:pt idx="7">
                  <c:v>14.071004226562502</c:v>
                </c:pt>
                <c:pt idx="8">
                  <c:v>14.774554437890625</c:v>
                </c:pt>
                <c:pt idx="9">
                  <c:v>15.513282159785158</c:v>
                </c:pt>
                <c:pt idx="10">
                  <c:v>16.288946267774417</c:v>
                </c:pt>
                <c:pt idx="11">
                  <c:v>17.103393581163139</c:v>
                </c:pt>
                <c:pt idx="12">
                  <c:v>17.958563260221293</c:v>
                </c:pt>
                <c:pt idx="13">
                  <c:v>18.856491423232359</c:v>
                </c:pt>
                <c:pt idx="14">
                  <c:v>19.799315994393972</c:v>
                </c:pt>
                <c:pt idx="15">
                  <c:v>20.789281794113677</c:v>
                </c:pt>
                <c:pt idx="16">
                  <c:v>21.828745883819359</c:v>
                </c:pt>
                <c:pt idx="17">
                  <c:v>22.920183178010333</c:v>
                </c:pt>
                <c:pt idx="18">
                  <c:v>24.066192336910849</c:v>
                </c:pt>
                <c:pt idx="19">
                  <c:v>25.269501953756389</c:v>
                </c:pt>
                <c:pt idx="20">
                  <c:v>26.53297705144421</c:v>
                </c:pt>
                <c:pt idx="21">
                  <c:v>27.859625904016418</c:v>
                </c:pt>
                <c:pt idx="22">
                  <c:v>29.252607199217238</c:v>
                </c:pt>
                <c:pt idx="23">
                  <c:v>30.715237559178107</c:v>
                </c:pt>
                <c:pt idx="24">
                  <c:v>32.250999437137004</c:v>
                </c:pt>
                <c:pt idx="25">
                  <c:v>33.863549408993862</c:v>
                </c:pt>
                <c:pt idx="26">
                  <c:v>35.556726879443552</c:v>
                </c:pt>
                <c:pt idx="27">
                  <c:v>37.334563223415735</c:v>
                </c:pt>
                <c:pt idx="28">
                  <c:v>39.201291384586511</c:v>
                </c:pt>
                <c:pt idx="29">
                  <c:v>41.16135595381585</c:v>
                </c:pt>
                <c:pt idx="30">
                  <c:v>43.219423751506625</c:v>
                </c:pt>
                <c:pt idx="31">
                  <c:v>45.380394939081974</c:v>
                </c:pt>
                <c:pt idx="32">
                  <c:v>47.649414686036067</c:v>
                </c:pt>
                <c:pt idx="33">
                  <c:v>50.031885420337872</c:v>
                </c:pt>
                <c:pt idx="34">
                  <c:v>52.533479691354763</c:v>
                </c:pt>
                <c:pt idx="35">
                  <c:v>55.160153675922516</c:v>
                </c:pt>
                <c:pt idx="36">
                  <c:v>57.918161359718631</c:v>
                </c:pt>
                <c:pt idx="37">
                  <c:v>60.814069427704567</c:v>
                </c:pt>
                <c:pt idx="38">
                  <c:v>63.854772899089781</c:v>
                </c:pt>
                <c:pt idx="39">
                  <c:v>67.047511544044283</c:v>
                </c:pt>
                <c:pt idx="40">
                  <c:v>70.399887121246493</c:v>
                </c:pt>
                <c:pt idx="41">
                  <c:v>73.91988147730882</c:v>
                </c:pt>
                <c:pt idx="42">
                  <c:v>77.61587555117427</c:v>
                </c:pt>
                <c:pt idx="43">
                  <c:v>81.496669328732992</c:v>
                </c:pt>
                <c:pt idx="44">
                  <c:v>85.571502795169621</c:v>
                </c:pt>
                <c:pt idx="45">
                  <c:v>89.850077934928123</c:v>
                </c:pt>
                <c:pt idx="46">
                  <c:v>94.342581831674508</c:v>
                </c:pt>
                <c:pt idx="47">
                  <c:v>99.059710923258265</c:v>
                </c:pt>
                <c:pt idx="48">
                  <c:v>104.01269646942117</c:v>
                </c:pt>
                <c:pt idx="49">
                  <c:v>109.21333129289224</c:v>
                </c:pt>
                <c:pt idx="50">
                  <c:v>114.67399785753685</c:v>
                </c:pt>
                <c:pt idx="51">
                  <c:v>120.40769775041369</c:v>
                </c:pt>
                <c:pt idx="52">
                  <c:v>126.42808263793438</c:v>
                </c:pt>
                <c:pt idx="53">
                  <c:v>132.74948676983109</c:v>
                </c:pt>
                <c:pt idx="54">
                  <c:v>139.38696110832262</c:v>
                </c:pt>
                <c:pt idx="55">
                  <c:v>146.35630916373879</c:v>
                </c:pt>
                <c:pt idx="56">
                  <c:v>153.6741246219257</c:v>
                </c:pt>
                <c:pt idx="57">
                  <c:v>161.35783085302199</c:v>
                </c:pt>
                <c:pt idx="58">
                  <c:v>169.42572239567312</c:v>
                </c:pt>
                <c:pt idx="59">
                  <c:v>177.89700851545678</c:v>
                </c:pt>
                <c:pt idx="60">
                  <c:v>186.79185894122958</c:v>
                </c:pt>
                <c:pt idx="61">
                  <c:v>196.13145188829111</c:v>
                </c:pt>
                <c:pt idx="62">
                  <c:v>205.9380244827056</c:v>
                </c:pt>
                <c:pt idx="63">
                  <c:v>216.23492570684095</c:v>
                </c:pt>
                <c:pt idx="64">
                  <c:v>227.04667199218301</c:v>
                </c:pt>
                <c:pt idx="65">
                  <c:v>238.39900559179216</c:v>
                </c:pt>
                <c:pt idx="66">
                  <c:v>250.31895587138177</c:v>
                </c:pt>
                <c:pt idx="67">
                  <c:v>262.83490366495084</c:v>
                </c:pt>
                <c:pt idx="68">
                  <c:v>275.97664884819841</c:v>
                </c:pt>
                <c:pt idx="69">
                  <c:v>289.7754812906083</c:v>
                </c:pt>
                <c:pt idx="70">
                  <c:v>304.26425535513874</c:v>
                </c:pt>
                <c:pt idx="71">
                  <c:v>319.47746812289569</c:v>
                </c:pt>
                <c:pt idx="72">
                  <c:v>335.45134152904046</c:v>
                </c:pt>
                <c:pt idx="73">
                  <c:v>352.22390860549245</c:v>
                </c:pt>
                <c:pt idx="74">
                  <c:v>369.83510403576707</c:v>
                </c:pt>
                <c:pt idx="75">
                  <c:v>388.32685923755548</c:v>
                </c:pt>
                <c:pt idx="76">
                  <c:v>407.7432021994332</c:v>
                </c:pt>
                <c:pt idx="77">
                  <c:v>428.13036230940497</c:v>
                </c:pt>
                <c:pt idx="78">
                  <c:v>449.53688042487505</c:v>
                </c:pt>
                <c:pt idx="79">
                  <c:v>472.013724446119</c:v>
                </c:pt>
                <c:pt idx="80">
                  <c:v>495.61441066842491</c:v>
                </c:pt>
                <c:pt idx="81">
                  <c:v>520.3951312018462</c:v>
                </c:pt>
                <c:pt idx="82">
                  <c:v>546.41488776193853</c:v>
                </c:pt>
                <c:pt idx="83">
                  <c:v>573.73563215003537</c:v>
                </c:pt>
                <c:pt idx="84">
                  <c:v>602.42241375753724</c:v>
                </c:pt>
                <c:pt idx="85">
                  <c:v>632.54353444541402</c:v>
                </c:pt>
                <c:pt idx="86">
                  <c:v>664.17071116768466</c:v>
                </c:pt>
                <c:pt idx="87">
                  <c:v>697.37924672606914</c:v>
                </c:pt>
                <c:pt idx="88">
                  <c:v>732.24820906237244</c:v>
                </c:pt>
                <c:pt idx="89">
                  <c:v>768.86061951549107</c:v>
                </c:pt>
                <c:pt idx="90">
                  <c:v>807.30365049126567</c:v>
                </c:pt>
                <c:pt idx="91">
                  <c:v>847.66883301582902</c:v>
                </c:pt>
                <c:pt idx="92">
                  <c:v>890.05227466662041</c:v>
                </c:pt>
                <c:pt idx="93">
                  <c:v>934.55488839995155</c:v>
                </c:pt>
                <c:pt idx="94">
                  <c:v>981.28263281994873</c:v>
                </c:pt>
                <c:pt idx="95">
                  <c:v>1030.3467644609466</c:v>
                </c:pt>
                <c:pt idx="96">
                  <c:v>1081.8641026839939</c:v>
                </c:pt>
                <c:pt idx="97">
                  <c:v>1135.9573078181936</c:v>
                </c:pt>
                <c:pt idx="98">
                  <c:v>1192.7551732091033</c:v>
                </c:pt>
                <c:pt idx="99">
                  <c:v>1252.3929318695587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D3-410C-81DE-612860E6C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100011</xdr:colOff>
      <xdr:row>95</xdr:row>
      <xdr:rowOff>128587</xdr:rowOff>
    </xdr:from>
    <xdr:to>
      <xdr:col>32</xdr:col>
      <xdr:colOff>104774</xdr:colOff>
      <xdr:row>110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ED597A1-9DD8-49C6-AEC6-DDAB4A499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100011</xdr:colOff>
      <xdr:row>96</xdr:row>
      <xdr:rowOff>128587</xdr:rowOff>
    </xdr:from>
    <xdr:to>
      <xdr:col>30</xdr:col>
      <xdr:colOff>104774</xdr:colOff>
      <xdr:row>111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544AB29-9E5B-4451-AE22-5ED75F97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67E5-2CFA-4D53-BAE8-871F5DF4BACC}">
  <sheetPr codeName="Sheet1"/>
  <dimension ref="A1:Y67"/>
  <sheetViews>
    <sheetView workbookViewId="0">
      <pane xSplit="2" ySplit="8" topLeftCell="C39" activePane="bottomRight" state="frozen"/>
      <selection pane="topRight" activeCell="C1" sqref="C1"/>
      <selection pane="bottomLeft" activeCell="A9" sqref="A9"/>
      <selection pane="bottomRight" activeCell="L60" sqref="L60"/>
    </sheetView>
  </sheetViews>
  <sheetFormatPr defaultRowHeight="14.25" customHeight="1" x14ac:dyDescent="0.2"/>
  <cols>
    <col min="1" max="9" width="9" style="1"/>
    <col min="10" max="10" width="2.5" style="1" customWidth="1"/>
    <col min="11" max="21" width="9" style="1"/>
    <col min="22" max="22" width="2.5" style="1" customWidth="1"/>
    <col min="23" max="16384" width="9" style="1"/>
  </cols>
  <sheetData>
    <row r="1" spans="1:25" ht="14.25" customHeight="1" x14ac:dyDescent="0.2">
      <c r="A1" s="108" t="s">
        <v>218</v>
      </c>
      <c r="B1" s="109"/>
    </row>
    <row r="2" spans="1:25" ht="14.25" customHeight="1" x14ac:dyDescent="0.2">
      <c r="A2" s="110"/>
      <c r="B2" s="111"/>
    </row>
    <row r="3" spans="1:25" ht="14.25" customHeight="1" x14ac:dyDescent="0.2">
      <c r="D3" s="2" t="s">
        <v>80</v>
      </c>
    </row>
    <row r="4" spans="1:25" s="3" customFormat="1" ht="14.25" customHeight="1" x14ac:dyDescent="0.2">
      <c r="C4" s="3" t="s">
        <v>23</v>
      </c>
      <c r="K4" s="3" t="s">
        <v>24</v>
      </c>
      <c r="W4" s="3" t="s">
        <v>25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K5" s="1" t="s">
        <v>18</v>
      </c>
      <c r="L5" s="1" t="s">
        <v>16</v>
      </c>
      <c r="M5" s="1" t="s">
        <v>13</v>
      </c>
      <c r="N5" s="1" t="s">
        <v>14</v>
      </c>
      <c r="O5" s="1" t="s">
        <v>5</v>
      </c>
      <c r="Q5" s="1" t="s">
        <v>18</v>
      </c>
      <c r="R5" s="1" t="s">
        <v>16</v>
      </c>
      <c r="S5" s="1" t="s">
        <v>13</v>
      </c>
      <c r="T5" s="1" t="s">
        <v>14</v>
      </c>
      <c r="U5" s="1" t="s">
        <v>5</v>
      </c>
      <c r="W5" s="3" t="s">
        <v>16</v>
      </c>
      <c r="X5" s="3" t="s">
        <v>136</v>
      </c>
      <c r="Y5" s="3" t="s">
        <v>137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K6" s="1">
        <v>1</v>
      </c>
      <c r="L6" s="1" t="s">
        <v>122</v>
      </c>
      <c r="M6" s="1">
        <f t="shared" ref="M6:O10" si="0">VLOOKUP($L6,$D$10:$G$13,MATCH(M$5,$D$10:$G$10,0),0)</f>
        <v>5</v>
      </c>
      <c r="N6" s="1">
        <f t="shared" si="0"/>
        <v>100</v>
      </c>
      <c r="O6" s="1">
        <f t="shared" si="0"/>
        <v>5</v>
      </c>
      <c r="Q6" s="1">
        <v>1</v>
      </c>
      <c r="R6" s="1" t="s">
        <v>3</v>
      </c>
      <c r="S6" s="1">
        <f t="shared" ref="S6:U10" si="1">VLOOKUP($R6,$D$10:$G$13,MATCH(S$5,$D$10:$G$10,0),0)</f>
        <v>5</v>
      </c>
      <c r="T6" s="1">
        <f t="shared" si="1"/>
        <v>100</v>
      </c>
      <c r="U6" s="1">
        <f t="shared" si="1"/>
        <v>5</v>
      </c>
      <c r="W6" s="11" t="s">
        <v>3</v>
      </c>
      <c r="X6" s="1">
        <v>2</v>
      </c>
      <c r="Y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K7" s="1">
        <v>2</v>
      </c>
      <c r="L7" s="1" t="s">
        <v>3</v>
      </c>
      <c r="M7" s="1">
        <f t="shared" si="0"/>
        <v>5</v>
      </c>
      <c r="N7" s="1">
        <f t="shared" si="0"/>
        <v>100</v>
      </c>
      <c r="O7" s="1">
        <f t="shared" si="0"/>
        <v>5</v>
      </c>
      <c r="Q7" s="1">
        <v>2</v>
      </c>
      <c r="R7" s="1" t="s">
        <v>3</v>
      </c>
      <c r="S7" s="1">
        <f t="shared" si="1"/>
        <v>5</v>
      </c>
      <c r="T7" s="1">
        <f t="shared" si="1"/>
        <v>100</v>
      </c>
      <c r="U7" s="1">
        <f t="shared" si="1"/>
        <v>5</v>
      </c>
      <c r="W7" s="1" t="s">
        <v>4</v>
      </c>
      <c r="X7" s="1">
        <v>1</v>
      </c>
      <c r="Y7" s="1">
        <v>3</v>
      </c>
    </row>
    <row r="8" spans="1:25" ht="14.25" customHeight="1" x14ac:dyDescent="0.2">
      <c r="D8" s="2" t="s">
        <v>28</v>
      </c>
      <c r="K8" s="1">
        <v>3</v>
      </c>
      <c r="L8" s="1" t="s">
        <v>123</v>
      </c>
      <c r="M8" s="1">
        <f t="shared" si="0"/>
        <v>10</v>
      </c>
      <c r="N8" s="1">
        <f t="shared" si="0"/>
        <v>40</v>
      </c>
      <c r="O8" s="1">
        <f t="shared" si="0"/>
        <v>0</v>
      </c>
      <c r="Q8" s="1">
        <v>3</v>
      </c>
      <c r="R8" s="1" t="s">
        <v>4</v>
      </c>
      <c r="S8" s="1">
        <f t="shared" si="1"/>
        <v>10</v>
      </c>
      <c r="T8" s="1">
        <f t="shared" si="1"/>
        <v>40</v>
      </c>
      <c r="U8" s="1">
        <f t="shared" si="1"/>
        <v>0</v>
      </c>
      <c r="W8" s="1" t="s">
        <v>5</v>
      </c>
      <c r="X8" s="1">
        <v>0</v>
      </c>
      <c r="Y8" s="1">
        <v>2</v>
      </c>
    </row>
    <row r="9" spans="1:25" ht="14.25" customHeight="1" x14ac:dyDescent="0.2">
      <c r="K9" s="1">
        <v>4</v>
      </c>
      <c r="L9" s="1" t="s">
        <v>123</v>
      </c>
      <c r="M9" s="1">
        <f t="shared" si="0"/>
        <v>10</v>
      </c>
      <c r="N9" s="1">
        <f t="shared" si="0"/>
        <v>40</v>
      </c>
      <c r="O9" s="1">
        <f t="shared" si="0"/>
        <v>0</v>
      </c>
      <c r="Q9" s="1">
        <v>4</v>
      </c>
      <c r="R9" s="1" t="s">
        <v>4</v>
      </c>
      <c r="S9" s="1">
        <f t="shared" si="1"/>
        <v>10</v>
      </c>
      <c r="T9" s="1">
        <f t="shared" si="1"/>
        <v>40</v>
      </c>
      <c r="U9" s="1">
        <f t="shared" si="1"/>
        <v>0</v>
      </c>
      <c r="W9" s="2" t="s">
        <v>82</v>
      </c>
    </row>
    <row r="10" spans="1:25" ht="14.25" customHeight="1" x14ac:dyDescent="0.2">
      <c r="D10" s="3" t="s">
        <v>16</v>
      </c>
      <c r="E10" s="3" t="s">
        <v>13</v>
      </c>
      <c r="F10" s="3" t="s">
        <v>14</v>
      </c>
      <c r="G10" s="3" t="s">
        <v>5</v>
      </c>
      <c r="K10" s="1">
        <v>5</v>
      </c>
      <c r="L10" s="1" t="s">
        <v>124</v>
      </c>
      <c r="M10" s="1">
        <f t="shared" si="0"/>
        <v>8</v>
      </c>
      <c r="N10" s="1">
        <f t="shared" si="0"/>
        <v>50</v>
      </c>
      <c r="O10" s="1">
        <f t="shared" si="0"/>
        <v>16</v>
      </c>
      <c r="Q10" s="1">
        <v>5</v>
      </c>
      <c r="R10" s="1" t="s">
        <v>5</v>
      </c>
      <c r="S10" s="1">
        <f t="shared" si="1"/>
        <v>8</v>
      </c>
      <c r="T10" s="1">
        <f t="shared" si="1"/>
        <v>50</v>
      </c>
      <c r="U10" s="1">
        <f t="shared" si="1"/>
        <v>16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5</v>
      </c>
      <c r="J11" s="6"/>
      <c r="L11" s="1">
        <v>5</v>
      </c>
      <c r="M11" s="1">
        <f>SUM(M6:M$10)</f>
        <v>38</v>
      </c>
      <c r="N11" s="1">
        <f>SUM(N6:N$10)</f>
        <v>330</v>
      </c>
      <c r="O11" s="1">
        <f>SUM(O6:O$10)</f>
        <v>26</v>
      </c>
      <c r="R11" s="1">
        <v>5</v>
      </c>
      <c r="S11" s="1">
        <f>SUM(S6:S$10)</f>
        <v>38</v>
      </c>
      <c r="T11" s="1">
        <f>SUM(T6:T$10)</f>
        <v>330</v>
      </c>
      <c r="U11" s="1">
        <f>SUM(U6:U$10)</f>
        <v>26</v>
      </c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J12" s="6"/>
      <c r="K12" s="6">
        <f>N11/(M11-O11)</f>
        <v>27.5</v>
      </c>
      <c r="L12" s="1">
        <v>4</v>
      </c>
      <c r="M12" s="1">
        <f>SUM(M7:M$10)</f>
        <v>33</v>
      </c>
      <c r="N12" s="1">
        <f>SUM(N7:N$10)</f>
        <v>230</v>
      </c>
      <c r="O12" s="1">
        <f>SUM(O7:O$10)</f>
        <v>21</v>
      </c>
      <c r="R12" s="1">
        <v>4</v>
      </c>
      <c r="S12" s="1">
        <f>SUM(S7:S$10)</f>
        <v>33</v>
      </c>
      <c r="T12" s="1">
        <f>SUM(T7:T$10)</f>
        <v>230</v>
      </c>
      <c r="U12" s="1">
        <f>IF(R7="治疗",$U$10+$U$9+$U$8,SUM(U7:U$10))</f>
        <v>21</v>
      </c>
    </row>
    <row r="13" spans="1:25" ht="14.25" customHeight="1" x14ac:dyDescent="0.2">
      <c r="D13" s="1" t="s">
        <v>5</v>
      </c>
      <c r="E13" s="6">
        <v>8</v>
      </c>
      <c r="F13" s="6">
        <v>50</v>
      </c>
      <c r="G13" s="6">
        <v>16</v>
      </c>
      <c r="J13" s="6"/>
      <c r="L13" s="1">
        <v>3</v>
      </c>
      <c r="M13" s="1">
        <f>SUM(M8:M$10)</f>
        <v>28</v>
      </c>
      <c r="N13" s="1">
        <f>SUM(N8:N$10)</f>
        <v>130</v>
      </c>
      <c r="O13" s="1">
        <f>SUM(O8:O$10)</f>
        <v>16</v>
      </c>
      <c r="R13" s="1">
        <v>3</v>
      </c>
      <c r="S13" s="1">
        <f>SUM(S8:S$10)</f>
        <v>28</v>
      </c>
      <c r="T13" s="1">
        <f>SUM(T8:T$10)</f>
        <v>130</v>
      </c>
      <c r="U13" s="1">
        <f>IF(R8="治疗",$U$10+$U$9,SUM(U8:U$10))</f>
        <v>16</v>
      </c>
    </row>
    <row r="14" spans="1:25" ht="14.25" customHeight="1" x14ac:dyDescent="0.2">
      <c r="J14" s="6"/>
      <c r="L14" s="1">
        <v>2</v>
      </c>
      <c r="M14" s="1">
        <f>SUM(M9:M$10)</f>
        <v>18</v>
      </c>
      <c r="N14" s="1">
        <f>SUM(N9:N$10)</f>
        <v>90</v>
      </c>
      <c r="O14" s="1">
        <f>SUM(O9:O$10)</f>
        <v>16</v>
      </c>
      <c r="R14" s="1">
        <v>2</v>
      </c>
      <c r="S14" s="1">
        <f>SUM(S9:S$10)</f>
        <v>18</v>
      </c>
      <c r="T14" s="1">
        <f>SUM(T9:T$10)</f>
        <v>90</v>
      </c>
      <c r="U14" s="1">
        <f>IF(R9="治疗",$U$10,SUM(U9:U$10))</f>
        <v>16</v>
      </c>
    </row>
    <row r="15" spans="1:25" s="3" customFormat="1" ht="14.25" customHeight="1" x14ac:dyDescent="0.2">
      <c r="C15" s="1" t="s">
        <v>19</v>
      </c>
      <c r="D15" s="1"/>
      <c r="E15" s="1"/>
      <c r="F15" s="1"/>
      <c r="G15" s="1"/>
      <c r="H15" s="1"/>
      <c r="J15" s="6"/>
      <c r="L15" s="1">
        <v>1</v>
      </c>
      <c r="M15" s="1">
        <f>SUM(M10:M$10)</f>
        <v>8</v>
      </c>
      <c r="N15" s="1">
        <f>SUM(N10:N$10)</f>
        <v>50</v>
      </c>
      <c r="O15" s="1">
        <v>0</v>
      </c>
      <c r="R15" s="1">
        <v>1</v>
      </c>
      <c r="S15" s="1">
        <f>SUM(S10:S$10)</f>
        <v>8</v>
      </c>
      <c r="T15" s="1">
        <f>SUM(T10:T$10)</f>
        <v>50</v>
      </c>
      <c r="U15" s="1">
        <v>0</v>
      </c>
    </row>
    <row r="16" spans="1:25" ht="14.25" customHeight="1" x14ac:dyDescent="0.2">
      <c r="C16" s="3" t="s">
        <v>18</v>
      </c>
      <c r="D16" s="3" t="s">
        <v>16</v>
      </c>
      <c r="E16" s="3" t="s">
        <v>13</v>
      </c>
      <c r="F16" s="3" t="s">
        <v>14</v>
      </c>
      <c r="G16" s="3" t="s">
        <v>5</v>
      </c>
      <c r="L16" s="2" t="s">
        <v>27</v>
      </c>
    </row>
    <row r="17" spans="3:20" ht="14.25" customHeight="1" x14ac:dyDescent="0.2">
      <c r="C17" s="1">
        <v>1</v>
      </c>
      <c r="D17" s="1" t="s">
        <v>3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5</v>
      </c>
      <c r="H17" s="8"/>
      <c r="N17" s="1" t="s">
        <v>22</v>
      </c>
      <c r="R17" s="1" t="s">
        <v>22</v>
      </c>
    </row>
    <row r="18" spans="3:20" ht="14.25" customHeight="1" x14ac:dyDescent="0.2">
      <c r="C18" s="1">
        <v>2</v>
      </c>
      <c r="D18" s="1" t="s">
        <v>3</v>
      </c>
      <c r="E18" s="1">
        <f t="shared" si="2"/>
        <v>5</v>
      </c>
      <c r="F18" s="1">
        <f t="shared" si="2"/>
        <v>100</v>
      </c>
      <c r="G18" s="1">
        <f t="shared" si="2"/>
        <v>5</v>
      </c>
      <c r="H18" s="8"/>
      <c r="N18" s="1">
        <v>5</v>
      </c>
      <c r="O18" s="6">
        <f>INDEX($N$6:$N$10,MATCH(N18,$L$11:$L$15,0))/(VLOOKUP(R18,$R$11:$U$15,2,0)-VLOOKUP(N18,$L$11:$O$15,4,0))</f>
        <v>8.3333333333333339</v>
      </c>
      <c r="P18" s="10">
        <f>O18-Q18</f>
        <v>0</v>
      </c>
      <c r="Q18" s="6">
        <f>INDEX($T$6:$T$10,MATCH(R18,$L$11:$L$15,0))/(VLOOKUP(N18,$L$11:$O$15,2,0)-VLOOKUP(R18,$R$11:$U$15,4,0))</f>
        <v>8.3333333333333339</v>
      </c>
      <c r="R18" s="1">
        <v>5</v>
      </c>
      <c r="S18" s="6">
        <f>IFERROR(IF(P18&gt;0,Q18,O18),"")</f>
        <v>8.3333333333333339</v>
      </c>
      <c r="T18" s="8"/>
    </row>
    <row r="19" spans="3:20" ht="14.25" customHeight="1" x14ac:dyDescent="0.2">
      <c r="C19" s="1">
        <v>3</v>
      </c>
      <c r="D19" s="1" t="s">
        <v>4</v>
      </c>
      <c r="E19" s="1">
        <f t="shared" si="2"/>
        <v>10</v>
      </c>
      <c r="F19" s="1">
        <f t="shared" si="2"/>
        <v>40</v>
      </c>
      <c r="G19" s="1">
        <f t="shared" si="2"/>
        <v>0</v>
      </c>
      <c r="H19" s="8"/>
      <c r="I19" s="5"/>
      <c r="P19" s="6">
        <f>IF(P18&gt;0,P18/O18*INDEX($N$6:$N$10,MATCH(N18,$L$11:$L$15,0)),-P18/Q18*INDEX($T$6:$T$10,MATCH(R18,$L$11:$L$15,0)))</f>
        <v>0</v>
      </c>
    </row>
    <row r="20" spans="3:20" ht="14.25" customHeight="1" x14ac:dyDescent="0.2">
      <c r="C20" s="1">
        <v>4</v>
      </c>
      <c r="D20" s="1" t="s">
        <v>4</v>
      </c>
      <c r="E20" s="1">
        <f t="shared" si="2"/>
        <v>10</v>
      </c>
      <c r="F20" s="1">
        <f t="shared" si="2"/>
        <v>40</v>
      </c>
      <c r="G20" s="1">
        <f t="shared" si="2"/>
        <v>0</v>
      </c>
      <c r="H20" s="8"/>
      <c r="I20" s="5"/>
      <c r="N20" s="1">
        <f>IF($P18&gt;0,N18,N18-1)</f>
        <v>4</v>
      </c>
      <c r="O20" s="6">
        <f>IF(P18&gt;0,P19,INDEX($N$6:$N$10,MATCH(N20,$L$11:$L$15,0)))/MAX((VLOOKUP(R20,$R$11:$U$15,2,0)-VLOOKUP(N20,$L$11:$O$15,4,0)),1)</f>
        <v>8.3333333333333339</v>
      </c>
      <c r="P20" s="10">
        <f>O20-Q20</f>
        <v>0</v>
      </c>
      <c r="Q20" s="6">
        <f>IF(P18&lt;0,P19,INDEX($T$6:$T$10,MATCH(R20,$L$11:$L$15,0)))/MAX((VLOOKUP(N20,$L$11:$O$15,2,0)-VLOOKUP(R20,$R$11:$U$15,4,0)),1)</f>
        <v>8.3333333333333339</v>
      </c>
      <c r="R20" s="1">
        <f>IF($P18&lt;0,R18,R18-1)</f>
        <v>4</v>
      </c>
      <c r="S20" s="6">
        <f>IFERROR(IF(P20&gt;0,Q20,O20),"")</f>
        <v>8.3333333333333339</v>
      </c>
    </row>
    <row r="21" spans="3:20" ht="14.25" customHeight="1" x14ac:dyDescent="0.2">
      <c r="C21" s="1">
        <v>5</v>
      </c>
      <c r="D21" s="1" t="s">
        <v>5</v>
      </c>
      <c r="E21" s="1">
        <f t="shared" si="2"/>
        <v>8</v>
      </c>
      <c r="F21" s="1">
        <f t="shared" si="2"/>
        <v>50</v>
      </c>
      <c r="G21" s="1">
        <f t="shared" si="2"/>
        <v>16</v>
      </c>
      <c r="H21" s="8"/>
      <c r="I21" s="5"/>
      <c r="P21" s="6">
        <f>IF(P20&gt;0,P20/O20*INDEX($N$6:$N$10,MATCH(N20,$L$11:$L$15,0)),-P20/Q20*INDEX($T$6:$T$10,MATCH(R20,$L$11:$L$15,0)))</f>
        <v>0</v>
      </c>
    </row>
    <row r="22" spans="3:20" ht="14.25" customHeight="1" x14ac:dyDescent="0.2">
      <c r="C22" s="7" t="s">
        <v>135</v>
      </c>
      <c r="H22" s="1" t="s">
        <v>15</v>
      </c>
      <c r="I22" s="9"/>
      <c r="J22" s="9"/>
      <c r="N22" s="1">
        <f>IF($P20&gt;0,N20,N20-1)</f>
        <v>3</v>
      </c>
      <c r="O22" s="6">
        <f>IF(P20&gt;0,P21,INDEX($N$6:$N$10,MATCH(N22,$L$11:$L$15,0)))/MAX((VLOOKUP(R22,$R$11:$U$15,2,0)-VLOOKUP(N22,$L$11:$O$15,4,0)),1)</f>
        <v>3.3333333333333335</v>
      </c>
      <c r="P22" s="10">
        <f>O22-Q22</f>
        <v>0</v>
      </c>
      <c r="Q22" s="6">
        <f>IF(P20&lt;0,P21,INDEX($T$6:$T$10,MATCH(R22,$L$11:$L$15,0)))/MAX((VLOOKUP(N22,$L$11:$O$15,2,0)-VLOOKUP(R22,$R$11:$U$15,4,0)),1)</f>
        <v>3.3333333333333335</v>
      </c>
      <c r="R22" s="1">
        <f>IF($P20&lt;0,R20,R20-1)</f>
        <v>3</v>
      </c>
      <c r="S22" s="6">
        <f>IFERROR(IF(P22&gt;0,Q22,O22),"")</f>
        <v>3.3333333333333335</v>
      </c>
    </row>
    <row r="23" spans="3:20" ht="14.25" customHeight="1" x14ac:dyDescent="0.2">
      <c r="D23" s="1">
        <v>5</v>
      </c>
      <c r="E23" s="1">
        <f>SUM(E17:E$21)</f>
        <v>38</v>
      </c>
      <c r="F23" s="1">
        <f>SUM(F17:F$21)</f>
        <v>330</v>
      </c>
      <c r="G23" s="1">
        <f>SUM(G17:G$21)</f>
        <v>26</v>
      </c>
      <c r="H23" s="6">
        <f>F17/(E23-G23)</f>
        <v>8.3333333333333339</v>
      </c>
      <c r="I23" s="9"/>
      <c r="J23" s="9"/>
      <c r="P23" s="6">
        <f>IF(P22&gt;0,P22/O22*INDEX($N$6:$N$10,MATCH(N22,$L$11:$L$15,0)),-P22/Q22*INDEX($T$6:$T$10,MATCH(R22,$L$11:$L$15,0)))</f>
        <v>0</v>
      </c>
    </row>
    <row r="24" spans="3:20" ht="14.25" customHeight="1" x14ac:dyDescent="0.2">
      <c r="D24" s="1">
        <v>4</v>
      </c>
      <c r="E24" s="1">
        <f>SUM(E18:E$21)</f>
        <v>33</v>
      </c>
      <c r="F24" s="1">
        <f>SUM(F18:F$21)</f>
        <v>230</v>
      </c>
      <c r="G24" s="1">
        <f>SUM(G18:G$21)</f>
        <v>21</v>
      </c>
      <c r="H24" s="6">
        <f>F18/(E24-G24)</f>
        <v>8.3333333333333339</v>
      </c>
      <c r="I24" s="9"/>
      <c r="J24" s="9"/>
      <c r="N24" s="1">
        <f>IF($P22&gt;0,N22,N22-1)</f>
        <v>2</v>
      </c>
      <c r="O24" s="6">
        <f>IF(P22&gt;0,P23,INDEX($N$6:$N$10,MATCH(N24,$L$11:$L$15,0)))/MAX((VLOOKUP(R24,$R$11:$U$15,2,0)-VLOOKUP(N24,$L$11:$O$15,4,0)),1)</f>
        <v>20</v>
      </c>
      <c r="P24" s="10">
        <f>O24-Q24</f>
        <v>0</v>
      </c>
      <c r="Q24" s="6">
        <f>IF(P22&lt;0,P23,INDEX($T$6:$T$10,MATCH(R24,$L$11:$L$15,0)))/MAX((VLOOKUP(N24,$L$11:$O$15,2,0)-VLOOKUP(R24,$R$11:$U$15,4,0)),1)</f>
        <v>20</v>
      </c>
      <c r="R24" s="1">
        <f>IF($P22&lt;0,R22,R22-1)</f>
        <v>2</v>
      </c>
      <c r="S24" s="6">
        <f>IFERROR(IF(P24&gt;0,Q24,O24),"")</f>
        <v>20</v>
      </c>
    </row>
    <row r="25" spans="3:20" ht="14.25" customHeight="1" x14ac:dyDescent="0.2">
      <c r="D25" s="1">
        <v>3</v>
      </c>
      <c r="E25" s="1">
        <f>SUM(E19:E$21)</f>
        <v>28</v>
      </c>
      <c r="F25" s="1">
        <f>SUM(F19:F$21)</f>
        <v>130</v>
      </c>
      <c r="G25" s="1">
        <f>SUM(G19:G$21)</f>
        <v>16</v>
      </c>
      <c r="H25" s="6">
        <f>F19/(E25-G25)</f>
        <v>3.3333333333333335</v>
      </c>
      <c r="I25" s="9"/>
      <c r="P25" s="6">
        <f>IF(P24&gt;0,P24/O24*INDEX($N$6:$N$10,MATCH(N24,$L$11:$L$15,0)),-P24/Q24*INDEX($T$6:$T$10,MATCH(R24,$L$11:$L$15,0)))</f>
        <v>0</v>
      </c>
    </row>
    <row r="26" spans="3:20" ht="14.25" customHeight="1" x14ac:dyDescent="0.2">
      <c r="D26" s="1">
        <v>2</v>
      </c>
      <c r="E26" s="1">
        <f>SUM(E20:E$21)</f>
        <v>18</v>
      </c>
      <c r="F26" s="1">
        <f>SUM(F20:F$21)</f>
        <v>90</v>
      </c>
      <c r="G26" s="1">
        <f>SUM(G20:G$21)</f>
        <v>16</v>
      </c>
      <c r="H26" s="6">
        <f>F20/(E26-G26)</f>
        <v>20</v>
      </c>
      <c r="I26" s="9"/>
      <c r="N26" s="1">
        <f>IF($P24&gt;0,N24,N24-1)</f>
        <v>1</v>
      </c>
      <c r="O26" s="6">
        <f>IF(P24&gt;0,P25,INDEX($N$6:$N$10,MATCH(N26,$L$11:$L$15,0)))/MAX((VLOOKUP(R26,$R$11:$U$15,2,0)-VLOOKUP(N26,$L$11:$O$15,4,0)),1)</f>
        <v>6.25</v>
      </c>
      <c r="P26" s="10">
        <f>O26-Q26</f>
        <v>0</v>
      </c>
      <c r="Q26" s="6">
        <f>IF(P24&lt;0,P25,INDEX($T$6:$T$10,MATCH(R26,$L$11:$L$15,0)))/MAX((VLOOKUP(N26,$L$11:$O$15,2,0)-VLOOKUP(R26,$R$11:$U$15,4,0)),1)</f>
        <v>6.25</v>
      </c>
      <c r="R26" s="1">
        <f>IF($P24&lt;0,R24,R24-1)</f>
        <v>1</v>
      </c>
      <c r="S26" s="6">
        <f>IFERROR(IF(P26&gt;0,Q26,O26),"")</f>
        <v>6.25</v>
      </c>
    </row>
    <row r="27" spans="3:20" ht="14.25" customHeight="1" x14ac:dyDescent="0.2">
      <c r="D27" s="1">
        <v>1</v>
      </c>
      <c r="E27" s="1">
        <f>SUM(E21:E$21)</f>
        <v>8</v>
      </c>
      <c r="F27" s="1">
        <f>SUM(F21:F$21)</f>
        <v>50</v>
      </c>
      <c r="G27" s="1">
        <v>0</v>
      </c>
      <c r="H27" s="6">
        <f>F21/(E27-G27)</f>
        <v>6.25</v>
      </c>
      <c r="I27" s="9"/>
      <c r="P27" s="6">
        <f>IF(P26&gt;0,P26/O26*INDEX($N$6:$N$10,MATCH(N26,$L$11:$L$15,0)),-P26/Q26*INDEX($T$6:$T$10,MATCH(R26,$L$11:$L$15,0)))</f>
        <v>0</v>
      </c>
    </row>
    <row r="28" spans="3:20" ht="14.25" customHeight="1" x14ac:dyDescent="0.2">
      <c r="H28" s="6">
        <f>SUM(H23:H27)</f>
        <v>46.25</v>
      </c>
      <c r="N28" s="1">
        <f>IF($P26&gt;0,N26,N26-1)</f>
        <v>0</v>
      </c>
      <c r="O28" s="6" t="e">
        <f>IF(P26&gt;0,P27,INDEX($N$6:$N$10,MATCH(N28,$L$11:$L$15,0)))/MAX((VLOOKUP(R28,$R$11:$U$15,2,0)-VLOOKUP(N28,$L$11:$O$15,4,0)),1)</f>
        <v>#N/A</v>
      </c>
      <c r="P28" s="10" t="e">
        <f>O28-Q28</f>
        <v>#N/A</v>
      </c>
      <c r="Q28" s="6" t="e">
        <f>IF(P26&lt;0,P27,INDEX($T$6:$T$10,MATCH(R28,$L$11:$L$15,0)))/MAX((VLOOKUP(N28,$L$11:$O$15,2,0)-VLOOKUP(R28,$R$11:$U$15,4,0)),1)</f>
        <v>#N/A</v>
      </c>
      <c r="R28" s="1">
        <f>IF($P26&lt;0,R26,R26-1)</f>
        <v>0</v>
      </c>
      <c r="S28" s="6" t="str">
        <f>IFERROR(IF(P28&gt;0,Q28,O28),"")</f>
        <v/>
      </c>
    </row>
    <row r="29" spans="3:20" ht="14.25" customHeight="1" x14ac:dyDescent="0.2">
      <c r="G29" s="1" t="s">
        <v>20</v>
      </c>
      <c r="H29" s="9">
        <f>G21*H28</f>
        <v>740</v>
      </c>
      <c r="P29" s="6" t="e">
        <f>IF(P28&gt;0,P28/O28*INDEX($N$6:$N$10,MATCH(N28,$L$11:$L$15,0)),-P28/Q28*INDEX($T$6:$T$10,MATCH(R28,$L$11:$L$15,0)))</f>
        <v>#N/A</v>
      </c>
    </row>
    <row r="30" spans="3:20" ht="14.25" customHeight="1" x14ac:dyDescent="0.2">
      <c r="G30" s="1" t="s">
        <v>21</v>
      </c>
      <c r="H30" s="9">
        <f>G17*H23*2</f>
        <v>83.333333333333343</v>
      </c>
      <c r="I30" s="23">
        <f>H29/SUM(H29:H30)</f>
        <v>0.89878542510121451</v>
      </c>
      <c r="N30" s="1" t="e">
        <f>IF($P28&gt;0,N28,N28-1)</f>
        <v>#N/A</v>
      </c>
      <c r="O30" s="6" t="e">
        <f>IF(P28&gt;0,P29,INDEX($N$6:$N$10,MATCH(N30,$L$11:$L$15,0)))/MAX((VLOOKUP(R30,$R$11:$U$15,2,0)-VLOOKUP(N30,$L$11:$O$15,4,0)),1)</f>
        <v>#N/A</v>
      </c>
      <c r="P30" s="10" t="e">
        <f>O30-Q30</f>
        <v>#N/A</v>
      </c>
      <c r="Q30" s="6" t="e">
        <f>IF(P28&lt;0,P29,INDEX($T$6:$T$10,MATCH(R30,$L$11:$L$15,0)))/MAX((VLOOKUP(N30,$L$11:$O$15,2,0)-VLOOKUP(R30,$R$11:$U$15,4,0)),1)</f>
        <v>#N/A</v>
      </c>
      <c r="R30" s="1" t="e">
        <f>IF($P28&lt;0,R28,R28-1)</f>
        <v>#N/A</v>
      </c>
      <c r="S30" s="6" t="str">
        <f>IFERROR(IF(P30&gt;0,Q30,O30),"")</f>
        <v/>
      </c>
    </row>
    <row r="31" spans="3:20" ht="14.25" customHeight="1" x14ac:dyDescent="0.2">
      <c r="P31" s="6" t="e">
        <f>IF(P30&gt;0,P30/O30*INDEX($N$6:$N$10,MATCH(N30,$L$11:$L$15,0)),-P30/Q30*INDEX($T$6:$T$10,MATCH(R30,$L$11:$L$15,0)))</f>
        <v>#N/A</v>
      </c>
    </row>
    <row r="32" spans="3:20" ht="14.25" customHeight="1" x14ac:dyDescent="0.2">
      <c r="N32" s="1" t="e">
        <f>IF($P30&gt;0,N30,N30-1)</f>
        <v>#N/A</v>
      </c>
      <c r="O32" s="6" t="e">
        <f>IF(P30&gt;0,P31,INDEX($N$6:$N$10,MATCH(N32,$L$11:$L$15,0)))/MAX((VLOOKUP(R32,$R$11:$U$15,2,0)-VLOOKUP(N32,$L$11:$O$15,4,0)),1)</f>
        <v>#N/A</v>
      </c>
      <c r="P32" s="10" t="e">
        <f>O32-Q32</f>
        <v>#N/A</v>
      </c>
      <c r="Q32" s="6" t="e">
        <f>IF(P30&lt;0,P31,INDEX($T$6:$T$10,MATCH(R32,$L$11:$L$15,0)))/MAX((VLOOKUP(N32,$L$11:$O$15,2,0)-VLOOKUP(R32,$R$11:$U$15,4,0)),1)</f>
        <v>#N/A</v>
      </c>
      <c r="R32" s="1" t="e">
        <f>IF($P30&lt;0,R30,R30-1)</f>
        <v>#N/A</v>
      </c>
      <c r="S32" s="6" t="str">
        <f>IFERROR(IF(P32&gt;0,Q32,O32),"")</f>
        <v/>
      </c>
    </row>
    <row r="33" spans="9:19" ht="14.25" customHeight="1" x14ac:dyDescent="0.2">
      <c r="P33" s="6" t="e">
        <f>IF(P32&gt;0,P32/O32*INDEX($N$6:$N$10,MATCH(N32,$L$11:$L$15,0)),-P32/Q32*INDEX($T$6:$T$10,MATCH(R32,$L$11:$L$15,0)))</f>
        <v>#N/A</v>
      </c>
    </row>
    <row r="34" spans="9:19" ht="14.25" customHeight="1" x14ac:dyDescent="0.2">
      <c r="I34" s="6"/>
      <c r="N34" s="1" t="e">
        <f>IF($P32&gt;0,N32,N32-1)</f>
        <v>#N/A</v>
      </c>
      <c r="O34" s="6" t="e">
        <f>IF(P32&gt;0,P33,INDEX($N$6:$N$10,MATCH(N34,$L$11:$L$15,0)))/MAX((VLOOKUP(R34,$R$11:$U$15,2,0)-VLOOKUP(N34,$L$11:$O$15,4,0)),1)</f>
        <v>#N/A</v>
      </c>
      <c r="P34" s="10" t="e">
        <f>O34-Q34</f>
        <v>#N/A</v>
      </c>
      <c r="Q34" s="6" t="e">
        <f>IF(P32&lt;0,P33,INDEX($T$6:$T$10,MATCH(R34,$L$11:$L$15,0)))/MAX((VLOOKUP(N34,$L$11:$O$15,2,0)-VLOOKUP(R34,$R$11:$U$15,4,0)),1)</f>
        <v>#N/A</v>
      </c>
      <c r="R34" s="1" t="e">
        <f>IF($P32&lt;0,R32,R32-1)</f>
        <v>#N/A</v>
      </c>
      <c r="S34" s="6" t="str">
        <f>IFERROR(IF(P34&gt;0,Q34,O34),"")</f>
        <v/>
      </c>
    </row>
    <row r="35" spans="9:19" ht="14.25" customHeight="1" x14ac:dyDescent="0.2">
      <c r="I35" s="6"/>
      <c r="P35" s="6" t="e">
        <f>IF(P34&gt;0,P34/O34*INDEX($N$6:$N$10,MATCH(N34,$L$11:$L$15,0)),-P34/Q34*INDEX($T$6:$T$10,MATCH(R34,$L$11:$L$15,0)))</f>
        <v>#N/A</v>
      </c>
    </row>
    <row r="36" spans="9:19" ht="14.25" customHeight="1" x14ac:dyDescent="0.2">
      <c r="I36" s="6"/>
      <c r="N36" s="1" t="e">
        <f>IF($P34&gt;0,N34,N34-1)</f>
        <v>#N/A</v>
      </c>
      <c r="O36" s="6" t="e">
        <f>IF(P34&gt;0,P35,INDEX($N$6:$N$10,MATCH(N36,$L$11:$L$15,0)))/MAX((VLOOKUP(R36,$R$11:$U$15,2,0)-VLOOKUP(N36,$L$11:$O$15,4,0)),1)</f>
        <v>#N/A</v>
      </c>
      <c r="P36" s="10" t="e">
        <f>O36-Q36</f>
        <v>#N/A</v>
      </c>
      <c r="Q36" s="6" t="e">
        <f>IF(P34&lt;0,P35,INDEX($T$6:$T$10,MATCH(R36,$L$11:$L$15,0)))/MAX((VLOOKUP(N36,$L$11:$O$15,2,0)-VLOOKUP(R36,$R$11:$U$15,4,0)),1)</f>
        <v>#N/A</v>
      </c>
      <c r="R36" s="1" t="e">
        <f>IF($P34&lt;0,R34,R34-1)</f>
        <v>#N/A</v>
      </c>
      <c r="S36" s="6" t="str">
        <f>IFERROR(IF(P36&gt;0,Q36,O36),"")</f>
        <v/>
      </c>
    </row>
    <row r="37" spans="9:19" ht="14.25" customHeight="1" x14ac:dyDescent="0.2">
      <c r="I37" s="6"/>
    </row>
    <row r="38" spans="9:19" ht="14.25" customHeight="1" x14ac:dyDescent="0.2">
      <c r="I38" s="6"/>
      <c r="R38" s="1" t="s">
        <v>26</v>
      </c>
      <c r="S38" s="6">
        <f>SUM(S18:S36)</f>
        <v>46.25</v>
      </c>
    </row>
    <row r="40" spans="9:19" ht="14.25" customHeight="1" x14ac:dyDescent="0.2">
      <c r="I40" s="6"/>
    </row>
    <row r="49" spans="11:21" ht="14.25" customHeight="1" x14ac:dyDescent="0.2">
      <c r="Q49" s="6"/>
      <c r="T49" s="6"/>
    </row>
    <row r="50" spans="11:21" ht="14.25" customHeight="1" x14ac:dyDescent="0.2">
      <c r="L50" s="1">
        <v>100</v>
      </c>
      <c r="M50" s="1">
        <v>10</v>
      </c>
      <c r="T50" s="6"/>
    </row>
    <row r="51" spans="11:21" ht="14.25" customHeight="1" x14ac:dyDescent="0.2">
      <c r="T51" s="6"/>
    </row>
    <row r="52" spans="11:21" ht="14.25" customHeight="1" x14ac:dyDescent="0.2">
      <c r="L52" s="1" t="s">
        <v>266</v>
      </c>
      <c r="M52" s="1">
        <f>L50/M50</f>
        <v>10</v>
      </c>
      <c r="N52" s="2" t="s">
        <v>272</v>
      </c>
    </row>
    <row r="53" spans="11:21" ht="14.25" customHeight="1" x14ac:dyDescent="0.2">
      <c r="L53" s="1" t="s">
        <v>267</v>
      </c>
      <c r="M53" s="1">
        <v>5</v>
      </c>
      <c r="N53" s="2"/>
      <c r="Q53" s="1">
        <v>5</v>
      </c>
      <c r="R53" s="1">
        <v>2</v>
      </c>
      <c r="S53" s="1">
        <f>Q53*R53</f>
        <v>10</v>
      </c>
    </row>
    <row r="54" spans="11:21" ht="14.25" customHeight="1" x14ac:dyDescent="0.2">
      <c r="L54" s="1" t="s">
        <v>268</v>
      </c>
      <c r="M54" s="1">
        <f>L50/M53</f>
        <v>20</v>
      </c>
      <c r="N54" s="2" t="s">
        <v>273</v>
      </c>
      <c r="Q54" s="1">
        <v>4</v>
      </c>
      <c r="R54" s="1">
        <v>2</v>
      </c>
      <c r="S54" s="1">
        <f t="shared" ref="S54:S57" si="3">Q54*R54</f>
        <v>8</v>
      </c>
    </row>
    <row r="55" spans="11:21" ht="14.25" customHeight="1" x14ac:dyDescent="0.2">
      <c r="L55" s="1" t="s">
        <v>269</v>
      </c>
      <c r="M55" s="1">
        <f>M54/M50</f>
        <v>2</v>
      </c>
      <c r="N55" s="2" t="s">
        <v>274</v>
      </c>
      <c r="Q55" s="1">
        <v>3</v>
      </c>
      <c r="R55" s="1">
        <v>2</v>
      </c>
      <c r="S55" s="1">
        <f t="shared" si="3"/>
        <v>6</v>
      </c>
    </row>
    <row r="56" spans="11:21" ht="14.25" customHeight="1" x14ac:dyDescent="0.2">
      <c r="L56" s="1" t="s">
        <v>270</v>
      </c>
      <c r="M56" s="1">
        <f>M53*(1+M53)/2</f>
        <v>15</v>
      </c>
      <c r="N56" s="2" t="s">
        <v>275</v>
      </c>
      <c r="Q56" s="1">
        <v>2</v>
      </c>
      <c r="R56" s="1">
        <v>2</v>
      </c>
      <c r="S56" s="1">
        <f t="shared" si="3"/>
        <v>4</v>
      </c>
    </row>
    <row r="57" spans="11:21" ht="14.25" customHeight="1" x14ac:dyDescent="0.2">
      <c r="L57" s="1" t="s">
        <v>271</v>
      </c>
      <c r="M57" s="6">
        <f>L50/(M55*M56)</f>
        <v>3.3333333333333335</v>
      </c>
      <c r="N57" s="2"/>
      <c r="Q57" s="1">
        <v>1</v>
      </c>
      <c r="R57" s="1">
        <v>2</v>
      </c>
      <c r="S57" s="1">
        <f t="shared" si="3"/>
        <v>2</v>
      </c>
    </row>
    <row r="58" spans="11:21" ht="14.25" customHeight="1" x14ac:dyDescent="0.2">
      <c r="L58" s="2" t="s">
        <v>279</v>
      </c>
    </row>
    <row r="59" spans="11:21" ht="14.25" customHeight="1" x14ac:dyDescent="0.2">
      <c r="S59" s="1">
        <f>SUM(S53:S57)</f>
        <v>30</v>
      </c>
      <c r="T59" s="6">
        <v>100</v>
      </c>
      <c r="U59" s="6">
        <f>T59/S59</f>
        <v>3.3333333333333335</v>
      </c>
    </row>
    <row r="60" spans="11:21" ht="14.25" customHeight="1" x14ac:dyDescent="0.2">
      <c r="K60" s="1" t="s">
        <v>276</v>
      </c>
      <c r="L60" s="2" t="s">
        <v>278</v>
      </c>
      <c r="N60" s="1">
        <f>L50/$M$53</f>
        <v>20</v>
      </c>
    </row>
    <row r="61" spans="11:21" ht="14.25" customHeight="1" x14ac:dyDescent="0.2">
      <c r="K61" s="1" t="s">
        <v>277</v>
      </c>
      <c r="L61" s="2" t="s">
        <v>280</v>
      </c>
      <c r="N61" s="6">
        <f>2*M50/(1+M53)</f>
        <v>3.3333333333333335</v>
      </c>
      <c r="Q61" s="1">
        <f>$U$59*Q53</f>
        <v>16.666666666666668</v>
      </c>
      <c r="S61" s="1">
        <f>Q61*R53</f>
        <v>33.333333333333336</v>
      </c>
    </row>
    <row r="62" spans="11:21" ht="14.25" customHeight="1" x14ac:dyDescent="0.2">
      <c r="Q62" s="1">
        <f>$U$59*Q54</f>
        <v>13.333333333333334</v>
      </c>
      <c r="S62" s="1">
        <f>Q62*R54</f>
        <v>26.666666666666668</v>
      </c>
    </row>
    <row r="63" spans="11:21" ht="14.25" customHeight="1" x14ac:dyDescent="0.2">
      <c r="Q63" s="1">
        <f>$U$59*Q55</f>
        <v>10</v>
      </c>
      <c r="S63" s="1">
        <f>Q63*R55</f>
        <v>20</v>
      </c>
    </row>
    <row r="64" spans="11:21" ht="14.25" customHeight="1" x14ac:dyDescent="0.2">
      <c r="Q64" s="1">
        <f>$U$59*Q56</f>
        <v>6.666666666666667</v>
      </c>
      <c r="S64" s="1">
        <f>Q64*R56</f>
        <v>13.333333333333334</v>
      </c>
    </row>
    <row r="65" spans="17:19" ht="14.25" customHeight="1" x14ac:dyDescent="0.2">
      <c r="Q65" s="1">
        <f>$U$59*Q57</f>
        <v>3.3333333333333335</v>
      </c>
      <c r="S65" s="1">
        <f>Q65*R57</f>
        <v>6.666666666666667</v>
      </c>
    </row>
    <row r="67" spans="17:19" ht="14.25" customHeight="1" x14ac:dyDescent="0.2">
      <c r="S67" s="1">
        <f>SUM(S61:S65)</f>
        <v>100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E2CF2-C5AF-4FBC-A2AC-E659AD390C3C}">
  <sheetPr codeName="Sheet2"/>
  <dimension ref="A1:X7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J28" sqref="J28"/>
    </sheetView>
  </sheetViews>
  <sheetFormatPr defaultRowHeight="14.25" x14ac:dyDescent="0.2"/>
  <cols>
    <col min="1" max="8" width="9" style="1"/>
    <col min="9" max="9" width="2.5" style="1" customWidth="1"/>
    <col min="10" max="20" width="9" style="1"/>
    <col min="21" max="21" width="2.5" style="1" customWidth="1"/>
    <col min="22" max="16384" width="9" style="1"/>
  </cols>
  <sheetData>
    <row r="1" spans="1:24" ht="14.25" customHeight="1" x14ac:dyDescent="0.2">
      <c r="A1" s="108" t="s">
        <v>17</v>
      </c>
      <c r="B1" s="109"/>
    </row>
    <row r="2" spans="1:24" ht="14.25" customHeight="1" x14ac:dyDescent="0.2">
      <c r="A2" s="110"/>
      <c r="B2" s="111"/>
      <c r="M2" s="78"/>
      <c r="Q2" s="79"/>
    </row>
    <row r="3" spans="1:24" x14ac:dyDescent="0.2">
      <c r="D3" s="2" t="s">
        <v>307</v>
      </c>
      <c r="M3" s="78"/>
      <c r="Q3" s="79"/>
    </row>
    <row r="4" spans="1:24" s="3" customFormat="1" ht="14.25" customHeight="1" x14ac:dyDescent="0.2">
      <c r="C4" s="3" t="s">
        <v>23</v>
      </c>
      <c r="J4" s="3" t="s">
        <v>24</v>
      </c>
      <c r="K4" s="2" t="s">
        <v>313</v>
      </c>
      <c r="N4" s="86"/>
      <c r="O4" s="86"/>
      <c r="P4" s="86"/>
      <c r="V4" s="3" t="s">
        <v>25</v>
      </c>
    </row>
    <row r="5" spans="1:24" ht="14.25" customHeight="1" thickBot="1" x14ac:dyDescent="0.25">
      <c r="D5" s="1" t="s">
        <v>0</v>
      </c>
      <c r="E5" s="1" t="s">
        <v>3</v>
      </c>
      <c r="F5" s="1" t="s">
        <v>14</v>
      </c>
      <c r="J5" s="88" t="s">
        <v>312</v>
      </c>
      <c r="K5" s="88" t="s">
        <v>16</v>
      </c>
      <c r="L5" s="88" t="s">
        <v>13</v>
      </c>
      <c r="M5" s="88" t="s">
        <v>14</v>
      </c>
      <c r="N5" s="88" t="s">
        <v>5</v>
      </c>
      <c r="O5" s="3"/>
      <c r="P5" s="88" t="s">
        <v>312</v>
      </c>
      <c r="Q5" s="88" t="s">
        <v>16</v>
      </c>
      <c r="R5" s="88" t="s">
        <v>13</v>
      </c>
      <c r="S5" s="88" t="s">
        <v>14</v>
      </c>
      <c r="T5" s="88" t="s">
        <v>5</v>
      </c>
      <c r="V5" s="88" t="s">
        <v>16</v>
      </c>
      <c r="W5" s="88" t="s">
        <v>213</v>
      </c>
      <c r="X5" s="88" t="s">
        <v>214</v>
      </c>
    </row>
    <row r="6" spans="1:24" ht="14.25" customHeight="1" x14ac:dyDescent="0.2">
      <c r="D6" s="1" t="s">
        <v>1</v>
      </c>
      <c r="E6" s="1" t="s">
        <v>4</v>
      </c>
      <c r="F6" s="1" t="s">
        <v>13</v>
      </c>
      <c r="J6" s="76">
        <v>1</v>
      </c>
      <c r="K6" s="76" t="s">
        <v>3</v>
      </c>
      <c r="L6" s="76">
        <f t="shared" ref="L6:N10" si="0">VLOOKUP($K6,$D$10:$G$13,MATCH(L$5,$D$10:$G$10,0),0)</f>
        <v>5</v>
      </c>
      <c r="M6" s="76">
        <f t="shared" si="0"/>
        <v>100</v>
      </c>
      <c r="N6" s="76">
        <f t="shared" si="0"/>
        <v>2</v>
      </c>
      <c r="P6" s="76">
        <v>1</v>
      </c>
      <c r="Q6" s="76" t="s">
        <v>122</v>
      </c>
      <c r="R6" s="76">
        <f t="shared" ref="R6:T10" si="1">VLOOKUP($Q6,$D$10:$G$13,MATCH(R$5,$D$10:$G$10,0),0)</f>
        <v>5</v>
      </c>
      <c r="S6" s="76">
        <f t="shared" si="1"/>
        <v>100</v>
      </c>
      <c r="T6" s="76">
        <f t="shared" si="1"/>
        <v>2</v>
      </c>
      <c r="V6" s="89" t="s">
        <v>3</v>
      </c>
      <c r="W6" s="76">
        <v>2</v>
      </c>
      <c r="X6" s="76">
        <v>3</v>
      </c>
    </row>
    <row r="7" spans="1:24" ht="14.25" customHeight="1" x14ac:dyDescent="0.2">
      <c r="D7" s="1" t="s">
        <v>2</v>
      </c>
      <c r="E7" s="1" t="s">
        <v>5</v>
      </c>
      <c r="F7" s="1" t="s">
        <v>5</v>
      </c>
      <c r="J7" s="1">
        <v>1</v>
      </c>
      <c r="K7" s="1" t="s">
        <v>4</v>
      </c>
      <c r="L7" s="1">
        <f t="shared" si="0"/>
        <v>10</v>
      </c>
      <c r="M7" s="1">
        <f t="shared" si="0"/>
        <v>40</v>
      </c>
      <c r="N7" s="1">
        <f t="shared" si="0"/>
        <v>0</v>
      </c>
      <c r="P7" s="1">
        <v>1</v>
      </c>
      <c r="Q7" s="1" t="s">
        <v>123</v>
      </c>
      <c r="R7" s="1">
        <f t="shared" si="1"/>
        <v>10</v>
      </c>
      <c r="S7" s="1">
        <f t="shared" si="1"/>
        <v>40</v>
      </c>
      <c r="T7" s="1">
        <f t="shared" si="1"/>
        <v>0</v>
      </c>
      <c r="V7" s="1" t="s">
        <v>4</v>
      </c>
      <c r="W7" s="1">
        <v>1</v>
      </c>
      <c r="X7" s="12">
        <v>3</v>
      </c>
    </row>
    <row r="8" spans="1:24" ht="14.25" customHeight="1" x14ac:dyDescent="0.2">
      <c r="D8" s="2" t="s">
        <v>308</v>
      </c>
      <c r="J8" s="1">
        <v>2</v>
      </c>
      <c r="K8" s="1" t="s">
        <v>3</v>
      </c>
      <c r="L8" s="1">
        <f t="shared" si="0"/>
        <v>5</v>
      </c>
      <c r="M8" s="1">
        <f t="shared" si="0"/>
        <v>100</v>
      </c>
      <c r="N8" s="1">
        <f t="shared" si="0"/>
        <v>2</v>
      </c>
      <c r="P8" s="1">
        <v>2</v>
      </c>
      <c r="Q8" s="1" t="s">
        <v>122</v>
      </c>
      <c r="R8" s="1">
        <f t="shared" si="1"/>
        <v>5</v>
      </c>
      <c r="S8" s="1">
        <f t="shared" si="1"/>
        <v>100</v>
      </c>
      <c r="T8" s="1">
        <f t="shared" si="1"/>
        <v>2</v>
      </c>
      <c r="V8" s="1" t="s">
        <v>5</v>
      </c>
      <c r="W8" s="1">
        <v>0</v>
      </c>
      <c r="X8" s="1">
        <v>2</v>
      </c>
    </row>
    <row r="9" spans="1:24" ht="14.25" customHeight="1" x14ac:dyDescent="0.2">
      <c r="J9" s="1">
        <v>2</v>
      </c>
      <c r="K9" s="1" t="s">
        <v>4</v>
      </c>
      <c r="L9" s="1">
        <f t="shared" si="0"/>
        <v>10</v>
      </c>
      <c r="M9" s="1">
        <f t="shared" si="0"/>
        <v>40</v>
      </c>
      <c r="N9" s="1">
        <f t="shared" si="0"/>
        <v>0</v>
      </c>
      <c r="P9" s="1">
        <v>2</v>
      </c>
      <c r="Q9" s="1" t="s">
        <v>123</v>
      </c>
      <c r="R9" s="1">
        <f t="shared" si="1"/>
        <v>10</v>
      </c>
      <c r="S9" s="1">
        <f t="shared" si="1"/>
        <v>40</v>
      </c>
      <c r="T9" s="1">
        <f t="shared" si="1"/>
        <v>0</v>
      </c>
      <c r="V9" s="2" t="s">
        <v>82</v>
      </c>
    </row>
    <row r="10" spans="1:24" ht="14.25" customHeight="1" thickBot="1" x14ac:dyDescent="0.25">
      <c r="D10" s="88" t="s">
        <v>16</v>
      </c>
      <c r="E10" s="88" t="s">
        <v>13</v>
      </c>
      <c r="F10" s="88" t="s">
        <v>14</v>
      </c>
      <c r="G10" s="88" t="s">
        <v>5</v>
      </c>
      <c r="J10" s="1">
        <v>0</v>
      </c>
      <c r="K10" s="1" t="s">
        <v>5</v>
      </c>
      <c r="L10" s="1">
        <f t="shared" si="0"/>
        <v>4</v>
      </c>
      <c r="M10" s="1">
        <f t="shared" si="0"/>
        <v>50</v>
      </c>
      <c r="N10" s="1">
        <f t="shared" si="0"/>
        <v>6</v>
      </c>
      <c r="P10" s="1">
        <v>0</v>
      </c>
      <c r="Q10" s="1" t="s">
        <v>124</v>
      </c>
      <c r="R10" s="1">
        <f t="shared" si="1"/>
        <v>4</v>
      </c>
      <c r="S10" s="1">
        <f t="shared" si="1"/>
        <v>50</v>
      </c>
      <c r="T10" s="1">
        <f t="shared" si="1"/>
        <v>6</v>
      </c>
    </row>
    <row r="11" spans="1:24" ht="14.25" customHeight="1" x14ac:dyDescent="0.2">
      <c r="D11" s="76" t="s">
        <v>3</v>
      </c>
      <c r="E11" s="15">
        <v>5</v>
      </c>
      <c r="F11" s="15">
        <v>100</v>
      </c>
      <c r="G11" s="15">
        <v>2</v>
      </c>
      <c r="I11" s="6"/>
    </row>
    <row r="12" spans="1:24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I12" s="6"/>
      <c r="K12" s="1">
        <v>2</v>
      </c>
      <c r="L12" s="1">
        <f>SUM(L6:L$7)+L$10/2</f>
        <v>17</v>
      </c>
      <c r="M12" s="1">
        <f>SUM(M6:M$7)</f>
        <v>140</v>
      </c>
      <c r="N12" s="1">
        <f>SUM(N6:N$7)+N$10/2</f>
        <v>5</v>
      </c>
      <c r="Q12" s="1">
        <v>2</v>
      </c>
      <c r="R12" s="1">
        <f>SUM(R6:R$7)+R$10/2</f>
        <v>17</v>
      </c>
      <c r="S12" s="1">
        <f>SUM(S6:S$7)</f>
        <v>140</v>
      </c>
      <c r="T12" s="1">
        <f>SUM(T6:T$7)+T$10/2</f>
        <v>5</v>
      </c>
    </row>
    <row r="13" spans="1:24" ht="14.25" customHeight="1" x14ac:dyDescent="0.2">
      <c r="D13" s="1" t="s">
        <v>5</v>
      </c>
      <c r="E13" s="6">
        <v>4</v>
      </c>
      <c r="F13" s="6">
        <v>50</v>
      </c>
      <c r="G13" s="6">
        <v>6</v>
      </c>
      <c r="I13" s="6"/>
      <c r="K13" s="1">
        <v>1</v>
      </c>
      <c r="L13" s="1">
        <f>SUM(L7:L$7)+L$10/2</f>
        <v>12</v>
      </c>
      <c r="M13" s="1">
        <f>SUM(M7:M$7)</f>
        <v>40</v>
      </c>
      <c r="N13" s="1">
        <f>SUM(N7:N$7)+N$10/2</f>
        <v>3</v>
      </c>
      <c r="Q13" s="1">
        <v>1</v>
      </c>
      <c r="R13" s="1">
        <f>SUM(R7:R$7)+R$10/2</f>
        <v>12</v>
      </c>
      <c r="S13" s="1">
        <f>SUM(S7:S$7)</f>
        <v>40</v>
      </c>
      <c r="T13" s="1">
        <f>SUM(T7:T$7)+T$10/2</f>
        <v>3</v>
      </c>
    </row>
    <row r="14" spans="1:24" ht="14.25" customHeight="1" x14ac:dyDescent="0.2">
      <c r="I14" s="6"/>
      <c r="K14" s="1">
        <v>2</v>
      </c>
      <c r="L14" s="1">
        <f>SUM(L8:L$9)+L$10/2</f>
        <v>17</v>
      </c>
      <c r="M14" s="1">
        <f>SUM(M8:M$9)</f>
        <v>140</v>
      </c>
      <c r="N14" s="1">
        <f>SUM(N8:N$9)+N$10/2</f>
        <v>5</v>
      </c>
      <c r="Q14" s="1">
        <v>2</v>
      </c>
      <c r="R14" s="1">
        <f>SUM(R8:R$9)+R$10/2</f>
        <v>17</v>
      </c>
      <c r="S14" s="1">
        <f>SUM(S8:S$9)</f>
        <v>140</v>
      </c>
      <c r="T14" s="1">
        <f>SUM(T8:T$9)+T$10/2</f>
        <v>5</v>
      </c>
    </row>
    <row r="15" spans="1:24" s="3" customFormat="1" ht="14.25" customHeight="1" x14ac:dyDescent="0.2">
      <c r="C15" s="3" t="s">
        <v>215</v>
      </c>
      <c r="I15" s="6"/>
      <c r="K15" s="1">
        <v>1</v>
      </c>
      <c r="L15" s="1">
        <f>SUM(L9:L$9)+L$10/2</f>
        <v>12</v>
      </c>
      <c r="M15" s="1">
        <f>SUM(M9:M$9)</f>
        <v>40</v>
      </c>
      <c r="N15" s="1">
        <f>SUM(N9:N$9)+N$10/2</f>
        <v>3</v>
      </c>
      <c r="Q15" s="1">
        <v>1</v>
      </c>
      <c r="R15" s="1">
        <f>SUM(R9:R$9)+R$10/2</f>
        <v>12</v>
      </c>
      <c r="S15" s="1">
        <f>SUM(S9:S$9)</f>
        <v>40</v>
      </c>
      <c r="T15" s="1">
        <f>SUM(T9:T$9)+T$10/2</f>
        <v>3</v>
      </c>
    </row>
    <row r="16" spans="1:24" ht="14.25" customHeight="1" thickBot="1" x14ac:dyDescent="0.25">
      <c r="C16" s="3"/>
      <c r="D16" s="88" t="s">
        <v>217</v>
      </c>
      <c r="E16" s="88" t="s">
        <v>146</v>
      </c>
      <c r="F16" s="88" t="s">
        <v>147</v>
      </c>
      <c r="G16" s="88" t="s">
        <v>124</v>
      </c>
      <c r="K16" s="1">
        <v>1</v>
      </c>
      <c r="L16" s="1">
        <f>L10</f>
        <v>4</v>
      </c>
      <c r="M16" s="1">
        <f>M10</f>
        <v>50</v>
      </c>
      <c r="N16" s="1">
        <f>IF(K10="治疗",0,N10)</f>
        <v>0</v>
      </c>
      <c r="Q16" s="1">
        <v>1</v>
      </c>
      <c r="R16" s="1">
        <f>R10</f>
        <v>4</v>
      </c>
      <c r="S16" s="1">
        <f>S10</f>
        <v>50</v>
      </c>
      <c r="T16" s="1">
        <f>IF(Q10="治疗",0,T10)</f>
        <v>0</v>
      </c>
    </row>
    <row r="17" spans="3:19" ht="14.25" customHeight="1" x14ac:dyDescent="0.2">
      <c r="C17" s="40"/>
      <c r="D17" s="76" t="s">
        <v>122</v>
      </c>
      <c r="E17" s="76">
        <f t="shared" ref="E17:G21" si="2">VLOOKUP($D17,$D$10:$G$13,MATCH(E$16,$D$10:$G$10,0),0)</f>
        <v>5</v>
      </c>
      <c r="F17" s="76">
        <f t="shared" si="2"/>
        <v>100</v>
      </c>
      <c r="G17" s="76">
        <f t="shared" si="2"/>
        <v>2</v>
      </c>
      <c r="H17" s="1">
        <f>F17/E23</f>
        <v>5.882352941176471</v>
      </c>
      <c r="J17" s="3"/>
    </row>
    <row r="18" spans="3:19" ht="14.25" customHeight="1" x14ac:dyDescent="0.2">
      <c r="D18" s="1" t="s">
        <v>123</v>
      </c>
      <c r="E18" s="1">
        <f t="shared" si="2"/>
        <v>10</v>
      </c>
      <c r="F18" s="1">
        <f t="shared" si="2"/>
        <v>40</v>
      </c>
      <c r="G18" s="1">
        <f t="shared" si="2"/>
        <v>0</v>
      </c>
      <c r="H18" s="2"/>
      <c r="O18" s="3">
        <f>M51-Q51</f>
        <v>0</v>
      </c>
      <c r="P18" s="3"/>
    </row>
    <row r="19" spans="3:19" ht="14.25" customHeight="1" x14ac:dyDescent="0.2">
      <c r="D19" s="1" t="s">
        <v>122</v>
      </c>
      <c r="E19" s="1">
        <f t="shared" si="2"/>
        <v>5</v>
      </c>
      <c r="F19" s="1">
        <f t="shared" si="2"/>
        <v>100</v>
      </c>
      <c r="G19" s="1">
        <f t="shared" si="2"/>
        <v>2</v>
      </c>
      <c r="K19" s="2" t="s">
        <v>27</v>
      </c>
      <c r="R19" s="32">
        <f>MAX(R29,R39)+R52</f>
        <v>25.277777777777779</v>
      </c>
    </row>
    <row r="20" spans="3:19" ht="14.25" customHeight="1" x14ac:dyDescent="0.2">
      <c r="D20" s="1" t="s">
        <v>123</v>
      </c>
      <c r="E20" s="1">
        <f t="shared" si="2"/>
        <v>10</v>
      </c>
      <c r="F20" s="1">
        <f t="shared" si="2"/>
        <v>40</v>
      </c>
      <c r="G20" s="1">
        <f t="shared" si="2"/>
        <v>0</v>
      </c>
      <c r="L20" s="1" t="s">
        <v>133</v>
      </c>
      <c r="M20" s="1" t="s">
        <v>22</v>
      </c>
      <c r="Q20" s="1" t="s">
        <v>22</v>
      </c>
    </row>
    <row r="21" spans="3:19" ht="14.25" customHeight="1" x14ac:dyDescent="0.2">
      <c r="D21" s="1" t="s">
        <v>124</v>
      </c>
      <c r="E21" s="1">
        <f t="shared" si="2"/>
        <v>4</v>
      </c>
      <c r="F21" s="1">
        <f t="shared" si="2"/>
        <v>50</v>
      </c>
      <c r="G21" s="1">
        <f t="shared" si="2"/>
        <v>6</v>
      </c>
      <c r="M21" s="1">
        <v>2</v>
      </c>
      <c r="N21" s="6">
        <f>INDEX($M$6:$M$7,MATCH(M21,$K$12:$K$13,0))/MAX((VLOOKUP(Q21,$Q$12:$T$13,2,0)-VLOOKUP(M21,$K$12:$N$13,4,0)),1)</f>
        <v>8.3333333333333339</v>
      </c>
      <c r="O21" s="10">
        <f>N21-P21</f>
        <v>0</v>
      </c>
      <c r="P21" s="6">
        <f>INDEX($S$6:$S$7,MATCH(Q21,$K$12:$K$13,0))/MAX((VLOOKUP(M21,$K$12:$N$13,2,0)-VLOOKUP(Q21,$Q$12:$T$13,4,0)),1)</f>
        <v>8.3333333333333339</v>
      </c>
      <c r="Q21" s="1">
        <v>2</v>
      </c>
      <c r="R21" s="6">
        <f>IFERROR(IF(O21&gt;0,P21,N21),"")</f>
        <v>8.3333333333333339</v>
      </c>
      <c r="S21" s="8"/>
    </row>
    <row r="22" spans="3:19" ht="14.25" customHeight="1" x14ac:dyDescent="0.2">
      <c r="H22" s="9"/>
      <c r="I22" s="9"/>
      <c r="N22" s="14">
        <f>IFERROR(VLOOKUP(M21,K$12:N$13,2,0),0)</f>
        <v>17</v>
      </c>
      <c r="O22" s="6">
        <f>IFERROR(IF(O21&gt;0,O21/N21*INDEX($M$6:$M$7,MATCH(M21,$K$12:$K$13,0)),-O21/P21*INDEX($S$6:$S$7,MATCH(Q21,$K$12:$K$13,0))),O20)</f>
        <v>0</v>
      </c>
      <c r="P22" s="14">
        <f>IFERROR(VLOOKUP(Q21,Q$12:T$13,2,0),0)</f>
        <v>17</v>
      </c>
    </row>
    <row r="23" spans="3:19" ht="14.25" customHeight="1" x14ac:dyDescent="0.2">
      <c r="D23" s="1">
        <v>2</v>
      </c>
      <c r="E23" s="1">
        <f>E18+E17+E21/2</f>
        <v>17</v>
      </c>
      <c r="F23" s="1">
        <f>F17+F18+F21/2</f>
        <v>165</v>
      </c>
      <c r="G23" s="1">
        <f>G17+G21/2</f>
        <v>5</v>
      </c>
      <c r="H23" s="6">
        <f>F17/(E23-G23)</f>
        <v>8.3333333333333339</v>
      </c>
      <c r="I23" s="9"/>
      <c r="M23" s="1">
        <f>IF($O21&gt;0,M21,M21-1)</f>
        <v>1</v>
      </c>
      <c r="N23" s="6">
        <f>IFERROR(IF(O21&gt;0,O22,INDEX($M$6:$M$7,MATCH(M23,$K$12:$K$13,0)))/MAX((VLOOKUP(Q23,$Q$12:$T$13,2,0)-VLOOKUP(M23,$K$12:$N$13,4,0)),1),0)</f>
        <v>4.4444444444444446</v>
      </c>
      <c r="O23" s="10">
        <f>N23-P23</f>
        <v>0</v>
      </c>
      <c r="P23" s="6">
        <f>IFERROR(IF(O21&lt;0,O22,INDEX($S$6:$S$7,MATCH(Q23,$K$12:$K$13,0)))/MAX((VLOOKUP(M23,$K$12:$N$13,2,0)-VLOOKUP(Q23,$Q$12:$T$13,4,0)),1),0)</f>
        <v>4.4444444444444446</v>
      </c>
      <c r="Q23" s="1">
        <f>IF($O21&lt;0,Q21,Q21-1)</f>
        <v>1</v>
      </c>
      <c r="R23" s="6">
        <f>IFERROR(IF(O23&gt;0,P23,N23),"")</f>
        <v>4.4444444444444446</v>
      </c>
    </row>
    <row r="24" spans="3:19" ht="14.25" customHeight="1" x14ac:dyDescent="0.2">
      <c r="D24" s="1">
        <v>1</v>
      </c>
      <c r="E24" s="1">
        <f>E18+E21/2</f>
        <v>12</v>
      </c>
      <c r="F24" s="1">
        <f>F23-F17</f>
        <v>65</v>
      </c>
      <c r="G24" s="1">
        <f>G21/2</f>
        <v>3</v>
      </c>
      <c r="H24" s="6">
        <f>F18/(E24-G24)</f>
        <v>4.4444444444444446</v>
      </c>
      <c r="I24" s="9"/>
      <c r="N24" s="14">
        <f>IFERROR(VLOOKUP(M23,K$12:N$13,2,0),0)</f>
        <v>12</v>
      </c>
      <c r="O24" s="6">
        <f>IFERROR(IF(O23&gt;0,O23/N23*INDEX($M$6:$M$7,MATCH(M23,$K$12:$K$13,0)),-O23/P23*INDEX($S$6:$S$7,MATCH(Q23,$K$12:$K$13,0))),O22)</f>
        <v>0</v>
      </c>
      <c r="P24" s="14">
        <f>IFERROR(VLOOKUP(Q23,Q$12:T$13,2,0),0)</f>
        <v>12</v>
      </c>
    </row>
    <row r="25" spans="3:19" ht="14.25" customHeight="1" x14ac:dyDescent="0.2">
      <c r="D25" s="1">
        <v>0</v>
      </c>
      <c r="E25" s="1">
        <f>E21</f>
        <v>4</v>
      </c>
      <c r="F25" s="1">
        <f>F21</f>
        <v>50</v>
      </c>
      <c r="G25" s="1">
        <v>0</v>
      </c>
      <c r="H25" s="1">
        <f>F21/(E25-G25)</f>
        <v>12.5</v>
      </c>
      <c r="M25" s="1">
        <f>IF($O23&gt;0,M23,M23-1)</f>
        <v>0</v>
      </c>
      <c r="N25" s="6">
        <f>IFERROR(IF(O23&gt;0,O24,INDEX($M$6:$M$7,MATCH(M25,$K$12:$K$13,0)))/MAX((VLOOKUP(Q25,$Q$12:$T$13,2,0)-VLOOKUP(M25,$K$12:$N$13,4,0)),1),0)</f>
        <v>0</v>
      </c>
      <c r="O25" s="10">
        <f>N25-P25</f>
        <v>0</v>
      </c>
      <c r="P25" s="6">
        <f>IFERROR(IF(O23&lt;0,O24,INDEX($S$6:$S$7,MATCH(Q25,$K$12:$K$13,0)))/MAX((VLOOKUP(M25,$K$12:$N$13,2,0)-VLOOKUP(Q25,$Q$12:$T$13,4,0)),1),0)</f>
        <v>0</v>
      </c>
      <c r="Q25" s="1">
        <f>IF($O23&lt;0,Q23,Q23-1)</f>
        <v>0</v>
      </c>
      <c r="R25" s="6">
        <f>IFERROR(IF(O25&gt;0,P25,N25),"")</f>
        <v>0</v>
      </c>
    </row>
    <row r="26" spans="3:19" ht="14.25" customHeight="1" x14ac:dyDescent="0.2">
      <c r="G26" s="90" t="s">
        <v>314</v>
      </c>
      <c r="H26" s="36">
        <f>SUM(H23:H25)</f>
        <v>25.277777777777779</v>
      </c>
      <c r="N26" s="14">
        <f>IFERROR(VLOOKUP(M25,K$12:N$13,2,0),0)</f>
        <v>0</v>
      </c>
      <c r="O26" s="6">
        <f>IFERROR(IF(O25&gt;0,O25/N25*INDEX($M$6:$M$7,MATCH(M25,$K$12:$K$13,0)),-O25/P25*INDEX($S$6:$S$7,MATCH(Q25,$K$12:$K$13,0))),O24)</f>
        <v>0</v>
      </c>
      <c r="P26" s="14">
        <f>IFERROR(VLOOKUP(Q25,Q$12:T$13,2,0),0)</f>
        <v>0</v>
      </c>
    </row>
    <row r="27" spans="3:19" ht="14.25" customHeight="1" thickBot="1" x14ac:dyDescent="0.25">
      <c r="C27" s="3" t="s">
        <v>332</v>
      </c>
      <c r="D27" s="88" t="s">
        <v>217</v>
      </c>
      <c r="E27" s="135" t="s">
        <v>146</v>
      </c>
      <c r="F27" s="88" t="s">
        <v>147</v>
      </c>
      <c r="G27" s="88" t="s">
        <v>124</v>
      </c>
      <c r="M27" s="1">
        <f>IF($O25&gt;0,M25,M25-1)</f>
        <v>-1</v>
      </c>
      <c r="N27" s="6">
        <f>IFERROR(IF(O25&gt;0,O26,INDEX($M$6:$M$7,MATCH(M27,$K$12:$K$13,0)))/MAX((VLOOKUP(Q27,$Q$12:$T$13,2,0)-VLOOKUP(M27,$K$12:$N$13,4,0)),1),0)</f>
        <v>0</v>
      </c>
      <c r="O27" s="10">
        <f>N27-P27</f>
        <v>0</v>
      </c>
      <c r="P27" s="6">
        <f>IFERROR(IF(O25&lt;0,O26,INDEX($S$6:$S$7,MATCH(Q27,$K$12:$K$13,0)))/MAX((VLOOKUP(M27,$K$12:$N$13,2,0)-VLOOKUP(Q27,$Q$12:$T$13,4,0)),1),0)</f>
        <v>0</v>
      </c>
      <c r="Q27" s="1">
        <f>IF($O25&lt;0,Q25,Q25-1)</f>
        <v>-1</v>
      </c>
      <c r="R27" s="6">
        <f>IFERROR(IF(O27&gt;0,P27,N27),"")</f>
        <v>0</v>
      </c>
    </row>
    <row r="28" spans="3:19" ht="14.25" customHeight="1" x14ac:dyDescent="0.2">
      <c r="D28" s="1" t="s">
        <v>122</v>
      </c>
      <c r="E28" s="6">
        <v>0.9</v>
      </c>
      <c r="F28" s="6">
        <f>1/E28</f>
        <v>1.1111111111111112</v>
      </c>
      <c r="G28" s="6">
        <v>1</v>
      </c>
      <c r="M28" s="14">
        <f>IFERROR(VLOOKUP(M27,K$12:N$13,4,0),0)</f>
        <v>0</v>
      </c>
      <c r="N28" s="14">
        <f>IFERROR(VLOOKUP(M27,K$12:N$13,2,0),0)</f>
        <v>0</v>
      </c>
      <c r="O28" s="6">
        <f>IFERROR(IF(O27&gt;0,O27/N27*INDEX($M$6:$M$7,MATCH(M27,$K$12:$K$13,0)),-O27/P27*INDEX($S$6:$S$7,MATCH(Q27,$K$12:$K$13,0))),O26)</f>
        <v>0</v>
      </c>
      <c r="P28" s="14">
        <f>IFERROR(VLOOKUP(Q27,Q$12:T$13,2,0),0)</f>
        <v>0</v>
      </c>
      <c r="Q28" s="14">
        <f>IFERROR(VLOOKUP(Q27,Q$12:T$13,4,0),0)</f>
        <v>0</v>
      </c>
    </row>
    <row r="29" spans="3:19" ht="14.25" customHeight="1" x14ac:dyDescent="0.2">
      <c r="D29" s="1" t="s">
        <v>123</v>
      </c>
      <c r="E29" s="6">
        <v>1.1000000000000001</v>
      </c>
      <c r="F29" s="6">
        <f t="shared" ref="F29:F32" si="3">1/E29</f>
        <v>0.90909090909090906</v>
      </c>
      <c r="G29" s="6">
        <v>1</v>
      </c>
      <c r="M29" s="1">
        <f>MAX(M27-Q27,0)</f>
        <v>0</v>
      </c>
      <c r="N29" s="6"/>
      <c r="O29" s="10"/>
      <c r="P29" s="6"/>
      <c r="Q29" s="1">
        <f>MAX(Q27-M27,0)</f>
        <v>0</v>
      </c>
      <c r="R29" s="6">
        <f>SUM(R21:R27)</f>
        <v>12.777777777777779</v>
      </c>
    </row>
    <row r="30" spans="3:19" ht="14.25" customHeight="1" x14ac:dyDescent="0.2">
      <c r="D30" s="1" t="s">
        <v>122</v>
      </c>
      <c r="E30" s="6">
        <v>1</v>
      </c>
      <c r="F30" s="6">
        <f t="shared" si="3"/>
        <v>1</v>
      </c>
      <c r="G30" s="6">
        <v>1</v>
      </c>
      <c r="L30" s="1" t="s">
        <v>134</v>
      </c>
      <c r="M30" s="1" t="s">
        <v>22</v>
      </c>
      <c r="N30" s="14">
        <f>IFERROR(VLOOKUP(M29,K$12:N$13,2,0),0)</f>
        <v>0</v>
      </c>
      <c r="P30" s="14">
        <f>IFERROR(VLOOKUP(Q29,Q$12:T$13,2,0),0)</f>
        <v>0</v>
      </c>
      <c r="Q30" s="1" t="s">
        <v>22</v>
      </c>
    </row>
    <row r="31" spans="3:19" ht="14.25" customHeight="1" x14ac:dyDescent="0.2">
      <c r="D31" s="1" t="s">
        <v>123</v>
      </c>
      <c r="E31" s="6">
        <v>1.2</v>
      </c>
      <c r="F31" s="6">
        <f t="shared" si="3"/>
        <v>0.83333333333333337</v>
      </c>
      <c r="G31" s="6">
        <v>1</v>
      </c>
      <c r="M31" s="1">
        <v>2</v>
      </c>
      <c r="N31" s="6">
        <f>INDEX($M$8:$M$9,MATCH(M31,$K$14:$K$15,0))/MAX((VLOOKUP(Q31,$Q$14:$T$15,2,0)-VLOOKUP(M31,$K$14:$N$15,4,0)),1)</f>
        <v>8.3333333333333339</v>
      </c>
      <c r="O31" s="10">
        <f>N31-P31</f>
        <v>0</v>
      </c>
      <c r="P31" s="6">
        <f>INDEX($S$8:$S$9,MATCH(Q31,$K$14:$K$15,0))/MAX((VLOOKUP(M31,$K$14:$N$15,2,0)-VLOOKUP(Q31,$Q$14:$T$15,4,0)),1)</f>
        <v>8.3333333333333339</v>
      </c>
      <c r="Q31" s="1">
        <v>2</v>
      </c>
      <c r="R31" s="6">
        <f>IFERROR(IF(O31&gt;0,P31,N31),"")</f>
        <v>8.3333333333333339</v>
      </c>
    </row>
    <row r="32" spans="3:19" ht="14.25" customHeight="1" x14ac:dyDescent="0.2">
      <c r="D32" s="1" t="s">
        <v>124</v>
      </c>
      <c r="E32" s="6">
        <v>0.97</v>
      </c>
      <c r="F32" s="6">
        <f>E32</f>
        <v>0.97</v>
      </c>
      <c r="G32" s="6">
        <v>1</v>
      </c>
      <c r="N32" s="14">
        <f>IFERROR(VLOOKUP(M31,K$14:N$15,2,0),0)</f>
        <v>17</v>
      </c>
      <c r="O32" s="6">
        <f>IFERROR(IF(O31&gt;0,O31/N31*INDEX($M$8:$M$9,MATCH(M31,$K$14:$K$15,0)),-O31/P31*INDEX($S$8:$S$9,MATCH(Q31,$K$14:$K$15,0))),O30)</f>
        <v>0</v>
      </c>
      <c r="P32" s="14">
        <f>IFERROR(VLOOKUP(Q31,Q$14:T$15,2,0),0)</f>
        <v>17</v>
      </c>
    </row>
    <row r="33" spans="3:18" ht="14.25" customHeight="1" x14ac:dyDescent="0.2">
      <c r="M33" s="1">
        <f>IF($O31&gt;0,M31,M31-1)</f>
        <v>1</v>
      </c>
      <c r="N33" s="6">
        <f>IFERROR(IF(O31&gt;0,O32,INDEX($M$8:$M$9,MATCH(M33,$K$14:$K$15,0)))/MAX((VLOOKUP(Q33,$Q$14:$T$15,2,0)-VLOOKUP(M33,$K$14:$N$15,4,0)),1),0)</f>
        <v>4.4444444444444446</v>
      </c>
      <c r="O33" s="10">
        <f>N33-P33</f>
        <v>0</v>
      </c>
      <c r="P33" s="6">
        <f>IFERROR(IF(O31&lt;0,O32,INDEX($S$8:$S$9,MATCH(Q33,$K$14:$K$15,0)))/MAX((VLOOKUP(M33,$K$14:$N$15,2,0)-VLOOKUP(Q33,$Q$14:$T$15,4,0)),1),0)</f>
        <v>4.4444444444444446</v>
      </c>
      <c r="Q33" s="1">
        <f>IF($O31&lt;0,Q31,Q31-1)</f>
        <v>1</v>
      </c>
      <c r="R33" s="6">
        <f>IFERROR(IF(O33&gt;0,P33,N33),"")</f>
        <v>4.4444444444444446</v>
      </c>
    </row>
    <row r="34" spans="3:18" ht="14.25" customHeight="1" x14ac:dyDescent="0.2">
      <c r="E34" s="8">
        <f>E17*E28</f>
        <v>4.5</v>
      </c>
      <c r="F34" s="8">
        <f t="shared" ref="F34:G34" si="4">F17*F28</f>
        <v>111.11111111111111</v>
      </c>
      <c r="G34" s="8">
        <f t="shared" si="4"/>
        <v>2</v>
      </c>
      <c r="N34" s="14">
        <f>IFERROR(VLOOKUP(M33,K$14:N$15,2,0),0)</f>
        <v>12</v>
      </c>
      <c r="O34" s="6">
        <f>IFERROR(IF(O33&gt;0,O33/N33*INDEX($M$8:$M$9,MATCH(M33,$K$14:$K$15,0)),-O33/P33*INDEX($S$8:$S$9,MATCH(Q33,$K$14:$K$15,0))),O32)</f>
        <v>0</v>
      </c>
      <c r="P34" s="14">
        <f>IFERROR(VLOOKUP(Q33,Q$14:T$15,2,0),0)</f>
        <v>12</v>
      </c>
    </row>
    <row r="35" spans="3:18" ht="14.25" customHeight="1" x14ac:dyDescent="0.2">
      <c r="E35" s="8">
        <f t="shared" ref="E35:G35" si="5">E18*E29</f>
        <v>11</v>
      </c>
      <c r="F35" s="8">
        <f t="shared" si="5"/>
        <v>36.36363636363636</v>
      </c>
      <c r="G35" s="8">
        <f t="shared" si="5"/>
        <v>0</v>
      </c>
      <c r="M35" s="1">
        <f>IF($O33&gt;0,M33,M33-1)</f>
        <v>0</v>
      </c>
      <c r="N35" s="6">
        <f>IFERROR(IF(O33&gt;0,O34,INDEX($M$8:$M$9,MATCH(M35,$K$14:$K$15,0)))/MAX((VLOOKUP(Q35,$Q$14:$T$15,2,0)-VLOOKUP(M35,$K$14:$N$15,4,0)),1),0)</f>
        <v>0</v>
      </c>
      <c r="O35" s="10">
        <f>N35-P35</f>
        <v>0</v>
      </c>
      <c r="P35" s="6">
        <f>IFERROR(IF(O33&lt;0,O34,INDEX($S$8:$S$9,MATCH(Q35,$K$14:$K$15,0)))/MAX((VLOOKUP(M35,$K$14:$N$15,2,0)-VLOOKUP(Q35,$Q$14:$T$15,4,0)),1),0)</f>
        <v>0</v>
      </c>
      <c r="Q35" s="1">
        <f>IF($O33&lt;0,Q33,Q33-1)</f>
        <v>0</v>
      </c>
      <c r="R35" s="6">
        <f>IFERROR(IF(O35&gt;0,P35,N35),"")</f>
        <v>0</v>
      </c>
    </row>
    <row r="36" spans="3:18" ht="14.25" customHeight="1" x14ac:dyDescent="0.2">
      <c r="E36" s="8">
        <f t="shared" ref="E36:G36" si="6">E19*E30</f>
        <v>5</v>
      </c>
      <c r="F36" s="8">
        <f t="shared" si="6"/>
        <v>100</v>
      </c>
      <c r="G36" s="8">
        <f t="shared" si="6"/>
        <v>2</v>
      </c>
      <c r="N36" s="14">
        <f>IFERROR(VLOOKUP(M35,K$14:N$15,2,0),0)</f>
        <v>0</v>
      </c>
      <c r="O36" s="6">
        <f>IFERROR(IF(O35&gt;0,O35/N35*INDEX($M$8:$M$9,MATCH(M35,$K$14:$K$15,0)),-O35/P35*INDEX($S$8:$S$9,MATCH(Q35,$K$14:$K$15,0))),O34)</f>
        <v>0</v>
      </c>
      <c r="P36" s="14">
        <f>IFERROR(VLOOKUP(Q35,Q$14:T$15,2,0),0)</f>
        <v>0</v>
      </c>
    </row>
    <row r="37" spans="3:18" ht="14.25" customHeight="1" x14ac:dyDescent="0.2">
      <c r="E37" s="8">
        <f t="shared" ref="E37:G37" si="7">E20*E31</f>
        <v>12</v>
      </c>
      <c r="F37" s="8">
        <f t="shared" si="7"/>
        <v>33.333333333333336</v>
      </c>
      <c r="G37" s="8">
        <f t="shared" si="7"/>
        <v>0</v>
      </c>
      <c r="M37" s="1">
        <f>IF($O35&gt;0,M35,M35-1)</f>
        <v>-1</v>
      </c>
      <c r="N37" s="6">
        <f>IFERROR(IF(O35&gt;0,O36,INDEX($M$8:$M$9,MATCH(M37,$K$14:$K$15,0)))/MAX((VLOOKUP(Q37,$Q$14:$T$15,2,0)-VLOOKUP(M37,$K$14:$N$15,4,0)),1),0)</f>
        <v>0</v>
      </c>
      <c r="O37" s="10">
        <f>N37-P37</f>
        <v>0</v>
      </c>
      <c r="P37" s="6">
        <f>IFERROR(IF(O35&lt;0,O36,INDEX($S$8:$S$9,MATCH(Q37,$K$14:$K$15,0)))/MAX((VLOOKUP(M37,$K$14:$N$15,2,0)-VLOOKUP(Q37,$Q$14:$T$15,4,0)),1),0)</f>
        <v>0</v>
      </c>
      <c r="Q37" s="1">
        <f>IF($O35&lt;0,Q35,Q35-1)</f>
        <v>-1</v>
      </c>
      <c r="R37" s="6">
        <f>IFERROR(IF(O37&gt;0,P37,N37),"")</f>
        <v>0</v>
      </c>
    </row>
    <row r="38" spans="3:18" ht="14.25" customHeight="1" x14ac:dyDescent="0.2">
      <c r="E38" s="8">
        <f t="shared" ref="E38:G38" si="8">E21*E32</f>
        <v>3.88</v>
      </c>
      <c r="F38" s="8">
        <f t="shared" si="8"/>
        <v>48.5</v>
      </c>
      <c r="G38" s="8">
        <f t="shared" si="8"/>
        <v>6</v>
      </c>
      <c r="M38" s="14">
        <f>IFERROR(VLOOKUP(M37,K$14:N$15,4,0),0)</f>
        <v>0</v>
      </c>
      <c r="N38" s="14">
        <f>IFERROR(VLOOKUP(M37,K$14:N$15,2,0),0)</f>
        <v>0</v>
      </c>
      <c r="O38" s="6">
        <f>IFERROR(IF(O37&gt;0,O37/N37*INDEX($M$8:$M$9,MATCH(M37,$K$14:$K$15,0)),-O37/P37*INDEX($S$8:$S$9,MATCH(Q37,$K$14:$K$15,0))),O36)</f>
        <v>0</v>
      </c>
      <c r="P38" s="14">
        <f>IFERROR(VLOOKUP(Q37,Q$14:T$15,2,0),0)</f>
        <v>0</v>
      </c>
      <c r="Q38" s="14">
        <f>IFERROR(VLOOKUP(Q37,Q$14:T$15,4,0),0)</f>
        <v>0</v>
      </c>
    </row>
    <row r="39" spans="3:18" ht="14.25" customHeight="1" x14ac:dyDescent="0.2">
      <c r="M39" s="1">
        <f>MAX(M37-Q37,0)</f>
        <v>0</v>
      </c>
      <c r="N39" s="6"/>
      <c r="O39" s="10"/>
      <c r="P39" s="6"/>
      <c r="Q39" s="1">
        <f>MAX(Q37-M37,0)</f>
        <v>0</v>
      </c>
      <c r="R39" s="6">
        <f>SUM(R31:R37)</f>
        <v>12.777777777777779</v>
      </c>
    </row>
    <row r="40" spans="3:18" ht="14.25" customHeight="1" x14ac:dyDescent="0.2">
      <c r="D40" s="1">
        <v>2</v>
      </c>
      <c r="E40" s="8">
        <f>E35+E34+E38/2</f>
        <v>17.440000000000001</v>
      </c>
      <c r="F40" s="8">
        <f>F34+F35+F38/2</f>
        <v>171.72474747474746</v>
      </c>
      <c r="G40" s="1">
        <f>G34+G38/2</f>
        <v>5</v>
      </c>
      <c r="H40" s="6">
        <f>F34/(E40-G40)</f>
        <v>8.9317613433369054</v>
      </c>
      <c r="N40" s="14">
        <f>IFERROR(VLOOKUP(M39,K$14:N$15,2,0),0)</f>
        <v>0</v>
      </c>
      <c r="P40" s="14">
        <f>IFERROR(VLOOKUP(Q39,Q$14:T$15,2,0),0)</f>
        <v>0</v>
      </c>
    </row>
    <row r="41" spans="3:18" ht="14.25" customHeight="1" x14ac:dyDescent="0.2">
      <c r="D41" s="1">
        <v>1</v>
      </c>
      <c r="E41" s="8">
        <f>E35+E38/2</f>
        <v>12.94</v>
      </c>
      <c r="F41" s="8">
        <f>F40-F34</f>
        <v>60.613636363636346</v>
      </c>
      <c r="G41" s="1">
        <f>G38/2</f>
        <v>3</v>
      </c>
      <c r="H41" s="6">
        <f>F35/(E41-G41)</f>
        <v>3.6583135174684469</v>
      </c>
      <c r="L41" s="1" t="s">
        <v>13</v>
      </c>
      <c r="M41" s="1" t="s">
        <v>14</v>
      </c>
      <c r="N41" s="1" t="s">
        <v>5</v>
      </c>
      <c r="O41" s="10"/>
      <c r="P41" s="1" t="s">
        <v>13</v>
      </c>
      <c r="Q41" s="1" t="s">
        <v>14</v>
      </c>
      <c r="R41" s="1" t="s">
        <v>5</v>
      </c>
    </row>
    <row r="42" spans="3:18" x14ac:dyDescent="0.2">
      <c r="D42" s="1">
        <v>0</v>
      </c>
      <c r="E42" s="8">
        <f>E38</f>
        <v>3.88</v>
      </c>
      <c r="F42" s="8">
        <f>F38</f>
        <v>48.5</v>
      </c>
      <c r="G42" s="1">
        <v>0</v>
      </c>
      <c r="H42" s="1">
        <f>F38/(E42-G42)</f>
        <v>12.5</v>
      </c>
      <c r="K42" s="1" t="str">
        <f>IF(L42&lt;&gt;0,COUNTIF($L$42:$L$44,"&gt;0"),"")</f>
        <v/>
      </c>
      <c r="L42" s="1">
        <f>N30</f>
        <v>0</v>
      </c>
      <c r="M42" s="6">
        <f>IF(L42=0,0,O28)</f>
        <v>0</v>
      </c>
      <c r="N42" s="1">
        <f>M28</f>
        <v>0</v>
      </c>
      <c r="O42" s="1" t="str">
        <f>IF(P42&lt;&gt;0,COUNTIF($P$42:$P$44,"&gt;0"),"")</f>
        <v/>
      </c>
      <c r="P42" s="1">
        <f>P30</f>
        <v>0</v>
      </c>
      <c r="Q42" s="15">
        <f>IF(P42=0,0,O28)</f>
        <v>0</v>
      </c>
      <c r="R42" s="1">
        <f>Q28</f>
        <v>0</v>
      </c>
    </row>
    <row r="43" spans="3:18" x14ac:dyDescent="0.2">
      <c r="G43" s="90" t="s">
        <v>333</v>
      </c>
      <c r="H43" s="36">
        <f>SUM(H40:H42)</f>
        <v>25.090074860805352</v>
      </c>
      <c r="K43" s="1" t="str">
        <f>IF(K42&lt;&gt;"",IF(L43&lt;&gt;0,COUNTIF($L$42:$L$44,"&gt;0")-1,""),IF(L43&lt;&gt;0,COUNTIF($L$42:$L$44,"&gt;0"),""))</f>
        <v/>
      </c>
      <c r="L43" s="1">
        <f>N40</f>
        <v>0</v>
      </c>
      <c r="M43" s="6">
        <f>IF(L43=0,0,O38)</f>
        <v>0</v>
      </c>
      <c r="N43" s="1">
        <f>M38</f>
        <v>0</v>
      </c>
      <c r="O43" s="1" t="str">
        <f>IF(O42&lt;&gt;"",IF(P43&lt;&gt;0,COUNTIF($P$42:$P$44,"&gt;0")-1,""),IF(P43&lt;&gt;0,COUNTIF($P$42:$P$44,"&gt;0"),""))</f>
        <v/>
      </c>
      <c r="P43" s="1">
        <f>P40</f>
        <v>0</v>
      </c>
      <c r="Q43" s="6">
        <f>IF(P43=0,0,O38)</f>
        <v>0</v>
      </c>
      <c r="R43" s="1">
        <f>Q38</f>
        <v>0</v>
      </c>
    </row>
    <row r="44" spans="3:18" x14ac:dyDescent="0.2">
      <c r="K44" s="1">
        <v>1</v>
      </c>
      <c r="L44" s="1">
        <f>L16</f>
        <v>4</v>
      </c>
      <c r="M44" s="1">
        <f>M16</f>
        <v>50</v>
      </c>
      <c r="N44" s="1">
        <f>N16</f>
        <v>0</v>
      </c>
      <c r="O44" s="1">
        <v>1</v>
      </c>
      <c r="P44" s="1">
        <f>R16</f>
        <v>4</v>
      </c>
      <c r="Q44" s="1">
        <f t="shared" ref="Q44:R44" si="9">S16</f>
        <v>50</v>
      </c>
      <c r="R44" s="1">
        <f t="shared" si="9"/>
        <v>0</v>
      </c>
    </row>
    <row r="45" spans="3:18" ht="15" thickBot="1" x14ac:dyDescent="0.25">
      <c r="C45" s="3" t="s">
        <v>306</v>
      </c>
      <c r="D45" s="88" t="s">
        <v>309</v>
      </c>
      <c r="E45" s="88" t="s">
        <v>310</v>
      </c>
      <c r="F45" s="88" t="s">
        <v>311</v>
      </c>
    </row>
    <row r="46" spans="3:18" x14ac:dyDescent="0.2">
      <c r="D46" s="136" t="s">
        <v>5</v>
      </c>
      <c r="E46" s="106" t="s">
        <v>4</v>
      </c>
      <c r="F46" s="106" t="s">
        <v>3</v>
      </c>
      <c r="L46" s="1" t="s">
        <v>81</v>
      </c>
      <c r="M46" s="6" t="s">
        <v>22</v>
      </c>
      <c r="Q46" s="6" t="s">
        <v>22</v>
      </c>
    </row>
    <row r="47" spans="3:18" x14ac:dyDescent="0.2">
      <c r="D47" s="113"/>
      <c r="E47" s="1" t="s">
        <v>4</v>
      </c>
      <c r="F47" s="1" t="s">
        <v>3</v>
      </c>
      <c r="M47" s="9">
        <f>COUNTIF(L42:L44,"&gt;0")</f>
        <v>1</v>
      </c>
      <c r="N47" s="6">
        <f>IFERROR(VLOOKUP(M47,$K$41:$R$44,3,0)/MAX((VLOOKUP(Q47,$O$41:$R$44,2,0)-VLOOKUP(M47,$K$41:$R$44,4,0)),1),0)</f>
        <v>12.5</v>
      </c>
      <c r="O47" s="10">
        <f>N47-P47</f>
        <v>0</v>
      </c>
      <c r="P47" s="6">
        <f>IFERROR(VLOOKUP(Q47,$O$41:$R$44,3,0)/MAX((VLOOKUP(M47,$K$41:$R$44,2,0)-VLOOKUP(Q47,$O$41:$R$44,4,0)),1),0)</f>
        <v>12.5</v>
      </c>
      <c r="Q47" s="9">
        <f>COUNTIF(P42:P44,"&gt;0")</f>
        <v>1</v>
      </c>
      <c r="R47" s="6">
        <f>IFERROR(IF(O47&gt;0,P47,N47),"")</f>
        <v>12.5</v>
      </c>
    </row>
    <row r="48" spans="3:18" ht="14.25" customHeight="1" x14ac:dyDescent="0.2">
      <c r="N48" s="14">
        <f>IFERROR(VLOOKUP(M47,K$14:N$15,2,0),0)</f>
        <v>12</v>
      </c>
      <c r="O48" s="6">
        <f>IFERROR(IF(O47&gt;0,O47/N47*VLOOKUP(M47,$K$41:$R$44,3,0),-O47/P47*VLOOKUP(Q47,$O$41:$R$44,3,0)),O46)</f>
        <v>0</v>
      </c>
      <c r="P48" s="14">
        <f>IFERROR(VLOOKUP(Q47,Q$14:T$15,2,0),0)</f>
        <v>12</v>
      </c>
    </row>
    <row r="49" spans="3:18" ht="14.25" customHeight="1" x14ac:dyDescent="0.2">
      <c r="M49" s="1">
        <f>IF($O47&gt;0,M47,M47-1)</f>
        <v>0</v>
      </c>
      <c r="N49" s="6">
        <f>IFERROR(VLOOKUP(M49,$K$41:$R$44,3,0)/MAX((VLOOKUP(Q49,$O$41:$R$44,2,0)-VLOOKUP(M49,$K$41:$R$44,4,0)),1),0)</f>
        <v>0</v>
      </c>
      <c r="O49" s="10">
        <f>N49-P49</f>
        <v>0</v>
      </c>
      <c r="P49" s="6">
        <f>IFERROR(VLOOKUP(Q49,$O$41:$R$44,3,0)/MAX((VLOOKUP(M49,$K$41:$R$44,2,0)-VLOOKUP(Q49,$O$41:$R$44,4,0)),1),0)</f>
        <v>0</v>
      </c>
      <c r="Q49" s="1">
        <f>IF($O47&lt;0,Q47,Q47-1)</f>
        <v>0</v>
      </c>
      <c r="R49" s="6">
        <f>IFERROR(IF(O49&gt;0,P49,N49),"")</f>
        <v>0</v>
      </c>
    </row>
    <row r="50" spans="3:18" ht="14.25" customHeight="1" x14ac:dyDescent="0.2">
      <c r="C50" s="7"/>
      <c r="E50" s="1" t="s">
        <v>13</v>
      </c>
      <c r="F50" s="3"/>
      <c r="M50" s="6"/>
      <c r="N50" s="14">
        <f>IFERROR(VLOOKUP(M49,K$14:N$15,2,0),0)</f>
        <v>0</v>
      </c>
      <c r="O50" s="6">
        <f>IFERROR(IF(O49&gt;0,O49/N49*VLOOKUP(M49,$K$41:$R$44,3,0),-O49/P49*VLOOKUP(Q49,$O$41:$R$44,3,0)),O48)</f>
        <v>0</v>
      </c>
      <c r="P50" s="14">
        <f>IFERROR(VLOOKUP(Q49,Q$14:T$15,2,0),0)</f>
        <v>0</v>
      </c>
      <c r="Q50" s="6"/>
      <c r="R50" s="6"/>
    </row>
    <row r="51" spans="3:18" ht="14.25" customHeight="1" x14ac:dyDescent="0.2">
      <c r="D51" s="1" t="s">
        <v>122</v>
      </c>
      <c r="E51" s="8">
        <f>H23*E17</f>
        <v>41.666666666666671</v>
      </c>
      <c r="F51" s="5">
        <f>E51/SUM($E$51:$E$55)</f>
        <v>9.469696969696971E-2</v>
      </c>
      <c r="M51" s="1">
        <f>IF($O49&gt;0,M49,M49-1)</f>
        <v>-1</v>
      </c>
      <c r="N51" s="6">
        <f>IFERROR(VLOOKUP(M51,$K$41:$R$44,3,0)/MAX((VLOOKUP(Q51,$O$41:$R$44,2,0)-VLOOKUP(M51,$K$41:$R$44,4,0)),1),0)</f>
        <v>0</v>
      </c>
      <c r="O51" s="10">
        <f>N51-P51</f>
        <v>0</v>
      </c>
      <c r="P51" s="6">
        <f>IFERROR(VLOOKUP(Q51,$O$41:$R$44,3,0)/MAX((VLOOKUP(M51,$K$41:$R$44,2,0)-VLOOKUP(Q51,$O$41:$R$44,4,0)),1),0)</f>
        <v>0</v>
      </c>
      <c r="Q51" s="1">
        <f>IF($O49&lt;0,Q49,Q49-1)</f>
        <v>-1</v>
      </c>
      <c r="R51" s="6">
        <f>IFERROR(IF(O51&gt;0,P51,N51),"")</f>
        <v>0</v>
      </c>
    </row>
    <row r="52" spans="3:18" x14ac:dyDescent="0.2">
      <c r="D52" s="1" t="s">
        <v>123</v>
      </c>
      <c r="E52" s="8">
        <f>H24*E18+E18*H23</f>
        <v>127.77777777777779</v>
      </c>
      <c r="F52" s="5">
        <f>E52/SUM($E$51:$E$55)</f>
        <v>0.29040404040404044</v>
      </c>
      <c r="M52" s="6"/>
      <c r="N52" s="14">
        <f>IFERROR(VLOOKUP(M51,K$14:N$15,2,0),0)</f>
        <v>0</v>
      </c>
      <c r="O52" s="6">
        <f>IFERROR(IF(O51&gt;0,O51/N51*VLOOKUP(M51,$K$41:$R$44,3,0),-O51/P51*VLOOKUP(Q51,$O$41:$R$44,3,0)),O50)</f>
        <v>0</v>
      </c>
      <c r="P52" s="14">
        <f>IFERROR(VLOOKUP(Q51,Q$14:T$15,2,0),0)</f>
        <v>0</v>
      </c>
      <c r="Q52" s="6"/>
      <c r="R52" s="6">
        <f>SUM(R47:R51)</f>
        <v>12.5</v>
      </c>
    </row>
    <row r="53" spans="3:18" x14ac:dyDescent="0.2">
      <c r="D53" s="1" t="s">
        <v>122</v>
      </c>
      <c r="E53" s="8">
        <f>E51</f>
        <v>41.666666666666671</v>
      </c>
      <c r="F53" s="5">
        <f>E53/SUM($E$51:$E$55)</f>
        <v>9.469696969696971E-2</v>
      </c>
      <c r="N53" s="6"/>
      <c r="O53" s="6"/>
      <c r="P53" s="6"/>
      <c r="Q53" s="6"/>
    </row>
    <row r="54" spans="3:18" x14ac:dyDescent="0.2">
      <c r="D54" s="1" t="s">
        <v>123</v>
      </c>
      <c r="E54" s="8">
        <f>E52</f>
        <v>127.77777777777779</v>
      </c>
      <c r="F54" s="5">
        <f>E54/SUM($E$51:$E$55)</f>
        <v>0.29040404040404044</v>
      </c>
      <c r="Q54" s="6"/>
      <c r="R54" s="6"/>
    </row>
    <row r="55" spans="3:18" x14ac:dyDescent="0.2">
      <c r="D55" s="1" t="s">
        <v>124</v>
      </c>
      <c r="E55" s="8">
        <f>E21*SUM(H23:H25)</f>
        <v>101.11111111111111</v>
      </c>
      <c r="F55" s="5">
        <f>E55/SUM($E$51:$E$55)</f>
        <v>0.22979797979797981</v>
      </c>
      <c r="Q55" s="6"/>
    </row>
    <row r="56" spans="3:18" x14ac:dyDescent="0.2">
      <c r="H56" s="6"/>
    </row>
    <row r="57" spans="3:18" x14ac:dyDescent="0.2">
      <c r="D57" s="1" t="s">
        <v>122</v>
      </c>
      <c r="E57" s="33">
        <f>F53+F51</f>
        <v>0.18939393939393942</v>
      </c>
      <c r="H57" s="6"/>
      <c r="Q57" s="6"/>
      <c r="R57" s="6"/>
    </row>
    <row r="58" spans="3:18" x14ac:dyDescent="0.2">
      <c r="D58" s="1" t="s">
        <v>123</v>
      </c>
      <c r="E58" s="33">
        <f>F54+F52</f>
        <v>0.58080808080808088</v>
      </c>
      <c r="H58" s="6"/>
      <c r="Q58" s="10"/>
    </row>
    <row r="59" spans="3:18" x14ac:dyDescent="0.2">
      <c r="D59" s="1" t="s">
        <v>124</v>
      </c>
      <c r="E59" s="33">
        <f>F55</f>
        <v>0.22979797979797981</v>
      </c>
      <c r="H59" s="6"/>
      <c r="R59" s="6"/>
    </row>
    <row r="60" spans="3:18" x14ac:dyDescent="0.2">
      <c r="H60" s="6"/>
      <c r="Q60" s="10"/>
    </row>
    <row r="61" spans="3:18" x14ac:dyDescent="0.2">
      <c r="H61" s="6"/>
    </row>
    <row r="62" spans="3:18" x14ac:dyDescent="0.2">
      <c r="H62" s="6"/>
    </row>
    <row r="63" spans="3:18" x14ac:dyDescent="0.2">
      <c r="H63" s="6"/>
    </row>
    <row r="69" spans="16:19" x14ac:dyDescent="0.2">
      <c r="P69" s="6"/>
      <c r="S69" s="6"/>
    </row>
    <row r="70" spans="16:19" x14ac:dyDescent="0.2">
      <c r="S70" s="6"/>
    </row>
    <row r="71" spans="16:19" x14ac:dyDescent="0.2">
      <c r="S71" s="6"/>
    </row>
  </sheetData>
  <mergeCells count="2">
    <mergeCell ref="A1:B2"/>
    <mergeCell ref="D46:D47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054E0-0AD6-4977-92DC-701FB0265883}">
  <sheetPr codeName="Sheet3"/>
  <dimension ref="A1:Q48"/>
  <sheetViews>
    <sheetView workbookViewId="0">
      <pane xSplit="3" ySplit="8" topLeftCell="D15" activePane="bottomRight" state="frozen"/>
      <selection pane="topRight" activeCell="D1" sqref="D1"/>
      <selection pane="bottomLeft" activeCell="A10" sqref="A10"/>
      <selection pane="bottomRight" activeCell="Q33" sqref="Q33:U36"/>
    </sheetView>
  </sheetViews>
  <sheetFormatPr defaultRowHeight="14.25" customHeight="1" x14ac:dyDescent="0.2"/>
  <cols>
    <col min="1" max="2" width="9" style="1"/>
    <col min="3" max="3" width="11.75" style="1" customWidth="1"/>
    <col min="4" max="16384" width="9" style="1"/>
  </cols>
  <sheetData>
    <row r="1" spans="1:17" ht="14.25" customHeight="1" x14ac:dyDescent="0.2">
      <c r="A1" s="108" t="s">
        <v>29</v>
      </c>
      <c r="B1" s="109"/>
    </row>
    <row r="2" spans="1:17" ht="14.25" customHeight="1" x14ac:dyDescent="0.2">
      <c r="A2" s="110"/>
      <c r="B2" s="111"/>
    </row>
    <row r="3" spans="1:17" ht="14.25" customHeight="1" x14ac:dyDescent="0.2">
      <c r="C3" s="91" t="s">
        <v>8</v>
      </c>
      <c r="D3" s="2"/>
    </row>
    <row r="4" spans="1:17" ht="14.25" customHeight="1" x14ac:dyDescent="0.2">
      <c r="C4" s="2" t="s">
        <v>9</v>
      </c>
      <c r="D4" s="2"/>
    </row>
    <row r="5" spans="1:17" ht="14.25" customHeight="1" x14ac:dyDescent="0.2">
      <c r="C5" s="91" t="s">
        <v>10</v>
      </c>
    </row>
    <row r="6" spans="1:17" ht="14.25" customHeight="1" x14ac:dyDescent="0.2">
      <c r="C6" s="2" t="s">
        <v>315</v>
      </c>
    </row>
    <row r="7" spans="1:17" ht="14.25" customHeight="1" x14ac:dyDescent="0.2">
      <c r="C7" s="2"/>
    </row>
    <row r="9" spans="1:17" ht="14.25" customHeight="1" thickBot="1" x14ac:dyDescent="0.25">
      <c r="D9" s="88" t="s">
        <v>30</v>
      </c>
      <c r="E9" s="88" t="s">
        <v>41</v>
      </c>
      <c r="F9" s="88" t="s">
        <v>45</v>
      </c>
      <c r="G9" s="87" t="s">
        <v>52</v>
      </c>
      <c r="H9" s="124" t="s">
        <v>47</v>
      </c>
      <c r="I9" s="125"/>
      <c r="J9" s="125"/>
      <c r="K9" s="125"/>
      <c r="L9" s="125"/>
      <c r="M9" s="125"/>
      <c r="N9" s="125"/>
      <c r="O9" s="125"/>
      <c r="P9" s="125"/>
      <c r="Q9" s="126"/>
    </row>
    <row r="10" spans="1:17" ht="14.25" customHeight="1" x14ac:dyDescent="0.2">
      <c r="C10" s="114" t="s">
        <v>31</v>
      </c>
      <c r="D10" s="76" t="s">
        <v>32</v>
      </c>
      <c r="E10" s="76" t="s">
        <v>42</v>
      </c>
      <c r="F10" s="76" t="s">
        <v>46</v>
      </c>
      <c r="G10" s="77" t="s">
        <v>61</v>
      </c>
      <c r="H10" s="121" t="s">
        <v>48</v>
      </c>
      <c r="I10" s="122"/>
      <c r="J10" s="122"/>
      <c r="K10" s="122"/>
      <c r="L10" s="122"/>
      <c r="M10" s="122"/>
      <c r="N10" s="122"/>
      <c r="O10" s="122"/>
      <c r="P10" s="122"/>
      <c r="Q10" s="123"/>
    </row>
    <row r="11" spans="1:17" ht="14.25" customHeight="1" x14ac:dyDescent="0.2">
      <c r="C11" s="112"/>
      <c r="D11" s="1" t="s">
        <v>33</v>
      </c>
      <c r="E11" s="1" t="s">
        <v>42</v>
      </c>
      <c r="F11" s="1" t="s">
        <v>46</v>
      </c>
      <c r="G11" s="13" t="s">
        <v>61</v>
      </c>
      <c r="H11" s="127" t="s">
        <v>49</v>
      </c>
      <c r="I11" s="128"/>
      <c r="J11" s="128"/>
      <c r="K11" s="128"/>
      <c r="L11" s="128"/>
      <c r="M11" s="128"/>
      <c r="N11" s="128"/>
      <c r="O11" s="128"/>
      <c r="P11" s="128"/>
      <c r="Q11" s="129"/>
    </row>
    <row r="12" spans="1:17" ht="14.25" customHeight="1" x14ac:dyDescent="0.2">
      <c r="C12" s="112"/>
      <c r="D12" s="1" t="s">
        <v>34</v>
      </c>
      <c r="E12" s="1" t="s">
        <v>42</v>
      </c>
      <c r="F12" s="1" t="s">
        <v>46</v>
      </c>
      <c r="G12" s="13" t="s">
        <v>61</v>
      </c>
      <c r="H12" s="127" t="s">
        <v>50</v>
      </c>
      <c r="I12" s="128"/>
      <c r="J12" s="128"/>
      <c r="K12" s="128"/>
      <c r="L12" s="128"/>
      <c r="M12" s="128"/>
      <c r="N12" s="128"/>
      <c r="O12" s="128"/>
      <c r="P12" s="128"/>
      <c r="Q12" s="129"/>
    </row>
    <row r="13" spans="1:17" ht="14.25" customHeight="1" x14ac:dyDescent="0.2">
      <c r="C13" s="112"/>
      <c r="D13" s="1" t="s">
        <v>35</v>
      </c>
      <c r="E13" s="1" t="s">
        <v>42</v>
      </c>
      <c r="F13" s="1" t="s">
        <v>46</v>
      </c>
      <c r="G13" s="13" t="s">
        <v>53</v>
      </c>
      <c r="H13" s="127" t="s">
        <v>51</v>
      </c>
      <c r="I13" s="128"/>
      <c r="J13" s="128"/>
      <c r="K13" s="128"/>
      <c r="L13" s="128"/>
      <c r="M13" s="128"/>
      <c r="N13" s="128"/>
      <c r="O13" s="128"/>
      <c r="P13" s="128"/>
      <c r="Q13" s="129"/>
    </row>
    <row r="14" spans="1:17" ht="14.25" customHeight="1" x14ac:dyDescent="0.2">
      <c r="C14" s="112"/>
      <c r="D14" s="1" t="s">
        <v>55</v>
      </c>
      <c r="E14" s="1" t="s">
        <v>42</v>
      </c>
      <c r="F14" s="1" t="s">
        <v>46</v>
      </c>
      <c r="G14" s="13" t="s">
        <v>54</v>
      </c>
      <c r="H14" s="127" t="s">
        <v>56</v>
      </c>
      <c r="I14" s="128"/>
      <c r="J14" s="128"/>
      <c r="K14" s="128"/>
      <c r="L14" s="128"/>
      <c r="M14" s="128"/>
      <c r="N14" s="128"/>
      <c r="O14" s="128"/>
      <c r="P14" s="128"/>
      <c r="Q14" s="129"/>
    </row>
    <row r="15" spans="1:17" ht="14.25" customHeight="1" x14ac:dyDescent="0.2">
      <c r="C15" s="113"/>
      <c r="D15" s="1" t="s">
        <v>11</v>
      </c>
      <c r="E15" s="1" t="s">
        <v>42</v>
      </c>
      <c r="F15" s="1" t="s">
        <v>46</v>
      </c>
      <c r="G15" s="13" t="s">
        <v>57</v>
      </c>
      <c r="H15" s="127" t="s">
        <v>58</v>
      </c>
      <c r="I15" s="128"/>
      <c r="J15" s="128"/>
      <c r="K15" s="128"/>
      <c r="L15" s="128"/>
      <c r="M15" s="128"/>
      <c r="N15" s="128"/>
      <c r="O15" s="128"/>
      <c r="P15" s="128"/>
      <c r="Q15" s="129"/>
    </row>
    <row r="16" spans="1:17" ht="14.25" customHeight="1" x14ac:dyDescent="0.2">
      <c r="C16" s="114" t="s">
        <v>36</v>
      </c>
      <c r="D16" s="1" t="s">
        <v>37</v>
      </c>
      <c r="E16" s="1" t="s">
        <v>43</v>
      </c>
      <c r="F16" s="1" t="s">
        <v>46</v>
      </c>
      <c r="G16" s="13" t="s">
        <v>62</v>
      </c>
      <c r="H16" s="115" t="s">
        <v>60</v>
      </c>
      <c r="I16" s="116"/>
      <c r="J16" s="116"/>
      <c r="K16" s="116"/>
      <c r="L16" s="116"/>
      <c r="M16" s="116"/>
      <c r="N16" s="116"/>
      <c r="O16" s="116"/>
      <c r="P16" s="116"/>
      <c r="Q16" s="117"/>
    </row>
    <row r="17" spans="3:17" ht="14.25" customHeight="1" x14ac:dyDescent="0.2">
      <c r="C17" s="112"/>
      <c r="D17" s="1" t="s">
        <v>38</v>
      </c>
      <c r="E17" s="1" t="s">
        <v>43</v>
      </c>
      <c r="F17" s="1" t="s">
        <v>46</v>
      </c>
      <c r="G17" s="13" t="s">
        <v>62</v>
      </c>
      <c r="H17" s="118"/>
      <c r="I17" s="119"/>
      <c r="J17" s="119"/>
      <c r="K17" s="119"/>
      <c r="L17" s="119"/>
      <c r="M17" s="119"/>
      <c r="N17" s="119"/>
      <c r="O17" s="119"/>
      <c r="P17" s="119"/>
      <c r="Q17" s="120"/>
    </row>
    <row r="18" spans="3:17" ht="14.25" customHeight="1" x14ac:dyDescent="0.2">
      <c r="C18" s="113"/>
      <c r="D18" s="1" t="s">
        <v>39</v>
      </c>
      <c r="E18" s="1" t="s">
        <v>43</v>
      </c>
      <c r="F18" s="1" t="s">
        <v>46</v>
      </c>
      <c r="G18" s="13" t="s">
        <v>62</v>
      </c>
      <c r="H18" s="121"/>
      <c r="I18" s="122"/>
      <c r="J18" s="122"/>
      <c r="K18" s="122"/>
      <c r="L18" s="122"/>
      <c r="M18" s="122"/>
      <c r="N18" s="122"/>
      <c r="O18" s="122"/>
      <c r="P18" s="122"/>
      <c r="Q18" s="123"/>
    </row>
    <row r="19" spans="3:17" ht="14.25" customHeight="1" x14ac:dyDescent="0.2">
      <c r="C19" s="114" t="s">
        <v>40</v>
      </c>
      <c r="D19" s="1" t="s">
        <v>70</v>
      </c>
      <c r="E19" s="1" t="s">
        <v>43</v>
      </c>
      <c r="F19" s="1" t="s">
        <v>46</v>
      </c>
      <c r="G19" s="1" t="s">
        <v>63</v>
      </c>
      <c r="H19" s="115" t="s">
        <v>64</v>
      </c>
      <c r="I19" s="116"/>
      <c r="J19" s="116"/>
      <c r="K19" s="116"/>
      <c r="L19" s="116"/>
      <c r="M19" s="116"/>
      <c r="N19" s="116"/>
      <c r="O19" s="116"/>
      <c r="P19" s="116"/>
      <c r="Q19" s="117"/>
    </row>
    <row r="20" spans="3:17" ht="14.25" customHeight="1" x14ac:dyDescent="0.2">
      <c r="C20" s="112"/>
      <c r="D20" s="1" t="s">
        <v>128</v>
      </c>
      <c r="E20" s="1" t="s">
        <v>43</v>
      </c>
      <c r="F20" s="1" t="s">
        <v>46</v>
      </c>
      <c r="G20" s="1" t="s">
        <v>121</v>
      </c>
      <c r="H20" s="118"/>
      <c r="I20" s="119"/>
      <c r="J20" s="119"/>
      <c r="K20" s="119"/>
      <c r="L20" s="119"/>
      <c r="M20" s="119"/>
      <c r="N20" s="119"/>
      <c r="O20" s="119"/>
      <c r="P20" s="119"/>
      <c r="Q20" s="120"/>
    </row>
    <row r="21" spans="3:17" ht="14.25" customHeight="1" x14ac:dyDescent="0.2">
      <c r="C21" s="113"/>
      <c r="D21" s="1" t="s">
        <v>120</v>
      </c>
      <c r="E21" s="1" t="s">
        <v>43</v>
      </c>
      <c r="F21" s="1" t="s">
        <v>46</v>
      </c>
      <c r="G21" s="1" t="s">
        <v>121</v>
      </c>
      <c r="H21" s="121"/>
      <c r="I21" s="122"/>
      <c r="J21" s="122"/>
      <c r="K21" s="122"/>
      <c r="L21" s="122"/>
      <c r="M21" s="122"/>
      <c r="N21" s="122"/>
      <c r="O21" s="122"/>
      <c r="P21" s="122"/>
      <c r="Q21" s="123"/>
    </row>
    <row r="22" spans="3:17" ht="14.25" customHeight="1" x14ac:dyDescent="0.2">
      <c r="C22" s="26"/>
      <c r="H22" s="27"/>
      <c r="I22" s="28"/>
      <c r="J22" s="28"/>
      <c r="K22" s="28"/>
      <c r="L22" s="28"/>
      <c r="M22" s="28"/>
      <c r="N22" s="28"/>
      <c r="O22" s="28"/>
      <c r="P22" s="28"/>
      <c r="Q22" s="29"/>
    </row>
    <row r="23" spans="3:17" ht="14.25" customHeight="1" x14ac:dyDescent="0.2">
      <c r="D23" s="16"/>
    </row>
    <row r="24" spans="3:17" ht="14.25" customHeight="1" x14ac:dyDescent="0.2">
      <c r="C24" s="92" t="s">
        <v>316</v>
      </c>
      <c r="D24" s="2" t="s">
        <v>59</v>
      </c>
      <c r="Q24" s="16" t="s">
        <v>44</v>
      </c>
    </row>
    <row r="26" spans="3:17" s="3" customFormat="1" ht="14.25" customHeight="1" x14ac:dyDescent="0.2">
      <c r="C26" s="3" t="s">
        <v>29</v>
      </c>
      <c r="D26" s="2" t="s">
        <v>76</v>
      </c>
      <c r="L26" s="3" t="s">
        <v>16</v>
      </c>
      <c r="M26" s="3" t="s">
        <v>129</v>
      </c>
    </row>
    <row r="27" spans="3:17" ht="14.25" customHeight="1" x14ac:dyDescent="0.2">
      <c r="D27" s="3" t="s">
        <v>66</v>
      </c>
      <c r="E27" s="3" t="s">
        <v>74</v>
      </c>
      <c r="L27" s="1" t="s">
        <v>3</v>
      </c>
      <c r="M27" s="7" t="s">
        <v>130</v>
      </c>
    </row>
    <row r="28" spans="3:17" ht="14.25" customHeight="1" x14ac:dyDescent="0.2">
      <c r="D28" s="1" t="s">
        <v>12</v>
      </c>
      <c r="E28" s="7" t="s">
        <v>65</v>
      </c>
      <c r="L28" s="1" t="s">
        <v>4</v>
      </c>
      <c r="M28" s="7" t="s">
        <v>131</v>
      </c>
    </row>
    <row r="29" spans="3:17" ht="14.25" customHeight="1" x14ac:dyDescent="0.2">
      <c r="D29" s="1" t="s">
        <v>69</v>
      </c>
      <c r="E29" s="7" t="s">
        <v>67</v>
      </c>
      <c r="L29" s="1" t="s">
        <v>5</v>
      </c>
      <c r="M29" s="7" t="s">
        <v>132</v>
      </c>
    </row>
    <row r="30" spans="3:17" ht="14.25" customHeight="1" x14ac:dyDescent="0.2">
      <c r="D30" s="1" t="s">
        <v>68</v>
      </c>
      <c r="E30" s="7" t="s">
        <v>220</v>
      </c>
      <c r="I30" s="2" t="s">
        <v>326</v>
      </c>
    </row>
    <row r="31" spans="3:17" ht="14.25" customHeight="1" x14ac:dyDescent="0.2">
      <c r="D31" s="1" t="s">
        <v>13</v>
      </c>
      <c r="E31" s="7" t="s">
        <v>71</v>
      </c>
    </row>
    <row r="32" spans="3:17" ht="14.25" customHeight="1" x14ac:dyDescent="0.2">
      <c r="D32" s="3" t="s">
        <v>72</v>
      </c>
      <c r="E32" s="7" t="s">
        <v>73</v>
      </c>
    </row>
    <row r="33" spans="3:6" ht="14.25" customHeight="1" x14ac:dyDescent="0.2">
      <c r="D33" s="3" t="s">
        <v>78</v>
      </c>
      <c r="E33" s="7" t="s">
        <v>75</v>
      </c>
    </row>
    <row r="34" spans="3:6" ht="14.25" customHeight="1" x14ac:dyDescent="0.2">
      <c r="D34" s="3" t="s">
        <v>77</v>
      </c>
      <c r="E34" s="7" t="s">
        <v>79</v>
      </c>
    </row>
    <row r="36" spans="3:6" ht="14.25" customHeight="1" x14ac:dyDescent="0.2">
      <c r="C36" s="3" t="s">
        <v>83</v>
      </c>
      <c r="D36" s="1" t="s">
        <v>125</v>
      </c>
      <c r="E36" s="1">
        <v>25</v>
      </c>
    </row>
    <row r="37" spans="3:6" ht="14.25" customHeight="1" thickBot="1" x14ac:dyDescent="0.25">
      <c r="D37" s="88" t="s">
        <v>30</v>
      </c>
      <c r="E37" s="88" t="s">
        <v>85</v>
      </c>
    </row>
    <row r="38" spans="3:6" ht="14.25" customHeight="1" x14ac:dyDescent="0.2">
      <c r="D38" s="76" t="s">
        <v>32</v>
      </c>
      <c r="E38" s="76">
        <f>E40*E36</f>
        <v>25</v>
      </c>
    </row>
    <row r="39" spans="3:6" ht="14.25" customHeight="1" x14ac:dyDescent="0.2">
      <c r="D39" s="1" t="s">
        <v>33</v>
      </c>
      <c r="E39" s="30">
        <f>1/100000</f>
        <v>1.0000000000000001E-5</v>
      </c>
      <c r="F39" s="7" t="s">
        <v>317</v>
      </c>
    </row>
    <row r="40" spans="3:6" ht="14.25" customHeight="1" x14ac:dyDescent="0.2">
      <c r="D40" s="1" t="s">
        <v>34</v>
      </c>
      <c r="E40" s="17">
        <v>1</v>
      </c>
    </row>
    <row r="41" spans="3:6" ht="14.25" customHeight="1" x14ac:dyDescent="0.2">
      <c r="D41" s="1" t="s">
        <v>35</v>
      </c>
      <c r="E41" s="4">
        <f>0.5*0.01</f>
        <v>5.0000000000000001E-3</v>
      </c>
      <c r="F41" s="7" t="s">
        <v>318</v>
      </c>
    </row>
    <row r="42" spans="3:6" ht="14.25" customHeight="1" x14ac:dyDescent="0.2">
      <c r="D42" s="1" t="s">
        <v>84</v>
      </c>
      <c r="E42" s="5">
        <f>0.75*0.01</f>
        <v>7.4999999999999997E-3</v>
      </c>
      <c r="F42" s="7" t="s">
        <v>318</v>
      </c>
    </row>
    <row r="43" spans="3:6" ht="14.25" customHeight="1" x14ac:dyDescent="0.2">
      <c r="D43" s="1" t="s">
        <v>11</v>
      </c>
      <c r="E43" s="5">
        <f>0.67*0.01</f>
        <v>6.7000000000000002E-3</v>
      </c>
      <c r="F43" s="7" t="s">
        <v>318</v>
      </c>
    </row>
    <row r="44" spans="3:6" ht="14.25" customHeight="1" x14ac:dyDescent="0.2">
      <c r="E44" s="5"/>
      <c r="F44" s="7"/>
    </row>
    <row r="45" spans="3:6" ht="14.25" customHeight="1" x14ac:dyDescent="0.2">
      <c r="D45" s="2" t="s">
        <v>321</v>
      </c>
    </row>
    <row r="46" spans="3:6" ht="14.25" customHeight="1" x14ac:dyDescent="0.2">
      <c r="D46" s="7" t="s">
        <v>127</v>
      </c>
    </row>
    <row r="47" spans="3:6" ht="14.25" customHeight="1" x14ac:dyDescent="0.2">
      <c r="D47" s="7" t="s">
        <v>319</v>
      </c>
    </row>
    <row r="48" spans="3:6" ht="14.25" customHeight="1" x14ac:dyDescent="0.2">
      <c r="D48" s="7" t="s">
        <v>320</v>
      </c>
    </row>
  </sheetData>
  <mergeCells count="13">
    <mergeCell ref="C19:C21"/>
    <mergeCell ref="H19:Q21"/>
    <mergeCell ref="H16:Q18"/>
    <mergeCell ref="A1:B2"/>
    <mergeCell ref="H9:Q9"/>
    <mergeCell ref="H10:Q10"/>
    <mergeCell ref="H11:Q11"/>
    <mergeCell ref="H12:Q12"/>
    <mergeCell ref="H13:Q13"/>
    <mergeCell ref="H14:Q14"/>
    <mergeCell ref="H15:Q15"/>
    <mergeCell ref="C10:C15"/>
    <mergeCell ref="C16:C1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03BA-5820-4007-A302-649D045C5304}">
  <sheetPr codeName="Sheet4"/>
  <dimension ref="A1:AJ33"/>
  <sheetViews>
    <sheetView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U23" sqref="U23"/>
    </sheetView>
  </sheetViews>
  <sheetFormatPr defaultRowHeight="14.25" customHeight="1" x14ac:dyDescent="0.2"/>
  <cols>
    <col min="1" max="9" width="9" style="1"/>
    <col min="10" max="10" width="9" style="1" customWidth="1"/>
    <col min="11" max="15" width="9" style="1"/>
    <col min="16" max="16" width="2.5" style="1" customWidth="1"/>
    <col min="17" max="36" width="9" style="68"/>
    <col min="37" max="16384" width="9" style="1"/>
  </cols>
  <sheetData>
    <row r="1" spans="1:36" ht="14.25" customHeight="1" x14ac:dyDescent="0.2">
      <c r="A1" s="108" t="s">
        <v>86</v>
      </c>
      <c r="B1" s="109"/>
    </row>
    <row r="2" spans="1:36" ht="14.25" customHeight="1" x14ac:dyDescent="0.2">
      <c r="A2" s="110"/>
      <c r="B2" s="111"/>
      <c r="C2" s="2" t="s">
        <v>322</v>
      </c>
      <c r="D2" s="2"/>
    </row>
    <row r="3" spans="1:36" ht="14.25" customHeight="1" x14ac:dyDescent="0.2">
      <c r="C3" s="3" t="s">
        <v>112</v>
      </c>
    </row>
    <row r="4" spans="1:36" s="3" customFormat="1" ht="14.25" customHeight="1" x14ac:dyDescent="0.2">
      <c r="D4" s="3" t="s">
        <v>88</v>
      </c>
      <c r="E4" s="3" t="s">
        <v>13</v>
      </c>
      <c r="F4" s="3" t="s">
        <v>14</v>
      </c>
      <c r="G4" s="3" t="s">
        <v>331</v>
      </c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  <c r="AC4" s="95"/>
      <c r="AD4" s="95"/>
      <c r="AE4" s="95"/>
      <c r="AF4" s="95"/>
      <c r="AG4" s="95"/>
      <c r="AH4" s="95"/>
      <c r="AI4" s="95"/>
      <c r="AJ4" s="95"/>
    </row>
    <row r="5" spans="1:36" ht="14.25" customHeight="1" x14ac:dyDescent="0.2">
      <c r="D5" s="1" t="s">
        <v>3</v>
      </c>
      <c r="E5" s="9">
        <f>基础模型!E11</f>
        <v>5</v>
      </c>
      <c r="F5" s="9">
        <f>基础模型!F11</f>
        <v>100</v>
      </c>
    </row>
    <row r="6" spans="1:36" ht="14.25" customHeight="1" x14ac:dyDescent="0.2">
      <c r="D6" s="1" t="s">
        <v>4</v>
      </c>
      <c r="E6" s="9">
        <f>基础模型!E12</f>
        <v>10</v>
      </c>
      <c r="F6" s="9">
        <f>基础模型!F12</f>
        <v>40</v>
      </c>
    </row>
    <row r="7" spans="1:36" ht="14.25" customHeight="1" x14ac:dyDescent="0.2">
      <c r="D7" s="1" t="s">
        <v>5</v>
      </c>
      <c r="E7" s="9">
        <f>基础模型!E13</f>
        <v>4</v>
      </c>
      <c r="F7" s="9">
        <f>基础模型!F13</f>
        <v>50</v>
      </c>
    </row>
    <row r="8" spans="1:36" ht="14.25" customHeight="1" x14ac:dyDescent="0.2">
      <c r="C8" s="3" t="s">
        <v>109</v>
      </c>
      <c r="Q8" s="95" t="s">
        <v>149</v>
      </c>
      <c r="AB8" s="95" t="s">
        <v>138</v>
      </c>
    </row>
    <row r="9" spans="1:36" s="3" customFormat="1" ht="14.25" customHeight="1" x14ac:dyDescent="0.2">
      <c r="D9" s="3" t="s">
        <v>87</v>
      </c>
      <c r="E9" s="3" t="s">
        <v>88</v>
      </c>
      <c r="F9" s="3" t="s">
        <v>13</v>
      </c>
      <c r="G9" s="3" t="s">
        <v>14</v>
      </c>
      <c r="I9" s="24" t="s">
        <v>90</v>
      </c>
      <c r="J9" s="3" t="s">
        <v>91</v>
      </c>
      <c r="K9" s="3" t="s">
        <v>92</v>
      </c>
      <c r="L9" s="3" t="s">
        <v>93</v>
      </c>
      <c r="M9" s="24" t="s">
        <v>158</v>
      </c>
      <c r="Q9" s="95"/>
      <c r="R9" s="95" t="s">
        <v>150</v>
      </c>
      <c r="S9" s="95" t="s">
        <v>87</v>
      </c>
      <c r="T9" s="95" t="s">
        <v>157</v>
      </c>
      <c r="U9" s="96" t="s">
        <v>90</v>
      </c>
      <c r="V9" s="95" t="s">
        <v>91</v>
      </c>
      <c r="W9" s="95" t="s">
        <v>92</v>
      </c>
      <c r="X9" s="95" t="s">
        <v>93</v>
      </c>
      <c r="Y9" s="95" t="s">
        <v>157</v>
      </c>
      <c r="Z9" s="96" t="s">
        <v>33</v>
      </c>
      <c r="AA9" s="104" t="s">
        <v>168</v>
      </c>
      <c r="AB9" s="95"/>
      <c r="AC9" s="95" t="s">
        <v>144</v>
      </c>
      <c r="AD9" s="95" t="s">
        <v>146</v>
      </c>
      <c r="AE9" s="95" t="s">
        <v>147</v>
      </c>
      <c r="AF9" s="95" t="s">
        <v>139</v>
      </c>
      <c r="AG9" s="95" t="s">
        <v>140</v>
      </c>
      <c r="AH9" s="95" t="s">
        <v>141</v>
      </c>
      <c r="AI9" s="95" t="s">
        <v>142</v>
      </c>
      <c r="AJ9" s="95" t="s">
        <v>167</v>
      </c>
    </row>
    <row r="10" spans="1:36" ht="14.25" customHeight="1" x14ac:dyDescent="0.2">
      <c r="C10" s="18" t="s">
        <v>98</v>
      </c>
      <c r="D10" s="1" t="s">
        <v>68</v>
      </c>
      <c r="E10" s="1" t="s">
        <v>3</v>
      </c>
      <c r="F10" s="6">
        <f>VLOOKUP($E10,$D$4:$F$7,MATCH(F$9,$D$4:$F$4,0),0)</f>
        <v>5</v>
      </c>
      <c r="G10" s="6">
        <f t="shared" ref="F10:G15" si="0">VLOOKUP($E10,$D$4:$F$7,MATCH(G$9,$D$4:$F$4,0),0)</f>
        <v>100</v>
      </c>
      <c r="H10" s="6">
        <f>F10*G10</f>
        <v>500</v>
      </c>
      <c r="I10" s="6">
        <v>0.9</v>
      </c>
      <c r="J10" s="6">
        <f>L10/G10</f>
        <v>1.1111111111111112</v>
      </c>
      <c r="K10" s="6">
        <f>F10*I10</f>
        <v>4.5</v>
      </c>
      <c r="L10" s="6">
        <f>H10/K10</f>
        <v>111.11111111111111</v>
      </c>
      <c r="M10" s="1">
        <v>1</v>
      </c>
      <c r="R10" s="68" t="s">
        <v>246</v>
      </c>
      <c r="S10" s="68" t="s">
        <v>151</v>
      </c>
      <c r="T10" s="68" t="str">
        <f>MIN(VLOOKUP(S10,$D$9:$M$15,6,0),VLOOKUP(S10,$D$9:$M$15,10,0))&amp;"~"&amp;MAX(VLOOKUP(S10,$D$9:$M$15,6,0),VLOOKUP(S10,$D$9:$M$15,10,0))</f>
        <v>0.9~1</v>
      </c>
      <c r="U10" s="93">
        <v>0.9</v>
      </c>
      <c r="V10" s="93">
        <f>X10/VLOOKUP(S10,$D$9:$L$15,4,0)</f>
        <v>1.1111111111111112</v>
      </c>
      <c r="W10" s="93">
        <f>VLOOKUP(S10,$D$9:$L$15,3,0)*U10</f>
        <v>4.5</v>
      </c>
      <c r="X10" s="93">
        <f>VLOOKUP(S10,$D$9:$L$15,5,0)/W10</f>
        <v>111.11111111111111</v>
      </c>
      <c r="Y10" s="93" t="str">
        <f>MIN(VLOOKUP(S10,$D$18:$O$24,4,0),VLOOKUP(S10,$D$18:$O$24,12,0))&amp;"~"&amp;MAX(VLOOKUP(S10,$D$18:$O$24,4,0),VLOOKUP(S10,$D$18:$O$24,12,0))</f>
        <v>7.6~11</v>
      </c>
      <c r="Z10" s="93">
        <v>11</v>
      </c>
      <c r="AA10" s="68">
        <f>VLOOKUP(S10,$D$27:$M$33,MATCH(AA$9,$D$27:$M$27,0),0)</f>
        <v>0.75</v>
      </c>
      <c r="AB10" s="68" t="str">
        <f>R10</f>
        <v>饼干1</v>
      </c>
      <c r="AC10" s="68" t="str">
        <f>VLOOKUP($S10,$D$27:$L$33,MATCH(AC$9,$D$27:$L$27,0),0)</f>
        <v>承伤</v>
      </c>
      <c r="AD10" s="105">
        <f>W10/INDEX($G$26:$L$26,MATCH(AD$9,$G$27:$L$27,0))</f>
        <v>0.45</v>
      </c>
      <c r="AE10" s="105">
        <f>X10/INDEX($G$26:$L$26,MATCH(AE$9,$G$27:$L$27,0))</f>
        <v>1.1111111111111112</v>
      </c>
      <c r="AF10" s="105">
        <f>Z10/INDEX($G$26:$L$26,MATCH(AF$9,$G$27:$L$27,0))</f>
        <v>1</v>
      </c>
      <c r="AG10" s="105">
        <f>VLOOKUP($S10,$D$18:$O$24,MATCH(AG$9,$D$18:$O$18,0),0)/INDEX($G$26:$L$26,MATCH(AG$9,$G$27:$L$27,0))</f>
        <v>1</v>
      </c>
      <c r="AH10" s="105">
        <f t="shared" ref="AH10:AI21" si="1">VLOOKUP($S10,$D$18:$O$24,MATCH(AH$9,$D$18:$O$18,0),0)/INDEX($G$26:$L$26,MATCH(AH$9,$G$27:$L$27,0))</f>
        <v>1</v>
      </c>
      <c r="AI10" s="105">
        <f>VLOOKUP($S10,$D$18:$O$24,MATCH(AI$9,$D$18:$O$18,0),0)/INDEX($G$26:$L$26,MATCH(AI$9,$G$27:$L$27,0))</f>
        <v>0.9</v>
      </c>
      <c r="AJ10" s="68">
        <f>AA10</f>
        <v>0.75</v>
      </c>
    </row>
    <row r="11" spans="1:36" ht="14.25" customHeight="1" x14ac:dyDescent="0.2">
      <c r="C11" s="18" t="s">
        <v>99</v>
      </c>
      <c r="D11" s="1" t="s">
        <v>89</v>
      </c>
      <c r="E11" s="1" t="s">
        <v>3</v>
      </c>
      <c r="F11" s="6">
        <f t="shared" si="0"/>
        <v>5</v>
      </c>
      <c r="G11" s="6">
        <f t="shared" si="0"/>
        <v>100</v>
      </c>
      <c r="H11" s="6">
        <f>F11*G11</f>
        <v>500</v>
      </c>
      <c r="I11" s="6">
        <v>1.2</v>
      </c>
      <c r="J11" s="6">
        <f>L11/G11</f>
        <v>0.83333333333333326</v>
      </c>
      <c r="K11" s="6">
        <f>F11*I11</f>
        <v>6</v>
      </c>
      <c r="L11" s="6">
        <f>H11/K11</f>
        <v>83.333333333333329</v>
      </c>
      <c r="M11" s="1">
        <v>1</v>
      </c>
      <c r="R11" s="68" t="s">
        <v>247</v>
      </c>
      <c r="S11" s="68" t="s">
        <v>151</v>
      </c>
      <c r="T11" s="68" t="str">
        <f t="shared" ref="T11:T21" si="2">MIN(VLOOKUP(S11,$D$9:$M$15,6,0),VLOOKUP(S11,$D$9:$M$15,10,0))&amp;"~"&amp;MAX(VLOOKUP(S11,$D$9:$M$15,6,0),VLOOKUP(S11,$D$9:$M$15,10,0))</f>
        <v>0.9~1</v>
      </c>
      <c r="U11" s="93">
        <v>1</v>
      </c>
      <c r="V11" s="93">
        <f t="shared" ref="V11:V21" si="3">X11/VLOOKUP(S11,$D$9:$L$15,4,0)</f>
        <v>1</v>
      </c>
      <c r="W11" s="93">
        <f t="shared" ref="W11:W21" si="4">VLOOKUP(S11,$D$9:$L$15,3,0)*U11</f>
        <v>5</v>
      </c>
      <c r="X11" s="93">
        <f t="shared" ref="X11:X21" si="5">VLOOKUP(S11,$D$9:$L$15,5,0)/W11</f>
        <v>100</v>
      </c>
      <c r="Y11" s="93" t="str">
        <f t="shared" ref="Y11:Y21" si="6">MIN(VLOOKUP(S11,$D$18:$O$24,4,0),VLOOKUP(S11,$D$18:$O$24,12,0))&amp;"~"&amp;MAX(VLOOKUP(S11,$D$18:$O$24,4,0),VLOOKUP(S11,$D$18:$O$24,12,0))</f>
        <v>7.6~11</v>
      </c>
      <c r="Z11" s="93">
        <v>11</v>
      </c>
      <c r="AA11" s="68">
        <f t="shared" ref="AA11:AA21" si="7">VLOOKUP(S11,$D$27:$M$33,MATCH(AA$9,$D$27:$M$27,0),0)</f>
        <v>0.75</v>
      </c>
      <c r="AB11" s="68" t="str">
        <f t="shared" ref="AB11:AB21" si="8">R11</f>
        <v>饼干2</v>
      </c>
      <c r="AC11" s="68" t="str">
        <f t="shared" ref="AC11:AC21" si="9">VLOOKUP($S11,$D$27:$L$33,MATCH(AC$9,$D$27:$L$27,0),0)</f>
        <v>承伤</v>
      </c>
      <c r="AD11" s="105">
        <f t="shared" ref="AD11:AD21" si="10">W11/INDEX($G$26:$L$26,MATCH(AD$9,$G$27:$L$27,0))</f>
        <v>0.5</v>
      </c>
      <c r="AE11" s="105">
        <f t="shared" ref="AE11:AE21" si="11">X11/INDEX($G$26:$L$26,MATCH(AE$9,$G$27:$L$27,0))</f>
        <v>1</v>
      </c>
      <c r="AF11" s="105">
        <f t="shared" ref="AF11:AF21" si="12">Z11/INDEX($G$26:$L$26,MATCH(AF$9,$G$27:$L$27,0))</f>
        <v>1</v>
      </c>
      <c r="AG11" s="105">
        <f t="shared" ref="AG11:AG21" si="13">VLOOKUP($S11,$D$18:$O$24,MATCH(AG$9,$D$18:$O$18,0),0)/INDEX($G$26:$L$26,MATCH(AG$9,$G$27:$L$27,0))</f>
        <v>1</v>
      </c>
      <c r="AH11" s="105">
        <f t="shared" si="1"/>
        <v>1</v>
      </c>
      <c r="AI11" s="105">
        <f t="shared" si="1"/>
        <v>0.9</v>
      </c>
      <c r="AJ11" s="68">
        <f t="shared" ref="AJ11:AJ21" si="14">AA11</f>
        <v>0.75</v>
      </c>
    </row>
    <row r="12" spans="1:36" ht="14.25" customHeight="1" x14ac:dyDescent="0.2">
      <c r="C12" s="18" t="s">
        <v>100</v>
      </c>
      <c r="D12" s="1" t="s">
        <v>94</v>
      </c>
      <c r="E12" s="1" t="s">
        <v>4</v>
      </c>
      <c r="F12" s="6">
        <f t="shared" si="0"/>
        <v>10</v>
      </c>
      <c r="G12" s="6">
        <f t="shared" si="0"/>
        <v>40</v>
      </c>
      <c r="H12" s="6">
        <f t="shared" ref="H12:H15" si="15">F12*G12</f>
        <v>400</v>
      </c>
      <c r="I12" s="6">
        <v>1.2</v>
      </c>
      <c r="J12" s="6">
        <f t="shared" ref="J12:J15" si="16">L12/G12</f>
        <v>0.83333333333333337</v>
      </c>
      <c r="K12" s="6">
        <f t="shared" ref="K12:K15" si="17">F12*I12</f>
        <v>12</v>
      </c>
      <c r="L12" s="6">
        <f t="shared" ref="L12:L15" si="18">H12/K12</f>
        <v>33.333333333333336</v>
      </c>
      <c r="M12" s="1">
        <v>1.1499999999999999</v>
      </c>
      <c r="R12" s="68" t="s">
        <v>248</v>
      </c>
      <c r="S12" s="68" t="s">
        <v>152</v>
      </c>
      <c r="T12" s="68" t="str">
        <f t="shared" si="2"/>
        <v>1~1.2</v>
      </c>
      <c r="U12" s="93">
        <v>1.2</v>
      </c>
      <c r="V12" s="93">
        <f t="shared" si="3"/>
        <v>0.83333333333333326</v>
      </c>
      <c r="W12" s="93">
        <f t="shared" si="4"/>
        <v>6</v>
      </c>
      <c r="X12" s="93">
        <f t="shared" si="5"/>
        <v>83.333333333333329</v>
      </c>
      <c r="Y12" s="93" t="str">
        <f t="shared" si="6"/>
        <v>5~9</v>
      </c>
      <c r="Z12" s="93">
        <v>9</v>
      </c>
      <c r="AA12" s="68">
        <f t="shared" si="7"/>
        <v>0.751</v>
      </c>
      <c r="AB12" s="68" t="str">
        <f t="shared" si="8"/>
        <v>饼干3</v>
      </c>
      <c r="AC12" s="68" t="str">
        <f t="shared" si="9"/>
        <v>伤害</v>
      </c>
      <c r="AD12" s="105">
        <f t="shared" si="10"/>
        <v>0.6</v>
      </c>
      <c r="AE12" s="105">
        <f t="shared" si="11"/>
        <v>0.83333333333333326</v>
      </c>
      <c r="AF12" s="105">
        <f t="shared" si="12"/>
        <v>0.81818181818181823</v>
      </c>
      <c r="AG12" s="105">
        <f t="shared" si="13"/>
        <v>1</v>
      </c>
      <c r="AH12" s="105">
        <f t="shared" si="1"/>
        <v>1</v>
      </c>
      <c r="AI12" s="105">
        <f t="shared" si="1"/>
        <v>0.95</v>
      </c>
      <c r="AJ12" s="68">
        <f t="shared" si="14"/>
        <v>0.751</v>
      </c>
    </row>
    <row r="13" spans="1:36" ht="14.25" customHeight="1" x14ac:dyDescent="0.2">
      <c r="C13" s="18" t="s">
        <v>101</v>
      </c>
      <c r="D13" s="1" t="s">
        <v>95</v>
      </c>
      <c r="E13" s="1" t="s">
        <v>4</v>
      </c>
      <c r="F13" s="6">
        <f t="shared" si="0"/>
        <v>10</v>
      </c>
      <c r="G13" s="6">
        <f t="shared" si="0"/>
        <v>40</v>
      </c>
      <c r="H13" s="6">
        <f t="shared" si="15"/>
        <v>400</v>
      </c>
      <c r="I13" s="6">
        <v>1.1499999999999999</v>
      </c>
      <c r="J13" s="6">
        <f t="shared" si="16"/>
        <v>0.86956521739130432</v>
      </c>
      <c r="K13" s="6">
        <f t="shared" si="17"/>
        <v>11.5</v>
      </c>
      <c r="L13" s="6">
        <f t="shared" si="18"/>
        <v>34.782608695652172</v>
      </c>
      <c r="M13" s="1">
        <v>1.1000000000000001</v>
      </c>
      <c r="R13" s="68" t="s">
        <v>249</v>
      </c>
      <c r="S13" s="68" t="s">
        <v>152</v>
      </c>
      <c r="T13" s="68" t="str">
        <f t="shared" si="2"/>
        <v>1~1.2</v>
      </c>
      <c r="U13" s="93">
        <v>1.1499999999999999</v>
      </c>
      <c r="V13" s="93">
        <f t="shared" si="3"/>
        <v>0.86956521739130432</v>
      </c>
      <c r="W13" s="93">
        <f t="shared" si="4"/>
        <v>5.75</v>
      </c>
      <c r="X13" s="93">
        <f t="shared" si="5"/>
        <v>86.956521739130437</v>
      </c>
      <c r="Y13" s="93" t="str">
        <f t="shared" si="6"/>
        <v>5~9</v>
      </c>
      <c r="Z13" s="93">
        <v>9</v>
      </c>
      <c r="AA13" s="68">
        <f t="shared" si="7"/>
        <v>0.751</v>
      </c>
      <c r="AB13" s="68" t="str">
        <f t="shared" si="8"/>
        <v>饼干4</v>
      </c>
      <c r="AC13" s="68" t="str">
        <f t="shared" si="9"/>
        <v>伤害</v>
      </c>
      <c r="AD13" s="105">
        <f t="shared" si="10"/>
        <v>0.57499999999999996</v>
      </c>
      <c r="AE13" s="105">
        <f t="shared" si="11"/>
        <v>0.86956521739130432</v>
      </c>
      <c r="AF13" s="105">
        <f t="shared" si="12"/>
        <v>0.81818181818181823</v>
      </c>
      <c r="AG13" s="105">
        <f t="shared" si="13"/>
        <v>1</v>
      </c>
      <c r="AH13" s="105">
        <f t="shared" si="1"/>
        <v>1</v>
      </c>
      <c r="AI13" s="105">
        <f t="shared" si="1"/>
        <v>0.95</v>
      </c>
      <c r="AJ13" s="68">
        <f t="shared" si="14"/>
        <v>0.751</v>
      </c>
    </row>
    <row r="14" spans="1:36" ht="14.25" customHeight="1" x14ac:dyDescent="0.2">
      <c r="C14" s="18" t="s">
        <v>102</v>
      </c>
      <c r="D14" s="1" t="s">
        <v>96</v>
      </c>
      <c r="E14" s="1" t="s">
        <v>4</v>
      </c>
      <c r="F14" s="6">
        <f t="shared" si="0"/>
        <v>10</v>
      </c>
      <c r="G14" s="6">
        <f t="shared" si="0"/>
        <v>40</v>
      </c>
      <c r="H14" s="6">
        <f t="shared" si="15"/>
        <v>400</v>
      </c>
      <c r="I14" s="6">
        <v>1.1000000000000001</v>
      </c>
      <c r="J14" s="6">
        <f t="shared" si="16"/>
        <v>0.90909090909090917</v>
      </c>
      <c r="K14" s="6">
        <f t="shared" si="17"/>
        <v>11</v>
      </c>
      <c r="L14" s="6">
        <f t="shared" si="18"/>
        <v>36.363636363636367</v>
      </c>
      <c r="M14" s="1">
        <v>1</v>
      </c>
      <c r="R14" s="68" t="s">
        <v>250</v>
      </c>
      <c r="S14" s="68" t="s">
        <v>153</v>
      </c>
      <c r="T14" s="68" t="str">
        <f t="shared" si="2"/>
        <v>1.15~1.2</v>
      </c>
      <c r="U14" s="93">
        <v>1.18</v>
      </c>
      <c r="V14" s="93">
        <f t="shared" si="3"/>
        <v>0.84745762711864414</v>
      </c>
      <c r="W14" s="93">
        <f t="shared" si="4"/>
        <v>11.799999999999999</v>
      </c>
      <c r="X14" s="93">
        <f t="shared" si="5"/>
        <v>33.898305084745765</v>
      </c>
      <c r="Y14" s="93" t="str">
        <f t="shared" si="6"/>
        <v>3~5</v>
      </c>
      <c r="Z14" s="93">
        <v>5</v>
      </c>
      <c r="AA14" s="68">
        <f t="shared" si="7"/>
        <v>0.8</v>
      </c>
      <c r="AB14" s="68" t="str">
        <f t="shared" si="8"/>
        <v>饼干5</v>
      </c>
      <c r="AC14" s="68" t="str">
        <f t="shared" si="9"/>
        <v>伤害</v>
      </c>
      <c r="AD14" s="105">
        <f t="shared" si="10"/>
        <v>1.18</v>
      </c>
      <c r="AE14" s="105">
        <f t="shared" si="11"/>
        <v>0.33898305084745767</v>
      </c>
      <c r="AF14" s="105">
        <f t="shared" si="12"/>
        <v>0.45454545454545453</v>
      </c>
      <c r="AG14" s="105">
        <f t="shared" si="13"/>
        <v>1</v>
      </c>
      <c r="AH14" s="105">
        <f t="shared" si="1"/>
        <v>1</v>
      </c>
      <c r="AI14" s="105">
        <f t="shared" si="1"/>
        <v>1</v>
      </c>
      <c r="AJ14" s="68">
        <f t="shared" si="14"/>
        <v>0.8</v>
      </c>
    </row>
    <row r="15" spans="1:36" ht="14.25" customHeight="1" x14ac:dyDescent="0.2">
      <c r="C15" s="18" t="s">
        <v>103</v>
      </c>
      <c r="D15" s="1" t="s">
        <v>97</v>
      </c>
      <c r="E15" s="1" t="s">
        <v>5</v>
      </c>
      <c r="F15" s="6">
        <f t="shared" si="0"/>
        <v>4</v>
      </c>
      <c r="G15" s="6">
        <f t="shared" si="0"/>
        <v>50</v>
      </c>
      <c r="H15" s="6">
        <f t="shared" si="15"/>
        <v>200</v>
      </c>
      <c r="I15" s="6">
        <v>0.9</v>
      </c>
      <c r="J15" s="6">
        <f>I15</f>
        <v>0.9</v>
      </c>
      <c r="K15" s="6">
        <f t="shared" si="17"/>
        <v>3.6</v>
      </c>
      <c r="L15" s="6">
        <f t="shared" si="18"/>
        <v>55.555555555555557</v>
      </c>
      <c r="M15" s="1">
        <v>1.03</v>
      </c>
      <c r="R15" s="68" t="s">
        <v>251</v>
      </c>
      <c r="S15" s="68" t="s">
        <v>153</v>
      </c>
      <c r="T15" s="68" t="str">
        <f t="shared" si="2"/>
        <v>1.15~1.2</v>
      </c>
      <c r="U15" s="93">
        <v>1.2</v>
      </c>
      <c r="V15" s="93">
        <f t="shared" si="3"/>
        <v>0.83333333333333337</v>
      </c>
      <c r="W15" s="93">
        <f t="shared" si="4"/>
        <v>12</v>
      </c>
      <c r="X15" s="93">
        <f t="shared" si="5"/>
        <v>33.333333333333336</v>
      </c>
      <c r="Y15" s="93" t="str">
        <f t="shared" si="6"/>
        <v>3~5</v>
      </c>
      <c r="Z15" s="93">
        <v>5</v>
      </c>
      <c r="AA15" s="68">
        <f t="shared" si="7"/>
        <v>0.8</v>
      </c>
      <c r="AB15" s="68" t="str">
        <f t="shared" si="8"/>
        <v>饼干6</v>
      </c>
      <c r="AC15" s="68" t="str">
        <f t="shared" si="9"/>
        <v>伤害</v>
      </c>
      <c r="AD15" s="105">
        <f t="shared" si="10"/>
        <v>1.2</v>
      </c>
      <c r="AE15" s="105">
        <f t="shared" si="11"/>
        <v>0.33333333333333337</v>
      </c>
      <c r="AF15" s="105">
        <f t="shared" si="12"/>
        <v>0.45454545454545453</v>
      </c>
      <c r="AG15" s="105">
        <f t="shared" si="13"/>
        <v>1</v>
      </c>
      <c r="AH15" s="105">
        <f t="shared" si="1"/>
        <v>1</v>
      </c>
      <c r="AI15" s="105">
        <f t="shared" si="1"/>
        <v>1</v>
      </c>
      <c r="AJ15" s="68">
        <f t="shared" si="14"/>
        <v>0.8</v>
      </c>
    </row>
    <row r="16" spans="1:36" ht="14.25" customHeight="1" x14ac:dyDescent="0.2">
      <c r="C16" s="68"/>
      <c r="D16" s="68"/>
      <c r="E16" s="68"/>
      <c r="F16" s="93">
        <f>MAX(F10:F15)</f>
        <v>10</v>
      </c>
      <c r="G16" s="93">
        <f>MAX(G10:G15)</f>
        <v>100</v>
      </c>
      <c r="H16" s="93">
        <f>MAX(G19:G24)</f>
        <v>11</v>
      </c>
      <c r="I16" s="68"/>
      <c r="J16" s="68"/>
      <c r="K16" s="94"/>
      <c r="L16" s="94"/>
      <c r="M16" s="68"/>
      <c r="N16" s="68"/>
      <c r="O16" s="68"/>
      <c r="P16" s="68"/>
      <c r="R16" s="68" t="s">
        <v>252</v>
      </c>
      <c r="S16" s="68" t="s">
        <v>154</v>
      </c>
      <c r="T16" s="68" t="str">
        <f t="shared" si="2"/>
        <v>1.1~1.15</v>
      </c>
      <c r="U16" s="93">
        <v>1.1399999999999999</v>
      </c>
      <c r="V16" s="93">
        <f t="shared" si="3"/>
        <v>0.87719298245614041</v>
      </c>
      <c r="W16" s="93">
        <f t="shared" si="4"/>
        <v>11.399999999999999</v>
      </c>
      <c r="X16" s="93">
        <f t="shared" si="5"/>
        <v>35.087719298245617</v>
      </c>
      <c r="Y16" s="93" t="str">
        <f t="shared" si="6"/>
        <v>4~5</v>
      </c>
      <c r="Z16" s="93">
        <v>4.5</v>
      </c>
      <c r="AA16" s="68">
        <f t="shared" si="7"/>
        <v>0.80500000000000005</v>
      </c>
      <c r="AB16" s="68" t="str">
        <f t="shared" si="8"/>
        <v>饼干7</v>
      </c>
      <c r="AC16" s="68" t="str">
        <f t="shared" si="9"/>
        <v>伤害</v>
      </c>
      <c r="AD16" s="105">
        <f t="shared" si="10"/>
        <v>1.1399999999999999</v>
      </c>
      <c r="AE16" s="105">
        <f t="shared" si="11"/>
        <v>0.35087719298245618</v>
      </c>
      <c r="AF16" s="105">
        <f t="shared" si="12"/>
        <v>0.40909090909090912</v>
      </c>
      <c r="AG16" s="105">
        <f t="shared" si="13"/>
        <v>1</v>
      </c>
      <c r="AH16" s="105">
        <f t="shared" si="1"/>
        <v>1</v>
      </c>
      <c r="AI16" s="105">
        <f t="shared" si="1"/>
        <v>1.1000000000000001</v>
      </c>
      <c r="AJ16" s="68">
        <f t="shared" si="14"/>
        <v>0.80500000000000005</v>
      </c>
    </row>
    <row r="17" spans="3:36" ht="14.25" customHeight="1" x14ac:dyDescent="0.2">
      <c r="C17" s="95" t="s">
        <v>110</v>
      </c>
      <c r="D17" s="68"/>
      <c r="E17" s="68"/>
      <c r="F17" s="68"/>
      <c r="G17" s="93">
        <v>100000</v>
      </c>
      <c r="H17" s="93"/>
      <c r="I17" s="68"/>
      <c r="J17" s="68"/>
      <c r="K17" s="68"/>
      <c r="L17" s="68">
        <f>战斗公式!E38</f>
        <v>25</v>
      </c>
      <c r="M17" s="68">
        <f>战斗公式!E40</f>
        <v>1</v>
      </c>
      <c r="N17" s="68"/>
      <c r="O17" s="68"/>
      <c r="P17" s="68"/>
      <c r="R17" s="68" t="s">
        <v>253</v>
      </c>
      <c r="S17" s="68" t="s">
        <v>154</v>
      </c>
      <c r="T17" s="68" t="str">
        <f t="shared" si="2"/>
        <v>1.1~1.15</v>
      </c>
      <c r="U17" s="93">
        <v>1.1200000000000001</v>
      </c>
      <c r="V17" s="93">
        <f t="shared" si="3"/>
        <v>0.89285714285714268</v>
      </c>
      <c r="W17" s="93">
        <f t="shared" si="4"/>
        <v>11.200000000000001</v>
      </c>
      <c r="X17" s="93">
        <f t="shared" si="5"/>
        <v>35.714285714285708</v>
      </c>
      <c r="Y17" s="93" t="str">
        <f t="shared" si="6"/>
        <v>4~5</v>
      </c>
      <c r="Z17" s="93">
        <v>4.5</v>
      </c>
      <c r="AA17" s="68">
        <f t="shared" si="7"/>
        <v>0.80500000000000005</v>
      </c>
      <c r="AB17" s="68" t="str">
        <f t="shared" si="8"/>
        <v>饼干8</v>
      </c>
      <c r="AC17" s="68" t="str">
        <f t="shared" si="9"/>
        <v>伤害</v>
      </c>
      <c r="AD17" s="105">
        <f t="shared" si="10"/>
        <v>1.1200000000000001</v>
      </c>
      <c r="AE17" s="105">
        <f t="shared" si="11"/>
        <v>0.3571428571428571</v>
      </c>
      <c r="AF17" s="105">
        <f t="shared" si="12"/>
        <v>0.40909090909090912</v>
      </c>
      <c r="AG17" s="105">
        <f t="shared" si="13"/>
        <v>1</v>
      </c>
      <c r="AH17" s="105">
        <f t="shared" si="1"/>
        <v>1</v>
      </c>
      <c r="AI17" s="105">
        <f t="shared" si="1"/>
        <v>1.1000000000000001</v>
      </c>
      <c r="AJ17" s="68">
        <f t="shared" si="14"/>
        <v>0.80500000000000005</v>
      </c>
    </row>
    <row r="18" spans="3:36" s="3" customFormat="1" ht="14.25" customHeight="1" x14ac:dyDescent="0.2">
      <c r="C18" s="95"/>
      <c r="D18" s="95" t="s">
        <v>87</v>
      </c>
      <c r="E18" s="95" t="s">
        <v>88</v>
      </c>
      <c r="F18" s="95" t="s">
        <v>32</v>
      </c>
      <c r="G18" s="96" t="s">
        <v>33</v>
      </c>
      <c r="H18" s="95" t="s">
        <v>34</v>
      </c>
      <c r="I18" s="96" t="s">
        <v>35</v>
      </c>
      <c r="J18" s="96" t="s">
        <v>84</v>
      </c>
      <c r="K18" s="96" t="s">
        <v>11</v>
      </c>
      <c r="L18" s="95" t="s">
        <v>104</v>
      </c>
      <c r="M18" s="95" t="s">
        <v>105</v>
      </c>
      <c r="N18" s="97">
        <f>MAX(N19:N23)/MIN(N19:N23)</f>
        <v>1.218274111675127</v>
      </c>
      <c r="O18" s="96" t="s">
        <v>159</v>
      </c>
      <c r="P18" s="95"/>
      <c r="Q18" s="95"/>
      <c r="R18" s="68" t="s">
        <v>254</v>
      </c>
      <c r="S18" s="68" t="s">
        <v>155</v>
      </c>
      <c r="T18" s="68" t="str">
        <f t="shared" si="2"/>
        <v>1~1.1</v>
      </c>
      <c r="U18" s="93">
        <v>1.05</v>
      </c>
      <c r="V18" s="93">
        <f t="shared" si="3"/>
        <v>0.95238095238095233</v>
      </c>
      <c r="W18" s="93">
        <f t="shared" si="4"/>
        <v>10.5</v>
      </c>
      <c r="X18" s="93">
        <f t="shared" si="5"/>
        <v>38.095238095238095</v>
      </c>
      <c r="Y18" s="93" t="str">
        <f t="shared" si="6"/>
        <v>5~9</v>
      </c>
      <c r="Z18" s="93">
        <v>7</v>
      </c>
      <c r="AA18" s="68">
        <f t="shared" si="7"/>
        <v>0.77400000000000002</v>
      </c>
      <c r="AB18" s="68" t="str">
        <f t="shared" si="8"/>
        <v>饼干9</v>
      </c>
      <c r="AC18" s="68" t="str">
        <f t="shared" si="9"/>
        <v>伤害</v>
      </c>
      <c r="AD18" s="105">
        <f t="shared" si="10"/>
        <v>1.05</v>
      </c>
      <c r="AE18" s="105">
        <f t="shared" si="11"/>
        <v>0.38095238095238093</v>
      </c>
      <c r="AF18" s="105">
        <f t="shared" si="12"/>
        <v>0.63636363636363635</v>
      </c>
      <c r="AG18" s="105">
        <f t="shared" si="13"/>
        <v>1</v>
      </c>
      <c r="AH18" s="105">
        <f t="shared" si="1"/>
        <v>1</v>
      </c>
      <c r="AI18" s="105">
        <f t="shared" si="1"/>
        <v>1.2</v>
      </c>
      <c r="AJ18" s="68">
        <f t="shared" si="14"/>
        <v>0.77400000000000002</v>
      </c>
    </row>
    <row r="19" spans="3:36" ht="14.25" customHeight="1" x14ac:dyDescent="0.2">
      <c r="C19" s="68"/>
      <c r="D19" s="68" t="s">
        <v>68</v>
      </c>
      <c r="E19" s="68" t="s">
        <v>3</v>
      </c>
      <c r="F19" s="93">
        <f>K10/K19/(1+I19*(J19-1))</f>
        <v>4.166666666666667</v>
      </c>
      <c r="G19" s="68">
        <v>11</v>
      </c>
      <c r="H19" s="93">
        <f>L10/(G19/$G$17+1)</f>
        <v>111.09889023318546</v>
      </c>
      <c r="I19" s="98">
        <v>0.4</v>
      </c>
      <c r="J19" s="98">
        <v>1.5</v>
      </c>
      <c r="K19" s="68">
        <v>0.9</v>
      </c>
      <c r="L19" s="93">
        <f>F19*$L$17*(1+I19*(J19-1))*K19</f>
        <v>112.5</v>
      </c>
      <c r="M19" s="93">
        <f>H19*$M$17*(1+G19*战斗公式!$E$39)+$M$17*基础模型!$G$17*$L$17</f>
        <v>161.11111111111111</v>
      </c>
      <c r="N19" s="99">
        <f>L19+M19</f>
        <v>273.61111111111109</v>
      </c>
      <c r="O19" s="68">
        <v>7.6</v>
      </c>
      <c r="P19" s="100"/>
      <c r="R19" s="68" t="s">
        <v>255</v>
      </c>
      <c r="S19" s="68" t="s">
        <v>155</v>
      </c>
      <c r="T19" s="68" t="str">
        <f t="shared" si="2"/>
        <v>1~1.1</v>
      </c>
      <c r="U19" s="93">
        <v>1.05</v>
      </c>
      <c r="V19" s="93">
        <f t="shared" si="3"/>
        <v>0.95238095238095233</v>
      </c>
      <c r="W19" s="93">
        <f t="shared" si="4"/>
        <v>10.5</v>
      </c>
      <c r="X19" s="93">
        <f t="shared" si="5"/>
        <v>38.095238095238095</v>
      </c>
      <c r="Y19" s="93" t="str">
        <f t="shared" si="6"/>
        <v>5~9</v>
      </c>
      <c r="Z19" s="93">
        <v>7</v>
      </c>
      <c r="AA19" s="68">
        <f t="shared" si="7"/>
        <v>0.77400000000000002</v>
      </c>
      <c r="AB19" s="68" t="str">
        <f t="shared" si="8"/>
        <v>饼干10</v>
      </c>
      <c r="AC19" s="68" t="str">
        <f t="shared" si="9"/>
        <v>伤害</v>
      </c>
      <c r="AD19" s="105">
        <f t="shared" si="10"/>
        <v>1.05</v>
      </c>
      <c r="AE19" s="105">
        <f t="shared" si="11"/>
        <v>0.38095238095238093</v>
      </c>
      <c r="AF19" s="105">
        <f t="shared" si="12"/>
        <v>0.63636363636363635</v>
      </c>
      <c r="AG19" s="105">
        <f t="shared" si="13"/>
        <v>1</v>
      </c>
      <c r="AH19" s="105">
        <f t="shared" si="1"/>
        <v>1</v>
      </c>
      <c r="AI19" s="105">
        <f t="shared" si="1"/>
        <v>1.2</v>
      </c>
      <c r="AJ19" s="68">
        <f t="shared" si="14"/>
        <v>0.77400000000000002</v>
      </c>
    </row>
    <row r="20" spans="3:36" ht="14.25" customHeight="1" x14ac:dyDescent="0.2">
      <c r="C20" s="68"/>
      <c r="D20" s="68" t="s">
        <v>89</v>
      </c>
      <c r="E20" s="68" t="s">
        <v>3</v>
      </c>
      <c r="F20" s="93">
        <f t="shared" ref="F20:F24" si="19">K11/K20/(1+I20*(J20-1))</f>
        <v>5.2631578947368425</v>
      </c>
      <c r="G20" s="68">
        <v>9</v>
      </c>
      <c r="H20" s="93">
        <f t="shared" ref="H20:H24" si="20">L11/(G20/$G$17+1)</f>
        <v>83.325834008272594</v>
      </c>
      <c r="I20" s="98">
        <v>0.4</v>
      </c>
      <c r="J20" s="98">
        <v>1.5</v>
      </c>
      <c r="K20" s="68">
        <v>0.95</v>
      </c>
      <c r="L20" s="93">
        <f t="shared" ref="L20:L23" si="21">F20*$L$17*(1+I20*(J20-1))*K20</f>
        <v>150.00000000000003</v>
      </c>
      <c r="M20" s="93">
        <f>H20*$M$17*(1+G20*战斗公式!$E$39)+$M$17*基础模型!$G$17*$L$17</f>
        <v>133.33333333333331</v>
      </c>
      <c r="N20" s="99">
        <f t="shared" ref="N20:N23" si="22">L20+M20</f>
        <v>283.33333333333337</v>
      </c>
      <c r="O20" s="68">
        <v>5</v>
      </c>
      <c r="P20" s="100"/>
      <c r="R20" s="68" t="s">
        <v>256</v>
      </c>
      <c r="S20" s="68" t="s">
        <v>156</v>
      </c>
      <c r="T20" s="68" t="str">
        <f t="shared" si="2"/>
        <v>0.9~1.03</v>
      </c>
      <c r="U20" s="93">
        <v>1</v>
      </c>
      <c r="V20" s="93">
        <f>U20</f>
        <v>1</v>
      </c>
      <c r="W20" s="93">
        <f t="shared" si="4"/>
        <v>4</v>
      </c>
      <c r="X20" s="93">
        <f t="shared" si="5"/>
        <v>50</v>
      </c>
      <c r="Y20" s="93" t="str">
        <f t="shared" si="6"/>
        <v>2.5~3</v>
      </c>
      <c r="Z20" s="93">
        <v>2.8</v>
      </c>
      <c r="AA20" s="68">
        <f t="shared" si="7"/>
        <v>0.79800000000000004</v>
      </c>
      <c r="AB20" s="68" t="str">
        <f t="shared" si="8"/>
        <v>饼干11</v>
      </c>
      <c r="AC20" s="68" t="str">
        <f t="shared" si="9"/>
        <v>无</v>
      </c>
      <c r="AD20" s="105">
        <f t="shared" si="10"/>
        <v>0.4</v>
      </c>
      <c r="AE20" s="105">
        <f t="shared" si="11"/>
        <v>0.5</v>
      </c>
      <c r="AF20" s="105">
        <f t="shared" si="12"/>
        <v>0.25454545454545452</v>
      </c>
      <c r="AG20" s="105">
        <f t="shared" si="13"/>
        <v>1</v>
      </c>
      <c r="AH20" s="105">
        <f t="shared" si="1"/>
        <v>1</v>
      </c>
      <c r="AI20" s="105">
        <f t="shared" si="1"/>
        <v>0.9</v>
      </c>
      <c r="AJ20" s="68">
        <f t="shared" si="14"/>
        <v>0.79800000000000004</v>
      </c>
    </row>
    <row r="21" spans="3:36" ht="14.25" customHeight="1" x14ac:dyDescent="0.2">
      <c r="C21" s="68"/>
      <c r="D21" s="68" t="s">
        <v>94</v>
      </c>
      <c r="E21" s="68" t="s">
        <v>4</v>
      </c>
      <c r="F21" s="93">
        <f t="shared" si="19"/>
        <v>10</v>
      </c>
      <c r="G21" s="68">
        <v>3</v>
      </c>
      <c r="H21" s="93">
        <f t="shared" si="20"/>
        <v>33.332333363332438</v>
      </c>
      <c r="I21" s="98">
        <v>0.4</v>
      </c>
      <c r="J21" s="98">
        <v>1.5</v>
      </c>
      <c r="K21" s="68">
        <v>1</v>
      </c>
      <c r="L21" s="93">
        <f>F21*$L$17*(1+I21*(J21-1))*K21</f>
        <v>300</v>
      </c>
      <c r="M21" s="93">
        <f>H21*$M$17*(1+G21*战斗公式!$E$39)</f>
        <v>33.333333333333336</v>
      </c>
      <c r="N21" s="99">
        <f>L21+M21</f>
        <v>333.33333333333331</v>
      </c>
      <c r="O21" s="68">
        <v>5</v>
      </c>
      <c r="P21" s="100"/>
      <c r="R21" s="68" t="s">
        <v>257</v>
      </c>
      <c r="S21" s="68" t="s">
        <v>156</v>
      </c>
      <c r="T21" s="68" t="str">
        <f t="shared" si="2"/>
        <v>0.9~1.03</v>
      </c>
      <c r="U21" s="93">
        <v>1</v>
      </c>
      <c r="V21" s="93">
        <f>U21</f>
        <v>1</v>
      </c>
      <c r="W21" s="93">
        <f t="shared" si="4"/>
        <v>4</v>
      </c>
      <c r="X21" s="93">
        <f t="shared" si="5"/>
        <v>50</v>
      </c>
      <c r="Y21" s="93" t="str">
        <f t="shared" si="6"/>
        <v>2.5~3</v>
      </c>
      <c r="Z21" s="93">
        <v>2.8</v>
      </c>
      <c r="AA21" s="68">
        <f t="shared" si="7"/>
        <v>0.79800000000000004</v>
      </c>
      <c r="AB21" s="68" t="str">
        <f t="shared" si="8"/>
        <v>饼干12</v>
      </c>
      <c r="AC21" s="68" t="str">
        <f t="shared" si="9"/>
        <v>无</v>
      </c>
      <c r="AD21" s="105">
        <f t="shared" si="10"/>
        <v>0.4</v>
      </c>
      <c r="AE21" s="105">
        <f t="shared" si="11"/>
        <v>0.5</v>
      </c>
      <c r="AF21" s="105">
        <f t="shared" si="12"/>
        <v>0.25454545454545452</v>
      </c>
      <c r="AG21" s="105">
        <f t="shared" si="13"/>
        <v>1</v>
      </c>
      <c r="AH21" s="105">
        <f t="shared" si="1"/>
        <v>1</v>
      </c>
      <c r="AI21" s="105">
        <f t="shared" si="1"/>
        <v>0.9</v>
      </c>
      <c r="AJ21" s="68">
        <f t="shared" si="14"/>
        <v>0.79800000000000004</v>
      </c>
    </row>
    <row r="22" spans="3:36" ht="14.25" customHeight="1" x14ac:dyDescent="0.2">
      <c r="C22" s="68"/>
      <c r="D22" s="68" t="s">
        <v>95</v>
      </c>
      <c r="E22" s="68" t="s">
        <v>4</v>
      </c>
      <c r="F22" s="93">
        <f t="shared" si="19"/>
        <v>8.712121212121211</v>
      </c>
      <c r="G22" s="68">
        <v>4</v>
      </c>
      <c r="H22" s="93">
        <f t="shared" si="20"/>
        <v>34.781217446954294</v>
      </c>
      <c r="I22" s="98">
        <v>0.4</v>
      </c>
      <c r="J22" s="98">
        <v>1.5</v>
      </c>
      <c r="K22" s="68">
        <v>1.1000000000000001</v>
      </c>
      <c r="L22" s="93">
        <f t="shared" si="21"/>
        <v>287.5</v>
      </c>
      <c r="M22" s="93">
        <f>H22*$M$17*(1+G22*战斗公式!$E$39)</f>
        <v>34.782608695652172</v>
      </c>
      <c r="N22" s="99">
        <f>L22+M22</f>
        <v>322.28260869565219</v>
      </c>
      <c r="O22" s="68">
        <v>5</v>
      </c>
      <c r="P22" s="100"/>
    </row>
    <row r="23" spans="3:36" ht="14.25" customHeight="1" x14ac:dyDescent="0.2">
      <c r="C23" s="68"/>
      <c r="D23" s="68" t="s">
        <v>96</v>
      </c>
      <c r="E23" s="68" t="s">
        <v>4</v>
      </c>
      <c r="F23" s="93">
        <f t="shared" si="19"/>
        <v>7.6388888888888902</v>
      </c>
      <c r="G23" s="68">
        <v>5</v>
      </c>
      <c r="H23" s="93">
        <f t="shared" si="20"/>
        <v>36.361818272722729</v>
      </c>
      <c r="I23" s="98">
        <v>0.4</v>
      </c>
      <c r="J23" s="98">
        <v>1.5</v>
      </c>
      <c r="K23" s="68">
        <v>1.2</v>
      </c>
      <c r="L23" s="93">
        <f t="shared" si="21"/>
        <v>275.00000000000006</v>
      </c>
      <c r="M23" s="93">
        <f>H23*$M$17*(1+G23*战斗公式!$E$39)</f>
        <v>36.363636363636367</v>
      </c>
      <c r="N23" s="99">
        <f t="shared" si="22"/>
        <v>311.36363636363643</v>
      </c>
      <c r="O23" s="68">
        <v>9</v>
      </c>
      <c r="P23" s="100"/>
    </row>
    <row r="24" spans="3:36" ht="14.25" customHeight="1" x14ac:dyDescent="0.2">
      <c r="C24" s="68"/>
      <c r="D24" s="68" t="s">
        <v>97</v>
      </c>
      <c r="E24" s="68" t="s">
        <v>5</v>
      </c>
      <c r="F24" s="93">
        <f t="shared" si="19"/>
        <v>3.3333333333333335</v>
      </c>
      <c r="G24" s="68">
        <v>2.5</v>
      </c>
      <c r="H24" s="93">
        <f t="shared" si="20"/>
        <v>55.554166701388027</v>
      </c>
      <c r="I24" s="98">
        <v>0.4</v>
      </c>
      <c r="J24" s="98">
        <v>1.5</v>
      </c>
      <c r="K24" s="68">
        <v>0.9</v>
      </c>
      <c r="L24" s="93">
        <f>F24*$L$17*(1+I24*(J24-1))*K24</f>
        <v>90.000000000000014</v>
      </c>
      <c r="M24" s="93">
        <f>H24*$M$17*(1+G24*战斗公式!$E$39)+$M$17*基础模型!$G$13*$L$17</f>
        <v>205.55555555555554</v>
      </c>
      <c r="N24" s="99">
        <f>L24+M24</f>
        <v>295.55555555555554</v>
      </c>
      <c r="O24" s="68">
        <v>3</v>
      </c>
      <c r="P24" s="100"/>
    </row>
    <row r="25" spans="3:36" ht="14.25" customHeight="1" x14ac:dyDescent="0.2"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</row>
    <row r="26" spans="3:36" ht="14.25" customHeight="1" x14ac:dyDescent="0.2">
      <c r="C26" s="95" t="s">
        <v>138</v>
      </c>
      <c r="D26" s="68"/>
      <c r="E26" s="98"/>
      <c r="F26" s="68" t="s">
        <v>143</v>
      </c>
      <c r="G26" s="93">
        <f>F16</f>
        <v>10</v>
      </c>
      <c r="H26" s="93">
        <f>G16</f>
        <v>100</v>
      </c>
      <c r="I26" s="93">
        <f>H16</f>
        <v>11</v>
      </c>
      <c r="J26" s="101">
        <v>0.4</v>
      </c>
      <c r="K26" s="101">
        <v>1.5</v>
      </c>
      <c r="L26" s="102">
        <v>1</v>
      </c>
      <c r="M26" s="68"/>
      <c r="N26" s="68"/>
      <c r="O26" s="68"/>
      <c r="P26" s="68"/>
    </row>
    <row r="27" spans="3:36" ht="14.25" customHeight="1" x14ac:dyDescent="0.2">
      <c r="C27" s="68"/>
      <c r="D27" s="95" t="s">
        <v>87</v>
      </c>
      <c r="E27" s="95" t="s">
        <v>88</v>
      </c>
      <c r="F27" s="95" t="s">
        <v>145</v>
      </c>
      <c r="G27" s="95" t="s">
        <v>13</v>
      </c>
      <c r="H27" s="95" t="s">
        <v>14</v>
      </c>
      <c r="I27" s="95" t="s">
        <v>139</v>
      </c>
      <c r="J27" s="95" t="s">
        <v>140</v>
      </c>
      <c r="K27" s="95" t="s">
        <v>141</v>
      </c>
      <c r="L27" s="95" t="s">
        <v>142</v>
      </c>
      <c r="M27" s="96" t="s">
        <v>168</v>
      </c>
      <c r="N27" s="68"/>
      <c r="O27" s="68"/>
      <c r="P27" s="68"/>
    </row>
    <row r="28" spans="3:36" ht="14.25" customHeight="1" x14ac:dyDescent="0.2">
      <c r="C28" s="68"/>
      <c r="D28" s="68" t="s">
        <v>68</v>
      </c>
      <c r="E28" s="68" t="s">
        <v>3</v>
      </c>
      <c r="F28" s="68" t="s">
        <v>14</v>
      </c>
      <c r="G28" s="93">
        <f>K10/G$26</f>
        <v>0.45</v>
      </c>
      <c r="H28" s="93">
        <f t="shared" ref="G28:H33" si="23">L10/H$26</f>
        <v>1.1111111111111112</v>
      </c>
      <c r="I28" s="93">
        <f>G19/I$26</f>
        <v>1</v>
      </c>
      <c r="J28" s="93">
        <f>0.05/J$26</f>
        <v>0.125</v>
      </c>
      <c r="K28" s="93">
        <f t="shared" ref="K28:L33" si="24">J19/K$26</f>
        <v>1</v>
      </c>
      <c r="L28" s="93">
        <f t="shared" si="24"/>
        <v>0.9</v>
      </c>
      <c r="M28" s="68">
        <v>0.75</v>
      </c>
      <c r="N28" s="103">
        <f>技能模板!J14</f>
        <v>3.333333333333333</v>
      </c>
      <c r="O28" s="68"/>
      <c r="P28" s="68"/>
    </row>
    <row r="29" spans="3:36" ht="14.25" customHeight="1" x14ac:dyDescent="0.2">
      <c r="C29" s="68"/>
      <c r="D29" s="68" t="s">
        <v>89</v>
      </c>
      <c r="E29" s="68" t="s">
        <v>3</v>
      </c>
      <c r="F29" s="68" t="s">
        <v>13</v>
      </c>
      <c r="G29" s="93">
        <f t="shared" si="23"/>
        <v>0.6</v>
      </c>
      <c r="H29" s="93">
        <f t="shared" si="23"/>
        <v>0.83333333333333326</v>
      </c>
      <c r="I29" s="93">
        <f t="shared" ref="I29:I33" si="25">G20/I$26</f>
        <v>0.81818181818181823</v>
      </c>
      <c r="J29" s="93">
        <f t="shared" ref="J29:J33" si="26">0.05/J$26</f>
        <v>0.125</v>
      </c>
      <c r="K29" s="93">
        <f t="shared" si="24"/>
        <v>1</v>
      </c>
      <c r="L29" s="93">
        <f t="shared" si="24"/>
        <v>0.95</v>
      </c>
      <c r="M29" s="68">
        <v>0.751</v>
      </c>
      <c r="N29" s="103">
        <f>技能模板!J15</f>
        <v>2.6524633821571233</v>
      </c>
      <c r="O29" s="68"/>
      <c r="P29" s="68"/>
    </row>
    <row r="30" spans="3:36" ht="14.25" customHeight="1" x14ac:dyDescent="0.2">
      <c r="C30" s="68"/>
      <c r="D30" s="68" t="s">
        <v>94</v>
      </c>
      <c r="E30" s="68" t="s">
        <v>4</v>
      </c>
      <c r="F30" s="68" t="s">
        <v>13</v>
      </c>
      <c r="G30" s="93">
        <f t="shared" si="23"/>
        <v>1.2</v>
      </c>
      <c r="H30" s="93">
        <f t="shared" si="23"/>
        <v>0.33333333333333337</v>
      </c>
      <c r="I30" s="93">
        <f t="shared" si="25"/>
        <v>0.27272727272727271</v>
      </c>
      <c r="J30" s="93">
        <f t="shared" si="26"/>
        <v>0.125</v>
      </c>
      <c r="K30" s="93">
        <f t="shared" si="24"/>
        <v>1</v>
      </c>
      <c r="L30" s="93">
        <f t="shared" si="24"/>
        <v>1</v>
      </c>
      <c r="M30" s="68">
        <v>0.8</v>
      </c>
      <c r="N30" s="103">
        <f>技能模板!J16</f>
        <v>4.9999999999999982</v>
      </c>
      <c r="O30" s="68"/>
      <c r="P30" s="68"/>
    </row>
    <row r="31" spans="3:36" ht="14.25" customHeight="1" x14ac:dyDescent="0.2">
      <c r="C31" s="68"/>
      <c r="D31" s="68" t="s">
        <v>95</v>
      </c>
      <c r="E31" s="68" t="s">
        <v>4</v>
      </c>
      <c r="F31" s="68" t="s">
        <v>13</v>
      </c>
      <c r="G31" s="93">
        <f t="shared" si="23"/>
        <v>1.1499999999999999</v>
      </c>
      <c r="H31" s="93">
        <f t="shared" si="23"/>
        <v>0.34782608695652173</v>
      </c>
      <c r="I31" s="93">
        <f t="shared" si="25"/>
        <v>0.36363636363636365</v>
      </c>
      <c r="J31" s="93">
        <f t="shared" si="26"/>
        <v>0.125</v>
      </c>
      <c r="K31" s="93">
        <f t="shared" si="24"/>
        <v>1</v>
      </c>
      <c r="L31" s="93">
        <f t="shared" si="24"/>
        <v>1.1000000000000001</v>
      </c>
      <c r="M31" s="68">
        <v>0.80500000000000005</v>
      </c>
      <c r="N31" s="103">
        <f>技能模板!J17</f>
        <v>3.6335403726708058</v>
      </c>
      <c r="O31" s="68"/>
      <c r="P31" s="68"/>
    </row>
    <row r="32" spans="3:36" ht="14.25" customHeight="1" x14ac:dyDescent="0.2">
      <c r="C32" s="68"/>
      <c r="D32" s="68" t="s">
        <v>96</v>
      </c>
      <c r="E32" s="68" t="s">
        <v>4</v>
      </c>
      <c r="F32" s="68" t="s">
        <v>13</v>
      </c>
      <c r="G32" s="93">
        <f t="shared" si="23"/>
        <v>1.1000000000000001</v>
      </c>
      <c r="H32" s="93">
        <f t="shared" si="23"/>
        <v>0.36363636363636365</v>
      </c>
      <c r="I32" s="93">
        <f t="shared" si="25"/>
        <v>0.45454545454545453</v>
      </c>
      <c r="J32" s="93">
        <f t="shared" si="26"/>
        <v>0.125</v>
      </c>
      <c r="K32" s="93">
        <f t="shared" si="24"/>
        <v>1</v>
      </c>
      <c r="L32" s="93">
        <f t="shared" si="24"/>
        <v>1.2</v>
      </c>
      <c r="M32" s="68">
        <v>0.77400000000000002</v>
      </c>
      <c r="N32" s="103">
        <f>技能模板!J18</f>
        <v>2.9198966408268743</v>
      </c>
      <c r="O32" s="68"/>
      <c r="P32" s="68"/>
    </row>
    <row r="33" spans="3:16" ht="14.25" customHeight="1" x14ac:dyDescent="0.2">
      <c r="C33" s="68"/>
      <c r="D33" s="68" t="s">
        <v>97</v>
      </c>
      <c r="E33" s="68" t="s">
        <v>5</v>
      </c>
      <c r="F33" s="68" t="s">
        <v>148</v>
      </c>
      <c r="G33" s="93">
        <f t="shared" si="23"/>
        <v>0.36</v>
      </c>
      <c r="H33" s="93">
        <f t="shared" si="23"/>
        <v>0.55555555555555558</v>
      </c>
      <c r="I33" s="93">
        <f t="shared" si="25"/>
        <v>0.22727272727272727</v>
      </c>
      <c r="J33" s="93">
        <f t="shared" si="26"/>
        <v>0.125</v>
      </c>
      <c r="K33" s="93">
        <f t="shared" si="24"/>
        <v>1</v>
      </c>
      <c r="L33" s="93">
        <f t="shared" si="24"/>
        <v>0.9</v>
      </c>
      <c r="M33" s="68">
        <v>0.79800000000000004</v>
      </c>
      <c r="N33" s="103">
        <f>技能模板!J19</f>
        <v>2.7844611528822045</v>
      </c>
      <c r="O33" s="68"/>
      <c r="P33" s="68"/>
    </row>
  </sheetData>
  <mergeCells count="1">
    <mergeCell ref="A1:B2"/>
  </mergeCells>
  <phoneticPr fontId="1" type="noConversion"/>
  <dataValidations count="2">
    <dataValidation type="custom" allowBlank="1" showInputMessage="1" showErrorMessage="1" error="注意输入范围" sqref="U10:U21" xr:uid="{141FFB9E-5FF5-4BC2-8BA6-7DB30A7C50B7}">
      <formula1>AND(U10&gt;=MIN(VLOOKUP(S10,$D$9:$M$15,6,0),VLOOKUP(S10,$D$9:$M$15,10,0)),U10&lt;=MAX(VLOOKUP(S10,$D$9:$M$15,6,0),VLOOKUP(S10,$D$9:$M$15,10,0)))</formula1>
    </dataValidation>
    <dataValidation type="custom" allowBlank="1" showInputMessage="1" showErrorMessage="1" sqref="Z10:Z21" xr:uid="{1E9F0C07-5CFF-4B55-9C36-83591941CA3B}">
      <formula1>AND(Z10&gt;=MIN(VLOOKUP(S10,$D$18:$O$24,4,0),VLOOKUP(S10,$D$18:$O$24,12,0)),Z10&lt;=MAX(VLOOKUP(S10,$D$18:$O$24,4,0),VLOOKUP(S10,$D$18:$O$24,12,0)))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C0A73-392F-432F-A623-56EEF77FAB61}">
  <sheetPr codeName="Sheet5"/>
  <dimension ref="A1:AM121"/>
  <sheetViews>
    <sheetView workbookViewId="0">
      <pane xSplit="3" ySplit="8" topLeftCell="D9" activePane="bottomRight" state="frozen"/>
      <selection pane="topRight" activeCell="D1" sqref="D1"/>
      <selection pane="bottomLeft" activeCell="A10" sqref="A10"/>
      <selection pane="bottomRight" activeCell="S23" sqref="S23"/>
    </sheetView>
  </sheetViews>
  <sheetFormatPr defaultRowHeight="14.25" customHeight="1" x14ac:dyDescent="0.2"/>
  <cols>
    <col min="1" max="16384" width="9" style="1"/>
  </cols>
  <sheetData>
    <row r="1" spans="1:35" ht="14.25" customHeight="1" x14ac:dyDescent="0.2">
      <c r="A1" s="108" t="s">
        <v>111</v>
      </c>
      <c r="B1" s="109"/>
      <c r="AB1" s="1" t="s">
        <v>151</v>
      </c>
      <c r="AC1" s="1">
        <v>1</v>
      </c>
      <c r="AD1" s="9">
        <v>4612980.6323862216</v>
      </c>
    </row>
    <row r="2" spans="1:35" ht="14.25" customHeight="1" x14ac:dyDescent="0.2">
      <c r="A2" s="110"/>
      <c r="B2" s="111"/>
      <c r="AB2" s="1" t="s">
        <v>151</v>
      </c>
      <c r="AC2" s="1">
        <v>2</v>
      </c>
      <c r="AD2" s="9">
        <v>4508614.5547304247</v>
      </c>
    </row>
    <row r="3" spans="1:35" ht="14.25" customHeight="1" x14ac:dyDescent="0.2">
      <c r="C3" s="3" t="s">
        <v>113</v>
      </c>
      <c r="D3" s="2" t="s">
        <v>183</v>
      </c>
      <c r="AB3" s="1" t="s">
        <v>152</v>
      </c>
      <c r="AC3" s="1">
        <v>3</v>
      </c>
      <c r="AD3" s="9">
        <v>4457380.2984266691</v>
      </c>
    </row>
    <row r="4" spans="1:35" s="3" customFormat="1" ht="14.25" customHeight="1" x14ac:dyDescent="0.2">
      <c r="D4" s="3" t="s">
        <v>66</v>
      </c>
      <c r="E4" s="3" t="s">
        <v>114</v>
      </c>
      <c r="F4" s="3" t="s">
        <v>304</v>
      </c>
      <c r="G4" s="1"/>
      <c r="H4" s="80" t="s">
        <v>161</v>
      </c>
      <c r="I4" s="14"/>
      <c r="J4" s="2" t="s">
        <v>303</v>
      </c>
      <c r="K4" s="1"/>
      <c r="L4" s="1"/>
      <c r="M4" s="1"/>
      <c r="N4" s="1"/>
      <c r="O4" s="1"/>
      <c r="W4" s="1"/>
      <c r="X4" s="1"/>
      <c r="AB4" s="1" t="s">
        <v>152</v>
      </c>
      <c r="AC4" s="1">
        <v>4</v>
      </c>
      <c r="AD4" s="9">
        <v>4445994.9081369452</v>
      </c>
    </row>
    <row r="5" spans="1:35" ht="14.25" customHeight="1" x14ac:dyDescent="0.2">
      <c r="D5" s="1" t="s">
        <v>115</v>
      </c>
      <c r="E5" s="1">
        <v>30</v>
      </c>
      <c r="F5" s="23">
        <f>E5/SUM($E$5:$E$8)</f>
        <v>0.3</v>
      </c>
      <c r="H5" s="81">
        <f>E5/SUM($E$5:$E$7)</f>
        <v>0.35294117647058826</v>
      </c>
      <c r="I5" s="82"/>
      <c r="J5" s="19"/>
      <c r="K5" s="19"/>
      <c r="L5" s="19"/>
      <c r="M5" s="19"/>
      <c r="N5" s="19"/>
      <c r="AB5" s="1" t="s">
        <v>153</v>
      </c>
      <c r="AC5" s="1">
        <v>5</v>
      </c>
      <c r="AD5" s="9">
        <v>5449698.3863924081</v>
      </c>
    </row>
    <row r="6" spans="1:35" ht="14.25" customHeight="1" x14ac:dyDescent="0.2">
      <c r="D6" s="1" t="s">
        <v>175</v>
      </c>
      <c r="E6" s="1">
        <v>30</v>
      </c>
      <c r="F6" s="23">
        <f>E6/SUM($E$5:$E$8)</f>
        <v>0.3</v>
      </c>
      <c r="G6" s="4">
        <f>F6/F5</f>
        <v>1</v>
      </c>
      <c r="H6" s="81">
        <f t="shared" ref="H6:H7" si="0">E6/SUM($E$5:$E$7)</f>
        <v>0.35294117647058826</v>
      </c>
      <c r="I6" s="83">
        <f>H6/H5</f>
        <v>1</v>
      </c>
      <c r="J6" s="33"/>
      <c r="K6" s="33"/>
      <c r="AB6" s="1" t="s">
        <v>153</v>
      </c>
      <c r="AC6" s="1">
        <v>6</v>
      </c>
      <c r="AD6" s="9">
        <v>5260050.3138521584</v>
      </c>
    </row>
    <row r="7" spans="1:35" ht="14.25" customHeight="1" x14ac:dyDescent="0.2">
      <c r="D7" s="1" t="s">
        <v>116</v>
      </c>
      <c r="E7" s="1">
        <v>25</v>
      </c>
      <c r="F7" s="23">
        <f>E7/SUM($E$5:$E$8)</f>
        <v>0.25</v>
      </c>
      <c r="G7" s="4">
        <f>F7/SUM($F$5:$F$6)</f>
        <v>0.41666666666666669</v>
      </c>
      <c r="H7" s="81">
        <f t="shared" si="0"/>
        <v>0.29411764705882354</v>
      </c>
      <c r="I7" s="83">
        <f>H7/SUM($H$5:$H$6)</f>
        <v>0.41666666666666663</v>
      </c>
      <c r="J7" s="33"/>
      <c r="K7" s="33"/>
      <c r="O7" s="1">
        <v>1.05</v>
      </c>
      <c r="AB7" s="1" t="s">
        <v>154</v>
      </c>
      <c r="AC7" s="1">
        <v>7</v>
      </c>
      <c r="AD7" s="9">
        <v>5111015.5549596818</v>
      </c>
    </row>
    <row r="8" spans="1:35" ht="14.25" customHeight="1" x14ac:dyDescent="0.2">
      <c r="D8" s="1" t="s">
        <v>117</v>
      </c>
      <c r="E8" s="1">
        <v>15</v>
      </c>
      <c r="F8" s="23">
        <f>E8/SUM($E$5:$E$8)</f>
        <v>0.15</v>
      </c>
      <c r="G8" s="4">
        <f>F8/SUM($F$5:$F$6)</f>
        <v>0.25</v>
      </c>
      <c r="H8" s="14"/>
      <c r="I8" s="84"/>
      <c r="J8" s="33"/>
      <c r="K8" s="33"/>
      <c r="O8" s="6">
        <f>POWER(O7,99)</f>
        <v>125.23929318695586</v>
      </c>
      <c r="AB8" s="1" t="s">
        <v>154</v>
      </c>
      <c r="AC8" s="1">
        <v>8</v>
      </c>
      <c r="AD8" s="9">
        <v>5185213.446413096</v>
      </c>
    </row>
    <row r="9" spans="1:35" ht="14.25" customHeight="1" x14ac:dyDescent="0.2">
      <c r="D9" s="2"/>
      <c r="AB9" s="1" t="s">
        <v>155</v>
      </c>
      <c r="AC9" s="1">
        <v>9</v>
      </c>
      <c r="AD9" s="9">
        <v>5037497.4251931254</v>
      </c>
    </row>
    <row r="10" spans="1:35" ht="14.25" customHeight="1" x14ac:dyDescent="0.2">
      <c r="E10" s="2" t="s">
        <v>106</v>
      </c>
      <c r="P10" s="25"/>
      <c r="AB10" s="1" t="s">
        <v>155</v>
      </c>
      <c r="AC10" s="1">
        <v>10</v>
      </c>
      <c r="AD10" s="9">
        <v>4892681.7205037549</v>
      </c>
    </row>
    <row r="11" spans="1:35" ht="14.25" customHeight="1" x14ac:dyDescent="0.2">
      <c r="E11" s="2" t="s">
        <v>107</v>
      </c>
      <c r="AB11" s="1" t="s">
        <v>156</v>
      </c>
      <c r="AC11" s="1">
        <v>11</v>
      </c>
      <c r="AD11" s="9">
        <v>3788488.6189054241</v>
      </c>
    </row>
    <row r="12" spans="1:35" ht="14.25" customHeight="1" x14ac:dyDescent="0.2">
      <c r="E12" s="2" t="s">
        <v>108</v>
      </c>
      <c r="K12" s="2" t="s">
        <v>119</v>
      </c>
      <c r="AB12" s="1" t="s">
        <v>156</v>
      </c>
      <c r="AC12" s="1">
        <v>12</v>
      </c>
      <c r="AD12" s="9">
        <v>3945037.7353891199</v>
      </c>
    </row>
    <row r="13" spans="1:35" ht="14.25" customHeight="1" x14ac:dyDescent="0.2">
      <c r="C13" s="3" t="s">
        <v>162</v>
      </c>
      <c r="D13" s="2" t="s">
        <v>191</v>
      </c>
      <c r="E13" s="2"/>
      <c r="L13" s="2"/>
      <c r="R13" s="3" t="s">
        <v>163</v>
      </c>
      <c r="S13" s="1" t="s">
        <v>246</v>
      </c>
      <c r="V13" s="1">
        <f>V15/V14</f>
        <v>417.46431062318624</v>
      </c>
      <c r="AD13" s="4">
        <f>MAX(AD1:AD12)/MIN(AD1:AD12)</f>
        <v>1.4384887839433296</v>
      </c>
    </row>
    <row r="14" spans="1:35" ht="14.25" customHeight="1" x14ac:dyDescent="0.2">
      <c r="E14" s="6">
        <f>MAX(E18:E117)/MIN(E18:E117)</f>
        <v>125.23929318695586</v>
      </c>
      <c r="F14" s="6">
        <f>MAX(F18:F117)/MIN(F18:F117)</f>
        <v>125.23929318695586</v>
      </c>
      <c r="G14" s="6">
        <f>MAX(G18:G117)/MIN(G18:G117)</f>
        <v>125.23929318695586</v>
      </c>
      <c r="L14" s="9">
        <f>MAX(G18:G117)*L15</f>
        <v>103322.41687923859</v>
      </c>
      <c r="N14" s="8">
        <f>N16/G18</f>
        <v>9090.9090909090901</v>
      </c>
      <c r="O14" s="8">
        <f>N16/O8</f>
        <v>798.47144977671724</v>
      </c>
      <c r="T14" s="1">
        <f>T18*F5</f>
        <v>70.3125</v>
      </c>
      <c r="U14" s="1">
        <f>U18*F5</f>
        <v>2479.5437639474335</v>
      </c>
      <c r="V14" s="1">
        <f>V18*F5</f>
        <v>247.5</v>
      </c>
      <c r="AH14" s="9">
        <f>AH18*0.4</f>
        <v>28.125</v>
      </c>
      <c r="AI14" s="9">
        <f>AI18*1.8</f>
        <v>4463.1787751053807</v>
      </c>
    </row>
    <row r="15" spans="1:35" ht="14.25" customHeight="1" x14ac:dyDescent="0.2">
      <c r="A15" s="1">
        <v>100</v>
      </c>
      <c r="B15" s="1">
        <f t="shared" ref="B15:B16" si="1">VLOOKUP(A15,$D$17:$E$117,2,0)</f>
        <v>1252.3929318695587</v>
      </c>
      <c r="C15" s="6">
        <f>B14/B15</f>
        <v>0</v>
      </c>
      <c r="E15" s="6">
        <f>角色设定!F16</f>
        <v>10</v>
      </c>
      <c r="F15" s="6">
        <f>角色设定!G16</f>
        <v>100</v>
      </c>
      <c r="G15" s="6">
        <f>角色设定!H16</f>
        <v>11</v>
      </c>
      <c r="K15" s="1" t="s">
        <v>126</v>
      </c>
      <c r="L15" s="1">
        <v>75</v>
      </c>
      <c r="P15" s="6">
        <f>1-N16/(N16+N117)</f>
        <v>0.50817031621557973</v>
      </c>
      <c r="Q15" s="8">
        <f>L117*(1-P15)</f>
        <v>26948.425859917097</v>
      </c>
      <c r="R15" s="8"/>
      <c r="S15" s="8"/>
      <c r="T15" s="8">
        <f>MAX($T$18:$T$117)</f>
        <v>29352.959340692778</v>
      </c>
      <c r="U15" s="31">
        <f>MAX($U$18:$U$117)</f>
        <v>513303.34971270675</v>
      </c>
      <c r="V15" s="31">
        <f>MAX($V$18:$V$117)</f>
        <v>103322.41687923859</v>
      </c>
      <c r="W15" s="8"/>
      <c r="X15" s="8"/>
      <c r="Y15" s="8"/>
      <c r="Z15" s="8"/>
      <c r="AA15" s="8"/>
      <c r="AB15" s="8"/>
      <c r="AC15" s="6"/>
    </row>
    <row r="16" spans="1:35" ht="14.25" customHeight="1" x14ac:dyDescent="0.2">
      <c r="A16" s="1">
        <v>90</v>
      </c>
      <c r="B16" s="1">
        <f t="shared" si="1"/>
        <v>768.86061951549107</v>
      </c>
      <c r="C16" s="6">
        <f>B15/B16</f>
        <v>1.628894626777442</v>
      </c>
      <c r="E16" s="25">
        <v>1.05</v>
      </c>
      <c r="F16" s="25">
        <v>1.05</v>
      </c>
      <c r="G16" s="25">
        <v>1.05</v>
      </c>
      <c r="L16" s="1">
        <v>0.7</v>
      </c>
      <c r="N16" s="31">
        <v>100000</v>
      </c>
      <c r="T16" s="1">
        <f>T18*H5</f>
        <v>82.720588235294116</v>
      </c>
      <c r="U16" s="20">
        <f>U18*F5</f>
        <v>2479.5437639474335</v>
      </c>
      <c r="W16" s="19">
        <f>角色设定!J26</f>
        <v>0.4</v>
      </c>
      <c r="X16" s="19">
        <f>角色设定!K26</f>
        <v>1.5</v>
      </c>
      <c r="AE16" s="21">
        <f>AE117</f>
        <v>1836190.6787566706</v>
      </c>
    </row>
    <row r="17" spans="1:39" ht="14.25" customHeight="1" x14ac:dyDescent="0.2">
      <c r="A17" s="1">
        <v>70</v>
      </c>
      <c r="B17" s="1">
        <f>VLOOKUP(A17,$D$17:$E$117,2,0)</f>
        <v>289.7754812906083</v>
      </c>
      <c r="C17" s="6">
        <f t="shared" ref="C17" si="2">B16/B17</f>
        <v>2.6532977051444209</v>
      </c>
      <c r="D17" s="1" t="s">
        <v>164</v>
      </c>
      <c r="E17" s="1" t="s">
        <v>13</v>
      </c>
      <c r="F17" s="1" t="s">
        <v>14</v>
      </c>
      <c r="G17" s="1" t="s">
        <v>33</v>
      </c>
      <c r="H17" s="1" t="s">
        <v>35</v>
      </c>
      <c r="I17" s="1" t="s">
        <v>84</v>
      </c>
      <c r="J17" s="1" t="s">
        <v>11</v>
      </c>
      <c r="L17" s="1" t="s">
        <v>32</v>
      </c>
      <c r="M17" s="1" t="s">
        <v>34</v>
      </c>
      <c r="N17" s="1" t="s">
        <v>33</v>
      </c>
      <c r="O17" s="1" t="s">
        <v>35</v>
      </c>
      <c r="P17" s="1" t="s">
        <v>84</v>
      </c>
      <c r="Q17" s="1" t="s">
        <v>11</v>
      </c>
      <c r="S17" s="1" t="s">
        <v>164</v>
      </c>
      <c r="T17" s="1" t="s">
        <v>165</v>
      </c>
      <c r="U17" s="1" t="s">
        <v>166</v>
      </c>
      <c r="V17" s="1" t="s">
        <v>139</v>
      </c>
      <c r="W17" s="1" t="s">
        <v>140</v>
      </c>
      <c r="X17" s="1" t="s">
        <v>141</v>
      </c>
      <c r="Y17" s="1" t="s">
        <v>142</v>
      </c>
      <c r="Z17" s="1" t="s">
        <v>168</v>
      </c>
      <c r="AE17" s="1" t="s">
        <v>169</v>
      </c>
      <c r="AF17" s="1" t="s">
        <v>170</v>
      </c>
      <c r="AH17" s="1" t="s">
        <v>171</v>
      </c>
      <c r="AI17" s="1" t="s">
        <v>172</v>
      </c>
      <c r="AJ17" s="1" t="s">
        <v>173</v>
      </c>
    </row>
    <row r="18" spans="1:39" ht="14.25" customHeight="1" x14ac:dyDescent="0.2">
      <c r="A18" s="1">
        <v>50</v>
      </c>
      <c r="B18" s="1">
        <f>VLOOKUP(A18,$D$17:$E$117,2,0)</f>
        <v>109.21333129289224</v>
      </c>
      <c r="C18" s="6">
        <f>B17/B18</f>
        <v>2.6532977051444204</v>
      </c>
      <c r="D18" s="1">
        <v>1</v>
      </c>
      <c r="E18" s="6">
        <f>E$15*E$16^($D18-1)</f>
        <v>10</v>
      </c>
      <c r="F18" s="6">
        <f t="shared" ref="F18:G33" si="3">F$15*F$16^($D18-1)</f>
        <v>100</v>
      </c>
      <c r="G18" s="6">
        <f>G$15*G$16^($D18-1)</f>
        <v>11</v>
      </c>
      <c r="H18" s="6">
        <v>0.4</v>
      </c>
      <c r="I18" s="6">
        <v>1.5</v>
      </c>
      <c r="J18" s="6">
        <v>1</v>
      </c>
      <c r="K18" s="25">
        <f>M19/M18</f>
        <v>1.0495705947232103</v>
      </c>
      <c r="L18" s="6">
        <f>E18*$L$16/J18/(1+H18*(I18-1))*$L$15</f>
        <v>437.50000000000006</v>
      </c>
      <c r="M18" s="6">
        <f>F18/(1+N18/$N$16)*$L$15</f>
        <v>7438.6312918423</v>
      </c>
      <c r="N18" s="6">
        <f>G18*$L$15</f>
        <v>825</v>
      </c>
      <c r="O18" s="6">
        <f t="shared" ref="O18:O49" si="4">H18</f>
        <v>0.4</v>
      </c>
      <c r="P18" s="6">
        <f t="shared" ref="P18:P49" si="5">I18</f>
        <v>1.5</v>
      </c>
      <c r="Q18" s="6">
        <f t="shared" ref="Q18:Q49" si="6">J18</f>
        <v>1</v>
      </c>
      <c r="R18" s="6"/>
      <c r="S18" s="35">
        <v>1</v>
      </c>
      <c r="T18" s="6">
        <f>VLOOKUP($S$13,角色设定!$AB$9:$AJ$21,MATCH(E$17,角色设定!$AB$9:$AJ$9,0),0)*Z18*$L$15*E18/Y18/(1+W18*(X18-1))</f>
        <v>234.375</v>
      </c>
      <c r="U18" s="6">
        <f>VLOOKUP($S$13,角色设定!$AB$9:$AJ$21,MATCH(F$17,角色设定!$AB$9:$AJ$9,0),0)*F18*$L$15/(1+V18/$N$16)</f>
        <v>8265.1458798247786</v>
      </c>
      <c r="V18" s="6">
        <f>VLOOKUP($S$13,角色设定!$AB$9:$AJ$21,MATCH(V$17,角色设定!$AB$9:$AJ$9,0),0)*G18*$L$15</f>
        <v>825</v>
      </c>
      <c r="W18" s="6">
        <f>VLOOKUP($S$13,角色设定!$AB$9:$AJ$21,MATCH(W$17,角色设定!$AB$9:$AJ$9,0),0)*H18</f>
        <v>0.4</v>
      </c>
      <c r="X18" s="6">
        <f>VLOOKUP($S$13,角色设定!$AB$9:$AJ$21,MATCH(X$17,角色设定!$AB$9:$AJ$9,0),0)*I18</f>
        <v>1.5</v>
      </c>
      <c r="Y18" s="6">
        <f>VLOOKUP($S$13,角色设定!$AB$9:$AJ$21,MATCH(Y$17,角色设定!$AB$9:$AJ$9,0),0)*J18</f>
        <v>0.9</v>
      </c>
      <c r="Z18" s="6">
        <f>VLOOKUP($S$13,角色设定!$AB$9:$AJ$21,MATCH(Z$17,角色设定!$AB$9:$AJ$9,0),0)</f>
        <v>0.75</v>
      </c>
      <c r="AA18" s="6"/>
      <c r="AB18" s="6"/>
      <c r="AC18" s="6">
        <f>T18*战斗公式!$E$38*(1+W18*(X18-1))*Y18</f>
        <v>6328.125</v>
      </c>
      <c r="AD18" s="6">
        <f>U18*战斗公式!$E$40*(1+V18*战斗公式!$E$39)</f>
        <v>8333.3333333333339</v>
      </c>
      <c r="AE18" s="21">
        <f>AC18+AD18</f>
        <v>14661.458333333334</v>
      </c>
      <c r="AH18" s="9">
        <f>T18*$F$5</f>
        <v>70.3125</v>
      </c>
      <c r="AI18" s="9">
        <f>U18*$F$5</f>
        <v>2479.5437639474335</v>
      </c>
      <c r="AJ18" s="9">
        <f>V18*$F$5</f>
        <v>247.5</v>
      </c>
    </row>
    <row r="19" spans="1:39" ht="14.25" customHeight="1" x14ac:dyDescent="0.2">
      <c r="A19" s="1">
        <v>30</v>
      </c>
      <c r="B19" s="1">
        <f>VLOOKUP(A19,$D$17:$E$117,2,0)</f>
        <v>41.16135595381585</v>
      </c>
      <c r="C19" s="6">
        <f>B18/B19</f>
        <v>2.6532977051444209</v>
      </c>
      <c r="D19" s="1">
        <v>2</v>
      </c>
      <c r="E19" s="6">
        <f t="shared" ref="E19:G50" si="7">E$15*E$16^($D19-1)</f>
        <v>10.5</v>
      </c>
      <c r="F19" s="6">
        <f t="shared" si="3"/>
        <v>105</v>
      </c>
      <c r="G19" s="6">
        <f t="shared" si="3"/>
        <v>11.55</v>
      </c>
      <c r="H19" s="6">
        <v>0.4</v>
      </c>
      <c r="I19" s="6">
        <v>1.5</v>
      </c>
      <c r="J19" s="6">
        <v>1</v>
      </c>
      <c r="K19" s="25">
        <f t="shared" ref="K19:K82" si="8">M20/M19</f>
        <v>1.049549317984606</v>
      </c>
      <c r="L19" s="6">
        <f t="shared" ref="L19:L49" si="9">E19*$L$16/J19/(1+H19*(I19-1))*$L$15</f>
        <v>459.375</v>
      </c>
      <c r="M19" s="6">
        <f t="shared" ref="M19:M49" si="10">F19/(1+N19/$N$16)*$L$15</f>
        <v>7807.3686689056058</v>
      </c>
      <c r="N19" s="6">
        <f t="shared" ref="N19:N49" si="11">G19*$L$15</f>
        <v>866.25</v>
      </c>
      <c r="O19" s="6">
        <f t="shared" si="4"/>
        <v>0.4</v>
      </c>
      <c r="P19" s="6">
        <f t="shared" si="5"/>
        <v>1.5</v>
      </c>
      <c r="Q19" s="6">
        <f t="shared" si="6"/>
        <v>1</v>
      </c>
      <c r="R19" s="6"/>
      <c r="S19" s="35">
        <v>2</v>
      </c>
      <c r="T19" s="6">
        <f>VLOOKUP($S$13,角色设定!$AB$9:$AJ$21,MATCH(E$17,角色设定!$AB$9:$AJ$9,0),0)*Z19*$L$15*E19/Y19/(1+W19*(X19-1))</f>
        <v>246.09375</v>
      </c>
      <c r="U19" s="6">
        <f>VLOOKUP($S$13,角色设定!$AB$9:$AJ$21,MATCH(F$17,角色设定!$AB$9:$AJ$9,0),0)*F19*$L$15/(1+V19/$N$16)</f>
        <v>8674.8540765617836</v>
      </c>
      <c r="V19" s="6">
        <f>VLOOKUP($S$13,角色设定!$AB$9:$AJ$21,MATCH(V$17,角色设定!$AB$9:$AJ$9,0),0)*G19*$L$15</f>
        <v>866.25</v>
      </c>
      <c r="W19" s="6">
        <f>VLOOKUP($S$13,角色设定!$AB$9:$AJ$21,MATCH(W$17,角色设定!$AB$9:$AJ$9,0),0)*H19</f>
        <v>0.4</v>
      </c>
      <c r="X19" s="6">
        <f>VLOOKUP($S$13,角色设定!$AB$9:$AJ$21,MATCH(X$17,角色设定!$AB$9:$AJ$9,0),0)*I19</f>
        <v>1.5</v>
      </c>
      <c r="Y19" s="6">
        <f>VLOOKUP($S$13,角色设定!$AB$9:$AJ$21,MATCH(Y$17,角色设定!$AB$9:$AJ$9,0),0)*J19</f>
        <v>0.9</v>
      </c>
      <c r="Z19" s="6">
        <f>VLOOKUP($S$13,角色设定!$AB$9:$AJ$21,MATCH(Z$17,角色设定!$AB$9:$AJ$9,0),0)</f>
        <v>0.75</v>
      </c>
      <c r="AA19" s="6"/>
      <c r="AB19" s="6"/>
      <c r="AC19" s="6">
        <f>T19*战斗公式!$E$38*(1+W19*(X19-1))*Y19</f>
        <v>6644.53125</v>
      </c>
      <c r="AD19" s="6">
        <f>U19*战斗公式!$E$40*(1+V19*战斗公式!$E$39)</f>
        <v>8750</v>
      </c>
      <c r="AE19" s="21">
        <f t="shared" ref="AE19:AE82" si="12">AC19+AD19</f>
        <v>15394.53125</v>
      </c>
      <c r="AF19" s="21">
        <f>AE19-AE18</f>
        <v>733.07291666666606</v>
      </c>
      <c r="AG19" s="21"/>
      <c r="AH19" s="9">
        <f t="shared" ref="AH19:AH82" si="13">T19*$F$5</f>
        <v>73.828125</v>
      </c>
      <c r="AI19" s="9">
        <f t="shared" ref="AI19:AI82" si="14">U19*$F$5</f>
        <v>2602.4562229685348</v>
      </c>
      <c r="AJ19" s="9">
        <f t="shared" ref="AJ19:AJ82" si="15">V19*$F$5</f>
        <v>259.875</v>
      </c>
      <c r="AK19" s="9">
        <f>AH19-AH18</f>
        <v>3.515625</v>
      </c>
      <c r="AL19" s="9">
        <f>AI19-AI18</f>
        <v>122.91245902110131</v>
      </c>
      <c r="AM19" s="9">
        <f>AJ19-AJ18</f>
        <v>12.375</v>
      </c>
    </row>
    <row r="20" spans="1:39" ht="14.25" customHeight="1" x14ac:dyDescent="0.2">
      <c r="A20" s="1">
        <v>1</v>
      </c>
      <c r="B20" s="1">
        <f>VLOOKUP(A20,$D$17:$E$117,2,0)</f>
        <v>10</v>
      </c>
      <c r="C20" s="6">
        <f>B19/B20</f>
        <v>4.1161355953815848</v>
      </c>
      <c r="D20" s="1">
        <v>3</v>
      </c>
      <c r="E20" s="6">
        <f t="shared" si="7"/>
        <v>11.025</v>
      </c>
      <c r="F20" s="6">
        <f t="shared" si="3"/>
        <v>110.25</v>
      </c>
      <c r="G20" s="6">
        <f t="shared" si="3"/>
        <v>12.127500000000001</v>
      </c>
      <c r="H20" s="6">
        <v>0.4</v>
      </c>
      <c r="I20" s="6">
        <v>1.5</v>
      </c>
      <c r="J20" s="6">
        <v>1</v>
      </c>
      <c r="K20" s="25">
        <f t="shared" si="8"/>
        <v>1.0495269970577561</v>
      </c>
      <c r="L20" s="6">
        <f t="shared" si="9"/>
        <v>482.34374999999994</v>
      </c>
      <c r="M20" s="6">
        <f t="shared" si="10"/>
        <v>8194.2184617042603</v>
      </c>
      <c r="N20" s="6">
        <f t="shared" si="11"/>
        <v>909.56250000000011</v>
      </c>
      <c r="O20" s="6">
        <f t="shared" si="4"/>
        <v>0.4</v>
      </c>
      <c r="P20" s="6">
        <f t="shared" si="5"/>
        <v>1.5</v>
      </c>
      <c r="Q20" s="6">
        <f t="shared" si="6"/>
        <v>1</v>
      </c>
      <c r="R20" s="6"/>
      <c r="S20" s="35">
        <v>3</v>
      </c>
      <c r="T20" s="6">
        <f>VLOOKUP($S$13,角色设定!$AB$9:$AJ$21,MATCH(E$17,角色设定!$AB$9:$AJ$9,0),0)*Z20*$L$15*E20/Y20/(1+W20*(X20-1))</f>
        <v>258.3984375</v>
      </c>
      <c r="U20" s="6">
        <f>VLOOKUP($S$13,角色设定!$AB$9:$AJ$21,MATCH(F$17,角色设定!$AB$9:$AJ$9,0),0)*F20*$L$15/(1+V20/$N$16)</f>
        <v>9104.6871796714004</v>
      </c>
      <c r="V20" s="6">
        <f>VLOOKUP($S$13,角色设定!$AB$9:$AJ$21,MATCH(V$17,角色设定!$AB$9:$AJ$9,0),0)*G20*$L$15</f>
        <v>909.56250000000011</v>
      </c>
      <c r="W20" s="6">
        <f>VLOOKUP($S$13,角色设定!$AB$9:$AJ$21,MATCH(W$17,角色设定!$AB$9:$AJ$9,0),0)*H20</f>
        <v>0.4</v>
      </c>
      <c r="X20" s="6">
        <f>VLOOKUP($S$13,角色设定!$AB$9:$AJ$21,MATCH(X$17,角色设定!$AB$9:$AJ$9,0),0)*I20</f>
        <v>1.5</v>
      </c>
      <c r="Y20" s="6">
        <f>VLOOKUP($S$13,角色设定!$AB$9:$AJ$21,MATCH(Y$17,角色设定!$AB$9:$AJ$9,0),0)*J20</f>
        <v>0.9</v>
      </c>
      <c r="Z20" s="6">
        <f>VLOOKUP($S$13,角色设定!$AB$9:$AJ$21,MATCH(Z$17,角色设定!$AB$9:$AJ$9,0),0)</f>
        <v>0.75</v>
      </c>
      <c r="AA20" s="6"/>
      <c r="AB20" s="6"/>
      <c r="AC20" s="6">
        <f>T20*战斗公式!$E$38*(1+W20*(X20-1))*Y20</f>
        <v>6976.7578125</v>
      </c>
      <c r="AD20" s="6">
        <f>U20*战斗公式!$E$40*(1+V20*战斗公式!$E$39)</f>
        <v>9187.5</v>
      </c>
      <c r="AE20" s="21">
        <f t="shared" si="12"/>
        <v>16164.2578125</v>
      </c>
      <c r="AF20" s="21">
        <f t="shared" ref="AF20:AF83" si="16">AE20-AE19</f>
        <v>769.7265625</v>
      </c>
      <c r="AG20" s="21"/>
      <c r="AH20" s="9">
        <f t="shared" si="13"/>
        <v>77.51953125</v>
      </c>
      <c r="AI20" s="9">
        <f t="shared" si="14"/>
        <v>2731.4061539014201</v>
      </c>
      <c r="AJ20" s="9">
        <f t="shared" si="15"/>
        <v>272.86875000000003</v>
      </c>
      <c r="AK20" s="9">
        <f t="shared" ref="AK20:AK83" si="17">AH20-AH19</f>
        <v>3.69140625</v>
      </c>
      <c r="AL20" s="9">
        <f t="shared" ref="AL20:AL83" si="18">AI20-AI19</f>
        <v>128.94993093288531</v>
      </c>
      <c r="AM20" s="9">
        <f t="shared" ref="AM20:AM83" si="19">AJ20-AJ19</f>
        <v>12.993750000000034</v>
      </c>
    </row>
    <row r="21" spans="1:39" ht="14.25" customHeight="1" x14ac:dyDescent="0.2">
      <c r="B21" s="6">
        <f>B18/B19</f>
        <v>2.6532977051444209</v>
      </c>
      <c r="D21" s="1">
        <v>4</v>
      </c>
      <c r="E21" s="6">
        <f t="shared" si="7"/>
        <v>11.576250000000002</v>
      </c>
      <c r="F21" s="6">
        <f t="shared" si="3"/>
        <v>115.76250000000002</v>
      </c>
      <c r="G21" s="6">
        <f t="shared" si="3"/>
        <v>12.733875000000001</v>
      </c>
      <c r="H21" s="6">
        <v>0.4</v>
      </c>
      <c r="I21" s="6">
        <v>1.5</v>
      </c>
      <c r="J21" s="6">
        <v>1</v>
      </c>
      <c r="K21" s="25">
        <f t="shared" si="8"/>
        <v>1.0495035817179514</v>
      </c>
      <c r="L21" s="6">
        <f t="shared" si="9"/>
        <v>506.46093750000011</v>
      </c>
      <c r="M21" s="6">
        <f t="shared" si="10"/>
        <v>8600.0534953476981</v>
      </c>
      <c r="N21" s="6">
        <f t="shared" si="11"/>
        <v>955.04062500000009</v>
      </c>
      <c r="O21" s="6">
        <f t="shared" si="4"/>
        <v>0.4</v>
      </c>
      <c r="P21" s="6">
        <f t="shared" si="5"/>
        <v>1.5</v>
      </c>
      <c r="Q21" s="6">
        <f t="shared" si="6"/>
        <v>1</v>
      </c>
      <c r="R21" s="6"/>
      <c r="S21" s="35">
        <v>4</v>
      </c>
      <c r="T21" s="6">
        <f>VLOOKUP($S$13,角色设定!$AB$9:$AJ$21,MATCH(E$17,角色设定!$AB$9:$AJ$9,0),0)*Z21*$L$15*E21/Y21/(1+W21*(X21-1))</f>
        <v>271.318359375</v>
      </c>
      <c r="U21" s="6">
        <f>VLOOKUP($S$13,角色设定!$AB$9:$AJ$21,MATCH(F$17,角色设定!$AB$9:$AJ$9,0),0)*F21*$L$15/(1+V21/$N$16)</f>
        <v>9555.6149948307757</v>
      </c>
      <c r="V21" s="6">
        <f>VLOOKUP($S$13,角色设定!$AB$9:$AJ$21,MATCH(V$17,角色设定!$AB$9:$AJ$9,0),0)*G21*$L$15</f>
        <v>955.04062500000009</v>
      </c>
      <c r="W21" s="6">
        <f>VLOOKUP($S$13,角色设定!$AB$9:$AJ$21,MATCH(W$17,角色设定!$AB$9:$AJ$9,0),0)*H21</f>
        <v>0.4</v>
      </c>
      <c r="X21" s="6">
        <f>VLOOKUP($S$13,角色设定!$AB$9:$AJ$21,MATCH(X$17,角色设定!$AB$9:$AJ$9,0),0)*I21</f>
        <v>1.5</v>
      </c>
      <c r="Y21" s="6">
        <f>VLOOKUP($S$13,角色设定!$AB$9:$AJ$21,MATCH(Y$17,角色设定!$AB$9:$AJ$9,0),0)*J21</f>
        <v>0.9</v>
      </c>
      <c r="Z21" s="6">
        <f>VLOOKUP($S$13,角色设定!$AB$9:$AJ$21,MATCH(Z$17,角色设定!$AB$9:$AJ$9,0),0)</f>
        <v>0.75</v>
      </c>
      <c r="AA21" s="6"/>
      <c r="AB21" s="6"/>
      <c r="AC21" s="6">
        <f>T21*战斗公式!$E$38*(1+W21*(X21-1))*Y21</f>
        <v>7325.595703125</v>
      </c>
      <c r="AD21" s="6">
        <f>U21*战斗公式!$E$40*(1+V21*战斗公式!$E$39)</f>
        <v>9646.8750000000018</v>
      </c>
      <c r="AE21" s="21">
        <f t="shared" si="12"/>
        <v>16972.470703125</v>
      </c>
      <c r="AF21" s="21">
        <f t="shared" si="16"/>
        <v>808.212890625</v>
      </c>
      <c r="AG21" s="21"/>
      <c r="AH21" s="9">
        <f t="shared" si="13"/>
        <v>81.3955078125</v>
      </c>
      <c r="AI21" s="9">
        <f t="shared" si="14"/>
        <v>2866.6844984492327</v>
      </c>
      <c r="AJ21" s="9">
        <f t="shared" si="15"/>
        <v>286.51218750000004</v>
      </c>
      <c r="AK21" s="9">
        <f t="shared" si="17"/>
        <v>3.8759765625</v>
      </c>
      <c r="AL21" s="9">
        <f t="shared" si="18"/>
        <v>135.27834454781259</v>
      </c>
      <c r="AM21" s="9">
        <f t="shared" si="19"/>
        <v>13.643437500000005</v>
      </c>
    </row>
    <row r="22" spans="1:39" ht="14.25" customHeight="1" x14ac:dyDescent="0.2">
      <c r="B22" s="6">
        <f>B18/B20</f>
        <v>10.921333129289224</v>
      </c>
      <c r="C22" s="6">
        <f>B17/B20</f>
        <v>28.977548129060828</v>
      </c>
      <c r="D22" s="1">
        <v>5</v>
      </c>
      <c r="E22" s="6">
        <f t="shared" si="7"/>
        <v>12.1550625</v>
      </c>
      <c r="F22" s="6">
        <f t="shared" si="3"/>
        <v>121.550625</v>
      </c>
      <c r="G22" s="6">
        <f t="shared" si="3"/>
        <v>13.37056875</v>
      </c>
      <c r="H22" s="6">
        <v>0.4</v>
      </c>
      <c r="I22" s="6">
        <v>1.5</v>
      </c>
      <c r="J22" s="6">
        <v>1</v>
      </c>
      <c r="K22" s="25">
        <f t="shared" si="8"/>
        <v>1.04947901942813</v>
      </c>
      <c r="L22" s="6">
        <f t="shared" si="9"/>
        <v>531.78398437499993</v>
      </c>
      <c r="M22" s="6">
        <f t="shared" si="10"/>
        <v>9025.7869463333973</v>
      </c>
      <c r="N22" s="6">
        <f t="shared" si="11"/>
        <v>1002.7926562500001</v>
      </c>
      <c r="O22" s="6">
        <f t="shared" si="4"/>
        <v>0.4</v>
      </c>
      <c r="P22" s="6">
        <f t="shared" si="5"/>
        <v>1.5</v>
      </c>
      <c r="Q22" s="6">
        <f t="shared" si="6"/>
        <v>1</v>
      </c>
      <c r="R22" s="6"/>
      <c r="S22" s="35">
        <v>5</v>
      </c>
      <c r="T22" s="6">
        <f>VLOOKUP($S$13,角色设定!$AB$9:$AJ$21,MATCH(E$17,角色设定!$AB$9:$AJ$9,0),0)*Z22*$L$15*E22/Y22/(1+W22*(X22-1))</f>
        <v>284.88427734375</v>
      </c>
      <c r="U22" s="6">
        <f>VLOOKUP($S$13,角色设定!$AB$9:$AJ$21,MATCH(F$17,角色设定!$AB$9:$AJ$9,0),0)*F22*$L$15/(1+V22/$N$16)</f>
        <v>10028.652162592663</v>
      </c>
      <c r="V22" s="6">
        <f>VLOOKUP($S$13,角色设定!$AB$9:$AJ$21,MATCH(V$17,角色设定!$AB$9:$AJ$9,0),0)*G22*$L$15</f>
        <v>1002.7926562500001</v>
      </c>
      <c r="W22" s="6">
        <f>VLOOKUP($S$13,角色设定!$AB$9:$AJ$21,MATCH(W$17,角色设定!$AB$9:$AJ$9,0),0)*H22</f>
        <v>0.4</v>
      </c>
      <c r="X22" s="6">
        <f>VLOOKUP($S$13,角色设定!$AB$9:$AJ$21,MATCH(X$17,角色设定!$AB$9:$AJ$9,0),0)*I22</f>
        <v>1.5</v>
      </c>
      <c r="Y22" s="6">
        <f>VLOOKUP($S$13,角色设定!$AB$9:$AJ$21,MATCH(Y$17,角色设定!$AB$9:$AJ$9,0),0)*J22</f>
        <v>0.9</v>
      </c>
      <c r="Z22" s="6">
        <f>VLOOKUP($S$13,角色设定!$AB$9:$AJ$21,MATCH(Z$17,角色设定!$AB$9:$AJ$9,0),0)</f>
        <v>0.75</v>
      </c>
      <c r="AA22" s="6"/>
      <c r="AB22" s="6"/>
      <c r="AC22" s="6">
        <f>T22*战斗公式!$E$38*(1+W22*(X22-1))*Y22</f>
        <v>7691.87548828125</v>
      </c>
      <c r="AD22" s="6">
        <f>U22*战斗公式!$E$40*(1+V22*战斗公式!$E$39)</f>
        <v>10129.21875</v>
      </c>
      <c r="AE22" s="21">
        <f t="shared" si="12"/>
        <v>17821.09423828125</v>
      </c>
      <c r="AF22" s="21">
        <f t="shared" si="16"/>
        <v>848.62353515625</v>
      </c>
      <c r="AG22" s="21"/>
      <c r="AH22" s="9">
        <f t="shared" si="13"/>
        <v>85.465283203124997</v>
      </c>
      <c r="AI22" s="9">
        <f t="shared" si="14"/>
        <v>3008.5956487777989</v>
      </c>
      <c r="AJ22" s="9">
        <f t="shared" si="15"/>
        <v>300.83779687499998</v>
      </c>
      <c r="AK22" s="9">
        <f t="shared" si="17"/>
        <v>4.0697753906249972</v>
      </c>
      <c r="AL22" s="9">
        <f t="shared" si="18"/>
        <v>141.91115032856624</v>
      </c>
      <c r="AM22" s="9">
        <f t="shared" si="19"/>
        <v>14.325609374999942</v>
      </c>
    </row>
    <row r="23" spans="1:39" ht="14.25" customHeight="1" x14ac:dyDescent="0.2">
      <c r="C23" s="6"/>
      <c r="D23" s="1">
        <v>6</v>
      </c>
      <c r="E23" s="6">
        <f t="shared" si="7"/>
        <v>12.762815625000002</v>
      </c>
      <c r="F23" s="6">
        <f t="shared" si="3"/>
        <v>127.62815625000002</v>
      </c>
      <c r="G23" s="6">
        <f t="shared" si="3"/>
        <v>14.039097187500001</v>
      </c>
      <c r="H23" s="6">
        <v>0.4</v>
      </c>
      <c r="I23" s="6">
        <v>1.5</v>
      </c>
      <c r="J23" s="6">
        <v>1</v>
      </c>
      <c r="K23" s="25">
        <f t="shared" si="8"/>
        <v>1.0494532552429321</v>
      </c>
      <c r="L23" s="6">
        <f t="shared" si="9"/>
        <v>558.37318359375001</v>
      </c>
      <c r="M23" s="6">
        <f t="shared" si="10"/>
        <v>9472.37403400519</v>
      </c>
      <c r="N23" s="6">
        <f t="shared" si="11"/>
        <v>1052.9322890625001</v>
      </c>
      <c r="O23" s="6">
        <f t="shared" si="4"/>
        <v>0.4</v>
      </c>
      <c r="P23" s="6">
        <f t="shared" si="5"/>
        <v>1.5</v>
      </c>
      <c r="Q23" s="6">
        <f t="shared" si="6"/>
        <v>1</v>
      </c>
      <c r="R23" s="6"/>
      <c r="S23" s="35">
        <v>6</v>
      </c>
      <c r="T23" s="6">
        <f>VLOOKUP($S$13,角色设定!$AB$9:$AJ$21,MATCH(E$17,角色设定!$AB$9:$AJ$9,0),0)*Z23*$L$15*E23/Y23/(1+W23*(X23-1))</f>
        <v>299.12849121093751</v>
      </c>
      <c r="U23" s="6">
        <f>VLOOKUP($S$13,角色设定!$AB$9:$AJ$21,MATCH(F$17,角色设定!$AB$9:$AJ$9,0),0)*F23*$L$15/(1+V23/$N$16)</f>
        <v>10524.860037783546</v>
      </c>
      <c r="V23" s="6">
        <f>VLOOKUP($S$13,角色设定!$AB$9:$AJ$21,MATCH(V$17,角色设定!$AB$9:$AJ$9,0),0)*G23*$L$15</f>
        <v>1052.9322890625001</v>
      </c>
      <c r="W23" s="6">
        <f>VLOOKUP($S$13,角色设定!$AB$9:$AJ$21,MATCH(W$17,角色设定!$AB$9:$AJ$9,0),0)*H23</f>
        <v>0.4</v>
      </c>
      <c r="X23" s="6">
        <f>VLOOKUP($S$13,角色设定!$AB$9:$AJ$21,MATCH(X$17,角色设定!$AB$9:$AJ$9,0),0)*I23</f>
        <v>1.5</v>
      </c>
      <c r="Y23" s="6">
        <f>VLOOKUP($S$13,角色设定!$AB$9:$AJ$21,MATCH(Y$17,角色设定!$AB$9:$AJ$9,0),0)*J23</f>
        <v>0.9</v>
      </c>
      <c r="Z23" s="6">
        <f>VLOOKUP($S$13,角色设定!$AB$9:$AJ$21,MATCH(Z$17,角色设定!$AB$9:$AJ$9,0),0)</f>
        <v>0.75</v>
      </c>
      <c r="AA23" s="6"/>
      <c r="AB23" s="6"/>
      <c r="AC23" s="6">
        <f>T23*战斗公式!$E$38*(1+W23*(X23-1))*Y23</f>
        <v>8076.4692626953129</v>
      </c>
      <c r="AD23" s="6">
        <f>U23*战斗公式!$E$40*(1+V23*战斗公式!$E$39)</f>
        <v>10635.679687500004</v>
      </c>
      <c r="AE23" s="21">
        <f t="shared" si="12"/>
        <v>18712.148950195318</v>
      </c>
      <c r="AF23" s="21">
        <f t="shared" si="16"/>
        <v>891.05471191406832</v>
      </c>
      <c r="AG23" s="21"/>
      <c r="AH23" s="9">
        <f t="shared" si="13"/>
        <v>89.738547363281256</v>
      </c>
      <c r="AI23" s="9">
        <f t="shared" si="14"/>
        <v>3157.4580113350639</v>
      </c>
      <c r="AJ23" s="9">
        <f t="shared" si="15"/>
        <v>315.87968671875001</v>
      </c>
      <c r="AK23" s="9">
        <f t="shared" si="17"/>
        <v>4.2732641601562591</v>
      </c>
      <c r="AL23" s="9">
        <f t="shared" si="18"/>
        <v>148.86236255726499</v>
      </c>
      <c r="AM23" s="9">
        <f t="shared" si="19"/>
        <v>15.041889843750027</v>
      </c>
    </row>
    <row r="24" spans="1:39" ht="14.25" customHeight="1" x14ac:dyDescent="0.2">
      <c r="D24" s="1">
        <v>7</v>
      </c>
      <c r="E24" s="6">
        <f t="shared" si="7"/>
        <v>13.40095640625</v>
      </c>
      <c r="F24" s="6">
        <f t="shared" si="3"/>
        <v>134.0095640625</v>
      </c>
      <c r="G24" s="6">
        <f t="shared" si="3"/>
        <v>14.741052046875</v>
      </c>
      <c r="H24" s="6">
        <v>0.4</v>
      </c>
      <c r="I24" s="6">
        <v>1.5</v>
      </c>
      <c r="J24" s="6">
        <v>1</v>
      </c>
      <c r="K24" s="25">
        <f t="shared" si="8"/>
        <v>1.0494262317098835</v>
      </c>
      <c r="L24" s="6">
        <f t="shared" si="9"/>
        <v>586.29184277343745</v>
      </c>
      <c r="M24" s="6">
        <f t="shared" si="10"/>
        <v>9940.8137648653719</v>
      </c>
      <c r="N24" s="6">
        <f t="shared" si="11"/>
        <v>1105.5789035156249</v>
      </c>
      <c r="O24" s="6">
        <f t="shared" si="4"/>
        <v>0.4</v>
      </c>
      <c r="P24" s="6">
        <f t="shared" si="5"/>
        <v>1.5</v>
      </c>
      <c r="Q24" s="6">
        <f t="shared" si="6"/>
        <v>1</v>
      </c>
      <c r="R24" s="6"/>
      <c r="S24" s="35">
        <v>7</v>
      </c>
      <c r="T24" s="6">
        <f>VLOOKUP($S$13,角色设定!$AB$9:$AJ$21,MATCH(E$17,角色设定!$AB$9:$AJ$9,0),0)*Z24*$L$15*E24/Y24/(1+W24*(X24-1))</f>
        <v>314.08491577148442</v>
      </c>
      <c r="U24" s="6">
        <f>VLOOKUP($S$13,角色设定!$AB$9:$AJ$21,MATCH(F$17,角色设定!$AB$9:$AJ$9,0),0)*F24*$L$15/(1+V24/$N$16)</f>
        <v>11045.348627628193</v>
      </c>
      <c r="V24" s="6">
        <f>VLOOKUP($S$13,角色设定!$AB$9:$AJ$21,MATCH(V$17,角色设定!$AB$9:$AJ$9,0),0)*G24*$L$15</f>
        <v>1105.5789035156249</v>
      </c>
      <c r="W24" s="6">
        <f>VLOOKUP($S$13,角色设定!$AB$9:$AJ$21,MATCH(W$17,角色设定!$AB$9:$AJ$9,0),0)*H24</f>
        <v>0.4</v>
      </c>
      <c r="X24" s="6">
        <f>VLOOKUP($S$13,角色设定!$AB$9:$AJ$21,MATCH(X$17,角色设定!$AB$9:$AJ$9,0),0)*I24</f>
        <v>1.5</v>
      </c>
      <c r="Y24" s="6">
        <f>VLOOKUP($S$13,角色设定!$AB$9:$AJ$21,MATCH(Y$17,角色设定!$AB$9:$AJ$9,0),0)*J24</f>
        <v>0.9</v>
      </c>
      <c r="Z24" s="6">
        <f>VLOOKUP($S$13,角色设定!$AB$9:$AJ$21,MATCH(Z$17,角色设定!$AB$9:$AJ$9,0),0)</f>
        <v>0.75</v>
      </c>
      <c r="AA24" s="6"/>
      <c r="AB24" s="6"/>
      <c r="AC24" s="6">
        <f>T24*战斗公式!$E$38*(1+W24*(X24-1))*Y24</f>
        <v>8480.2927258300788</v>
      </c>
      <c r="AD24" s="6">
        <f>U24*战斗公式!$E$40*(1+V24*战斗公式!$E$39)</f>
        <v>11167.463671875001</v>
      </c>
      <c r="AE24" s="21">
        <f t="shared" si="12"/>
        <v>19647.756397705081</v>
      </c>
      <c r="AF24" s="21">
        <f t="shared" si="16"/>
        <v>935.60744750976301</v>
      </c>
      <c r="AG24" s="21"/>
      <c r="AH24" s="9">
        <f t="shared" si="13"/>
        <v>94.225474731445317</v>
      </c>
      <c r="AI24" s="9">
        <f t="shared" si="14"/>
        <v>3313.6045882884578</v>
      </c>
      <c r="AJ24" s="9">
        <f t="shared" si="15"/>
        <v>331.67367105468747</v>
      </c>
      <c r="AK24" s="9">
        <f t="shared" si="17"/>
        <v>4.4869273681640607</v>
      </c>
      <c r="AL24" s="9">
        <f t="shared" si="18"/>
        <v>156.14657695339383</v>
      </c>
      <c r="AM24" s="9">
        <f t="shared" si="19"/>
        <v>15.793984335937466</v>
      </c>
    </row>
    <row r="25" spans="1:39" ht="14.25" customHeight="1" x14ac:dyDescent="0.2">
      <c r="B25" s="31"/>
      <c r="C25" s="6"/>
      <c r="D25" s="1">
        <v>8</v>
      </c>
      <c r="E25" s="6">
        <f t="shared" si="7"/>
        <v>14.071004226562502</v>
      </c>
      <c r="F25" s="6">
        <f t="shared" si="3"/>
        <v>140.71004226562502</v>
      </c>
      <c r="G25" s="6">
        <f t="shared" si="3"/>
        <v>15.478104649218754</v>
      </c>
      <c r="H25" s="6">
        <v>0.4</v>
      </c>
      <c r="I25" s="6">
        <v>1.5</v>
      </c>
      <c r="J25" s="6">
        <v>1</v>
      </c>
      <c r="K25" s="25">
        <f t="shared" si="8"/>
        <v>1.0493978887677098</v>
      </c>
      <c r="L25" s="6">
        <f t="shared" si="9"/>
        <v>615.60643491210942</v>
      </c>
      <c r="M25" s="6">
        <f t="shared" si="10"/>
        <v>10432.150729392408</v>
      </c>
      <c r="N25" s="6">
        <f t="shared" si="11"/>
        <v>1160.8578486914066</v>
      </c>
      <c r="O25" s="6">
        <f t="shared" si="4"/>
        <v>0.4</v>
      </c>
      <c r="P25" s="6">
        <f t="shared" si="5"/>
        <v>1.5</v>
      </c>
      <c r="Q25" s="6">
        <f t="shared" si="6"/>
        <v>1</v>
      </c>
      <c r="R25" s="6"/>
      <c r="S25" s="35">
        <v>8</v>
      </c>
      <c r="T25" s="6">
        <f>VLOOKUP($S$13,角色设定!$AB$9:$AJ$21,MATCH(E$17,角色设定!$AB$9:$AJ$9,0),0)*Z25*$L$15*E25/Y25/(1+W25*(X25-1))</f>
        <v>329.78916156005869</v>
      </c>
      <c r="U25" s="6">
        <f>VLOOKUP($S$13,角色设定!$AB$9:$AJ$21,MATCH(F$17,角色设定!$AB$9:$AJ$9,0),0)*F25*$L$15/(1+V25/$N$16)</f>
        <v>11591.278588213787</v>
      </c>
      <c r="V25" s="6">
        <f>VLOOKUP($S$13,角色设定!$AB$9:$AJ$21,MATCH(V$17,角色设定!$AB$9:$AJ$9,0),0)*G25*$L$15</f>
        <v>1160.8578486914066</v>
      </c>
      <c r="W25" s="6">
        <f>VLOOKUP($S$13,角色设定!$AB$9:$AJ$21,MATCH(W$17,角色设定!$AB$9:$AJ$9,0),0)*H25</f>
        <v>0.4</v>
      </c>
      <c r="X25" s="6">
        <f>VLOOKUP($S$13,角色设定!$AB$9:$AJ$21,MATCH(X$17,角色设定!$AB$9:$AJ$9,0),0)*I25</f>
        <v>1.5</v>
      </c>
      <c r="Y25" s="6">
        <f>VLOOKUP($S$13,角色设定!$AB$9:$AJ$21,MATCH(Y$17,角色设定!$AB$9:$AJ$9,0),0)*J25</f>
        <v>0.9</v>
      </c>
      <c r="Z25" s="6">
        <f>VLOOKUP($S$13,角色设定!$AB$9:$AJ$21,MATCH(Z$17,角色设定!$AB$9:$AJ$9,0),0)</f>
        <v>0.75</v>
      </c>
      <c r="AA25" s="6"/>
      <c r="AB25" s="6"/>
      <c r="AC25" s="6">
        <f>T25*战斗公式!$E$38*(1+W25*(X25-1))*Y25</f>
        <v>8904.3073621215863</v>
      </c>
      <c r="AD25" s="6">
        <f>U25*战斗公式!$E$40*(1+V25*战斗公式!$E$39)</f>
        <v>11725.836855468751</v>
      </c>
      <c r="AE25" s="21">
        <f t="shared" si="12"/>
        <v>20630.144217590336</v>
      </c>
      <c r="AF25" s="21">
        <f t="shared" si="16"/>
        <v>982.38781988525443</v>
      </c>
      <c r="AG25" s="21"/>
      <c r="AH25" s="9">
        <f t="shared" si="13"/>
        <v>98.936748468017598</v>
      </c>
      <c r="AI25" s="9">
        <f t="shared" si="14"/>
        <v>3477.3835764641358</v>
      </c>
      <c r="AJ25" s="9">
        <f t="shared" si="15"/>
        <v>348.25735460742197</v>
      </c>
      <c r="AK25" s="9">
        <f t="shared" si="17"/>
        <v>4.7112737365722808</v>
      </c>
      <c r="AL25" s="9">
        <f t="shared" si="18"/>
        <v>163.77898817567802</v>
      </c>
      <c r="AM25" s="9">
        <f t="shared" si="19"/>
        <v>16.583683552734499</v>
      </c>
    </row>
    <row r="26" spans="1:39" ht="14.25" customHeight="1" x14ac:dyDescent="0.2">
      <c r="B26" s="31"/>
      <c r="C26" s="6"/>
      <c r="D26" s="1">
        <v>9</v>
      </c>
      <c r="E26" s="6">
        <f t="shared" si="7"/>
        <v>14.774554437890625</v>
      </c>
      <c r="F26" s="6">
        <f t="shared" si="3"/>
        <v>147.74554437890626</v>
      </c>
      <c r="G26" s="6">
        <f t="shared" si="3"/>
        <v>16.252009881679687</v>
      </c>
      <c r="H26" s="6">
        <v>0.4</v>
      </c>
      <c r="I26" s="6">
        <v>1.5</v>
      </c>
      <c r="J26" s="6">
        <v>1</v>
      </c>
      <c r="K26" s="25">
        <f t="shared" si="8"/>
        <v>1.0493681636418632</v>
      </c>
      <c r="L26" s="6">
        <f t="shared" si="9"/>
        <v>646.38675665771484</v>
      </c>
      <c r="M26" s="6">
        <f t="shared" si="10"/>
        <v>10947.476950730916</v>
      </c>
      <c r="N26" s="6">
        <f t="shared" si="11"/>
        <v>1218.9007411259765</v>
      </c>
      <c r="O26" s="6">
        <f t="shared" si="4"/>
        <v>0.4</v>
      </c>
      <c r="P26" s="6">
        <f t="shared" si="5"/>
        <v>1.5</v>
      </c>
      <c r="Q26" s="6">
        <f t="shared" si="6"/>
        <v>1</v>
      </c>
      <c r="R26" s="6"/>
      <c r="S26" s="35">
        <v>9</v>
      </c>
      <c r="T26" s="6">
        <f>VLOOKUP($S$13,角色设定!$AB$9:$AJ$21,MATCH(E$17,角色设定!$AB$9:$AJ$9,0),0)*Z26*$L$15*E26/Y26/(1+W26*(X26-1))</f>
        <v>346.27861963806157</v>
      </c>
      <c r="U26" s="6">
        <f>VLOOKUP($S$13,角色设定!$AB$9:$AJ$21,MATCH(F$17,角色设定!$AB$9:$AJ$9,0),0)*F26*$L$15/(1+V26/$N$16)</f>
        <v>12163.863278589904</v>
      </c>
      <c r="V26" s="6">
        <f>VLOOKUP($S$13,角色设定!$AB$9:$AJ$21,MATCH(V$17,角色设定!$AB$9:$AJ$9,0),0)*G26*$L$15</f>
        <v>1218.9007411259765</v>
      </c>
      <c r="W26" s="6">
        <f>VLOOKUP($S$13,角色设定!$AB$9:$AJ$21,MATCH(W$17,角色设定!$AB$9:$AJ$9,0),0)*H26</f>
        <v>0.4</v>
      </c>
      <c r="X26" s="6">
        <f>VLOOKUP($S$13,角色设定!$AB$9:$AJ$21,MATCH(X$17,角色设定!$AB$9:$AJ$9,0),0)*I26</f>
        <v>1.5</v>
      </c>
      <c r="Y26" s="6">
        <f>VLOOKUP($S$13,角色设定!$AB$9:$AJ$21,MATCH(Y$17,角色设定!$AB$9:$AJ$9,0),0)*J26</f>
        <v>0.9</v>
      </c>
      <c r="Z26" s="6">
        <f>VLOOKUP($S$13,角色设定!$AB$9:$AJ$21,MATCH(Z$17,角色设定!$AB$9:$AJ$9,0),0)</f>
        <v>0.75</v>
      </c>
      <c r="AA26" s="6"/>
      <c r="AB26" s="6"/>
      <c r="AC26" s="6">
        <f>T26*战斗公式!$E$38*(1+W26*(X26-1))*Y26</f>
        <v>9349.5227302276617</v>
      </c>
      <c r="AD26" s="6">
        <f>U26*战斗公式!$E$40*(1+V26*战斗公式!$E$39)</f>
        <v>12312.128698242188</v>
      </c>
      <c r="AE26" s="21">
        <f t="shared" si="12"/>
        <v>21661.65142846985</v>
      </c>
      <c r="AF26" s="21">
        <f t="shared" si="16"/>
        <v>1031.5072108795139</v>
      </c>
      <c r="AG26" s="21"/>
      <c r="AH26" s="9">
        <f t="shared" si="13"/>
        <v>103.88358589141846</v>
      </c>
      <c r="AI26" s="9">
        <f t="shared" si="14"/>
        <v>3649.1589835769714</v>
      </c>
      <c r="AJ26" s="9">
        <f t="shared" si="15"/>
        <v>365.67022233779295</v>
      </c>
      <c r="AK26" s="9">
        <f t="shared" si="17"/>
        <v>4.946837423400865</v>
      </c>
      <c r="AL26" s="9">
        <f t="shared" si="18"/>
        <v>171.77540711283564</v>
      </c>
      <c r="AM26" s="9">
        <f t="shared" si="19"/>
        <v>17.412867730370976</v>
      </c>
    </row>
    <row r="27" spans="1:39" ht="14.25" customHeight="1" x14ac:dyDescent="0.2">
      <c r="B27" s="31"/>
      <c r="C27" s="6"/>
      <c r="D27" s="1">
        <v>10</v>
      </c>
      <c r="E27" s="6">
        <f t="shared" si="7"/>
        <v>15.513282159785158</v>
      </c>
      <c r="F27" s="6">
        <f t="shared" si="3"/>
        <v>155.13282159785157</v>
      </c>
      <c r="G27" s="6">
        <f t="shared" si="3"/>
        <v>17.064610375763674</v>
      </c>
      <c r="H27" s="6">
        <v>0.4</v>
      </c>
      <c r="I27" s="6">
        <v>1.5</v>
      </c>
      <c r="J27" s="6">
        <v>1</v>
      </c>
      <c r="K27" s="25">
        <f t="shared" si="8"/>
        <v>1.0493369907373147</v>
      </c>
      <c r="L27" s="6">
        <f t="shared" si="9"/>
        <v>678.70609449060055</v>
      </c>
      <c r="M27" s="6">
        <f t="shared" si="10"/>
        <v>11487.933784300127</v>
      </c>
      <c r="N27" s="6">
        <f t="shared" si="11"/>
        <v>1279.8457781822756</v>
      </c>
      <c r="O27" s="6">
        <f t="shared" si="4"/>
        <v>0.4</v>
      </c>
      <c r="P27" s="6">
        <f t="shared" si="5"/>
        <v>1.5</v>
      </c>
      <c r="Q27" s="6">
        <f t="shared" si="6"/>
        <v>1</v>
      </c>
      <c r="R27" s="6"/>
      <c r="S27" s="35">
        <v>10</v>
      </c>
      <c r="T27" s="6">
        <f>VLOOKUP($S$13,角色设定!$AB$9:$AJ$21,MATCH(E$17,角色设定!$AB$9:$AJ$9,0),0)*Z27*$L$15*E27/Y27/(1+W27*(X27-1))</f>
        <v>363.59255061996464</v>
      </c>
      <c r="U27" s="6">
        <f>VLOOKUP($S$13,角色设定!$AB$9:$AJ$21,MATCH(F$17,角色设定!$AB$9:$AJ$9,0),0)*F27*$L$15/(1+V27/$N$16)</f>
        <v>12764.370871444586</v>
      </c>
      <c r="V27" s="6">
        <f>VLOOKUP($S$13,角色设定!$AB$9:$AJ$21,MATCH(V$17,角色设定!$AB$9:$AJ$9,0),0)*G27*$L$15</f>
        <v>1279.8457781822756</v>
      </c>
      <c r="W27" s="6">
        <f>VLOOKUP($S$13,角色设定!$AB$9:$AJ$21,MATCH(W$17,角色设定!$AB$9:$AJ$9,0),0)*H27</f>
        <v>0.4</v>
      </c>
      <c r="X27" s="6">
        <f>VLOOKUP($S$13,角色设定!$AB$9:$AJ$21,MATCH(X$17,角色设定!$AB$9:$AJ$9,0),0)*I27</f>
        <v>1.5</v>
      </c>
      <c r="Y27" s="6">
        <f>VLOOKUP($S$13,角色设定!$AB$9:$AJ$21,MATCH(Y$17,角色设定!$AB$9:$AJ$9,0),0)*J27</f>
        <v>0.9</v>
      </c>
      <c r="Z27" s="6">
        <f>VLOOKUP($S$13,角色设定!$AB$9:$AJ$21,MATCH(Z$17,角色设定!$AB$9:$AJ$9,0),0)</f>
        <v>0.75</v>
      </c>
      <c r="AA27" s="6"/>
      <c r="AB27" s="6"/>
      <c r="AC27" s="6">
        <f>T27*战斗公式!$E$38*(1+W27*(X27-1))*Y27</f>
        <v>9816.9988667390444</v>
      </c>
      <c r="AD27" s="6">
        <f>U27*战斗公式!$E$40*(1+V27*战斗公式!$E$39)</f>
        <v>12927.735133154298</v>
      </c>
      <c r="AE27" s="21">
        <f t="shared" si="12"/>
        <v>22744.733999893342</v>
      </c>
      <c r="AF27" s="21">
        <f t="shared" si="16"/>
        <v>1083.0825714234925</v>
      </c>
      <c r="AG27" s="21"/>
      <c r="AH27" s="9">
        <f t="shared" si="13"/>
        <v>109.07776518598939</v>
      </c>
      <c r="AI27" s="9">
        <f t="shared" si="14"/>
        <v>3829.3112614333754</v>
      </c>
      <c r="AJ27" s="9">
        <f t="shared" si="15"/>
        <v>383.95373345468266</v>
      </c>
      <c r="AK27" s="9">
        <f t="shared" si="17"/>
        <v>5.1941792945709295</v>
      </c>
      <c r="AL27" s="9">
        <f t="shared" si="18"/>
        <v>180.152277856404</v>
      </c>
      <c r="AM27" s="9">
        <f t="shared" si="19"/>
        <v>18.283511116889713</v>
      </c>
    </row>
    <row r="28" spans="1:39" ht="14.25" customHeight="1" x14ac:dyDescent="0.2">
      <c r="B28" s="31"/>
      <c r="C28" s="6"/>
      <c r="D28" s="1">
        <v>11</v>
      </c>
      <c r="E28" s="6">
        <f t="shared" si="7"/>
        <v>16.288946267774417</v>
      </c>
      <c r="F28" s="6">
        <f t="shared" si="3"/>
        <v>162.88946267774415</v>
      </c>
      <c r="G28" s="6">
        <f t="shared" si="3"/>
        <v>17.917840894551858</v>
      </c>
      <c r="H28" s="6">
        <v>0.4</v>
      </c>
      <c r="I28" s="6">
        <v>1.5</v>
      </c>
      <c r="J28" s="6">
        <v>1</v>
      </c>
      <c r="K28" s="25">
        <f t="shared" si="8"/>
        <v>1.0493043015287111</v>
      </c>
      <c r="L28" s="6">
        <f t="shared" si="9"/>
        <v>712.64139921513072</v>
      </c>
      <c r="M28" s="6">
        <f t="shared" si="10"/>
        <v>12054.713867007025</v>
      </c>
      <c r="N28" s="6">
        <f t="shared" si="11"/>
        <v>1343.8380670913893</v>
      </c>
      <c r="O28" s="6">
        <f t="shared" si="4"/>
        <v>0.4</v>
      </c>
      <c r="P28" s="6">
        <f t="shared" si="5"/>
        <v>1.5</v>
      </c>
      <c r="Q28" s="6">
        <f t="shared" si="6"/>
        <v>1</v>
      </c>
      <c r="R28" s="6"/>
      <c r="S28" s="35">
        <v>11</v>
      </c>
      <c r="T28" s="6">
        <f>VLOOKUP($S$13,角色设定!$AB$9:$AJ$21,MATCH(E$17,角色设定!$AB$9:$AJ$9,0),0)*Z28*$L$15*E28/Y28/(1+W28*(X28-1))</f>
        <v>381.77217815096293</v>
      </c>
      <c r="U28" s="6">
        <f>VLOOKUP($S$13,角色设定!$AB$9:$AJ$21,MATCH(F$17,角色设定!$AB$9:$AJ$9,0),0)*F28*$L$15/(1+V28/$N$16)</f>
        <v>13394.126518896695</v>
      </c>
      <c r="V28" s="6">
        <f>VLOOKUP($S$13,角色设定!$AB$9:$AJ$21,MATCH(V$17,角色设定!$AB$9:$AJ$9,0),0)*G28*$L$15</f>
        <v>1343.8380670913893</v>
      </c>
      <c r="W28" s="6">
        <f>VLOOKUP($S$13,角色设定!$AB$9:$AJ$21,MATCH(W$17,角色设定!$AB$9:$AJ$9,0),0)*H28</f>
        <v>0.4</v>
      </c>
      <c r="X28" s="6">
        <f>VLOOKUP($S$13,角色设定!$AB$9:$AJ$21,MATCH(X$17,角色设定!$AB$9:$AJ$9,0),0)*I28</f>
        <v>1.5</v>
      </c>
      <c r="Y28" s="6">
        <f>VLOOKUP($S$13,角色设定!$AB$9:$AJ$21,MATCH(Y$17,角色设定!$AB$9:$AJ$9,0),0)*J28</f>
        <v>0.9</v>
      </c>
      <c r="Z28" s="6">
        <f>VLOOKUP($S$13,角色设定!$AB$9:$AJ$21,MATCH(Z$17,角色设定!$AB$9:$AJ$9,0),0)</f>
        <v>0.75</v>
      </c>
      <c r="AA28" s="6"/>
      <c r="AB28" s="6"/>
      <c r="AC28" s="6">
        <f>T28*战斗公式!$E$38*(1+W28*(X28-1))*Y28</f>
        <v>10307.848810076001</v>
      </c>
      <c r="AD28" s="6">
        <f>U28*战斗公式!$E$40*(1+V28*战斗公式!$E$39)</f>
        <v>13574.121889812013</v>
      </c>
      <c r="AE28" s="21">
        <f t="shared" si="12"/>
        <v>23881.970699888014</v>
      </c>
      <c r="AF28" s="21">
        <f t="shared" si="16"/>
        <v>1137.2366999946717</v>
      </c>
      <c r="AG28" s="21"/>
      <c r="AH28" s="9">
        <f t="shared" si="13"/>
        <v>114.53165344528888</v>
      </c>
      <c r="AI28" s="9">
        <f t="shared" si="14"/>
        <v>4018.2379556690084</v>
      </c>
      <c r="AJ28" s="9">
        <f t="shared" si="15"/>
        <v>403.15142012741677</v>
      </c>
      <c r="AK28" s="9">
        <f t="shared" si="17"/>
        <v>5.4538882592994895</v>
      </c>
      <c r="AL28" s="9">
        <f t="shared" si="18"/>
        <v>188.92669423563302</v>
      </c>
      <c r="AM28" s="9">
        <f t="shared" si="19"/>
        <v>19.197686672734108</v>
      </c>
    </row>
    <row r="29" spans="1:39" ht="14.25" customHeight="1" x14ac:dyDescent="0.2">
      <c r="B29" s="31"/>
      <c r="C29" s="6"/>
      <c r="D29" s="1">
        <v>12</v>
      </c>
      <c r="E29" s="6">
        <f t="shared" si="7"/>
        <v>17.103393581163139</v>
      </c>
      <c r="F29" s="6">
        <f t="shared" si="3"/>
        <v>171.03393581163138</v>
      </c>
      <c r="G29" s="6">
        <f t="shared" si="3"/>
        <v>18.813732939279451</v>
      </c>
      <c r="H29" s="6">
        <v>0.4</v>
      </c>
      <c r="I29" s="6">
        <v>1.5</v>
      </c>
      <c r="J29" s="6">
        <v>1</v>
      </c>
      <c r="K29" s="25">
        <f t="shared" si="8"/>
        <v>1.0492700244480215</v>
      </c>
      <c r="L29" s="6">
        <f t="shared" si="9"/>
        <v>748.27346917588739</v>
      </c>
      <c r="M29" s="6">
        <f t="shared" si="10"/>
        <v>12649.063114348275</v>
      </c>
      <c r="N29" s="6">
        <f t="shared" si="11"/>
        <v>1411.0299704459587</v>
      </c>
      <c r="O29" s="6">
        <f t="shared" si="4"/>
        <v>0.4</v>
      </c>
      <c r="P29" s="6">
        <f t="shared" si="5"/>
        <v>1.5</v>
      </c>
      <c r="Q29" s="6">
        <f t="shared" si="6"/>
        <v>1</v>
      </c>
      <c r="R29" s="6"/>
      <c r="S29" s="35">
        <v>12</v>
      </c>
      <c r="T29" s="6">
        <f>VLOOKUP($S$13,角色设定!$AB$9:$AJ$21,MATCH(E$17,角色设定!$AB$9:$AJ$9,0),0)*Z29*$L$15*E29/Y29/(1+W29*(X29-1))</f>
        <v>400.86078705851111</v>
      </c>
      <c r="U29" s="6">
        <f>VLOOKUP($S$13,角色设定!$AB$9:$AJ$21,MATCH(F$17,角色设定!$AB$9:$AJ$9,0),0)*F29*$L$15/(1+V29/$N$16)</f>
        <v>14054.514571498084</v>
      </c>
      <c r="V29" s="6">
        <f>VLOOKUP($S$13,角色设定!$AB$9:$AJ$21,MATCH(V$17,角色设定!$AB$9:$AJ$9,0),0)*G29*$L$15</f>
        <v>1411.0299704459587</v>
      </c>
      <c r="W29" s="6">
        <f>VLOOKUP($S$13,角色设定!$AB$9:$AJ$21,MATCH(W$17,角色设定!$AB$9:$AJ$9,0),0)*H29</f>
        <v>0.4</v>
      </c>
      <c r="X29" s="6">
        <f>VLOOKUP($S$13,角色设定!$AB$9:$AJ$21,MATCH(X$17,角色设定!$AB$9:$AJ$9,0),0)*I29</f>
        <v>1.5</v>
      </c>
      <c r="Y29" s="6">
        <f>VLOOKUP($S$13,角色设定!$AB$9:$AJ$21,MATCH(Y$17,角色设定!$AB$9:$AJ$9,0),0)*J29</f>
        <v>0.9</v>
      </c>
      <c r="Z29" s="6">
        <f>VLOOKUP($S$13,角色设定!$AB$9:$AJ$21,MATCH(Z$17,角色设定!$AB$9:$AJ$9,0),0)</f>
        <v>0.75</v>
      </c>
      <c r="AA29" s="6"/>
      <c r="AB29" s="6"/>
      <c r="AC29" s="6">
        <f>T29*战斗公式!$E$38*(1+W29*(X29-1))*Y29</f>
        <v>10823.2412505798</v>
      </c>
      <c r="AD29" s="6">
        <f>U29*战斗公式!$E$40*(1+V29*战斗公式!$E$39)</f>
        <v>14252.827984302616</v>
      </c>
      <c r="AE29" s="21">
        <f t="shared" si="12"/>
        <v>25076.069234882416</v>
      </c>
      <c r="AF29" s="21">
        <f t="shared" si="16"/>
        <v>1194.0985349944021</v>
      </c>
      <c r="AG29" s="21"/>
      <c r="AH29" s="9">
        <f t="shared" si="13"/>
        <v>120.25823611755332</v>
      </c>
      <c r="AI29" s="9">
        <f t="shared" si="14"/>
        <v>4216.3543714494253</v>
      </c>
      <c r="AJ29" s="9">
        <f t="shared" si="15"/>
        <v>423.30899113378763</v>
      </c>
      <c r="AK29" s="9">
        <f t="shared" si="17"/>
        <v>5.726582672264442</v>
      </c>
      <c r="AL29" s="9">
        <f t="shared" si="18"/>
        <v>198.1164157804169</v>
      </c>
      <c r="AM29" s="9">
        <f t="shared" si="19"/>
        <v>20.157571006370858</v>
      </c>
    </row>
    <row r="30" spans="1:39" ht="14.25" customHeight="1" x14ac:dyDescent="0.2">
      <c r="B30" s="31"/>
      <c r="C30" s="6"/>
      <c r="D30" s="1">
        <v>13</v>
      </c>
      <c r="E30" s="6">
        <f t="shared" si="7"/>
        <v>17.958563260221293</v>
      </c>
      <c r="F30" s="6">
        <f t="shared" si="3"/>
        <v>179.58563260221291</v>
      </c>
      <c r="G30" s="6">
        <f t="shared" si="3"/>
        <v>19.754419586243422</v>
      </c>
      <c r="H30" s="6">
        <v>0.4</v>
      </c>
      <c r="I30" s="6">
        <v>1.5</v>
      </c>
      <c r="J30" s="6">
        <v>1</v>
      </c>
      <c r="K30" s="25">
        <f t="shared" si="8"/>
        <v>1.0492340847698163</v>
      </c>
      <c r="L30" s="6">
        <f t="shared" si="9"/>
        <v>785.68714263468155</v>
      </c>
      <c r="M30" s="6">
        <f t="shared" si="10"/>
        <v>13272.282763236783</v>
      </c>
      <c r="N30" s="6">
        <f t="shared" si="11"/>
        <v>1481.5814689682566</v>
      </c>
      <c r="O30" s="6">
        <f t="shared" si="4"/>
        <v>0.4</v>
      </c>
      <c r="P30" s="6">
        <f t="shared" si="5"/>
        <v>1.5</v>
      </c>
      <c r="Q30" s="6">
        <f t="shared" si="6"/>
        <v>1</v>
      </c>
      <c r="R30" s="6"/>
      <c r="S30" s="35">
        <v>13</v>
      </c>
      <c r="T30" s="6">
        <f>VLOOKUP($S$13,角色设定!$AB$9:$AJ$21,MATCH(E$17,角色设定!$AB$9:$AJ$9,0),0)*Z30*$L$15*E30/Y30/(1+W30*(X30-1))</f>
        <v>420.90382641143657</v>
      </c>
      <c r="U30" s="6">
        <f>VLOOKUP($S$13,角色设定!$AB$9:$AJ$21,MATCH(F$17,角色设定!$AB$9:$AJ$9,0),0)*F30*$L$15/(1+V30/$N$16)</f>
        <v>14746.980848040872</v>
      </c>
      <c r="V30" s="6">
        <f>VLOOKUP($S$13,角色设定!$AB$9:$AJ$21,MATCH(V$17,角色设定!$AB$9:$AJ$9,0),0)*G30*$L$15</f>
        <v>1481.5814689682566</v>
      </c>
      <c r="W30" s="6">
        <f>VLOOKUP($S$13,角色设定!$AB$9:$AJ$21,MATCH(W$17,角色设定!$AB$9:$AJ$9,0),0)*H30</f>
        <v>0.4</v>
      </c>
      <c r="X30" s="6">
        <f>VLOOKUP($S$13,角色设定!$AB$9:$AJ$21,MATCH(X$17,角色设定!$AB$9:$AJ$9,0),0)*I30</f>
        <v>1.5</v>
      </c>
      <c r="Y30" s="6">
        <f>VLOOKUP($S$13,角色设定!$AB$9:$AJ$21,MATCH(Y$17,角色设定!$AB$9:$AJ$9,0),0)*J30</f>
        <v>0.9</v>
      </c>
      <c r="Z30" s="6">
        <f>VLOOKUP($S$13,角色设定!$AB$9:$AJ$21,MATCH(Z$17,角色设定!$AB$9:$AJ$9,0),0)</f>
        <v>0.75</v>
      </c>
      <c r="AA30" s="6"/>
      <c r="AB30" s="6"/>
      <c r="AC30" s="6">
        <f>T30*战斗公式!$E$38*(1+W30*(X30-1))*Y30</f>
        <v>11364.403313108789</v>
      </c>
      <c r="AD30" s="6">
        <f>U30*战斗公式!$E$40*(1+V30*战斗公式!$E$39)</f>
        <v>14965.469383517744</v>
      </c>
      <c r="AE30" s="21">
        <f t="shared" si="12"/>
        <v>26329.872696626531</v>
      </c>
      <c r="AF30" s="21">
        <f t="shared" si="16"/>
        <v>1253.8034617441153</v>
      </c>
      <c r="AG30" s="21"/>
      <c r="AH30" s="9">
        <f t="shared" si="13"/>
        <v>126.27114792343096</v>
      </c>
      <c r="AI30" s="9">
        <f t="shared" si="14"/>
        <v>4424.0942544122618</v>
      </c>
      <c r="AJ30" s="9">
        <f t="shared" si="15"/>
        <v>444.47444069047697</v>
      </c>
      <c r="AK30" s="9">
        <f t="shared" si="17"/>
        <v>6.0129118058776356</v>
      </c>
      <c r="AL30" s="9">
        <f t="shared" si="18"/>
        <v>207.73988296283642</v>
      </c>
      <c r="AM30" s="9">
        <f t="shared" si="19"/>
        <v>21.165449556689339</v>
      </c>
    </row>
    <row r="31" spans="1:39" ht="14.25" customHeight="1" x14ac:dyDescent="0.2">
      <c r="B31" s="6"/>
      <c r="D31" s="1">
        <v>14</v>
      </c>
      <c r="E31" s="6">
        <f t="shared" si="7"/>
        <v>18.856491423232359</v>
      </c>
      <c r="F31" s="6">
        <f t="shared" si="3"/>
        <v>188.56491423232359</v>
      </c>
      <c r="G31" s="6">
        <f t="shared" si="3"/>
        <v>20.742140565555594</v>
      </c>
      <c r="H31" s="6">
        <v>0.4</v>
      </c>
      <c r="I31" s="6">
        <v>1.5</v>
      </c>
      <c r="J31" s="6">
        <v>1</v>
      </c>
      <c r="K31" s="25">
        <f t="shared" si="8"/>
        <v>1.0491964044943434</v>
      </c>
      <c r="L31" s="6">
        <f t="shared" si="9"/>
        <v>824.97149976641583</v>
      </c>
      <c r="M31" s="6">
        <f t="shared" si="10"/>
        <v>13925.731457890954</v>
      </c>
      <c r="N31" s="6">
        <f t="shared" si="11"/>
        <v>1555.6605424166696</v>
      </c>
      <c r="O31" s="6">
        <f t="shared" si="4"/>
        <v>0.4</v>
      </c>
      <c r="P31" s="6">
        <f t="shared" si="5"/>
        <v>1.5</v>
      </c>
      <c r="Q31" s="6">
        <f t="shared" si="6"/>
        <v>1</v>
      </c>
      <c r="R31" s="6"/>
      <c r="S31" s="35">
        <v>14</v>
      </c>
      <c r="T31" s="6">
        <f>VLOOKUP($S$13,角色设定!$AB$9:$AJ$21,MATCH(E$17,角色设定!$AB$9:$AJ$9,0),0)*Z31*$L$15*E31/Y31/(1+W31*(X31-1))</f>
        <v>441.94901773200849</v>
      </c>
      <c r="U31" s="6">
        <f>VLOOKUP($S$13,角色设定!$AB$9:$AJ$21,MATCH(F$17,角色设定!$AB$9:$AJ$9,0),0)*F31*$L$15/(1+V31/$N$16)</f>
        <v>15473.034953212173</v>
      </c>
      <c r="V31" s="6">
        <f>VLOOKUP($S$13,角色设定!$AB$9:$AJ$21,MATCH(V$17,角色设定!$AB$9:$AJ$9,0),0)*G31*$L$15</f>
        <v>1555.6605424166696</v>
      </c>
      <c r="W31" s="6">
        <f>VLOOKUP($S$13,角色设定!$AB$9:$AJ$21,MATCH(W$17,角色设定!$AB$9:$AJ$9,0),0)*H31</f>
        <v>0.4</v>
      </c>
      <c r="X31" s="6">
        <f>VLOOKUP($S$13,角色设定!$AB$9:$AJ$21,MATCH(X$17,角色设定!$AB$9:$AJ$9,0),0)*I31</f>
        <v>1.5</v>
      </c>
      <c r="Y31" s="6">
        <f>VLOOKUP($S$13,角色设定!$AB$9:$AJ$21,MATCH(Y$17,角色设定!$AB$9:$AJ$9,0),0)*J31</f>
        <v>0.9</v>
      </c>
      <c r="Z31" s="6">
        <f>VLOOKUP($S$13,角色设定!$AB$9:$AJ$21,MATCH(Z$17,角色设定!$AB$9:$AJ$9,0),0)</f>
        <v>0.75</v>
      </c>
      <c r="AA31" s="6"/>
      <c r="AB31" s="6"/>
      <c r="AC31" s="6">
        <f>T31*战斗公式!$E$38*(1+W31*(X31-1))*Y31</f>
        <v>11932.62347876423</v>
      </c>
      <c r="AD31" s="6">
        <f>U31*战斗公式!$E$40*(1+V31*战斗公式!$E$39)</f>
        <v>15713.742852693635</v>
      </c>
      <c r="AE31" s="21">
        <f t="shared" si="12"/>
        <v>27646.366331457866</v>
      </c>
      <c r="AF31" s="21">
        <f t="shared" si="16"/>
        <v>1316.4936348313349</v>
      </c>
      <c r="AG31" s="21"/>
      <c r="AH31" s="9">
        <f t="shared" si="13"/>
        <v>132.58470531960253</v>
      </c>
      <c r="AI31" s="9">
        <f t="shared" si="14"/>
        <v>4641.9104859636518</v>
      </c>
      <c r="AJ31" s="9">
        <f t="shared" si="15"/>
        <v>466.69816272500088</v>
      </c>
      <c r="AK31" s="9">
        <f t="shared" si="17"/>
        <v>6.313557396171575</v>
      </c>
      <c r="AL31" s="9">
        <f t="shared" si="18"/>
        <v>217.81623155139005</v>
      </c>
      <c r="AM31" s="9">
        <f t="shared" si="19"/>
        <v>22.223722034523917</v>
      </c>
    </row>
    <row r="32" spans="1:39" ht="14.25" customHeight="1" x14ac:dyDescent="0.2">
      <c r="B32" s="6"/>
      <c r="D32" s="1">
        <v>15</v>
      </c>
      <c r="E32" s="6">
        <f t="shared" si="7"/>
        <v>19.799315994393972</v>
      </c>
      <c r="F32" s="6">
        <f t="shared" si="3"/>
        <v>197.99315994393973</v>
      </c>
      <c r="G32" s="6">
        <f t="shared" si="3"/>
        <v>21.779247593833372</v>
      </c>
      <c r="H32" s="6">
        <v>0.4</v>
      </c>
      <c r="I32" s="6">
        <v>1.5</v>
      </c>
      <c r="J32" s="6">
        <v>1</v>
      </c>
      <c r="K32" s="25">
        <f t="shared" si="8"/>
        <v>1.0491569022286411</v>
      </c>
      <c r="L32" s="6">
        <f t="shared" si="9"/>
        <v>866.22007475473629</v>
      </c>
      <c r="M32" s="6">
        <f t="shared" si="10"/>
        <v>14610.827375572959</v>
      </c>
      <c r="N32" s="6">
        <f t="shared" si="11"/>
        <v>1633.443569537503</v>
      </c>
      <c r="O32" s="6">
        <f t="shared" si="4"/>
        <v>0.4</v>
      </c>
      <c r="P32" s="6">
        <f t="shared" si="5"/>
        <v>1.5</v>
      </c>
      <c r="Q32" s="6">
        <f t="shared" si="6"/>
        <v>1</v>
      </c>
      <c r="R32" s="6"/>
      <c r="S32" s="35">
        <v>15</v>
      </c>
      <c r="T32" s="6">
        <f>VLOOKUP($S$13,角色设定!$AB$9:$AJ$21,MATCH(E$17,角色设定!$AB$9:$AJ$9,0),0)*Z32*$L$15*E32/Y32/(1+W32*(X32-1))</f>
        <v>464.04646861860869</v>
      </c>
      <c r="U32" s="6">
        <f>VLOOKUP($S$13,角色设定!$AB$9:$AJ$21,MATCH(F$17,角色设定!$AB$9:$AJ$9,0),0)*F32*$L$15/(1+V32/$N$16)</f>
        <v>16234.252639525512</v>
      </c>
      <c r="V32" s="6">
        <f>VLOOKUP($S$13,角色设定!$AB$9:$AJ$21,MATCH(V$17,角色设定!$AB$9:$AJ$9,0),0)*G32*$L$15</f>
        <v>1633.443569537503</v>
      </c>
      <c r="W32" s="6">
        <f>VLOOKUP($S$13,角色设定!$AB$9:$AJ$21,MATCH(W$17,角色设定!$AB$9:$AJ$9,0),0)*H32</f>
        <v>0.4</v>
      </c>
      <c r="X32" s="6">
        <f>VLOOKUP($S$13,角色设定!$AB$9:$AJ$21,MATCH(X$17,角色设定!$AB$9:$AJ$9,0),0)*I32</f>
        <v>1.5</v>
      </c>
      <c r="Y32" s="6">
        <f>VLOOKUP($S$13,角色设定!$AB$9:$AJ$21,MATCH(Y$17,角色设定!$AB$9:$AJ$9,0),0)*J32</f>
        <v>0.9</v>
      </c>
      <c r="Z32" s="6">
        <f>VLOOKUP($S$13,角色设定!$AB$9:$AJ$21,MATCH(Z$17,角色设定!$AB$9:$AJ$9,0),0)</f>
        <v>0.75</v>
      </c>
      <c r="AA32" s="6"/>
      <c r="AB32" s="6"/>
      <c r="AC32" s="6">
        <f>T32*战斗公式!$E$38*(1+W32*(X32-1))*Y32</f>
        <v>12529.254652702435</v>
      </c>
      <c r="AD32" s="6">
        <f>U32*战斗公式!$E$40*(1+V32*战斗公式!$E$39)</f>
        <v>16499.429995328312</v>
      </c>
      <c r="AE32" s="21">
        <f t="shared" si="12"/>
        <v>29028.684648030747</v>
      </c>
      <c r="AF32" s="21">
        <f t="shared" si="16"/>
        <v>1382.3183165728806</v>
      </c>
      <c r="AG32" s="21"/>
      <c r="AH32" s="9">
        <f t="shared" si="13"/>
        <v>139.21394058558261</v>
      </c>
      <c r="AI32" s="9">
        <f t="shared" si="14"/>
        <v>4870.2757918576535</v>
      </c>
      <c r="AJ32" s="9">
        <f t="shared" si="15"/>
        <v>490.03307086125085</v>
      </c>
      <c r="AK32" s="9">
        <f t="shared" si="17"/>
        <v>6.6292352659800713</v>
      </c>
      <c r="AL32" s="9">
        <f t="shared" si="18"/>
        <v>228.36530589400172</v>
      </c>
      <c r="AM32" s="9">
        <f t="shared" si="19"/>
        <v>23.334908136249965</v>
      </c>
    </row>
    <row r="33" spans="4:39" ht="14.25" customHeight="1" x14ac:dyDescent="0.2">
      <c r="D33" s="1">
        <v>16</v>
      </c>
      <c r="E33" s="6">
        <f t="shared" si="7"/>
        <v>20.789281794113677</v>
      </c>
      <c r="F33" s="6">
        <f t="shared" si="3"/>
        <v>207.8928179411368</v>
      </c>
      <c r="G33" s="6">
        <f t="shared" si="3"/>
        <v>22.868209973525047</v>
      </c>
      <c r="H33" s="6">
        <v>0.4</v>
      </c>
      <c r="I33" s="6">
        <v>1.5</v>
      </c>
      <c r="J33" s="6">
        <v>1</v>
      </c>
      <c r="K33" s="25">
        <f t="shared" si="8"/>
        <v>1.049115493065897</v>
      </c>
      <c r="L33" s="6">
        <f t="shared" si="9"/>
        <v>909.53107849247328</v>
      </c>
      <c r="M33" s="6">
        <f t="shared" si="10"/>
        <v>15329.050388353551</v>
      </c>
      <c r="N33" s="6">
        <f t="shared" si="11"/>
        <v>1715.1157480143786</v>
      </c>
      <c r="O33" s="6">
        <f t="shared" si="4"/>
        <v>0.4</v>
      </c>
      <c r="P33" s="6">
        <f t="shared" si="5"/>
        <v>1.5</v>
      </c>
      <c r="Q33" s="6">
        <f t="shared" si="6"/>
        <v>1</v>
      </c>
      <c r="R33" s="6"/>
      <c r="S33" s="35">
        <v>16</v>
      </c>
      <c r="T33" s="6">
        <f>VLOOKUP($S$13,角色设定!$AB$9:$AJ$21,MATCH(E$17,角色设定!$AB$9:$AJ$9,0),0)*Z33*$L$15*E33/Y33/(1+W33*(X33-1))</f>
        <v>487.2487920495393</v>
      </c>
      <c r="U33" s="6">
        <f>VLOOKUP($S$13,角色设定!$AB$9:$AJ$21,MATCH(F$17,角色设定!$AB$9:$AJ$9,0),0)*F33*$L$15/(1+V33/$N$16)</f>
        <v>17032.278209281725</v>
      </c>
      <c r="V33" s="6">
        <f>VLOOKUP($S$13,角色设定!$AB$9:$AJ$21,MATCH(V$17,角色设定!$AB$9:$AJ$9,0),0)*G33*$L$15</f>
        <v>1715.1157480143786</v>
      </c>
      <c r="W33" s="6">
        <f>VLOOKUP($S$13,角色设定!$AB$9:$AJ$21,MATCH(W$17,角色设定!$AB$9:$AJ$9,0),0)*H33</f>
        <v>0.4</v>
      </c>
      <c r="X33" s="6">
        <f>VLOOKUP($S$13,角色设定!$AB$9:$AJ$21,MATCH(X$17,角色设定!$AB$9:$AJ$9,0),0)*I33</f>
        <v>1.5</v>
      </c>
      <c r="Y33" s="6">
        <f>VLOOKUP($S$13,角色设定!$AB$9:$AJ$21,MATCH(Y$17,角色设定!$AB$9:$AJ$9,0),0)*J33</f>
        <v>0.9</v>
      </c>
      <c r="Z33" s="6">
        <f>VLOOKUP($S$13,角色设定!$AB$9:$AJ$21,MATCH(Z$17,角色设定!$AB$9:$AJ$9,0),0)</f>
        <v>0.75</v>
      </c>
      <c r="AA33" s="6"/>
      <c r="AB33" s="6"/>
      <c r="AC33" s="6">
        <f>T33*战斗公式!$E$38*(1+W33*(X33-1))*Y33</f>
        <v>13155.717385337563</v>
      </c>
      <c r="AD33" s="6">
        <f>U33*战斗公式!$E$40*(1+V33*战斗公式!$E$39)</f>
        <v>17324.401495094735</v>
      </c>
      <c r="AE33" s="21">
        <f t="shared" si="12"/>
        <v>30480.118880432296</v>
      </c>
      <c r="AF33" s="21">
        <f t="shared" si="16"/>
        <v>1451.4342324015488</v>
      </c>
      <c r="AG33" s="21"/>
      <c r="AH33" s="9">
        <f t="shared" si="13"/>
        <v>146.17463761486178</v>
      </c>
      <c r="AI33" s="9">
        <f t="shared" si="14"/>
        <v>5109.6834627845174</v>
      </c>
      <c r="AJ33" s="9">
        <f t="shared" si="15"/>
        <v>514.53472440431358</v>
      </c>
      <c r="AK33" s="9">
        <f t="shared" si="17"/>
        <v>6.9606970292791743</v>
      </c>
      <c r="AL33" s="9">
        <f t="shared" si="18"/>
        <v>239.40767092686383</v>
      </c>
      <c r="AM33" s="9">
        <f t="shared" si="19"/>
        <v>24.50165354306273</v>
      </c>
    </row>
    <row r="34" spans="4:39" ht="14.25" customHeight="1" x14ac:dyDescent="0.2">
      <c r="D34" s="1">
        <v>17</v>
      </c>
      <c r="E34" s="6">
        <f t="shared" si="7"/>
        <v>21.828745883819359</v>
      </c>
      <c r="F34" s="6">
        <f t="shared" si="7"/>
        <v>218.2874588381936</v>
      </c>
      <c r="G34" s="6">
        <f t="shared" si="7"/>
        <v>24.011620472201297</v>
      </c>
      <c r="H34" s="6">
        <v>0.4</v>
      </c>
      <c r="I34" s="6">
        <v>1.5</v>
      </c>
      <c r="J34" s="6">
        <v>1</v>
      </c>
      <c r="K34" s="25">
        <f t="shared" si="8"/>
        <v>1.0490720884633808</v>
      </c>
      <c r="L34" s="6">
        <f t="shared" si="9"/>
        <v>955.00763241709694</v>
      </c>
      <c r="M34" s="6">
        <f t="shared" si="10"/>
        <v>16081.944256409517</v>
      </c>
      <c r="N34" s="6">
        <f t="shared" si="11"/>
        <v>1800.8715354150972</v>
      </c>
      <c r="O34" s="6">
        <f t="shared" si="4"/>
        <v>0.4</v>
      </c>
      <c r="P34" s="6">
        <f t="shared" si="5"/>
        <v>1.5</v>
      </c>
      <c r="Q34" s="6">
        <f t="shared" si="6"/>
        <v>1</v>
      </c>
      <c r="R34" s="6"/>
      <c r="S34" s="35">
        <v>17</v>
      </c>
      <c r="T34" s="6">
        <f>VLOOKUP($S$13,角色设定!$AB$9:$AJ$21,MATCH(E$17,角色设定!$AB$9:$AJ$9,0),0)*Z34*$L$15*E34/Y34/(1+W34*(X34-1))</f>
        <v>511.61123165201627</v>
      </c>
      <c r="U34" s="6">
        <f>VLOOKUP($S$13,角色设定!$AB$9:$AJ$21,MATCH(F$17,角色设定!$AB$9:$AJ$9,0),0)*F34*$L$15/(1+V34/$N$16)</f>
        <v>17868.82695156613</v>
      </c>
      <c r="V34" s="6">
        <f>VLOOKUP($S$13,角色设定!$AB$9:$AJ$21,MATCH(V$17,角色设定!$AB$9:$AJ$9,0),0)*G34*$L$15</f>
        <v>1800.8715354150972</v>
      </c>
      <c r="W34" s="6">
        <f>VLOOKUP($S$13,角色设定!$AB$9:$AJ$21,MATCH(W$17,角色设定!$AB$9:$AJ$9,0),0)*H34</f>
        <v>0.4</v>
      </c>
      <c r="X34" s="6">
        <f>VLOOKUP($S$13,角色设定!$AB$9:$AJ$21,MATCH(X$17,角色设定!$AB$9:$AJ$9,0),0)*I34</f>
        <v>1.5</v>
      </c>
      <c r="Y34" s="6">
        <f>VLOOKUP($S$13,角色设定!$AB$9:$AJ$21,MATCH(Y$17,角色设定!$AB$9:$AJ$9,0),0)*J34</f>
        <v>0.9</v>
      </c>
      <c r="Z34" s="6">
        <f>VLOOKUP($S$13,角色设定!$AB$9:$AJ$21,MATCH(Z$17,角色设定!$AB$9:$AJ$9,0),0)</f>
        <v>0.75</v>
      </c>
      <c r="AA34" s="6"/>
      <c r="AB34" s="6"/>
      <c r="AC34" s="6">
        <f>T34*战斗公式!$E$38*(1+W34*(X34-1))*Y34</f>
        <v>13813.503254604439</v>
      </c>
      <c r="AD34" s="6">
        <f>U34*战斗公式!$E$40*(1+V34*战斗公式!$E$39)</f>
        <v>18190.621569849467</v>
      </c>
      <c r="AE34" s="21">
        <f t="shared" si="12"/>
        <v>32004.124824453906</v>
      </c>
      <c r="AF34" s="21">
        <f t="shared" si="16"/>
        <v>1524.00594402161</v>
      </c>
      <c r="AG34" s="21"/>
      <c r="AH34" s="9">
        <f t="shared" si="13"/>
        <v>153.48336949560488</v>
      </c>
      <c r="AI34" s="9">
        <f t="shared" si="14"/>
        <v>5360.6480854698393</v>
      </c>
      <c r="AJ34" s="9">
        <f t="shared" si="15"/>
        <v>540.26146062452915</v>
      </c>
      <c r="AK34" s="9">
        <f t="shared" si="17"/>
        <v>7.3087318807430961</v>
      </c>
      <c r="AL34" s="9">
        <f t="shared" si="18"/>
        <v>250.96462268532196</v>
      </c>
      <c r="AM34" s="9">
        <f t="shared" si="19"/>
        <v>25.726736220215571</v>
      </c>
    </row>
    <row r="35" spans="4:39" ht="14.25" customHeight="1" x14ac:dyDescent="0.2">
      <c r="D35" s="1">
        <v>18</v>
      </c>
      <c r="E35" s="6">
        <f t="shared" si="7"/>
        <v>22.920183178010333</v>
      </c>
      <c r="F35" s="6">
        <f t="shared" si="7"/>
        <v>229.2018317801033</v>
      </c>
      <c r="G35" s="6">
        <f t="shared" si="7"/>
        <v>25.212201495811364</v>
      </c>
      <c r="H35" s="6">
        <v>0.4</v>
      </c>
      <c r="I35" s="6">
        <v>1.5</v>
      </c>
      <c r="J35" s="6">
        <v>1</v>
      </c>
      <c r="K35" s="25">
        <f t="shared" si="8"/>
        <v>1.0490265961192407</v>
      </c>
      <c r="L35" s="6">
        <f t="shared" si="9"/>
        <v>1002.758014037952</v>
      </c>
      <c r="M35" s="6">
        <f t="shared" si="10"/>
        <v>16871.118847623206</v>
      </c>
      <c r="N35" s="6">
        <f t="shared" si="11"/>
        <v>1890.9151121858522</v>
      </c>
      <c r="O35" s="6">
        <f t="shared" si="4"/>
        <v>0.4</v>
      </c>
      <c r="P35" s="6">
        <f t="shared" si="5"/>
        <v>1.5</v>
      </c>
      <c r="Q35" s="6">
        <f t="shared" si="6"/>
        <v>1</v>
      </c>
      <c r="R35" s="6"/>
      <c r="S35" s="35">
        <v>18</v>
      </c>
      <c r="T35" s="6">
        <f>VLOOKUP($S$13,角色设定!$AB$9:$AJ$21,MATCH(E$17,角色设定!$AB$9:$AJ$9,0),0)*Z35*$L$15*E35/Y35/(1+W35*(X35-1))</f>
        <v>537.19179323461719</v>
      </c>
      <c r="U35" s="6">
        <f>VLOOKUP($S$13,角色设定!$AB$9:$AJ$21,MATCH(F$17,角色设定!$AB$9:$AJ$9,0),0)*F35*$L$15/(1+V35/$N$16)</f>
        <v>18745.687608470231</v>
      </c>
      <c r="V35" s="6">
        <f>VLOOKUP($S$13,角色设定!$AB$9:$AJ$21,MATCH(V$17,角色设定!$AB$9:$AJ$9,0),0)*G35*$L$15</f>
        <v>1890.9151121858522</v>
      </c>
      <c r="W35" s="6">
        <f>VLOOKUP($S$13,角色设定!$AB$9:$AJ$21,MATCH(W$17,角色设定!$AB$9:$AJ$9,0),0)*H35</f>
        <v>0.4</v>
      </c>
      <c r="X35" s="6">
        <f>VLOOKUP($S$13,角色设定!$AB$9:$AJ$21,MATCH(X$17,角色设定!$AB$9:$AJ$9,0),0)*I35</f>
        <v>1.5</v>
      </c>
      <c r="Y35" s="6">
        <f>VLOOKUP($S$13,角色设定!$AB$9:$AJ$21,MATCH(Y$17,角色设定!$AB$9:$AJ$9,0),0)*J35</f>
        <v>0.9</v>
      </c>
      <c r="Z35" s="6">
        <f>VLOOKUP($S$13,角色设定!$AB$9:$AJ$21,MATCH(Z$17,角色设定!$AB$9:$AJ$9,0),0)</f>
        <v>0.75</v>
      </c>
      <c r="AA35" s="6"/>
      <c r="AB35" s="6"/>
      <c r="AC35" s="6">
        <f>T35*战斗公式!$E$38*(1+W35*(X35-1))*Y35</f>
        <v>14504.178417334666</v>
      </c>
      <c r="AD35" s="6">
        <f>U35*战斗公式!$E$40*(1+V35*战斗公式!$E$39)</f>
        <v>19100.152648341944</v>
      </c>
      <c r="AE35" s="21">
        <f t="shared" si="12"/>
        <v>33604.331065676612</v>
      </c>
      <c r="AF35" s="21">
        <f t="shared" si="16"/>
        <v>1600.206241222706</v>
      </c>
      <c r="AG35" s="21"/>
      <c r="AH35" s="9">
        <f t="shared" si="13"/>
        <v>161.15753797038516</v>
      </c>
      <c r="AI35" s="9">
        <f t="shared" si="14"/>
        <v>5623.7062825410694</v>
      </c>
      <c r="AJ35" s="9">
        <f t="shared" si="15"/>
        <v>567.27453365575559</v>
      </c>
      <c r="AK35" s="9">
        <f t="shared" si="17"/>
        <v>7.6741684747802879</v>
      </c>
      <c r="AL35" s="9">
        <f t="shared" si="18"/>
        <v>263.0581970712301</v>
      </c>
      <c r="AM35" s="9">
        <f t="shared" si="19"/>
        <v>27.01307303122644</v>
      </c>
    </row>
    <row r="36" spans="4:39" ht="14.25" customHeight="1" x14ac:dyDescent="0.2">
      <c r="D36" s="1">
        <v>19</v>
      </c>
      <c r="E36" s="6">
        <f t="shared" si="7"/>
        <v>24.066192336910849</v>
      </c>
      <c r="F36" s="6">
        <f t="shared" si="7"/>
        <v>240.66192336910848</v>
      </c>
      <c r="G36" s="6">
        <f t="shared" si="7"/>
        <v>26.472811570601934</v>
      </c>
      <c r="H36" s="6">
        <v>0.4</v>
      </c>
      <c r="I36" s="6">
        <v>1.5</v>
      </c>
      <c r="J36" s="6">
        <v>1</v>
      </c>
      <c r="K36" s="25">
        <f t="shared" si="8"/>
        <v>1.0489789198485842</v>
      </c>
      <c r="L36" s="6">
        <f t="shared" si="9"/>
        <v>1052.8959147398496</v>
      </c>
      <c r="M36" s="6">
        <f t="shared" si="10"/>
        <v>17698.252377445337</v>
      </c>
      <c r="N36" s="6">
        <f t="shared" si="11"/>
        <v>1985.4608677951451</v>
      </c>
      <c r="O36" s="6">
        <f t="shared" si="4"/>
        <v>0.4</v>
      </c>
      <c r="P36" s="6">
        <f t="shared" si="5"/>
        <v>1.5</v>
      </c>
      <c r="Q36" s="6">
        <f t="shared" si="6"/>
        <v>1</v>
      </c>
      <c r="R36" s="6"/>
      <c r="S36" s="35">
        <v>19</v>
      </c>
      <c r="T36" s="6">
        <f>VLOOKUP($S$13,角色设定!$AB$9:$AJ$21,MATCH(E$17,角色设定!$AB$9:$AJ$9,0),0)*Z36*$L$15*E36/Y36/(1+W36*(X36-1))</f>
        <v>564.05138289634806</v>
      </c>
      <c r="U36" s="6">
        <f>VLOOKUP($S$13,角色设定!$AB$9:$AJ$21,MATCH(F$17,角色设定!$AB$9:$AJ$9,0),0)*F36*$L$15/(1+V36/$N$16)</f>
        <v>19664.724863828149</v>
      </c>
      <c r="V36" s="6">
        <f>VLOOKUP($S$13,角色设定!$AB$9:$AJ$21,MATCH(V$17,角色设定!$AB$9:$AJ$9,0),0)*G36*$L$15</f>
        <v>1985.4608677951451</v>
      </c>
      <c r="W36" s="6">
        <f>VLOOKUP($S$13,角色设定!$AB$9:$AJ$21,MATCH(W$17,角色设定!$AB$9:$AJ$9,0),0)*H36</f>
        <v>0.4</v>
      </c>
      <c r="X36" s="6">
        <f>VLOOKUP($S$13,角色设定!$AB$9:$AJ$21,MATCH(X$17,角色设定!$AB$9:$AJ$9,0),0)*I36</f>
        <v>1.5</v>
      </c>
      <c r="Y36" s="6">
        <f>VLOOKUP($S$13,角色设定!$AB$9:$AJ$21,MATCH(Y$17,角色设定!$AB$9:$AJ$9,0),0)*J36</f>
        <v>0.9</v>
      </c>
      <c r="Z36" s="6">
        <f>VLOOKUP($S$13,角色设定!$AB$9:$AJ$21,MATCH(Z$17,角色设定!$AB$9:$AJ$9,0),0)</f>
        <v>0.75</v>
      </c>
      <c r="AA36" s="6"/>
      <c r="AB36" s="6"/>
      <c r="AC36" s="6">
        <f>T36*战斗公式!$E$38*(1+W36*(X36-1))*Y36</f>
        <v>15229.387338201397</v>
      </c>
      <c r="AD36" s="6">
        <f>U36*战斗公式!$E$40*(1+V36*战斗公式!$E$39)</f>
        <v>20055.160280759039</v>
      </c>
      <c r="AE36" s="21">
        <f t="shared" si="12"/>
        <v>35284.547618960438</v>
      </c>
      <c r="AF36" s="21">
        <f t="shared" si="16"/>
        <v>1680.2165532838262</v>
      </c>
      <c r="AG36" s="21"/>
      <c r="AH36" s="9">
        <f t="shared" si="13"/>
        <v>169.21541486890442</v>
      </c>
      <c r="AI36" s="9">
        <f t="shared" si="14"/>
        <v>5899.4174591484443</v>
      </c>
      <c r="AJ36" s="9">
        <f t="shared" si="15"/>
        <v>595.63826033854355</v>
      </c>
      <c r="AK36" s="9">
        <f t="shared" si="17"/>
        <v>8.0578768985192539</v>
      </c>
      <c r="AL36" s="9">
        <f t="shared" si="18"/>
        <v>275.71117660737491</v>
      </c>
      <c r="AM36" s="9">
        <f t="shared" si="19"/>
        <v>28.363726682787956</v>
      </c>
    </row>
    <row r="37" spans="4:39" ht="14.25" customHeight="1" x14ac:dyDescent="0.2">
      <c r="D37" s="1">
        <v>20</v>
      </c>
      <c r="E37" s="6">
        <f t="shared" si="7"/>
        <v>25.269501953756389</v>
      </c>
      <c r="F37" s="6">
        <f t="shared" si="7"/>
        <v>252.69501953756389</v>
      </c>
      <c r="G37" s="6">
        <f t="shared" si="7"/>
        <v>27.79645214913203</v>
      </c>
      <c r="H37" s="6">
        <v>0.4</v>
      </c>
      <c r="I37" s="6">
        <v>1.5</v>
      </c>
      <c r="J37" s="6">
        <v>1</v>
      </c>
      <c r="K37" s="25">
        <f t="shared" si="8"/>
        <v>1.0489289594592515</v>
      </c>
      <c r="L37" s="6">
        <f t="shared" si="9"/>
        <v>1105.5407104768419</v>
      </c>
      <c r="M37" s="6">
        <f t="shared" si="10"/>
        <v>18565.093662100247</v>
      </c>
      <c r="N37" s="6">
        <f t="shared" si="11"/>
        <v>2084.7339111849024</v>
      </c>
      <c r="O37" s="6">
        <f t="shared" si="4"/>
        <v>0.4</v>
      </c>
      <c r="P37" s="6">
        <f t="shared" si="5"/>
        <v>1.5</v>
      </c>
      <c r="Q37" s="6">
        <f t="shared" si="6"/>
        <v>1</v>
      </c>
      <c r="R37" s="6"/>
      <c r="S37" s="35">
        <v>20</v>
      </c>
      <c r="T37" s="6">
        <f>VLOOKUP($S$13,角色设定!$AB$9:$AJ$21,MATCH(E$17,角色设定!$AB$9:$AJ$9,0),0)*Z37*$L$15*E37/Y37/(1+W37*(X37-1))</f>
        <v>592.25395204116546</v>
      </c>
      <c r="U37" s="6">
        <f>VLOOKUP($S$13,角色设定!$AB$9:$AJ$21,MATCH(F$17,角色设定!$AB$9:$AJ$9,0),0)*F37*$L$15/(1+V37/$N$16)</f>
        <v>20627.881846778055</v>
      </c>
      <c r="V37" s="6">
        <f>VLOOKUP($S$13,角色设定!$AB$9:$AJ$21,MATCH(V$17,角色设定!$AB$9:$AJ$9,0),0)*G37*$L$15</f>
        <v>2084.7339111849024</v>
      </c>
      <c r="W37" s="6">
        <f>VLOOKUP($S$13,角色设定!$AB$9:$AJ$21,MATCH(W$17,角色设定!$AB$9:$AJ$9,0),0)*H37</f>
        <v>0.4</v>
      </c>
      <c r="X37" s="6">
        <f>VLOOKUP($S$13,角色设定!$AB$9:$AJ$21,MATCH(X$17,角色设定!$AB$9:$AJ$9,0),0)*I37</f>
        <v>1.5</v>
      </c>
      <c r="Y37" s="6">
        <f>VLOOKUP($S$13,角色设定!$AB$9:$AJ$21,MATCH(Y$17,角色设定!$AB$9:$AJ$9,0),0)*J37</f>
        <v>0.9</v>
      </c>
      <c r="Z37" s="6">
        <f>VLOOKUP($S$13,角色设定!$AB$9:$AJ$21,MATCH(Z$17,角色设定!$AB$9:$AJ$9,0),0)</f>
        <v>0.75</v>
      </c>
      <c r="AA37" s="6"/>
      <c r="AB37" s="6"/>
      <c r="AC37" s="6">
        <f>T37*战斗公式!$E$38*(1+W37*(X37-1))*Y37</f>
        <v>15990.856705111466</v>
      </c>
      <c r="AD37" s="6">
        <f>U37*战斗公式!$E$40*(1+V37*战斗公式!$E$39)</f>
        <v>21057.918294796993</v>
      </c>
      <c r="AE37" s="21">
        <f t="shared" si="12"/>
        <v>37048.774999908463</v>
      </c>
      <c r="AF37" s="21">
        <f t="shared" si="16"/>
        <v>1764.2273809480248</v>
      </c>
      <c r="AG37" s="21"/>
      <c r="AH37" s="9">
        <f t="shared" si="13"/>
        <v>177.67618561234963</v>
      </c>
      <c r="AI37" s="9">
        <f t="shared" si="14"/>
        <v>6188.3645540334164</v>
      </c>
      <c r="AJ37" s="9">
        <f t="shared" si="15"/>
        <v>625.42017335547064</v>
      </c>
      <c r="AK37" s="9">
        <f t="shared" si="17"/>
        <v>8.4607707434452095</v>
      </c>
      <c r="AL37" s="9">
        <f t="shared" si="18"/>
        <v>288.9470948849721</v>
      </c>
      <c r="AM37" s="9">
        <f t="shared" si="19"/>
        <v>29.781913016927092</v>
      </c>
    </row>
    <row r="38" spans="4:39" ht="14.25" customHeight="1" x14ac:dyDescent="0.2">
      <c r="D38" s="1">
        <v>21</v>
      </c>
      <c r="E38" s="6">
        <f t="shared" si="7"/>
        <v>26.53297705144421</v>
      </c>
      <c r="F38" s="6">
        <f t="shared" si="7"/>
        <v>265.32977051444209</v>
      </c>
      <c r="G38" s="6">
        <f t="shared" si="7"/>
        <v>29.186274756588631</v>
      </c>
      <c r="H38" s="6">
        <v>0.4</v>
      </c>
      <c r="I38" s="6">
        <v>1.5</v>
      </c>
      <c r="J38" s="6">
        <v>1</v>
      </c>
      <c r="K38" s="25">
        <f t="shared" si="8"/>
        <v>1.0488766106277743</v>
      </c>
      <c r="L38" s="6">
        <f t="shared" si="9"/>
        <v>1160.8177460006841</v>
      </c>
      <c r="M38" s="6">
        <f t="shared" si="10"/>
        <v>19473.464377250355</v>
      </c>
      <c r="N38" s="6">
        <f t="shared" si="11"/>
        <v>2188.9706067441475</v>
      </c>
      <c r="O38" s="6">
        <f t="shared" si="4"/>
        <v>0.4</v>
      </c>
      <c r="P38" s="6">
        <f t="shared" si="5"/>
        <v>1.5</v>
      </c>
      <c r="Q38" s="6">
        <f t="shared" si="6"/>
        <v>1</v>
      </c>
      <c r="R38" s="6"/>
      <c r="S38" s="35">
        <v>21</v>
      </c>
      <c r="T38" s="6">
        <f>VLOOKUP($S$13,角色设定!$AB$9:$AJ$21,MATCH(E$17,角色设定!$AB$9:$AJ$9,0),0)*Z38*$L$15*E38/Y38/(1+W38*(X38-1))</f>
        <v>621.8666496432237</v>
      </c>
      <c r="U38" s="6">
        <f>VLOOKUP($S$13,角色设定!$AB$9:$AJ$21,MATCH(F$17,角色设定!$AB$9:$AJ$9,0),0)*F38*$L$15/(1+V38/$N$16)</f>
        <v>21637.182641389285</v>
      </c>
      <c r="V38" s="6">
        <f>VLOOKUP($S$13,角色设定!$AB$9:$AJ$21,MATCH(V$17,角色设定!$AB$9:$AJ$9,0),0)*G38*$L$15</f>
        <v>2188.9706067441475</v>
      </c>
      <c r="W38" s="6">
        <f>VLOOKUP($S$13,角色设定!$AB$9:$AJ$21,MATCH(W$17,角色设定!$AB$9:$AJ$9,0),0)*H38</f>
        <v>0.4</v>
      </c>
      <c r="X38" s="6">
        <f>VLOOKUP($S$13,角色设定!$AB$9:$AJ$21,MATCH(X$17,角色设定!$AB$9:$AJ$9,0),0)*I38</f>
        <v>1.5</v>
      </c>
      <c r="Y38" s="6">
        <f>VLOOKUP($S$13,角色设定!$AB$9:$AJ$21,MATCH(Y$17,角色设定!$AB$9:$AJ$9,0),0)*J38</f>
        <v>0.9</v>
      </c>
      <c r="Z38" s="6">
        <f>VLOOKUP($S$13,角色设定!$AB$9:$AJ$21,MATCH(Z$17,角色设定!$AB$9:$AJ$9,0),0)</f>
        <v>0.75</v>
      </c>
      <c r="AA38" s="6"/>
      <c r="AB38" s="6"/>
      <c r="AC38" s="6">
        <f>T38*战斗公式!$E$38*(1+W38*(X38-1))*Y38</f>
        <v>16790.399540367041</v>
      </c>
      <c r="AD38" s="6">
        <f>U38*战斗公式!$E$40*(1+V38*战斗公式!$E$39)</f>
        <v>22110.814209536842</v>
      </c>
      <c r="AE38" s="21">
        <f t="shared" si="12"/>
        <v>38901.21374990388</v>
      </c>
      <c r="AF38" s="21">
        <f t="shared" si="16"/>
        <v>1852.4387499954173</v>
      </c>
      <c r="AG38" s="21"/>
      <c r="AH38" s="9">
        <f t="shared" si="13"/>
        <v>186.5599948929671</v>
      </c>
      <c r="AI38" s="9">
        <f t="shared" si="14"/>
        <v>6491.1547924167853</v>
      </c>
      <c r="AJ38" s="9">
        <f t="shared" si="15"/>
        <v>656.69118202324421</v>
      </c>
      <c r="AK38" s="9">
        <f t="shared" si="17"/>
        <v>8.88380928061747</v>
      </c>
      <c r="AL38" s="9">
        <f t="shared" si="18"/>
        <v>302.79023838336889</v>
      </c>
      <c r="AM38" s="9">
        <f t="shared" si="19"/>
        <v>31.271008667773572</v>
      </c>
    </row>
    <row r="39" spans="4:39" ht="14.25" customHeight="1" x14ac:dyDescent="0.2">
      <c r="D39" s="1">
        <v>22</v>
      </c>
      <c r="E39" s="6">
        <f t="shared" si="7"/>
        <v>27.859625904016418</v>
      </c>
      <c r="F39" s="6">
        <f t="shared" si="7"/>
        <v>278.59625904016417</v>
      </c>
      <c r="G39" s="6">
        <f t="shared" si="7"/>
        <v>30.64558849441806</v>
      </c>
      <c r="H39" s="6">
        <v>0.4</v>
      </c>
      <c r="I39" s="6">
        <v>1.5</v>
      </c>
      <c r="J39" s="6">
        <v>1</v>
      </c>
      <c r="K39" s="25">
        <f t="shared" si="8"/>
        <v>1.048821764776092</v>
      </c>
      <c r="L39" s="6">
        <f t="shared" si="9"/>
        <v>1218.8586333007183</v>
      </c>
      <c r="M39" s="6">
        <f t="shared" si="10"/>
        <v>20425.261313191055</v>
      </c>
      <c r="N39" s="6">
        <f t="shared" si="11"/>
        <v>2298.4191370813546</v>
      </c>
      <c r="O39" s="6">
        <f t="shared" si="4"/>
        <v>0.4</v>
      </c>
      <c r="P39" s="6">
        <f t="shared" si="5"/>
        <v>1.5</v>
      </c>
      <c r="Q39" s="6">
        <f t="shared" si="6"/>
        <v>1</v>
      </c>
      <c r="R39" s="6"/>
      <c r="S39" s="35">
        <v>22</v>
      </c>
      <c r="T39" s="6">
        <f>VLOOKUP($S$13,角色设定!$AB$9:$AJ$21,MATCH(E$17,角色设定!$AB$9:$AJ$9,0),0)*Z39*$L$15*E39/Y39/(1+W39*(X39-1))</f>
        <v>652.95998212538484</v>
      </c>
      <c r="U39" s="6">
        <f>VLOOKUP($S$13,角色设定!$AB$9:$AJ$21,MATCH(F$17,角色设定!$AB$9:$AJ$9,0),0)*F39*$L$15/(1+V39/$N$16)</f>
        <v>22694.734792434509</v>
      </c>
      <c r="V39" s="6">
        <f>VLOOKUP($S$13,角色设定!$AB$9:$AJ$21,MATCH(V$17,角色设定!$AB$9:$AJ$9,0),0)*G39*$L$15</f>
        <v>2298.4191370813546</v>
      </c>
      <c r="W39" s="6">
        <f>VLOOKUP($S$13,角色设定!$AB$9:$AJ$21,MATCH(W$17,角色设定!$AB$9:$AJ$9,0),0)*H39</f>
        <v>0.4</v>
      </c>
      <c r="X39" s="6">
        <f>VLOOKUP($S$13,角色设定!$AB$9:$AJ$21,MATCH(X$17,角色设定!$AB$9:$AJ$9,0),0)*I39</f>
        <v>1.5</v>
      </c>
      <c r="Y39" s="6">
        <f>VLOOKUP($S$13,角色设定!$AB$9:$AJ$21,MATCH(Y$17,角色设定!$AB$9:$AJ$9,0),0)*J39</f>
        <v>0.9</v>
      </c>
      <c r="Z39" s="6">
        <f>VLOOKUP($S$13,角色设定!$AB$9:$AJ$21,MATCH(Z$17,角色设定!$AB$9:$AJ$9,0),0)</f>
        <v>0.75</v>
      </c>
      <c r="AA39" s="6"/>
      <c r="AB39" s="6"/>
      <c r="AC39" s="6">
        <f>T39*战斗公式!$E$38*(1+W39*(X39-1))*Y39</f>
        <v>17629.919517385391</v>
      </c>
      <c r="AD39" s="6">
        <f>U39*战斗公式!$E$40*(1+V39*战斗公式!$E$39)</f>
        <v>23216.354920013684</v>
      </c>
      <c r="AE39" s="21">
        <f t="shared" si="12"/>
        <v>40846.274437399072</v>
      </c>
      <c r="AF39" s="21">
        <f t="shared" si="16"/>
        <v>1945.0606874951918</v>
      </c>
      <c r="AG39" s="21"/>
      <c r="AH39" s="9">
        <f t="shared" si="13"/>
        <v>195.88799463761544</v>
      </c>
      <c r="AI39" s="9">
        <f t="shared" si="14"/>
        <v>6808.4204377303522</v>
      </c>
      <c r="AJ39" s="9">
        <f t="shared" si="15"/>
        <v>689.52574112440641</v>
      </c>
      <c r="AK39" s="9">
        <f t="shared" si="17"/>
        <v>9.3279997446483378</v>
      </c>
      <c r="AL39" s="9">
        <f t="shared" si="18"/>
        <v>317.26564531356689</v>
      </c>
      <c r="AM39" s="9">
        <f t="shared" si="19"/>
        <v>32.834559101162199</v>
      </c>
    </row>
    <row r="40" spans="4:39" ht="14.25" customHeight="1" x14ac:dyDescent="0.2">
      <c r="D40" s="1">
        <v>23</v>
      </c>
      <c r="E40" s="6">
        <f t="shared" si="7"/>
        <v>29.252607199217238</v>
      </c>
      <c r="F40" s="6">
        <f t="shared" si="7"/>
        <v>292.52607199217238</v>
      </c>
      <c r="G40" s="6">
        <f t="shared" si="7"/>
        <v>32.177867919138961</v>
      </c>
      <c r="H40" s="6">
        <v>0.4</v>
      </c>
      <c r="I40" s="6">
        <v>1.5</v>
      </c>
      <c r="J40" s="6">
        <v>1</v>
      </c>
      <c r="K40" s="25">
        <f t="shared" si="8"/>
        <v>1.0487643089496179</v>
      </c>
      <c r="L40" s="6">
        <f t="shared" si="9"/>
        <v>1279.8015649657543</v>
      </c>
      <c r="M40" s="6">
        <f t="shared" si="10"/>
        <v>21422.458616513879</v>
      </c>
      <c r="N40" s="6">
        <f t="shared" si="11"/>
        <v>2413.3400939354219</v>
      </c>
      <c r="O40" s="6">
        <f t="shared" si="4"/>
        <v>0.4</v>
      </c>
      <c r="P40" s="6">
        <f t="shared" si="5"/>
        <v>1.5</v>
      </c>
      <c r="Q40" s="6">
        <f t="shared" si="6"/>
        <v>1</v>
      </c>
      <c r="R40" s="6"/>
      <c r="S40" s="35">
        <v>23</v>
      </c>
      <c r="T40" s="6">
        <f>VLOOKUP($S$13,角色设定!$AB$9:$AJ$21,MATCH(E$17,角色设定!$AB$9:$AJ$9,0),0)*Z40*$L$15*E40/Y40/(1+W40*(X40-1))</f>
        <v>685.60798123165398</v>
      </c>
      <c r="U40" s="6">
        <f>VLOOKUP($S$13,角色设定!$AB$9:$AJ$21,MATCH(F$17,角色设定!$AB$9:$AJ$9,0),0)*F40*$L$15/(1+V40/$N$16)</f>
        <v>23802.731796126529</v>
      </c>
      <c r="V40" s="6">
        <f>VLOOKUP($S$13,角色设定!$AB$9:$AJ$21,MATCH(V$17,角色设定!$AB$9:$AJ$9,0),0)*G40*$L$15</f>
        <v>2413.3400939354219</v>
      </c>
      <c r="W40" s="6">
        <f>VLOOKUP($S$13,角色设定!$AB$9:$AJ$21,MATCH(W$17,角色设定!$AB$9:$AJ$9,0),0)*H40</f>
        <v>0.4</v>
      </c>
      <c r="X40" s="6">
        <f>VLOOKUP($S$13,角色设定!$AB$9:$AJ$21,MATCH(X$17,角色设定!$AB$9:$AJ$9,0),0)*I40</f>
        <v>1.5</v>
      </c>
      <c r="Y40" s="6">
        <f>VLOOKUP($S$13,角色设定!$AB$9:$AJ$21,MATCH(Y$17,角色设定!$AB$9:$AJ$9,0),0)*J40</f>
        <v>0.9</v>
      </c>
      <c r="Z40" s="6">
        <f>VLOOKUP($S$13,角色设定!$AB$9:$AJ$21,MATCH(Z$17,角色设定!$AB$9:$AJ$9,0),0)</f>
        <v>0.75</v>
      </c>
      <c r="AA40" s="6"/>
      <c r="AB40" s="6"/>
      <c r="AC40" s="6">
        <f>T40*战斗公式!$E$38*(1+W40*(X40-1))*Y40</f>
        <v>18511.415493254655</v>
      </c>
      <c r="AD40" s="6">
        <f>U40*战斗公式!$E$40*(1+V40*战斗公式!$E$39)</f>
        <v>24377.172666014361</v>
      </c>
      <c r="AE40" s="21">
        <f t="shared" si="12"/>
        <v>42888.588159269013</v>
      </c>
      <c r="AF40" s="21">
        <f t="shared" si="16"/>
        <v>2042.3137218699412</v>
      </c>
      <c r="AG40" s="21"/>
      <c r="AH40" s="9">
        <f t="shared" si="13"/>
        <v>205.68239436949619</v>
      </c>
      <c r="AI40" s="9">
        <f t="shared" si="14"/>
        <v>7140.8195388379581</v>
      </c>
      <c r="AJ40" s="9">
        <f t="shared" si="15"/>
        <v>724.00202818062655</v>
      </c>
      <c r="AK40" s="9">
        <f t="shared" si="17"/>
        <v>9.794399731880759</v>
      </c>
      <c r="AL40" s="9">
        <f t="shared" si="18"/>
        <v>332.39910110760593</v>
      </c>
      <c r="AM40" s="9">
        <f t="shared" si="19"/>
        <v>34.476287056220144</v>
      </c>
    </row>
    <row r="41" spans="4:39" ht="14.25" customHeight="1" x14ac:dyDescent="0.2">
      <c r="D41" s="1">
        <v>24</v>
      </c>
      <c r="E41" s="6">
        <f t="shared" si="7"/>
        <v>30.715237559178107</v>
      </c>
      <c r="F41" s="6">
        <f t="shared" si="7"/>
        <v>307.15237559178104</v>
      </c>
      <c r="G41" s="6">
        <f t="shared" si="7"/>
        <v>33.786761315095916</v>
      </c>
      <c r="H41" s="6">
        <v>0.4</v>
      </c>
      <c r="I41" s="6">
        <v>1.5</v>
      </c>
      <c r="J41" s="6">
        <v>1</v>
      </c>
      <c r="K41" s="25">
        <f t="shared" si="8"/>
        <v>1.0487041256973766</v>
      </c>
      <c r="L41" s="6">
        <f t="shared" si="9"/>
        <v>1343.7916432140421</v>
      </c>
      <c r="M41" s="6">
        <f t="shared" si="10"/>
        <v>22467.110006949966</v>
      </c>
      <c r="N41" s="6">
        <f t="shared" si="11"/>
        <v>2534.0070986321939</v>
      </c>
      <c r="O41" s="6">
        <f t="shared" si="4"/>
        <v>0.4</v>
      </c>
      <c r="P41" s="6">
        <f t="shared" si="5"/>
        <v>1.5</v>
      </c>
      <c r="Q41" s="6">
        <f t="shared" si="6"/>
        <v>1</v>
      </c>
      <c r="R41" s="6"/>
      <c r="S41" s="35">
        <v>24</v>
      </c>
      <c r="T41" s="6">
        <f>VLOOKUP($S$13,角色设定!$AB$9:$AJ$21,MATCH(E$17,角色设定!$AB$9:$AJ$9,0),0)*Z41*$L$15*E41/Y41/(1+W41*(X41-1))</f>
        <v>719.88838029323688</v>
      </c>
      <c r="U41" s="6">
        <f>VLOOKUP($S$13,角色设定!$AB$9:$AJ$21,MATCH(F$17,角色设定!$AB$9:$AJ$9,0),0)*F41*$L$15/(1+V41/$N$16)</f>
        <v>24963.455563277737</v>
      </c>
      <c r="V41" s="6">
        <f>VLOOKUP($S$13,角色设定!$AB$9:$AJ$21,MATCH(V$17,角色设定!$AB$9:$AJ$9,0),0)*G41*$L$15</f>
        <v>2534.0070986321939</v>
      </c>
      <c r="W41" s="6">
        <f>VLOOKUP($S$13,角色设定!$AB$9:$AJ$21,MATCH(W$17,角色设定!$AB$9:$AJ$9,0),0)*H41</f>
        <v>0.4</v>
      </c>
      <c r="X41" s="6">
        <f>VLOOKUP($S$13,角色设定!$AB$9:$AJ$21,MATCH(X$17,角色设定!$AB$9:$AJ$9,0),0)*I41</f>
        <v>1.5</v>
      </c>
      <c r="Y41" s="6">
        <f>VLOOKUP($S$13,角色设定!$AB$9:$AJ$21,MATCH(Y$17,角色设定!$AB$9:$AJ$9,0),0)*J41</f>
        <v>0.9</v>
      </c>
      <c r="Z41" s="6">
        <f>VLOOKUP($S$13,角色设定!$AB$9:$AJ$21,MATCH(Z$17,角色设定!$AB$9:$AJ$9,0),0)</f>
        <v>0.75</v>
      </c>
      <c r="AA41" s="6"/>
      <c r="AB41" s="6"/>
      <c r="AC41" s="6">
        <f>T41*战斗公式!$E$38*(1+W41*(X41-1))*Y41</f>
        <v>19436.986267917393</v>
      </c>
      <c r="AD41" s="6">
        <f>U41*战斗公式!$E$40*(1+V41*战斗公式!$E$39)</f>
        <v>25596.031299315087</v>
      </c>
      <c r="AE41" s="21">
        <f t="shared" si="12"/>
        <v>45033.017567232484</v>
      </c>
      <c r="AF41" s="21">
        <f t="shared" si="16"/>
        <v>2144.429407963471</v>
      </c>
      <c r="AG41" s="21"/>
      <c r="AH41" s="9">
        <f t="shared" si="13"/>
        <v>215.96651408797106</v>
      </c>
      <c r="AI41" s="9">
        <f t="shared" si="14"/>
        <v>7489.0366689833209</v>
      </c>
      <c r="AJ41" s="9">
        <f t="shared" si="15"/>
        <v>760.20212958965817</v>
      </c>
      <c r="AK41" s="9">
        <f t="shared" si="17"/>
        <v>10.284119718474869</v>
      </c>
      <c r="AL41" s="9">
        <f t="shared" si="18"/>
        <v>348.21713014536272</v>
      </c>
      <c r="AM41" s="9">
        <f t="shared" si="19"/>
        <v>36.200101409031618</v>
      </c>
    </row>
    <row r="42" spans="4:39" ht="14.25" customHeight="1" x14ac:dyDescent="0.2">
      <c r="D42" s="1">
        <v>25</v>
      </c>
      <c r="E42" s="6">
        <f t="shared" si="7"/>
        <v>32.250999437137004</v>
      </c>
      <c r="F42" s="6">
        <f t="shared" si="7"/>
        <v>322.50999437137006</v>
      </c>
      <c r="G42" s="6">
        <f t="shared" si="7"/>
        <v>35.476099380850705</v>
      </c>
      <c r="H42" s="6">
        <v>0.4</v>
      </c>
      <c r="I42" s="6">
        <v>1.5</v>
      </c>
      <c r="J42" s="6">
        <v>1</v>
      </c>
      <c r="K42" s="25">
        <f t="shared" si="8"/>
        <v>1.048641092954965</v>
      </c>
      <c r="L42" s="6">
        <f t="shared" si="9"/>
        <v>1410.9812253747439</v>
      </c>
      <c r="M42" s="6">
        <f t="shared" si="10"/>
        <v>23561.350956785245</v>
      </c>
      <c r="N42" s="6">
        <f t="shared" si="11"/>
        <v>2660.707453563803</v>
      </c>
      <c r="O42" s="6">
        <f t="shared" si="4"/>
        <v>0.4</v>
      </c>
      <c r="P42" s="6">
        <f t="shared" si="5"/>
        <v>1.5</v>
      </c>
      <c r="Q42" s="6">
        <f t="shared" si="6"/>
        <v>1</v>
      </c>
      <c r="R42" s="6"/>
      <c r="S42" s="35">
        <v>25</v>
      </c>
      <c r="T42" s="6">
        <f>VLOOKUP($S$13,角色设定!$AB$9:$AJ$21,MATCH(E$17,角色设定!$AB$9:$AJ$9,0),0)*Z42*$L$15*E42/Y42/(1+W42*(X42-1))</f>
        <v>755.88279930789861</v>
      </c>
      <c r="U42" s="6">
        <f>VLOOKUP($S$13,角色设定!$AB$9:$AJ$21,MATCH(F$17,角色设定!$AB$9:$AJ$9,0),0)*F42*$L$15/(1+V42/$N$16)</f>
        <v>26179.278840872499</v>
      </c>
      <c r="V42" s="6">
        <f>VLOOKUP($S$13,角色设定!$AB$9:$AJ$21,MATCH(V$17,角色设定!$AB$9:$AJ$9,0),0)*G42*$L$15</f>
        <v>2660.707453563803</v>
      </c>
      <c r="W42" s="6">
        <f>VLOOKUP($S$13,角色设定!$AB$9:$AJ$21,MATCH(W$17,角色设定!$AB$9:$AJ$9,0),0)*H42</f>
        <v>0.4</v>
      </c>
      <c r="X42" s="6">
        <f>VLOOKUP($S$13,角色设定!$AB$9:$AJ$21,MATCH(X$17,角色设定!$AB$9:$AJ$9,0),0)*I42</f>
        <v>1.5</v>
      </c>
      <c r="Y42" s="6">
        <f>VLOOKUP($S$13,角色设定!$AB$9:$AJ$21,MATCH(Y$17,角色设定!$AB$9:$AJ$9,0),0)*J42</f>
        <v>0.9</v>
      </c>
      <c r="Z42" s="6">
        <f>VLOOKUP($S$13,角色设定!$AB$9:$AJ$21,MATCH(Z$17,角色设定!$AB$9:$AJ$9,0),0)</f>
        <v>0.75</v>
      </c>
      <c r="AA42" s="6"/>
      <c r="AB42" s="6"/>
      <c r="AC42" s="6">
        <f>T42*战斗公式!$E$38*(1+W42*(X42-1))*Y42</f>
        <v>20408.835581313266</v>
      </c>
      <c r="AD42" s="6">
        <f>U42*战斗公式!$E$40*(1+V42*战斗公式!$E$39)</f>
        <v>26875.832864280841</v>
      </c>
      <c r="AE42" s="21">
        <f t="shared" si="12"/>
        <v>47284.668445594107</v>
      </c>
      <c r="AF42" s="21">
        <f t="shared" si="16"/>
        <v>2251.6508783616227</v>
      </c>
      <c r="AG42" s="21"/>
      <c r="AH42" s="9">
        <f t="shared" si="13"/>
        <v>226.76483979236957</v>
      </c>
      <c r="AI42" s="9">
        <f t="shared" si="14"/>
        <v>7853.783652261749</v>
      </c>
      <c r="AJ42" s="9">
        <f t="shared" si="15"/>
        <v>798.21223606914089</v>
      </c>
      <c r="AK42" s="9">
        <f t="shared" si="17"/>
        <v>10.798325704398508</v>
      </c>
      <c r="AL42" s="9">
        <f t="shared" si="18"/>
        <v>364.74698327842816</v>
      </c>
      <c r="AM42" s="9">
        <f t="shared" si="19"/>
        <v>38.010106479482715</v>
      </c>
    </row>
    <row r="43" spans="4:39" ht="14.25" customHeight="1" x14ac:dyDescent="0.2">
      <c r="D43" s="1">
        <v>26</v>
      </c>
      <c r="E43" s="6">
        <f t="shared" si="7"/>
        <v>33.863549408993862</v>
      </c>
      <c r="F43" s="6">
        <f t="shared" si="7"/>
        <v>338.63549408993856</v>
      </c>
      <c r="G43" s="6">
        <f t="shared" si="7"/>
        <v>37.249904349893242</v>
      </c>
      <c r="H43" s="6">
        <v>0.4</v>
      </c>
      <c r="I43" s="6">
        <v>1.5</v>
      </c>
      <c r="J43" s="6">
        <v>1</v>
      </c>
      <c r="K43" s="25">
        <f t="shared" si="8"/>
        <v>1.0485750839311976</v>
      </c>
      <c r="L43" s="6">
        <f t="shared" si="9"/>
        <v>1481.5302866434815</v>
      </c>
      <c r="M43" s="6">
        <f t="shared" si="10"/>
        <v>24707.400818818787</v>
      </c>
      <c r="N43" s="6">
        <f t="shared" si="11"/>
        <v>2793.742826241993</v>
      </c>
      <c r="O43" s="6">
        <f t="shared" si="4"/>
        <v>0.4</v>
      </c>
      <c r="P43" s="6">
        <f t="shared" si="5"/>
        <v>1.5</v>
      </c>
      <c r="Q43" s="6">
        <f t="shared" si="6"/>
        <v>1</v>
      </c>
      <c r="R43" s="6"/>
      <c r="S43" s="35">
        <v>26</v>
      </c>
      <c r="T43" s="6">
        <f>VLOOKUP($S$13,角色设定!$AB$9:$AJ$21,MATCH(E$17,角色设定!$AB$9:$AJ$9,0),0)*Z43*$L$15*E43/Y43/(1+W43*(X43-1))</f>
        <v>793.67693927329356</v>
      </c>
      <c r="U43" s="6">
        <f>VLOOKUP($S$13,角色设定!$AB$9:$AJ$21,MATCH(F$17,角色设定!$AB$9:$AJ$9,0),0)*F43*$L$15/(1+V43/$N$16)</f>
        <v>27452.667576465323</v>
      </c>
      <c r="V43" s="6">
        <f>VLOOKUP($S$13,角色设定!$AB$9:$AJ$21,MATCH(V$17,角色设定!$AB$9:$AJ$9,0),0)*G43*$L$15</f>
        <v>2793.742826241993</v>
      </c>
      <c r="W43" s="6">
        <f>VLOOKUP($S$13,角色设定!$AB$9:$AJ$21,MATCH(W$17,角色设定!$AB$9:$AJ$9,0),0)*H43</f>
        <v>0.4</v>
      </c>
      <c r="X43" s="6">
        <f>VLOOKUP($S$13,角色设定!$AB$9:$AJ$21,MATCH(X$17,角色设定!$AB$9:$AJ$9,0),0)*I43</f>
        <v>1.5</v>
      </c>
      <c r="Y43" s="6">
        <f>VLOOKUP($S$13,角色设定!$AB$9:$AJ$21,MATCH(Y$17,角色设定!$AB$9:$AJ$9,0),0)*J43</f>
        <v>0.9</v>
      </c>
      <c r="Z43" s="6">
        <f>VLOOKUP($S$13,角色设定!$AB$9:$AJ$21,MATCH(Z$17,角色设定!$AB$9:$AJ$9,0),0)</f>
        <v>0.75</v>
      </c>
      <c r="AA43" s="6"/>
      <c r="AB43" s="6"/>
      <c r="AC43" s="6">
        <f>T43*战斗公式!$E$38*(1+W43*(X43-1))*Y43</f>
        <v>21429.277360378925</v>
      </c>
      <c r="AD43" s="6">
        <f>U43*战斗公式!$E$40*(1+V43*战斗公式!$E$39)</f>
        <v>28219.624507494882</v>
      </c>
      <c r="AE43" s="21">
        <f t="shared" si="12"/>
        <v>49648.901867873807</v>
      </c>
      <c r="AF43" s="21">
        <f t="shared" si="16"/>
        <v>2364.2334222796999</v>
      </c>
      <c r="AG43" s="21"/>
      <c r="AH43" s="9">
        <f t="shared" si="13"/>
        <v>238.10308178198807</v>
      </c>
      <c r="AI43" s="9">
        <f t="shared" si="14"/>
        <v>8235.8002729395957</v>
      </c>
      <c r="AJ43" s="9">
        <f t="shared" si="15"/>
        <v>838.12284787259784</v>
      </c>
      <c r="AK43" s="9">
        <f t="shared" si="17"/>
        <v>11.338241989618496</v>
      </c>
      <c r="AL43" s="9">
        <f t="shared" si="18"/>
        <v>382.01662067784673</v>
      </c>
      <c r="AM43" s="9">
        <f t="shared" si="19"/>
        <v>39.910611803456959</v>
      </c>
    </row>
    <row r="44" spans="4:39" ht="14.25" customHeight="1" x14ac:dyDescent="0.2">
      <c r="D44" s="1">
        <v>27</v>
      </c>
      <c r="E44" s="6">
        <f t="shared" si="7"/>
        <v>35.556726879443552</v>
      </c>
      <c r="F44" s="6">
        <f t="shared" si="7"/>
        <v>355.56726879443551</v>
      </c>
      <c r="G44" s="6">
        <f t="shared" si="7"/>
        <v>39.112399567387911</v>
      </c>
      <c r="H44" s="6">
        <v>0.4</v>
      </c>
      <c r="I44" s="6">
        <v>1.5</v>
      </c>
      <c r="J44" s="6">
        <v>1</v>
      </c>
      <c r="K44" s="25">
        <f t="shared" si="8"/>
        <v>1.0485059669993877</v>
      </c>
      <c r="L44" s="6">
        <f t="shared" si="9"/>
        <v>1555.6068009756555</v>
      </c>
      <c r="M44" s="6">
        <f t="shared" si="10"/>
        <v>25907.564887314649</v>
      </c>
      <c r="N44" s="6">
        <f t="shared" si="11"/>
        <v>2933.4299675540933</v>
      </c>
      <c r="O44" s="6">
        <f t="shared" si="4"/>
        <v>0.4</v>
      </c>
      <c r="P44" s="6">
        <f t="shared" si="5"/>
        <v>1.5</v>
      </c>
      <c r="Q44" s="6">
        <f t="shared" si="6"/>
        <v>1</v>
      </c>
      <c r="R44" s="6"/>
      <c r="S44" s="35">
        <v>27</v>
      </c>
      <c r="T44" s="6">
        <f>VLOOKUP($S$13,角色设定!$AB$9:$AJ$21,MATCH(E$17,角色设定!$AB$9:$AJ$9,0),0)*Z44*$L$15*E44/Y44/(1+W44*(X44-1))</f>
        <v>833.36078623695835</v>
      </c>
      <c r="U44" s="6">
        <f>VLOOKUP($S$13,角色设定!$AB$9:$AJ$21,MATCH(F$17,角色设定!$AB$9:$AJ$9,0),0)*F44*$L$15/(1+V44/$N$16)</f>
        <v>28786.18320812739</v>
      </c>
      <c r="V44" s="6">
        <f>VLOOKUP($S$13,角色设定!$AB$9:$AJ$21,MATCH(V$17,角色设定!$AB$9:$AJ$9,0),0)*G44*$L$15</f>
        <v>2933.4299675540933</v>
      </c>
      <c r="W44" s="6">
        <f>VLOOKUP($S$13,角色设定!$AB$9:$AJ$21,MATCH(W$17,角色设定!$AB$9:$AJ$9,0),0)*H44</f>
        <v>0.4</v>
      </c>
      <c r="X44" s="6">
        <f>VLOOKUP($S$13,角色设定!$AB$9:$AJ$21,MATCH(X$17,角色设定!$AB$9:$AJ$9,0),0)*I44</f>
        <v>1.5</v>
      </c>
      <c r="Y44" s="6">
        <f>VLOOKUP($S$13,角色设定!$AB$9:$AJ$21,MATCH(Y$17,角色设定!$AB$9:$AJ$9,0),0)*J44</f>
        <v>0.9</v>
      </c>
      <c r="Z44" s="6">
        <f>VLOOKUP($S$13,角色设定!$AB$9:$AJ$21,MATCH(Z$17,角色设定!$AB$9:$AJ$9,0),0)</f>
        <v>0.75</v>
      </c>
      <c r="AA44" s="6"/>
      <c r="AB44" s="6"/>
      <c r="AC44" s="6">
        <f>T44*战斗公式!$E$38*(1+W44*(X44-1))*Y44</f>
        <v>22500.741228397874</v>
      </c>
      <c r="AD44" s="6">
        <f>U44*战斗公式!$E$40*(1+V44*战斗公式!$E$39)</f>
        <v>29630.605732869626</v>
      </c>
      <c r="AE44" s="21">
        <f t="shared" si="12"/>
        <v>52131.346961267496</v>
      </c>
      <c r="AF44" s="21">
        <f t="shared" si="16"/>
        <v>2482.4450933936896</v>
      </c>
      <c r="AG44" s="21"/>
      <c r="AH44" s="9">
        <f t="shared" si="13"/>
        <v>250.00823587108749</v>
      </c>
      <c r="AI44" s="9">
        <f t="shared" si="14"/>
        <v>8635.8549624382158</v>
      </c>
      <c r="AJ44" s="9">
        <f t="shared" si="15"/>
        <v>880.02899026622799</v>
      </c>
      <c r="AK44" s="9">
        <f t="shared" si="17"/>
        <v>11.905154089099426</v>
      </c>
      <c r="AL44" s="9">
        <f t="shared" si="18"/>
        <v>400.05468949862006</v>
      </c>
      <c r="AM44" s="9">
        <f t="shared" si="19"/>
        <v>41.906142393630148</v>
      </c>
    </row>
    <row r="45" spans="4:39" ht="14.25" customHeight="1" x14ac:dyDescent="0.2">
      <c r="D45" s="1">
        <v>28</v>
      </c>
      <c r="E45" s="6">
        <f t="shared" si="7"/>
        <v>37.334563223415735</v>
      </c>
      <c r="F45" s="6">
        <f t="shared" si="7"/>
        <v>373.34563223415734</v>
      </c>
      <c r="G45" s="6">
        <f t="shared" si="7"/>
        <v>41.068019545757309</v>
      </c>
      <c r="H45" s="6">
        <v>0.4</v>
      </c>
      <c r="I45" s="6">
        <v>1.5</v>
      </c>
      <c r="J45" s="6">
        <v>1</v>
      </c>
      <c r="K45" s="25">
        <f t="shared" si="8"/>
        <v>1.0484336055942909</v>
      </c>
      <c r="L45" s="6">
        <f t="shared" si="9"/>
        <v>1633.3871410244383</v>
      </c>
      <c r="M45" s="6">
        <f t="shared" si="10"/>
        <v>27164.236374773231</v>
      </c>
      <c r="N45" s="6">
        <f t="shared" si="11"/>
        <v>3080.101465931798</v>
      </c>
      <c r="O45" s="6">
        <f t="shared" si="4"/>
        <v>0.4</v>
      </c>
      <c r="P45" s="6">
        <f t="shared" si="5"/>
        <v>1.5</v>
      </c>
      <c r="Q45" s="6">
        <f t="shared" si="6"/>
        <v>1</v>
      </c>
      <c r="R45" s="6"/>
      <c r="S45" s="35">
        <v>28</v>
      </c>
      <c r="T45" s="6">
        <f>VLOOKUP($S$13,角色设定!$AB$9:$AJ$21,MATCH(E$17,角色设定!$AB$9:$AJ$9,0),0)*Z45*$L$15*E45/Y45/(1+W45*(X45-1))</f>
        <v>875.02882554880637</v>
      </c>
      <c r="U45" s="6">
        <f>VLOOKUP($S$13,角色设定!$AB$9:$AJ$21,MATCH(F$17,角色设定!$AB$9:$AJ$9,0),0)*F45*$L$15/(1+V45/$N$16)</f>
        <v>30182.484860859146</v>
      </c>
      <c r="V45" s="6">
        <f>VLOOKUP($S$13,角色设定!$AB$9:$AJ$21,MATCH(V$17,角色设定!$AB$9:$AJ$9,0),0)*G45*$L$15</f>
        <v>3080.101465931798</v>
      </c>
      <c r="W45" s="6">
        <f>VLOOKUP($S$13,角色设定!$AB$9:$AJ$21,MATCH(W$17,角色设定!$AB$9:$AJ$9,0),0)*H45</f>
        <v>0.4</v>
      </c>
      <c r="X45" s="6">
        <f>VLOOKUP($S$13,角色设定!$AB$9:$AJ$21,MATCH(X$17,角色设定!$AB$9:$AJ$9,0),0)*I45</f>
        <v>1.5</v>
      </c>
      <c r="Y45" s="6">
        <f>VLOOKUP($S$13,角色设定!$AB$9:$AJ$21,MATCH(Y$17,角色设定!$AB$9:$AJ$9,0),0)*J45</f>
        <v>0.9</v>
      </c>
      <c r="Z45" s="6">
        <f>VLOOKUP($S$13,角色设定!$AB$9:$AJ$21,MATCH(Z$17,角色设定!$AB$9:$AJ$9,0),0)</f>
        <v>0.75</v>
      </c>
      <c r="AA45" s="6"/>
      <c r="AB45" s="6"/>
      <c r="AC45" s="6">
        <f>T45*战斗公式!$E$38*(1+W45*(X45-1))*Y45</f>
        <v>23625.778289817772</v>
      </c>
      <c r="AD45" s="6">
        <f>U45*战斗公式!$E$40*(1+V45*战斗公式!$E$39)</f>
        <v>31112.136019513113</v>
      </c>
      <c r="AE45" s="21">
        <f t="shared" si="12"/>
        <v>54737.914309330881</v>
      </c>
      <c r="AF45" s="21">
        <f t="shared" si="16"/>
        <v>2606.567348063385</v>
      </c>
      <c r="AG45" s="21"/>
      <c r="AH45" s="9">
        <f t="shared" si="13"/>
        <v>262.5086476646419</v>
      </c>
      <c r="AI45" s="9">
        <f t="shared" si="14"/>
        <v>9054.7454582577429</v>
      </c>
      <c r="AJ45" s="9">
        <f t="shared" si="15"/>
        <v>924.03043977953939</v>
      </c>
      <c r="AK45" s="9">
        <f t="shared" si="17"/>
        <v>12.500411793554406</v>
      </c>
      <c r="AL45" s="9">
        <f t="shared" si="18"/>
        <v>418.89049581952713</v>
      </c>
      <c r="AM45" s="9">
        <f t="shared" si="19"/>
        <v>44.0014495133114</v>
      </c>
    </row>
    <row r="46" spans="4:39" ht="14.25" customHeight="1" x14ac:dyDescent="0.2">
      <c r="D46" s="1">
        <v>29</v>
      </c>
      <c r="E46" s="6">
        <f t="shared" si="7"/>
        <v>39.201291384586511</v>
      </c>
      <c r="F46" s="6">
        <f t="shared" si="7"/>
        <v>392.01291384586511</v>
      </c>
      <c r="G46" s="6">
        <f t="shared" si="7"/>
        <v>43.121420523045167</v>
      </c>
      <c r="H46" s="6">
        <v>0.4</v>
      </c>
      <c r="I46" s="6">
        <v>1.5</v>
      </c>
      <c r="J46" s="6">
        <v>1</v>
      </c>
      <c r="K46" s="25">
        <f t="shared" si="8"/>
        <v>1.0483578581158663</v>
      </c>
      <c r="L46" s="6">
        <f t="shared" si="9"/>
        <v>1715.0564980756599</v>
      </c>
      <c r="M46" s="6">
        <f t="shared" si="10"/>
        <v>28479.898285619089</v>
      </c>
      <c r="N46" s="6">
        <f t="shared" si="11"/>
        <v>3234.1065392283876</v>
      </c>
      <c r="O46" s="6">
        <f t="shared" si="4"/>
        <v>0.4</v>
      </c>
      <c r="P46" s="6">
        <f t="shared" si="5"/>
        <v>1.5</v>
      </c>
      <c r="Q46" s="6">
        <f t="shared" si="6"/>
        <v>1</v>
      </c>
      <c r="R46" s="6"/>
      <c r="S46" s="35">
        <v>29</v>
      </c>
      <c r="T46" s="6">
        <f>VLOOKUP($S$13,角色设定!$AB$9:$AJ$21,MATCH(E$17,角色设定!$AB$9:$AJ$9,0),0)*Z46*$L$15*E46/Y46/(1+W46*(X46-1))</f>
        <v>918.78026682624636</v>
      </c>
      <c r="U46" s="6">
        <f>VLOOKUP($S$13,角色设定!$AB$9:$AJ$21,MATCH(F$17,角色设定!$AB$9:$AJ$9,0),0)*F46*$L$15/(1+V46/$N$16)</f>
        <v>31644.331428465652</v>
      </c>
      <c r="V46" s="6">
        <f>VLOOKUP($S$13,角色设定!$AB$9:$AJ$21,MATCH(V$17,角色设定!$AB$9:$AJ$9,0),0)*G46*$L$15</f>
        <v>3234.1065392283876</v>
      </c>
      <c r="W46" s="6">
        <f>VLOOKUP($S$13,角色设定!$AB$9:$AJ$21,MATCH(W$17,角色设定!$AB$9:$AJ$9,0),0)*H46</f>
        <v>0.4</v>
      </c>
      <c r="X46" s="6">
        <f>VLOOKUP($S$13,角色设定!$AB$9:$AJ$21,MATCH(X$17,角色设定!$AB$9:$AJ$9,0),0)*I46</f>
        <v>1.5</v>
      </c>
      <c r="Y46" s="6">
        <f>VLOOKUP($S$13,角色设定!$AB$9:$AJ$21,MATCH(Y$17,角色设定!$AB$9:$AJ$9,0),0)*J46</f>
        <v>0.9</v>
      </c>
      <c r="Z46" s="6">
        <f>VLOOKUP($S$13,角色设定!$AB$9:$AJ$21,MATCH(Z$17,角色设定!$AB$9:$AJ$9,0),0)</f>
        <v>0.75</v>
      </c>
      <c r="AA46" s="6"/>
      <c r="AB46" s="6"/>
      <c r="AC46" s="6">
        <f>T46*战斗公式!$E$38*(1+W46*(X46-1))*Y46</f>
        <v>24807.067204308652</v>
      </c>
      <c r="AD46" s="6">
        <f>U46*战斗公式!$E$40*(1+V46*战斗公式!$E$39)</f>
        <v>32667.742820488766</v>
      </c>
      <c r="AE46" s="21">
        <f t="shared" si="12"/>
        <v>57474.810024797422</v>
      </c>
      <c r="AF46" s="21">
        <f t="shared" si="16"/>
        <v>2736.8957154665404</v>
      </c>
      <c r="AG46" s="21"/>
      <c r="AH46" s="9">
        <f t="shared" si="13"/>
        <v>275.63408004787391</v>
      </c>
      <c r="AI46" s="9">
        <f t="shared" si="14"/>
        <v>9493.2994285396944</v>
      </c>
      <c r="AJ46" s="9">
        <f t="shared" si="15"/>
        <v>970.23196176851627</v>
      </c>
      <c r="AK46" s="9">
        <f t="shared" si="17"/>
        <v>13.12543238323201</v>
      </c>
      <c r="AL46" s="9">
        <f t="shared" si="18"/>
        <v>438.55397028195148</v>
      </c>
      <c r="AM46" s="9">
        <f t="shared" si="19"/>
        <v>46.201521988976879</v>
      </c>
    </row>
    <row r="47" spans="4:39" ht="14.25" customHeight="1" x14ac:dyDescent="0.2">
      <c r="D47" s="1">
        <v>30</v>
      </c>
      <c r="E47" s="6">
        <f t="shared" si="7"/>
        <v>41.16135595381585</v>
      </c>
      <c r="F47" s="6">
        <f t="shared" si="7"/>
        <v>411.61355953815848</v>
      </c>
      <c r="G47" s="6">
        <f t="shared" si="7"/>
        <v>45.277491549197435</v>
      </c>
      <c r="H47" s="6">
        <v>0.4</v>
      </c>
      <c r="I47" s="6">
        <v>1.5</v>
      </c>
      <c r="J47" s="6">
        <v>1</v>
      </c>
      <c r="K47" s="25">
        <f t="shared" si="8"/>
        <v>1.0482785778410861</v>
      </c>
      <c r="L47" s="6">
        <f t="shared" si="9"/>
        <v>1800.8093229794433</v>
      </c>
      <c r="M47" s="6">
        <f t="shared" si="10"/>
        <v>29857.125166069363</v>
      </c>
      <c r="N47" s="6">
        <f t="shared" si="11"/>
        <v>3395.8118661898075</v>
      </c>
      <c r="O47" s="6">
        <f t="shared" si="4"/>
        <v>0.4</v>
      </c>
      <c r="P47" s="6">
        <f t="shared" si="5"/>
        <v>1.5</v>
      </c>
      <c r="Q47" s="6">
        <f t="shared" si="6"/>
        <v>1</v>
      </c>
      <c r="R47" s="6"/>
      <c r="S47" s="35">
        <v>30</v>
      </c>
      <c r="T47" s="6">
        <f>VLOOKUP($S$13,角色设定!$AB$9:$AJ$21,MATCH(E$17,角色设定!$AB$9:$AJ$9,0),0)*Z47*$L$15*E47/Y47/(1+W47*(X47-1))</f>
        <v>964.71928016755896</v>
      </c>
      <c r="U47" s="6">
        <f>VLOOKUP($S$13,角色设定!$AB$9:$AJ$21,MATCH(F$17,角色设定!$AB$9:$AJ$9,0),0)*F47*$L$15/(1+V47/$N$16)</f>
        <v>33174.583517854844</v>
      </c>
      <c r="V47" s="6">
        <f>VLOOKUP($S$13,角色设定!$AB$9:$AJ$21,MATCH(V$17,角色设定!$AB$9:$AJ$9,0),0)*G47*$L$15</f>
        <v>3395.8118661898075</v>
      </c>
      <c r="W47" s="6">
        <f>VLOOKUP($S$13,角色设定!$AB$9:$AJ$21,MATCH(W$17,角色设定!$AB$9:$AJ$9,0),0)*H47</f>
        <v>0.4</v>
      </c>
      <c r="X47" s="6">
        <f>VLOOKUP($S$13,角色设定!$AB$9:$AJ$21,MATCH(X$17,角色设定!$AB$9:$AJ$9,0),0)*I47</f>
        <v>1.5</v>
      </c>
      <c r="Y47" s="6">
        <f>VLOOKUP($S$13,角色设定!$AB$9:$AJ$21,MATCH(Y$17,角色设定!$AB$9:$AJ$9,0),0)*J47</f>
        <v>0.9</v>
      </c>
      <c r="Z47" s="6">
        <f>VLOOKUP($S$13,角色设定!$AB$9:$AJ$21,MATCH(Z$17,角色设定!$AB$9:$AJ$9,0),0)</f>
        <v>0.75</v>
      </c>
      <c r="AA47" s="6"/>
      <c r="AB47" s="6"/>
      <c r="AC47" s="6">
        <f>T47*战斗公式!$E$38*(1+W47*(X47-1))*Y47</f>
        <v>26047.420564524087</v>
      </c>
      <c r="AD47" s="6">
        <f>U47*战斗公式!$E$40*(1+V47*战斗公式!$E$39)</f>
        <v>34301.129961513208</v>
      </c>
      <c r="AE47" s="21">
        <f t="shared" si="12"/>
        <v>60348.550526037296</v>
      </c>
      <c r="AF47" s="21">
        <f t="shared" si="16"/>
        <v>2873.740501239874</v>
      </c>
      <c r="AG47" s="21"/>
      <c r="AH47" s="9">
        <f t="shared" si="13"/>
        <v>289.41578405026769</v>
      </c>
      <c r="AI47" s="9">
        <f t="shared" si="14"/>
        <v>9952.3750553564532</v>
      </c>
      <c r="AJ47" s="9">
        <f t="shared" si="15"/>
        <v>1018.7435598569422</v>
      </c>
      <c r="AK47" s="9">
        <f t="shared" si="17"/>
        <v>13.781704002393781</v>
      </c>
      <c r="AL47" s="9">
        <f t="shared" si="18"/>
        <v>459.07562681675881</v>
      </c>
      <c r="AM47" s="9">
        <f t="shared" si="19"/>
        <v>48.511598088425899</v>
      </c>
    </row>
    <row r="48" spans="4:39" ht="14.25" customHeight="1" x14ac:dyDescent="0.2">
      <c r="D48" s="1">
        <v>31</v>
      </c>
      <c r="E48" s="6">
        <f t="shared" si="7"/>
        <v>43.219423751506625</v>
      </c>
      <c r="F48" s="6">
        <f t="shared" si="7"/>
        <v>432.19423751506622</v>
      </c>
      <c r="G48" s="6">
        <f t="shared" si="7"/>
        <v>47.541366126657287</v>
      </c>
      <c r="H48" s="6">
        <v>0.4</v>
      </c>
      <c r="I48" s="6">
        <v>1.5</v>
      </c>
      <c r="J48" s="6">
        <v>1</v>
      </c>
      <c r="K48" s="25">
        <f t="shared" si="8"/>
        <v>1.0481956128451735</v>
      </c>
      <c r="L48" s="6">
        <f t="shared" si="9"/>
        <v>1890.8497891284146</v>
      </c>
      <c r="M48" s="6">
        <f t="shared" si="10"/>
        <v>31298.584707510498</v>
      </c>
      <c r="N48" s="6">
        <f t="shared" si="11"/>
        <v>3565.6024594992964</v>
      </c>
      <c r="O48" s="6">
        <f t="shared" si="4"/>
        <v>0.4</v>
      </c>
      <c r="P48" s="6">
        <f t="shared" si="5"/>
        <v>1.5</v>
      </c>
      <c r="Q48" s="6">
        <f t="shared" si="6"/>
        <v>1</v>
      </c>
      <c r="R48" s="6"/>
      <c r="S48" s="35">
        <v>31</v>
      </c>
      <c r="T48" s="6">
        <f>VLOOKUP($S$13,角色设定!$AB$9:$AJ$21,MATCH(E$17,角色设定!$AB$9:$AJ$9,0),0)*Z48*$L$15*E48/Y48/(1+W48*(X48-1))</f>
        <v>1012.9552441759364</v>
      </c>
      <c r="U48" s="6">
        <f>VLOOKUP($S$13,角色设定!$AB$9:$AJ$21,MATCH(F$17,角色设定!$AB$9:$AJ$9,0),0)*F48*$L$15/(1+V48/$N$16)</f>
        <v>34776.205230567226</v>
      </c>
      <c r="V48" s="6">
        <f>VLOOKUP($S$13,角色设定!$AB$9:$AJ$21,MATCH(V$17,角色设定!$AB$9:$AJ$9,0),0)*G48*$L$15</f>
        <v>3565.6024594992964</v>
      </c>
      <c r="W48" s="6">
        <f>VLOOKUP($S$13,角色设定!$AB$9:$AJ$21,MATCH(W$17,角色设定!$AB$9:$AJ$9,0),0)*H48</f>
        <v>0.4</v>
      </c>
      <c r="X48" s="6">
        <f>VLOOKUP($S$13,角色设定!$AB$9:$AJ$21,MATCH(X$17,角色设定!$AB$9:$AJ$9,0),0)*I48</f>
        <v>1.5</v>
      </c>
      <c r="Y48" s="6">
        <f>VLOOKUP($S$13,角色设定!$AB$9:$AJ$21,MATCH(Y$17,角色设定!$AB$9:$AJ$9,0),0)*J48</f>
        <v>0.9</v>
      </c>
      <c r="Z48" s="6">
        <f>VLOOKUP($S$13,角色设定!$AB$9:$AJ$21,MATCH(Z$17,角色设定!$AB$9:$AJ$9,0),0)</f>
        <v>0.75</v>
      </c>
      <c r="AA48" s="6"/>
      <c r="AB48" s="6"/>
      <c r="AC48" s="6">
        <f>T48*战斗公式!$E$38*(1+W48*(X48-1))*Y48</f>
        <v>27349.791592750284</v>
      </c>
      <c r="AD48" s="6">
        <f>U48*战斗公式!$E$40*(1+V48*战斗公式!$E$39)</f>
        <v>36016.186459588855</v>
      </c>
      <c r="AE48" s="21">
        <f t="shared" si="12"/>
        <v>63365.978052339138</v>
      </c>
      <c r="AF48" s="21">
        <f t="shared" si="16"/>
        <v>3017.4275263018426</v>
      </c>
      <c r="AG48" s="21"/>
      <c r="AH48" s="9">
        <f t="shared" si="13"/>
        <v>303.88657325278092</v>
      </c>
      <c r="AI48" s="9">
        <f t="shared" si="14"/>
        <v>10432.861569170167</v>
      </c>
      <c r="AJ48" s="9">
        <f t="shared" si="15"/>
        <v>1069.6807378497888</v>
      </c>
      <c r="AK48" s="9">
        <f t="shared" si="17"/>
        <v>14.470789202513231</v>
      </c>
      <c r="AL48" s="9">
        <f t="shared" si="18"/>
        <v>480.48651381371383</v>
      </c>
      <c r="AM48" s="9">
        <f t="shared" si="19"/>
        <v>50.937177992846614</v>
      </c>
    </row>
    <row r="49" spans="4:39" ht="14.25" customHeight="1" x14ac:dyDescent="0.2">
      <c r="D49" s="1">
        <v>32</v>
      </c>
      <c r="E49" s="6">
        <f t="shared" si="7"/>
        <v>45.380394939081974</v>
      </c>
      <c r="F49" s="6">
        <f t="shared" si="7"/>
        <v>453.80394939081975</v>
      </c>
      <c r="G49" s="6">
        <f t="shared" si="7"/>
        <v>49.918434432990168</v>
      </c>
      <c r="H49" s="6">
        <v>0.4</v>
      </c>
      <c r="I49" s="6">
        <v>1.5</v>
      </c>
      <c r="J49" s="6">
        <v>1</v>
      </c>
      <c r="K49" s="25">
        <f t="shared" si="8"/>
        <v>1.0481088059337116</v>
      </c>
      <c r="L49" s="6">
        <f t="shared" si="9"/>
        <v>1985.3922785848363</v>
      </c>
      <c r="M49" s="6">
        <f t="shared" si="10"/>
        <v>32807.039178675543</v>
      </c>
      <c r="N49" s="6">
        <f t="shared" si="11"/>
        <v>3743.8825824742626</v>
      </c>
      <c r="O49" s="6">
        <f t="shared" si="4"/>
        <v>0.4</v>
      </c>
      <c r="P49" s="6">
        <f t="shared" si="5"/>
        <v>1.5</v>
      </c>
      <c r="Q49" s="6">
        <f t="shared" si="6"/>
        <v>1</v>
      </c>
      <c r="R49" s="6"/>
      <c r="S49" s="35">
        <v>32</v>
      </c>
      <c r="T49" s="6">
        <f>VLOOKUP($S$13,角色设定!$AB$9:$AJ$21,MATCH(E$17,角色设定!$AB$9:$AJ$9,0),0)*Z49*$L$15*E49/Y49/(1+W49*(X49-1))</f>
        <v>1063.6030063847338</v>
      </c>
      <c r="U49" s="6">
        <f>VLOOKUP($S$13,角色设定!$AB$9:$AJ$21,MATCH(F$17,角色设定!$AB$9:$AJ$9,0),0)*F49*$L$15/(1+V49/$N$16)</f>
        <v>36452.265754083935</v>
      </c>
      <c r="V49" s="6">
        <f>VLOOKUP($S$13,角色设定!$AB$9:$AJ$21,MATCH(V$17,角色设定!$AB$9:$AJ$9,0),0)*G49*$L$15</f>
        <v>3743.8825824742626</v>
      </c>
      <c r="W49" s="6">
        <f>VLOOKUP($S$13,角色设定!$AB$9:$AJ$21,MATCH(W$17,角色设定!$AB$9:$AJ$9,0),0)*H49</f>
        <v>0.4</v>
      </c>
      <c r="X49" s="6">
        <f>VLOOKUP($S$13,角色设定!$AB$9:$AJ$21,MATCH(X$17,角色设定!$AB$9:$AJ$9,0),0)*I49</f>
        <v>1.5</v>
      </c>
      <c r="Y49" s="6">
        <f>VLOOKUP($S$13,角色设定!$AB$9:$AJ$21,MATCH(Y$17,角色设定!$AB$9:$AJ$9,0),0)*J49</f>
        <v>0.9</v>
      </c>
      <c r="Z49" s="6">
        <f>VLOOKUP($S$13,角色设定!$AB$9:$AJ$21,MATCH(Z$17,角色设定!$AB$9:$AJ$9,0),0)</f>
        <v>0.75</v>
      </c>
      <c r="AA49" s="6"/>
      <c r="AB49" s="6"/>
      <c r="AC49" s="6">
        <f>T49*战斗公式!$E$38*(1+W49*(X49-1))*Y49</f>
        <v>28717.281172387815</v>
      </c>
      <c r="AD49" s="6">
        <f>U49*战斗公式!$E$40*(1+V49*战斗公式!$E$39)</f>
        <v>37816.995782568316</v>
      </c>
      <c r="AE49" s="21">
        <f t="shared" si="12"/>
        <v>66534.276954956134</v>
      </c>
      <c r="AF49" s="21">
        <f t="shared" si="16"/>
        <v>3168.2989026169962</v>
      </c>
      <c r="AG49" s="21"/>
      <c r="AH49" s="9">
        <f t="shared" si="13"/>
        <v>319.08090191542016</v>
      </c>
      <c r="AI49" s="9">
        <f t="shared" si="14"/>
        <v>10935.67972622518</v>
      </c>
      <c r="AJ49" s="9">
        <f t="shared" si="15"/>
        <v>1123.1647747422787</v>
      </c>
      <c r="AK49" s="9">
        <f t="shared" si="17"/>
        <v>15.194328662639236</v>
      </c>
      <c r="AL49" s="9">
        <f t="shared" si="18"/>
        <v>502.81815705501322</v>
      </c>
      <c r="AM49" s="9">
        <f t="shared" si="19"/>
        <v>53.484036892489939</v>
      </c>
    </row>
    <row r="50" spans="4:39" ht="14.25" customHeight="1" x14ac:dyDescent="0.2">
      <c r="D50" s="1">
        <v>33</v>
      </c>
      <c r="E50" s="6">
        <f t="shared" si="7"/>
        <v>47.649414686036067</v>
      </c>
      <c r="F50" s="6">
        <f t="shared" si="7"/>
        <v>476.49414686036067</v>
      </c>
      <c r="G50" s="6">
        <f t="shared" si="7"/>
        <v>52.414356154639677</v>
      </c>
      <c r="H50" s="6">
        <v>0.4</v>
      </c>
      <c r="I50" s="6">
        <v>1.5</v>
      </c>
      <c r="J50" s="6">
        <v>1</v>
      </c>
      <c r="K50" s="25">
        <f t="shared" si="8"/>
        <v>1.0480179945872736</v>
      </c>
      <c r="L50" s="6">
        <f t="shared" ref="L50:L81" si="20">E50*$L$16/J50/(1+H50*(I50-1))*$L$15</f>
        <v>2084.6618925140779</v>
      </c>
      <c r="M50" s="6">
        <f t="shared" ref="M50:M81" si="21">F50/(1+N50/$N$16)*$L$15</f>
        <v>34385.346659782117</v>
      </c>
      <c r="N50" s="6">
        <f t="shared" ref="N50:N81" si="22">G50*$L$15</f>
        <v>3931.0767115979756</v>
      </c>
      <c r="O50" s="6">
        <f t="shared" ref="O50:O81" si="23">H50</f>
        <v>0.4</v>
      </c>
      <c r="P50" s="6">
        <f t="shared" ref="P50:P81" si="24">I50</f>
        <v>1.5</v>
      </c>
      <c r="Q50" s="6">
        <f t="shared" ref="Q50:Q81" si="25">J50</f>
        <v>1</v>
      </c>
      <c r="R50" s="6"/>
      <c r="S50" s="35">
        <v>33</v>
      </c>
      <c r="T50" s="6">
        <f>VLOOKUP($S$13,角色设定!$AB$9:$AJ$21,MATCH(E$17,角色设定!$AB$9:$AJ$9,0),0)*Z50*$L$15*E50/Y50/(1+W50*(X50-1))</f>
        <v>1116.7831567039705</v>
      </c>
      <c r="U50" s="6">
        <f>VLOOKUP($S$13,角色设定!$AB$9:$AJ$21,MATCH(F$17,角色设定!$AB$9:$AJ$9,0),0)*F50*$L$15/(1+V50/$N$16)</f>
        <v>38205.940733091251</v>
      </c>
      <c r="V50" s="6">
        <f>VLOOKUP($S$13,角色设定!$AB$9:$AJ$21,MATCH(V$17,角色设定!$AB$9:$AJ$9,0),0)*G50*$L$15</f>
        <v>3931.0767115979756</v>
      </c>
      <c r="W50" s="6">
        <f>VLOOKUP($S$13,角色设定!$AB$9:$AJ$21,MATCH(W$17,角色设定!$AB$9:$AJ$9,0),0)*H50</f>
        <v>0.4</v>
      </c>
      <c r="X50" s="6">
        <f>VLOOKUP($S$13,角色设定!$AB$9:$AJ$21,MATCH(X$17,角色设定!$AB$9:$AJ$9,0),0)*I50</f>
        <v>1.5</v>
      </c>
      <c r="Y50" s="6">
        <f>VLOOKUP($S$13,角色设定!$AB$9:$AJ$21,MATCH(Y$17,角色设定!$AB$9:$AJ$9,0),0)*J50</f>
        <v>0.9</v>
      </c>
      <c r="Z50" s="6">
        <f>VLOOKUP($S$13,角色设定!$AB$9:$AJ$21,MATCH(Z$17,角色设定!$AB$9:$AJ$9,0),0)</f>
        <v>0.75</v>
      </c>
      <c r="AA50" s="6"/>
      <c r="AB50" s="6"/>
      <c r="AC50" s="6">
        <f>T50*战斗公式!$E$38*(1+W50*(X50-1))*Y50</f>
        <v>30153.145231007202</v>
      </c>
      <c r="AD50" s="6">
        <f>U50*战斗公式!$E$40*(1+V50*战斗公式!$E$39)</f>
        <v>39707.845571696729</v>
      </c>
      <c r="AE50" s="21">
        <f t="shared" si="12"/>
        <v>69860.990802703935</v>
      </c>
      <c r="AF50" s="21">
        <f t="shared" si="16"/>
        <v>3326.7138477478002</v>
      </c>
      <c r="AG50" s="21"/>
      <c r="AH50" s="9">
        <f t="shared" si="13"/>
        <v>335.03494701119115</v>
      </c>
      <c r="AI50" s="9">
        <f t="shared" si="14"/>
        <v>11461.782219927374</v>
      </c>
      <c r="AJ50" s="9">
        <f t="shared" si="15"/>
        <v>1179.3230134793926</v>
      </c>
      <c r="AK50" s="9">
        <f t="shared" si="17"/>
        <v>15.954045095770994</v>
      </c>
      <c r="AL50" s="9">
        <f t="shared" si="18"/>
        <v>526.1024937021939</v>
      </c>
      <c r="AM50" s="9">
        <f t="shared" si="19"/>
        <v>56.158238737113834</v>
      </c>
    </row>
    <row r="51" spans="4:39" ht="14.25" customHeight="1" x14ac:dyDescent="0.2">
      <c r="D51" s="1">
        <v>34</v>
      </c>
      <c r="E51" s="6">
        <f t="shared" ref="E51:G82" si="26">E$15*E$16^($D51-1)</f>
        <v>50.031885420337872</v>
      </c>
      <c r="F51" s="6">
        <f t="shared" si="26"/>
        <v>500.31885420337875</v>
      </c>
      <c r="G51" s="6">
        <f t="shared" si="26"/>
        <v>55.035073962371662</v>
      </c>
      <c r="H51" s="6">
        <v>0.4</v>
      </c>
      <c r="I51" s="6">
        <v>1.5</v>
      </c>
      <c r="J51" s="6">
        <v>1</v>
      </c>
      <c r="K51" s="25">
        <f t="shared" si="8"/>
        <v>1.0479230109202353</v>
      </c>
      <c r="L51" s="6">
        <f t="shared" si="20"/>
        <v>2188.8949871397817</v>
      </c>
      <c r="M51" s="6">
        <f t="shared" si="21"/>
        <v>36036.462049573063</v>
      </c>
      <c r="N51" s="6">
        <f t="shared" si="22"/>
        <v>4127.6305471778751</v>
      </c>
      <c r="O51" s="6">
        <f t="shared" si="23"/>
        <v>0.4</v>
      </c>
      <c r="P51" s="6">
        <f t="shared" si="24"/>
        <v>1.5</v>
      </c>
      <c r="Q51" s="6">
        <f t="shared" si="25"/>
        <v>1</v>
      </c>
      <c r="R51" s="6"/>
      <c r="S51" s="35">
        <v>34</v>
      </c>
      <c r="T51" s="6">
        <f>VLOOKUP($S$13,角色设定!$AB$9:$AJ$21,MATCH(E$17,角色设定!$AB$9:$AJ$9,0),0)*Z51*$L$15*E51/Y51/(1+W51*(X51-1))</f>
        <v>1172.6223145391689</v>
      </c>
      <c r="U51" s="6">
        <f>VLOOKUP($S$13,角色设定!$AB$9:$AJ$21,MATCH(F$17,角色设定!$AB$9:$AJ$9,0),0)*F51*$L$15/(1+V51/$N$16)</f>
        <v>40040.513388414518</v>
      </c>
      <c r="V51" s="6">
        <f>VLOOKUP($S$13,角色设定!$AB$9:$AJ$21,MATCH(V$17,角色设定!$AB$9:$AJ$9,0),0)*G51*$L$15</f>
        <v>4127.6305471778751</v>
      </c>
      <c r="W51" s="6">
        <f>VLOOKUP($S$13,角色设定!$AB$9:$AJ$21,MATCH(W$17,角色设定!$AB$9:$AJ$9,0),0)*H51</f>
        <v>0.4</v>
      </c>
      <c r="X51" s="6">
        <f>VLOOKUP($S$13,角色设定!$AB$9:$AJ$21,MATCH(X$17,角色设定!$AB$9:$AJ$9,0),0)*I51</f>
        <v>1.5</v>
      </c>
      <c r="Y51" s="6">
        <f>VLOOKUP($S$13,角色设定!$AB$9:$AJ$21,MATCH(Y$17,角色设定!$AB$9:$AJ$9,0),0)*J51</f>
        <v>0.9</v>
      </c>
      <c r="Z51" s="6">
        <f>VLOOKUP($S$13,角色设定!$AB$9:$AJ$21,MATCH(Z$17,角色设定!$AB$9:$AJ$9,0),0)</f>
        <v>0.75</v>
      </c>
      <c r="AA51" s="6"/>
      <c r="AB51" s="6"/>
      <c r="AC51" s="6">
        <f>T51*战斗公式!$E$38*(1+W51*(X51-1))*Y51</f>
        <v>31660.802492557559</v>
      </c>
      <c r="AD51" s="6">
        <f>U51*战斗公式!$E$40*(1+V51*战斗公式!$E$39)</f>
        <v>41693.23785028157</v>
      </c>
      <c r="AE51" s="21">
        <f t="shared" si="12"/>
        <v>73354.040342839129</v>
      </c>
      <c r="AF51" s="21">
        <f t="shared" si="16"/>
        <v>3493.0495401351945</v>
      </c>
      <c r="AG51" s="21"/>
      <c r="AH51" s="9">
        <f t="shared" si="13"/>
        <v>351.78669436175068</v>
      </c>
      <c r="AI51" s="9">
        <f t="shared" si="14"/>
        <v>12012.154016524355</v>
      </c>
      <c r="AJ51" s="9">
        <f t="shared" si="15"/>
        <v>1238.2891641533624</v>
      </c>
      <c r="AK51" s="9">
        <f t="shared" si="17"/>
        <v>16.751747350559526</v>
      </c>
      <c r="AL51" s="9">
        <f t="shared" si="18"/>
        <v>550.37179659698086</v>
      </c>
      <c r="AM51" s="9">
        <f t="shared" si="19"/>
        <v>58.966150673969878</v>
      </c>
    </row>
    <row r="52" spans="4:39" ht="14.25" customHeight="1" x14ac:dyDescent="0.2">
      <c r="D52" s="1">
        <v>35</v>
      </c>
      <c r="E52" s="6">
        <f t="shared" si="26"/>
        <v>52.533479691354763</v>
      </c>
      <c r="F52" s="6">
        <f t="shared" si="26"/>
        <v>525.33479691354762</v>
      </c>
      <c r="G52" s="6">
        <f t="shared" si="26"/>
        <v>57.786827660490239</v>
      </c>
      <c r="H52" s="6">
        <v>0.4</v>
      </c>
      <c r="I52" s="6">
        <v>1.5</v>
      </c>
      <c r="J52" s="6">
        <v>1</v>
      </c>
      <c r="K52" s="25">
        <f t="shared" si="8"/>
        <v>1.0478236816556827</v>
      </c>
      <c r="L52" s="6">
        <f t="shared" si="20"/>
        <v>2298.3397364967709</v>
      </c>
      <c r="M52" s="6">
        <f t="shared" si="21"/>
        <v>37763.437813901401</v>
      </c>
      <c r="N52" s="6">
        <f t="shared" si="22"/>
        <v>4334.0120745367676</v>
      </c>
      <c r="O52" s="6">
        <f t="shared" si="23"/>
        <v>0.4</v>
      </c>
      <c r="P52" s="6">
        <f t="shared" si="24"/>
        <v>1.5</v>
      </c>
      <c r="Q52" s="6">
        <f t="shared" si="25"/>
        <v>1</v>
      </c>
      <c r="R52" s="6"/>
      <c r="S52" s="35">
        <v>35</v>
      </c>
      <c r="T52" s="6">
        <f>VLOOKUP($S$13,角色设定!$AB$9:$AJ$21,MATCH(E$17,角色设定!$AB$9:$AJ$9,0),0)*Z52*$L$15*E52/Y52/(1+W52*(X52-1))</f>
        <v>1231.2534302661275</v>
      </c>
      <c r="U52" s="6">
        <f>VLOOKUP($S$13,角色设定!$AB$9:$AJ$21,MATCH(F$17,角色设定!$AB$9:$AJ$9,0),0)*F52*$L$15/(1+V52/$N$16)</f>
        <v>41959.375348779336</v>
      </c>
      <c r="V52" s="6">
        <f>VLOOKUP($S$13,角色设定!$AB$9:$AJ$21,MATCH(V$17,角色设定!$AB$9:$AJ$9,0),0)*G52*$L$15</f>
        <v>4334.0120745367676</v>
      </c>
      <c r="W52" s="6">
        <f>VLOOKUP($S$13,角色设定!$AB$9:$AJ$21,MATCH(W$17,角色设定!$AB$9:$AJ$9,0),0)*H52</f>
        <v>0.4</v>
      </c>
      <c r="X52" s="6">
        <f>VLOOKUP($S$13,角色设定!$AB$9:$AJ$21,MATCH(X$17,角色设定!$AB$9:$AJ$9,0),0)*I52</f>
        <v>1.5</v>
      </c>
      <c r="Y52" s="6">
        <f>VLOOKUP($S$13,角色设定!$AB$9:$AJ$21,MATCH(Y$17,角色设定!$AB$9:$AJ$9,0),0)*J52</f>
        <v>0.9</v>
      </c>
      <c r="Z52" s="6">
        <f>VLOOKUP($S$13,角色设定!$AB$9:$AJ$21,MATCH(Z$17,角色设定!$AB$9:$AJ$9,0),0)</f>
        <v>0.75</v>
      </c>
      <c r="AA52" s="6"/>
      <c r="AB52" s="6"/>
      <c r="AC52" s="6">
        <f>T52*战斗公式!$E$38*(1+W52*(X52-1))*Y52</f>
        <v>33243.842617185437</v>
      </c>
      <c r="AD52" s="6">
        <f>U52*战斗公式!$E$40*(1+V52*战斗公式!$E$39)</f>
        <v>43777.899742795635</v>
      </c>
      <c r="AE52" s="21">
        <f t="shared" si="12"/>
        <v>77021.742359981072</v>
      </c>
      <c r="AF52" s="21">
        <f t="shared" si="16"/>
        <v>3667.7020171419426</v>
      </c>
      <c r="AG52" s="21"/>
      <c r="AH52" s="9">
        <f t="shared" si="13"/>
        <v>369.37602907983825</v>
      </c>
      <c r="AI52" s="9">
        <f t="shared" si="14"/>
        <v>12587.8126046338</v>
      </c>
      <c r="AJ52" s="9">
        <f t="shared" si="15"/>
        <v>1300.2036223610303</v>
      </c>
      <c r="AK52" s="9">
        <f t="shared" si="17"/>
        <v>17.589334718087571</v>
      </c>
      <c r="AL52" s="9">
        <f t="shared" si="18"/>
        <v>575.65858810944519</v>
      </c>
      <c r="AM52" s="9">
        <f t="shared" si="19"/>
        <v>61.914458207667849</v>
      </c>
    </row>
    <row r="53" spans="4:39" ht="14.25" customHeight="1" x14ac:dyDescent="0.2">
      <c r="D53" s="1">
        <v>36</v>
      </c>
      <c r="E53" s="6">
        <f t="shared" si="26"/>
        <v>55.160153675922516</v>
      </c>
      <c r="F53" s="6">
        <f t="shared" si="26"/>
        <v>551.60153675922516</v>
      </c>
      <c r="G53" s="6">
        <f t="shared" si="26"/>
        <v>60.676169043514761</v>
      </c>
      <c r="H53" s="6">
        <v>0.4</v>
      </c>
      <c r="I53" s="6">
        <v>1.5</v>
      </c>
      <c r="J53" s="6">
        <v>1</v>
      </c>
      <c r="K53" s="25">
        <f t="shared" si="8"/>
        <v>1.0477198281183606</v>
      </c>
      <c r="L53" s="6">
        <f t="shared" si="20"/>
        <v>2413.25672332161</v>
      </c>
      <c r="M53" s="6">
        <f t="shared" si="21"/>
        <v>39569.424442137592</v>
      </c>
      <c r="N53" s="6">
        <f t="shared" si="22"/>
        <v>4550.7126782636069</v>
      </c>
      <c r="O53" s="6">
        <f t="shared" si="23"/>
        <v>0.4</v>
      </c>
      <c r="P53" s="6">
        <f t="shared" si="24"/>
        <v>1.5</v>
      </c>
      <c r="Q53" s="6">
        <f t="shared" si="25"/>
        <v>1</v>
      </c>
      <c r="R53" s="6"/>
      <c r="S53" s="35">
        <v>36</v>
      </c>
      <c r="T53" s="6">
        <f>VLOOKUP($S$13,角色设定!$AB$9:$AJ$21,MATCH(E$17,角色设定!$AB$9:$AJ$9,0),0)*Z53*$L$15*E53/Y53/(1+W53*(X53-1))</f>
        <v>1292.8161017794339</v>
      </c>
      <c r="U53" s="6">
        <f>VLOOKUP($S$13,角色设定!$AB$9:$AJ$21,MATCH(F$17,角色设定!$AB$9:$AJ$9,0),0)*F53*$L$15/(1+V53/$N$16)</f>
        <v>43966.027157930657</v>
      </c>
      <c r="V53" s="6">
        <f>VLOOKUP($S$13,角色设定!$AB$9:$AJ$21,MATCH(V$17,角色设定!$AB$9:$AJ$9,0),0)*G53*$L$15</f>
        <v>4550.7126782636069</v>
      </c>
      <c r="W53" s="6">
        <f>VLOOKUP($S$13,角色设定!$AB$9:$AJ$21,MATCH(W$17,角色设定!$AB$9:$AJ$9,0),0)*H53</f>
        <v>0.4</v>
      </c>
      <c r="X53" s="6">
        <f>VLOOKUP($S$13,角色设定!$AB$9:$AJ$21,MATCH(X$17,角色设定!$AB$9:$AJ$9,0),0)*I53</f>
        <v>1.5</v>
      </c>
      <c r="Y53" s="6">
        <f>VLOOKUP($S$13,角色设定!$AB$9:$AJ$21,MATCH(Y$17,角色设定!$AB$9:$AJ$9,0),0)*J53</f>
        <v>0.9</v>
      </c>
      <c r="Z53" s="6">
        <f>VLOOKUP($S$13,角色设定!$AB$9:$AJ$21,MATCH(Z$17,角色设定!$AB$9:$AJ$9,0),0)</f>
        <v>0.75</v>
      </c>
      <c r="AA53" s="6"/>
      <c r="AB53" s="6"/>
      <c r="AC53" s="6">
        <f>T53*战斗公式!$E$38*(1+W53*(X53-1))*Y53</f>
        <v>34906.034748044716</v>
      </c>
      <c r="AD53" s="6">
        <f>U53*战斗公式!$E$40*(1+V53*战斗公式!$E$39)</f>
        <v>45966.794729935435</v>
      </c>
      <c r="AE53" s="21">
        <f t="shared" si="12"/>
        <v>80872.829477980151</v>
      </c>
      <c r="AF53" s="21">
        <f t="shared" si="16"/>
        <v>3851.0871179990791</v>
      </c>
      <c r="AG53" s="21"/>
      <c r="AH53" s="9">
        <f t="shared" si="13"/>
        <v>387.84483053383013</v>
      </c>
      <c r="AI53" s="9">
        <f t="shared" si="14"/>
        <v>13189.808147379197</v>
      </c>
      <c r="AJ53" s="9">
        <f t="shared" si="15"/>
        <v>1365.2138034790821</v>
      </c>
      <c r="AK53" s="9">
        <f t="shared" si="17"/>
        <v>18.468801453991887</v>
      </c>
      <c r="AL53" s="9">
        <f t="shared" si="18"/>
        <v>601.99554274539696</v>
      </c>
      <c r="AM53" s="9">
        <f t="shared" si="19"/>
        <v>65.010181118051833</v>
      </c>
    </row>
    <row r="54" spans="4:39" ht="14.25" customHeight="1" x14ac:dyDescent="0.2">
      <c r="D54" s="1">
        <v>37</v>
      </c>
      <c r="E54" s="6">
        <f t="shared" si="26"/>
        <v>57.918161359718631</v>
      </c>
      <c r="F54" s="6">
        <f t="shared" si="26"/>
        <v>579.18161359718624</v>
      </c>
      <c r="G54" s="6">
        <f t="shared" si="26"/>
        <v>63.709977495690495</v>
      </c>
      <c r="H54" s="6">
        <v>0.4</v>
      </c>
      <c r="I54" s="6">
        <v>1.5</v>
      </c>
      <c r="J54" s="6">
        <v>1</v>
      </c>
      <c r="K54" s="25">
        <f t="shared" si="8"/>
        <v>1.0476112662478134</v>
      </c>
      <c r="L54" s="6">
        <f t="shared" si="20"/>
        <v>2533.9195594876905</v>
      </c>
      <c r="M54" s="6">
        <f t="shared" si="21"/>
        <v>41457.670575258853</v>
      </c>
      <c r="N54" s="6">
        <f t="shared" si="22"/>
        <v>4778.2483121767873</v>
      </c>
      <c r="O54" s="6">
        <f t="shared" si="23"/>
        <v>0.4</v>
      </c>
      <c r="P54" s="6">
        <f t="shared" si="24"/>
        <v>1.5</v>
      </c>
      <c r="Q54" s="6">
        <f t="shared" si="25"/>
        <v>1</v>
      </c>
      <c r="R54" s="6"/>
      <c r="S54" s="35">
        <v>37</v>
      </c>
      <c r="T54" s="6">
        <f>VLOOKUP($S$13,角色设定!$AB$9:$AJ$21,MATCH(E$17,角色设定!$AB$9:$AJ$9,0),0)*Z54*$L$15*E54/Y54/(1+W54*(X54-1))</f>
        <v>1357.4569068684054</v>
      </c>
      <c r="U54" s="6">
        <f>VLOOKUP($S$13,角色设定!$AB$9:$AJ$21,MATCH(F$17,角色设定!$AB$9:$AJ$9,0),0)*F54*$L$15/(1+V54/$N$16)</f>
        <v>46064.078416954282</v>
      </c>
      <c r="V54" s="6">
        <f>VLOOKUP($S$13,角色设定!$AB$9:$AJ$21,MATCH(V$17,角色设定!$AB$9:$AJ$9,0),0)*G54*$L$15</f>
        <v>4778.2483121767873</v>
      </c>
      <c r="W54" s="6">
        <f>VLOOKUP($S$13,角色设定!$AB$9:$AJ$21,MATCH(W$17,角色设定!$AB$9:$AJ$9,0),0)*H54</f>
        <v>0.4</v>
      </c>
      <c r="X54" s="6">
        <f>VLOOKUP($S$13,角色设定!$AB$9:$AJ$21,MATCH(X$17,角色设定!$AB$9:$AJ$9,0),0)*I54</f>
        <v>1.5</v>
      </c>
      <c r="Y54" s="6">
        <f>VLOOKUP($S$13,角色设定!$AB$9:$AJ$21,MATCH(Y$17,角色设定!$AB$9:$AJ$9,0),0)*J54</f>
        <v>0.9</v>
      </c>
      <c r="Z54" s="6">
        <f>VLOOKUP($S$13,角色设定!$AB$9:$AJ$21,MATCH(Z$17,角色设定!$AB$9:$AJ$9,0),0)</f>
        <v>0.75</v>
      </c>
      <c r="AA54" s="6"/>
      <c r="AB54" s="6"/>
      <c r="AC54" s="6">
        <f>T54*战斗公式!$E$38*(1+W54*(X54-1))*Y54</f>
        <v>36651.336485446947</v>
      </c>
      <c r="AD54" s="6">
        <f>U54*战斗公式!$E$40*(1+V54*战斗公式!$E$39)</f>
        <v>48265.134466432195</v>
      </c>
      <c r="AE54" s="21">
        <f t="shared" si="12"/>
        <v>84916.470951879135</v>
      </c>
      <c r="AF54" s="21">
        <f t="shared" si="16"/>
        <v>4043.6414738989843</v>
      </c>
      <c r="AG54" s="21"/>
      <c r="AH54" s="9">
        <f t="shared" si="13"/>
        <v>407.2370720605216</v>
      </c>
      <c r="AI54" s="9">
        <f t="shared" si="14"/>
        <v>13819.223525086285</v>
      </c>
      <c r="AJ54" s="9">
        <f t="shared" si="15"/>
        <v>1433.4744936530362</v>
      </c>
      <c r="AK54" s="9">
        <f t="shared" si="17"/>
        <v>19.392241526691464</v>
      </c>
      <c r="AL54" s="9">
        <f t="shared" si="18"/>
        <v>629.41537770708783</v>
      </c>
      <c r="AM54" s="9">
        <f t="shared" si="19"/>
        <v>68.260690173954117</v>
      </c>
    </row>
    <row r="55" spans="4:39" ht="14.25" customHeight="1" x14ac:dyDescent="0.2">
      <c r="D55" s="1">
        <v>38</v>
      </c>
      <c r="E55" s="6">
        <f t="shared" si="26"/>
        <v>60.814069427704567</v>
      </c>
      <c r="F55" s="6">
        <f t="shared" si="26"/>
        <v>608.14069427704567</v>
      </c>
      <c r="G55" s="6">
        <f t="shared" si="26"/>
        <v>66.895476370475023</v>
      </c>
      <c r="H55" s="6">
        <v>0.4</v>
      </c>
      <c r="I55" s="6">
        <v>1.5</v>
      </c>
      <c r="J55" s="6">
        <v>1</v>
      </c>
      <c r="K55" s="25">
        <f t="shared" si="8"/>
        <v>1.0474978066339518</v>
      </c>
      <c r="L55" s="6">
        <f t="shared" si="20"/>
        <v>2660.6155374620753</v>
      </c>
      <c r="M55" s="6">
        <f t="shared" si="21"/>
        <v>43431.522767031645</v>
      </c>
      <c r="N55" s="6">
        <f t="shared" si="22"/>
        <v>5017.1607277856265</v>
      </c>
      <c r="O55" s="6">
        <f t="shared" si="23"/>
        <v>0.4</v>
      </c>
      <c r="P55" s="6">
        <f t="shared" si="24"/>
        <v>1.5</v>
      </c>
      <c r="Q55" s="6">
        <f t="shared" si="25"/>
        <v>1</v>
      </c>
      <c r="R55" s="6"/>
      <c r="S55" s="35">
        <v>38</v>
      </c>
      <c r="T55" s="6">
        <f>VLOOKUP($S$13,角色设定!$AB$9:$AJ$21,MATCH(E$17,角色设定!$AB$9:$AJ$9,0),0)*Z55*$L$15*E55/Y55/(1+W55*(X55-1))</f>
        <v>1425.3297522118257</v>
      </c>
      <c r="U55" s="6">
        <f>VLOOKUP($S$13,角色设定!$AB$9:$AJ$21,MATCH(F$17,角色设定!$AB$9:$AJ$9,0),0)*F55*$L$15/(1+V55/$N$16)</f>
        <v>48257.24751892405</v>
      </c>
      <c r="V55" s="6">
        <f>VLOOKUP($S$13,角色设定!$AB$9:$AJ$21,MATCH(V$17,角色设定!$AB$9:$AJ$9,0),0)*G55*$L$15</f>
        <v>5017.1607277856265</v>
      </c>
      <c r="W55" s="6">
        <f>VLOOKUP($S$13,角色设定!$AB$9:$AJ$21,MATCH(W$17,角色设定!$AB$9:$AJ$9,0),0)*H55</f>
        <v>0.4</v>
      </c>
      <c r="X55" s="6">
        <f>VLOOKUP($S$13,角色设定!$AB$9:$AJ$21,MATCH(X$17,角色设定!$AB$9:$AJ$9,0),0)*I55</f>
        <v>1.5</v>
      </c>
      <c r="Y55" s="6">
        <f>VLOOKUP($S$13,角色设定!$AB$9:$AJ$21,MATCH(Y$17,角色设定!$AB$9:$AJ$9,0),0)*J55</f>
        <v>0.9</v>
      </c>
      <c r="Z55" s="6">
        <f>VLOOKUP($S$13,角色设定!$AB$9:$AJ$21,MATCH(Z$17,角色设定!$AB$9:$AJ$9,0),0)</f>
        <v>0.75</v>
      </c>
      <c r="AA55" s="6"/>
      <c r="AB55" s="6"/>
      <c r="AC55" s="6">
        <f>T55*战斗公式!$E$38*(1+W55*(X55-1))*Y55</f>
        <v>38483.903309719295</v>
      </c>
      <c r="AD55" s="6">
        <f>U55*战斗公式!$E$40*(1+V55*战斗公式!$E$39)</f>
        <v>50678.391189753806</v>
      </c>
      <c r="AE55" s="21">
        <f t="shared" si="12"/>
        <v>89162.294499473093</v>
      </c>
      <c r="AF55" s="21">
        <f t="shared" si="16"/>
        <v>4245.8235475939582</v>
      </c>
      <c r="AG55" s="21"/>
      <c r="AH55" s="9">
        <f t="shared" si="13"/>
        <v>427.59892566354773</v>
      </c>
      <c r="AI55" s="9">
        <f t="shared" si="14"/>
        <v>14477.174255677215</v>
      </c>
      <c r="AJ55" s="9">
        <f t="shared" si="15"/>
        <v>1505.1482183356879</v>
      </c>
      <c r="AK55" s="9">
        <f t="shared" si="17"/>
        <v>20.361853603026134</v>
      </c>
      <c r="AL55" s="9">
        <f t="shared" si="18"/>
        <v>657.95073059093011</v>
      </c>
      <c r="AM55" s="9">
        <f t="shared" si="19"/>
        <v>71.673724682651709</v>
      </c>
    </row>
    <row r="56" spans="4:39" ht="14.25" customHeight="1" x14ac:dyDescent="0.2">
      <c r="D56" s="1">
        <v>39</v>
      </c>
      <c r="E56" s="6">
        <f t="shared" si="26"/>
        <v>63.854772899089781</v>
      </c>
      <c r="F56" s="6">
        <f t="shared" si="26"/>
        <v>638.54772899089789</v>
      </c>
      <c r="G56" s="6">
        <f t="shared" si="26"/>
        <v>70.240250188998758</v>
      </c>
      <c r="H56" s="6">
        <v>0.4</v>
      </c>
      <c r="I56" s="6">
        <v>1.5</v>
      </c>
      <c r="J56" s="6">
        <v>1</v>
      </c>
      <c r="K56" s="25">
        <f t="shared" si="8"/>
        <v>1.0473792545774601</v>
      </c>
      <c r="L56" s="6">
        <f t="shared" si="20"/>
        <v>2793.646314335178</v>
      </c>
      <c r="M56" s="6">
        <f t="shared" si="21"/>
        <v>45494.424837238184</v>
      </c>
      <c r="N56" s="6">
        <f t="shared" si="22"/>
        <v>5268.0187641749071</v>
      </c>
      <c r="O56" s="6">
        <f t="shared" si="23"/>
        <v>0.4</v>
      </c>
      <c r="P56" s="6">
        <f t="shared" si="24"/>
        <v>1.5</v>
      </c>
      <c r="Q56" s="6">
        <f t="shared" si="25"/>
        <v>1</v>
      </c>
      <c r="R56" s="6"/>
      <c r="S56" s="35">
        <v>39</v>
      </c>
      <c r="T56" s="6">
        <f>VLOOKUP($S$13,角色设定!$AB$9:$AJ$21,MATCH(E$17,角色设定!$AB$9:$AJ$9,0),0)*Z56*$L$15*E56/Y56/(1+W56*(X56-1))</f>
        <v>1496.5962398224167</v>
      </c>
      <c r="U56" s="6">
        <f>VLOOKUP($S$13,角色设定!$AB$9:$AJ$21,MATCH(F$17,角色设定!$AB$9:$AJ$9,0),0)*F56*$L$15/(1+V56/$N$16)</f>
        <v>50549.360930264651</v>
      </c>
      <c r="V56" s="6">
        <f>VLOOKUP($S$13,角色设定!$AB$9:$AJ$21,MATCH(V$17,角色设定!$AB$9:$AJ$9,0),0)*G56*$L$15</f>
        <v>5268.0187641749071</v>
      </c>
      <c r="W56" s="6">
        <f>VLOOKUP($S$13,角色设定!$AB$9:$AJ$21,MATCH(W$17,角色设定!$AB$9:$AJ$9,0),0)*H56</f>
        <v>0.4</v>
      </c>
      <c r="X56" s="6">
        <f>VLOOKUP($S$13,角色设定!$AB$9:$AJ$21,MATCH(X$17,角色设定!$AB$9:$AJ$9,0),0)*I56</f>
        <v>1.5</v>
      </c>
      <c r="Y56" s="6">
        <f>VLOOKUP($S$13,角色设定!$AB$9:$AJ$21,MATCH(Y$17,角色设定!$AB$9:$AJ$9,0),0)*J56</f>
        <v>0.9</v>
      </c>
      <c r="Z56" s="6">
        <f>VLOOKUP($S$13,角色设定!$AB$9:$AJ$21,MATCH(Z$17,角色设定!$AB$9:$AJ$9,0),0)</f>
        <v>0.75</v>
      </c>
      <c r="AA56" s="6"/>
      <c r="AB56" s="6"/>
      <c r="AC56" s="6">
        <f>T56*战斗公式!$E$38*(1+W56*(X56-1))*Y56</f>
        <v>40408.098475205246</v>
      </c>
      <c r="AD56" s="6">
        <f>U56*战斗公式!$E$40*(1+V56*战斗公式!$E$39)</f>
        <v>53212.310749241493</v>
      </c>
      <c r="AE56" s="21">
        <f t="shared" si="12"/>
        <v>93620.409224446747</v>
      </c>
      <c r="AF56" s="21">
        <f t="shared" si="16"/>
        <v>4458.1147249736532</v>
      </c>
      <c r="AG56" s="21"/>
      <c r="AH56" s="9">
        <f t="shared" si="13"/>
        <v>448.97887194672501</v>
      </c>
      <c r="AI56" s="9">
        <f t="shared" si="14"/>
        <v>15164.808279079394</v>
      </c>
      <c r="AJ56" s="9">
        <f t="shared" si="15"/>
        <v>1580.4056292524722</v>
      </c>
      <c r="AK56" s="9">
        <f t="shared" si="17"/>
        <v>21.379946283177276</v>
      </c>
      <c r="AL56" s="9">
        <f t="shared" si="18"/>
        <v>687.63402340217908</v>
      </c>
      <c r="AM56" s="9">
        <f t="shared" si="19"/>
        <v>75.257410916784238</v>
      </c>
    </row>
    <row r="57" spans="4:39" ht="14.25" customHeight="1" x14ac:dyDescent="0.2">
      <c r="D57" s="1">
        <v>40</v>
      </c>
      <c r="E57" s="6">
        <f t="shared" si="26"/>
        <v>67.047511544044283</v>
      </c>
      <c r="F57" s="6">
        <f t="shared" si="26"/>
        <v>670.47511544044289</v>
      </c>
      <c r="G57" s="6">
        <f t="shared" si="26"/>
        <v>73.752262698448718</v>
      </c>
      <c r="H57" s="6">
        <v>0.4</v>
      </c>
      <c r="I57" s="6">
        <v>1.5</v>
      </c>
      <c r="J57" s="6">
        <v>1</v>
      </c>
      <c r="K57" s="25">
        <f t="shared" si="8"/>
        <v>1.0472554101775464</v>
      </c>
      <c r="L57" s="6">
        <f t="shared" si="20"/>
        <v>2933.3286300519371</v>
      </c>
      <c r="M57" s="6">
        <f t="shared" si="21"/>
        <v>47649.916773456818</v>
      </c>
      <c r="N57" s="6">
        <f t="shared" si="22"/>
        <v>5531.4197023836541</v>
      </c>
      <c r="O57" s="6">
        <f t="shared" si="23"/>
        <v>0.4</v>
      </c>
      <c r="P57" s="6">
        <f t="shared" si="24"/>
        <v>1.5</v>
      </c>
      <c r="Q57" s="6">
        <f t="shared" si="25"/>
        <v>1</v>
      </c>
      <c r="R57" s="6"/>
      <c r="S57" s="35">
        <v>40</v>
      </c>
      <c r="T57" s="6">
        <f>VLOOKUP($S$13,角色设定!$AB$9:$AJ$21,MATCH(E$17,角色设定!$AB$9:$AJ$9,0),0)*Z57*$L$15*E57/Y57/(1+W57*(X57-1))</f>
        <v>1571.4260518135379</v>
      </c>
      <c r="U57" s="6">
        <f>VLOOKUP($S$13,角色设定!$AB$9:$AJ$21,MATCH(F$17,角色设定!$AB$9:$AJ$9,0),0)*F57*$L$15/(1+V57/$N$16)</f>
        <v>52944.351970507581</v>
      </c>
      <c r="V57" s="6">
        <f>VLOOKUP($S$13,角色设定!$AB$9:$AJ$21,MATCH(V$17,角色设定!$AB$9:$AJ$9,0),0)*G57*$L$15</f>
        <v>5531.4197023836541</v>
      </c>
      <c r="W57" s="6">
        <f>VLOOKUP($S$13,角色设定!$AB$9:$AJ$21,MATCH(W$17,角色设定!$AB$9:$AJ$9,0),0)*H57</f>
        <v>0.4</v>
      </c>
      <c r="X57" s="6">
        <f>VLOOKUP($S$13,角色设定!$AB$9:$AJ$21,MATCH(X$17,角色设定!$AB$9:$AJ$9,0),0)*I57</f>
        <v>1.5</v>
      </c>
      <c r="Y57" s="6">
        <f>VLOOKUP($S$13,角色设定!$AB$9:$AJ$21,MATCH(Y$17,角色设定!$AB$9:$AJ$9,0),0)*J57</f>
        <v>0.9</v>
      </c>
      <c r="Z57" s="6">
        <f>VLOOKUP($S$13,角色设定!$AB$9:$AJ$21,MATCH(Z$17,角色设定!$AB$9:$AJ$9,0),0)</f>
        <v>0.75</v>
      </c>
      <c r="AA57" s="6"/>
      <c r="AB57" s="6"/>
      <c r="AC57" s="6">
        <f>T57*战斗公式!$E$38*(1+W57*(X57-1))*Y57</f>
        <v>42428.503398965528</v>
      </c>
      <c r="AD57" s="6">
        <f>U57*战斗公式!$E$40*(1+V57*战斗公式!$E$39)</f>
        <v>55872.92628670358</v>
      </c>
      <c r="AE57" s="21">
        <f t="shared" si="12"/>
        <v>98301.429685669107</v>
      </c>
      <c r="AF57" s="21">
        <f t="shared" si="16"/>
        <v>4681.0204612223606</v>
      </c>
      <c r="AG57" s="21"/>
      <c r="AH57" s="9">
        <f t="shared" si="13"/>
        <v>471.42781554406133</v>
      </c>
      <c r="AI57" s="9">
        <f t="shared" si="14"/>
        <v>15883.305591152273</v>
      </c>
      <c r="AJ57" s="9">
        <f t="shared" si="15"/>
        <v>1659.4259107150963</v>
      </c>
      <c r="AK57" s="9">
        <f t="shared" si="17"/>
        <v>22.448943597336324</v>
      </c>
      <c r="AL57" s="9">
        <f t="shared" si="18"/>
        <v>718.49731207287914</v>
      </c>
      <c r="AM57" s="9">
        <f t="shared" si="19"/>
        <v>79.020281462624098</v>
      </c>
    </row>
    <row r="58" spans="4:39" ht="14.25" customHeight="1" x14ac:dyDescent="0.2">
      <c r="D58" s="1">
        <v>41</v>
      </c>
      <c r="E58" s="6">
        <f t="shared" si="26"/>
        <v>70.399887121246493</v>
      </c>
      <c r="F58" s="6">
        <f t="shared" si="26"/>
        <v>703.99887121246491</v>
      </c>
      <c r="G58" s="6">
        <f t="shared" si="26"/>
        <v>77.439875833371147</v>
      </c>
      <c r="H58" s="6">
        <v>0.4</v>
      </c>
      <c r="I58" s="6">
        <v>1.5</v>
      </c>
      <c r="J58" s="6">
        <v>1</v>
      </c>
      <c r="K58" s="25">
        <f t="shared" si="8"/>
        <v>1.0471260684497077</v>
      </c>
      <c r="L58" s="6">
        <f t="shared" si="20"/>
        <v>3079.995061554534</v>
      </c>
      <c r="M58" s="6">
        <f t="shared" si="21"/>
        <v>49901.633135512471</v>
      </c>
      <c r="N58" s="6">
        <f t="shared" si="22"/>
        <v>5807.9906875028364</v>
      </c>
      <c r="O58" s="6">
        <f t="shared" si="23"/>
        <v>0.4</v>
      </c>
      <c r="P58" s="6">
        <f t="shared" si="24"/>
        <v>1.5</v>
      </c>
      <c r="Q58" s="6">
        <f t="shared" si="25"/>
        <v>1</v>
      </c>
      <c r="R58" s="6"/>
      <c r="S58" s="35">
        <v>41</v>
      </c>
      <c r="T58" s="6">
        <f>VLOOKUP($S$13,角色设定!$AB$9:$AJ$21,MATCH(E$17,角色设定!$AB$9:$AJ$9,0),0)*Z58*$L$15*E58/Y58/(1+W58*(X58-1))</f>
        <v>1649.9973544042148</v>
      </c>
      <c r="U58" s="6">
        <f>VLOOKUP($S$13,角色设定!$AB$9:$AJ$21,MATCH(F$17,角色设定!$AB$9:$AJ$9,0),0)*F58*$L$15/(1+V58/$N$16)</f>
        <v>55446.259039458309</v>
      </c>
      <c r="V58" s="6">
        <f>VLOOKUP($S$13,角色设定!$AB$9:$AJ$21,MATCH(V$17,角色设定!$AB$9:$AJ$9,0),0)*G58*$L$15</f>
        <v>5807.9906875028364</v>
      </c>
      <c r="W58" s="6">
        <f>VLOOKUP($S$13,角色设定!$AB$9:$AJ$21,MATCH(W$17,角色设定!$AB$9:$AJ$9,0),0)*H58</f>
        <v>0.4</v>
      </c>
      <c r="X58" s="6">
        <f>VLOOKUP($S$13,角色设定!$AB$9:$AJ$21,MATCH(X$17,角色设定!$AB$9:$AJ$9,0),0)*I58</f>
        <v>1.5</v>
      </c>
      <c r="Y58" s="6">
        <f>VLOOKUP($S$13,角色设定!$AB$9:$AJ$21,MATCH(Y$17,角色设定!$AB$9:$AJ$9,0),0)*J58</f>
        <v>0.9</v>
      </c>
      <c r="Z58" s="6">
        <f>VLOOKUP($S$13,角色设定!$AB$9:$AJ$21,MATCH(Z$17,角色设定!$AB$9:$AJ$9,0),0)</f>
        <v>0.75</v>
      </c>
      <c r="AA58" s="6"/>
      <c r="AB58" s="6"/>
      <c r="AC58" s="6">
        <f>T58*战斗公式!$E$38*(1+W58*(X58-1))*Y58</f>
        <v>44549.928568913798</v>
      </c>
      <c r="AD58" s="6">
        <f>U58*战斗公式!$E$40*(1+V58*战斗公式!$E$39)</f>
        <v>58666.572601038752</v>
      </c>
      <c r="AE58" s="21">
        <f t="shared" si="12"/>
        <v>103216.50116995255</v>
      </c>
      <c r="AF58" s="21">
        <f t="shared" si="16"/>
        <v>4915.0714842834423</v>
      </c>
      <c r="AG58" s="21"/>
      <c r="AH58" s="9">
        <f t="shared" si="13"/>
        <v>494.99920632126441</v>
      </c>
      <c r="AI58" s="9">
        <f t="shared" si="14"/>
        <v>16633.877711837493</v>
      </c>
      <c r="AJ58" s="9">
        <f t="shared" si="15"/>
        <v>1742.3972062508508</v>
      </c>
      <c r="AK58" s="9">
        <f t="shared" si="17"/>
        <v>23.571390777203078</v>
      </c>
      <c r="AL58" s="9">
        <f t="shared" si="18"/>
        <v>750.57212068521949</v>
      </c>
      <c r="AM58" s="9">
        <f t="shared" si="19"/>
        <v>82.971295535754507</v>
      </c>
    </row>
    <row r="59" spans="4:39" ht="14.25" customHeight="1" x14ac:dyDescent="0.2">
      <c r="D59" s="1">
        <v>42</v>
      </c>
      <c r="E59" s="6">
        <f t="shared" si="26"/>
        <v>73.91988147730882</v>
      </c>
      <c r="F59" s="6">
        <f t="shared" si="26"/>
        <v>739.1988147730882</v>
      </c>
      <c r="G59" s="6">
        <f t="shared" si="26"/>
        <v>81.311869625039705</v>
      </c>
      <c r="H59" s="6">
        <v>0.4</v>
      </c>
      <c r="I59" s="6">
        <v>1.5</v>
      </c>
      <c r="J59" s="6">
        <v>1</v>
      </c>
      <c r="K59" s="25">
        <f t="shared" si="8"/>
        <v>1.0469910194762542</v>
      </c>
      <c r="L59" s="6">
        <f t="shared" si="20"/>
        <v>3233.9948146322608</v>
      </c>
      <c r="M59" s="6">
        <f t="shared" si="21"/>
        <v>52253.300914408836</v>
      </c>
      <c r="N59" s="6">
        <f t="shared" si="22"/>
        <v>6098.3902218779776</v>
      </c>
      <c r="O59" s="6">
        <f t="shared" si="23"/>
        <v>0.4</v>
      </c>
      <c r="P59" s="6">
        <f t="shared" si="24"/>
        <v>1.5</v>
      </c>
      <c r="Q59" s="6">
        <f t="shared" si="25"/>
        <v>1</v>
      </c>
      <c r="R59" s="6"/>
      <c r="S59" s="35">
        <v>42</v>
      </c>
      <c r="T59" s="6">
        <f>VLOOKUP($S$13,角色设定!$AB$9:$AJ$21,MATCH(E$17,角色设定!$AB$9:$AJ$9,0),0)*Z59*$L$15*E59/Y59/(1+W59*(X59-1))</f>
        <v>1732.4972221244252</v>
      </c>
      <c r="U59" s="6">
        <f>VLOOKUP($S$13,角色设定!$AB$9:$AJ$21,MATCH(F$17,角色设定!$AB$9:$AJ$9,0),0)*F59*$L$15/(1+V59/$N$16)</f>
        <v>58059.223238232044</v>
      </c>
      <c r="V59" s="6">
        <f>VLOOKUP($S$13,角色设定!$AB$9:$AJ$21,MATCH(V$17,角色设定!$AB$9:$AJ$9,0),0)*G59*$L$15</f>
        <v>6098.3902218779776</v>
      </c>
      <c r="W59" s="6">
        <f>VLOOKUP($S$13,角色设定!$AB$9:$AJ$21,MATCH(W$17,角色设定!$AB$9:$AJ$9,0),0)*H59</f>
        <v>0.4</v>
      </c>
      <c r="X59" s="6">
        <f>VLOOKUP($S$13,角色设定!$AB$9:$AJ$21,MATCH(X$17,角色设定!$AB$9:$AJ$9,0),0)*I59</f>
        <v>1.5</v>
      </c>
      <c r="Y59" s="6">
        <f>VLOOKUP($S$13,角色设定!$AB$9:$AJ$21,MATCH(Y$17,角色设定!$AB$9:$AJ$9,0),0)*J59</f>
        <v>0.9</v>
      </c>
      <c r="Z59" s="6">
        <f>VLOOKUP($S$13,角色设定!$AB$9:$AJ$21,MATCH(Z$17,角色设定!$AB$9:$AJ$9,0),0)</f>
        <v>0.75</v>
      </c>
      <c r="AA59" s="6"/>
      <c r="AB59" s="6"/>
      <c r="AC59" s="6">
        <f>T59*战斗公式!$E$38*(1+W59*(X59-1))*Y59</f>
        <v>46777.424997359478</v>
      </c>
      <c r="AD59" s="6">
        <f>U59*战斗公式!$E$40*(1+V59*战斗公式!$E$39)</f>
        <v>61599.901231090691</v>
      </c>
      <c r="AE59" s="21">
        <f t="shared" si="12"/>
        <v>108377.32622845017</v>
      </c>
      <c r="AF59" s="21">
        <f t="shared" si="16"/>
        <v>5160.8250584976195</v>
      </c>
      <c r="AG59" s="21"/>
      <c r="AH59" s="9">
        <f t="shared" si="13"/>
        <v>519.74916663732756</v>
      </c>
      <c r="AI59" s="9">
        <f t="shared" si="14"/>
        <v>17417.766971469613</v>
      </c>
      <c r="AJ59" s="9">
        <f t="shared" si="15"/>
        <v>1829.5170665633932</v>
      </c>
      <c r="AK59" s="9">
        <f t="shared" si="17"/>
        <v>24.749960316063152</v>
      </c>
      <c r="AL59" s="9">
        <f t="shared" si="18"/>
        <v>783.88925963212023</v>
      </c>
      <c r="AM59" s="9">
        <f t="shared" si="19"/>
        <v>87.119860312542414</v>
      </c>
    </row>
    <row r="60" spans="4:39" ht="14.25" customHeight="1" x14ac:dyDescent="0.2">
      <c r="D60" s="1">
        <v>43</v>
      </c>
      <c r="E60" s="6">
        <f t="shared" si="26"/>
        <v>77.61587555117427</v>
      </c>
      <c r="F60" s="6">
        <f t="shared" si="26"/>
        <v>776.15875551174258</v>
      </c>
      <c r="G60" s="6">
        <f t="shared" si="26"/>
        <v>85.377463106291685</v>
      </c>
      <c r="H60" s="6">
        <v>0.4</v>
      </c>
      <c r="I60" s="6">
        <v>1.5</v>
      </c>
      <c r="J60" s="6">
        <v>1</v>
      </c>
      <c r="K60" s="25">
        <f t="shared" si="8"/>
        <v>1.046850048592503</v>
      </c>
      <c r="L60" s="6">
        <f t="shared" si="20"/>
        <v>3395.6945553638743</v>
      </c>
      <c r="M60" s="6">
        <f t="shared" si="21"/>
        <v>54708.73679537639</v>
      </c>
      <c r="N60" s="6">
        <f t="shared" si="22"/>
        <v>6403.3097329718767</v>
      </c>
      <c r="O60" s="6">
        <f t="shared" si="23"/>
        <v>0.4</v>
      </c>
      <c r="P60" s="6">
        <f t="shared" si="24"/>
        <v>1.5</v>
      </c>
      <c r="Q60" s="6">
        <f t="shared" si="25"/>
        <v>1</v>
      </c>
      <c r="R60" s="6"/>
      <c r="S60" s="35">
        <v>43</v>
      </c>
      <c r="T60" s="6">
        <f>VLOOKUP($S$13,角色设定!$AB$9:$AJ$21,MATCH(E$17,角色设定!$AB$9:$AJ$9,0),0)*Z60*$L$15*E60/Y60/(1+W60*(X60-1))</f>
        <v>1819.1220832306469</v>
      </c>
      <c r="U60" s="6">
        <f>VLOOKUP($S$13,角色设定!$AB$9:$AJ$21,MATCH(F$17,角色设定!$AB$9:$AJ$9,0),0)*F60*$L$15/(1+V60/$N$16)</f>
        <v>60787.485328195995</v>
      </c>
      <c r="V60" s="6">
        <f>VLOOKUP($S$13,角色设定!$AB$9:$AJ$21,MATCH(V$17,角色设定!$AB$9:$AJ$9,0),0)*G60*$L$15</f>
        <v>6403.3097329718767</v>
      </c>
      <c r="W60" s="6">
        <f>VLOOKUP($S$13,角色设定!$AB$9:$AJ$21,MATCH(W$17,角色设定!$AB$9:$AJ$9,0),0)*H60</f>
        <v>0.4</v>
      </c>
      <c r="X60" s="6">
        <f>VLOOKUP($S$13,角色设定!$AB$9:$AJ$21,MATCH(X$17,角色设定!$AB$9:$AJ$9,0),0)*I60</f>
        <v>1.5</v>
      </c>
      <c r="Y60" s="6">
        <f>VLOOKUP($S$13,角色设定!$AB$9:$AJ$21,MATCH(Y$17,角色设定!$AB$9:$AJ$9,0),0)*J60</f>
        <v>0.9</v>
      </c>
      <c r="Z60" s="6">
        <f>VLOOKUP($S$13,角色设定!$AB$9:$AJ$21,MATCH(Z$17,角色设定!$AB$9:$AJ$9,0),0)</f>
        <v>0.75</v>
      </c>
      <c r="AA60" s="6"/>
      <c r="AB60" s="6"/>
      <c r="AC60" s="6">
        <f>T60*战斗公式!$E$38*(1+W60*(X60-1))*Y60</f>
        <v>49116.296247227467</v>
      </c>
      <c r="AD60" s="6">
        <f>U60*战斗公式!$E$40*(1+V60*战斗公式!$E$39)</f>
        <v>64679.896292645222</v>
      </c>
      <c r="AE60" s="21">
        <f t="shared" si="12"/>
        <v>113796.19253987269</v>
      </c>
      <c r="AF60" s="21">
        <f t="shared" si="16"/>
        <v>5418.8663114225201</v>
      </c>
      <c r="AG60" s="21"/>
      <c r="AH60" s="9">
        <f t="shared" si="13"/>
        <v>545.73662496919405</v>
      </c>
      <c r="AI60" s="9">
        <f t="shared" si="14"/>
        <v>18236.245598458798</v>
      </c>
      <c r="AJ60" s="9">
        <f t="shared" si="15"/>
        <v>1920.9929198915629</v>
      </c>
      <c r="AK60" s="9">
        <f t="shared" si="17"/>
        <v>25.987458331866492</v>
      </c>
      <c r="AL60" s="9">
        <f t="shared" si="18"/>
        <v>818.4786269891847</v>
      </c>
      <c r="AM60" s="9">
        <f t="shared" si="19"/>
        <v>91.475853328169705</v>
      </c>
    </row>
    <row r="61" spans="4:39" ht="14.25" customHeight="1" x14ac:dyDescent="0.2">
      <c r="D61" s="1">
        <v>44</v>
      </c>
      <c r="E61" s="6">
        <f t="shared" si="26"/>
        <v>81.496669328732992</v>
      </c>
      <c r="F61" s="6">
        <f t="shared" si="26"/>
        <v>814.9666932873298</v>
      </c>
      <c r="G61" s="6">
        <f t="shared" si="26"/>
        <v>89.64633626160628</v>
      </c>
      <c r="H61" s="6">
        <v>0.4</v>
      </c>
      <c r="I61" s="6">
        <v>1.5</v>
      </c>
      <c r="J61" s="6">
        <v>1</v>
      </c>
      <c r="K61" s="25">
        <f t="shared" si="8"/>
        <v>1.046702936611589</v>
      </c>
      <c r="L61" s="6">
        <f t="shared" si="20"/>
        <v>3565.4792831320683</v>
      </c>
      <c r="M61" s="6">
        <f t="shared" si="21"/>
        <v>57271.843772674234</v>
      </c>
      <c r="N61" s="6">
        <f t="shared" si="22"/>
        <v>6723.4752196204709</v>
      </c>
      <c r="O61" s="6">
        <f t="shared" si="23"/>
        <v>0.4</v>
      </c>
      <c r="P61" s="6">
        <f t="shared" si="24"/>
        <v>1.5</v>
      </c>
      <c r="Q61" s="6">
        <f t="shared" si="25"/>
        <v>1</v>
      </c>
      <c r="R61" s="6"/>
      <c r="S61" s="35">
        <v>44</v>
      </c>
      <c r="T61" s="6">
        <f>VLOOKUP($S$13,角色设定!$AB$9:$AJ$21,MATCH(E$17,角色设定!$AB$9:$AJ$9,0),0)*Z61*$L$15*E61/Y61/(1+W61*(X61-1))</f>
        <v>1910.0781873921799</v>
      </c>
      <c r="U61" s="6">
        <f>VLOOKUP($S$13,角色设定!$AB$9:$AJ$21,MATCH(F$17,角色设定!$AB$9:$AJ$9,0),0)*F61*$L$15/(1+V61/$N$16)</f>
        <v>63635.381969638045</v>
      </c>
      <c r="V61" s="6">
        <f>VLOOKUP($S$13,角色设定!$AB$9:$AJ$21,MATCH(V$17,角色设定!$AB$9:$AJ$9,0),0)*G61*$L$15</f>
        <v>6723.4752196204709</v>
      </c>
      <c r="W61" s="6">
        <f>VLOOKUP($S$13,角色设定!$AB$9:$AJ$21,MATCH(W$17,角色设定!$AB$9:$AJ$9,0),0)*H61</f>
        <v>0.4</v>
      </c>
      <c r="X61" s="6">
        <f>VLOOKUP($S$13,角色设定!$AB$9:$AJ$21,MATCH(X$17,角色设定!$AB$9:$AJ$9,0),0)*I61</f>
        <v>1.5</v>
      </c>
      <c r="Y61" s="6">
        <f>VLOOKUP($S$13,角色设定!$AB$9:$AJ$21,MATCH(Y$17,角色设定!$AB$9:$AJ$9,0),0)*J61</f>
        <v>0.9</v>
      </c>
      <c r="Z61" s="6">
        <f>VLOOKUP($S$13,角色设定!$AB$9:$AJ$21,MATCH(Z$17,角色设定!$AB$9:$AJ$9,0),0)</f>
        <v>0.75</v>
      </c>
      <c r="AA61" s="6"/>
      <c r="AB61" s="6"/>
      <c r="AC61" s="6">
        <f>T61*战斗公式!$E$38*(1+W61*(X61-1))*Y61</f>
        <v>51572.111059588853</v>
      </c>
      <c r="AD61" s="6">
        <f>U61*战斗公式!$E$40*(1+V61*战斗公式!$E$39)</f>
        <v>67913.891107277494</v>
      </c>
      <c r="AE61" s="21">
        <f t="shared" si="12"/>
        <v>119486.00216686635</v>
      </c>
      <c r="AF61" s="21">
        <f t="shared" si="16"/>
        <v>5689.809626993665</v>
      </c>
      <c r="AG61" s="21"/>
      <c r="AH61" s="9">
        <f t="shared" si="13"/>
        <v>573.02345621765392</v>
      </c>
      <c r="AI61" s="9">
        <f t="shared" si="14"/>
        <v>19090.614590891411</v>
      </c>
      <c r="AJ61" s="9">
        <f t="shared" si="15"/>
        <v>2017.0425658861411</v>
      </c>
      <c r="AK61" s="9">
        <f t="shared" si="17"/>
        <v>27.286831248459862</v>
      </c>
      <c r="AL61" s="9">
        <f t="shared" si="18"/>
        <v>854.3689924326136</v>
      </c>
      <c r="AM61" s="9">
        <f t="shared" si="19"/>
        <v>96.049645994578214</v>
      </c>
    </row>
    <row r="62" spans="4:39" ht="14.25" customHeight="1" x14ac:dyDescent="0.2">
      <c r="D62" s="1">
        <v>45</v>
      </c>
      <c r="E62" s="6">
        <f t="shared" si="26"/>
        <v>85.571502795169621</v>
      </c>
      <c r="F62" s="6">
        <f t="shared" si="26"/>
        <v>855.71502795169624</v>
      </c>
      <c r="G62" s="6">
        <f t="shared" si="26"/>
        <v>94.128653074686582</v>
      </c>
      <c r="H62" s="6">
        <v>0.4</v>
      </c>
      <c r="I62" s="6">
        <v>1.5</v>
      </c>
      <c r="J62" s="6">
        <v>1</v>
      </c>
      <c r="K62" s="25">
        <f t="shared" si="8"/>
        <v>1.0465494600909728</v>
      </c>
      <c r="L62" s="6">
        <f t="shared" si="20"/>
        <v>3743.753247288671</v>
      </c>
      <c r="M62" s="6">
        <f t="shared" si="21"/>
        <v>59946.607062018265</v>
      </c>
      <c r="N62" s="6">
        <f t="shared" si="22"/>
        <v>7059.6489806014933</v>
      </c>
      <c r="O62" s="6">
        <f t="shared" si="23"/>
        <v>0.4</v>
      </c>
      <c r="P62" s="6">
        <f t="shared" si="24"/>
        <v>1.5</v>
      </c>
      <c r="Q62" s="6">
        <f t="shared" si="25"/>
        <v>1</v>
      </c>
      <c r="R62" s="6"/>
      <c r="S62" s="35">
        <v>45</v>
      </c>
      <c r="T62" s="6">
        <f>VLOOKUP($S$13,角色设定!$AB$9:$AJ$21,MATCH(E$17,角色设定!$AB$9:$AJ$9,0),0)*Z62*$L$15*E62/Y62/(1+W62*(X62-1))</f>
        <v>2005.5820967617876</v>
      </c>
      <c r="U62" s="6">
        <f>VLOOKUP($S$13,角色设定!$AB$9:$AJ$21,MATCH(F$17,角色设定!$AB$9:$AJ$9,0),0)*F62*$L$15/(1+V62/$N$16)</f>
        <v>66607.341180020288</v>
      </c>
      <c r="V62" s="6">
        <f>VLOOKUP($S$13,角色设定!$AB$9:$AJ$21,MATCH(V$17,角色设定!$AB$9:$AJ$9,0),0)*G62*$L$15</f>
        <v>7059.6489806014933</v>
      </c>
      <c r="W62" s="6">
        <f>VLOOKUP($S$13,角色设定!$AB$9:$AJ$21,MATCH(W$17,角色设定!$AB$9:$AJ$9,0),0)*H62</f>
        <v>0.4</v>
      </c>
      <c r="X62" s="6">
        <f>VLOOKUP($S$13,角色设定!$AB$9:$AJ$21,MATCH(X$17,角色设定!$AB$9:$AJ$9,0),0)*I62</f>
        <v>1.5</v>
      </c>
      <c r="Y62" s="6">
        <f>VLOOKUP($S$13,角色设定!$AB$9:$AJ$21,MATCH(Y$17,角色设定!$AB$9:$AJ$9,0),0)*J62</f>
        <v>0.9</v>
      </c>
      <c r="Z62" s="6">
        <f>VLOOKUP($S$13,角色设定!$AB$9:$AJ$21,MATCH(Z$17,角色设定!$AB$9:$AJ$9,0),0)</f>
        <v>0.75</v>
      </c>
      <c r="AA62" s="6"/>
      <c r="AB62" s="6"/>
      <c r="AC62" s="6">
        <f>T62*战斗公式!$E$38*(1+W62*(X62-1))*Y62</f>
        <v>54150.716612568263</v>
      </c>
      <c r="AD62" s="6">
        <f>U62*战斗公式!$E$40*(1+V62*战斗公式!$E$39)</f>
        <v>71309.585662641344</v>
      </c>
      <c r="AE62" s="21">
        <f t="shared" si="12"/>
        <v>125460.3022752096</v>
      </c>
      <c r="AF62" s="21">
        <f t="shared" si="16"/>
        <v>5974.3001083432464</v>
      </c>
      <c r="AG62" s="21"/>
      <c r="AH62" s="9">
        <f t="shared" si="13"/>
        <v>601.67462902853629</v>
      </c>
      <c r="AI62" s="9">
        <f t="shared" si="14"/>
        <v>19982.202354006087</v>
      </c>
      <c r="AJ62" s="9">
        <f t="shared" si="15"/>
        <v>2117.8946941804479</v>
      </c>
      <c r="AK62" s="9">
        <f t="shared" si="17"/>
        <v>28.651172810882372</v>
      </c>
      <c r="AL62" s="9">
        <f t="shared" si="18"/>
        <v>891.58776311467591</v>
      </c>
      <c r="AM62" s="9">
        <f t="shared" si="19"/>
        <v>100.85212829430679</v>
      </c>
    </row>
    <row r="63" spans="4:39" ht="14.25" customHeight="1" x14ac:dyDescent="0.2">
      <c r="D63" s="1">
        <v>46</v>
      </c>
      <c r="E63" s="6">
        <f t="shared" si="26"/>
        <v>89.850077934928123</v>
      </c>
      <c r="F63" s="6">
        <f t="shared" si="26"/>
        <v>898.50077934928117</v>
      </c>
      <c r="G63" s="6">
        <f t="shared" si="26"/>
        <v>98.835085728420935</v>
      </c>
      <c r="H63" s="6">
        <v>0.4</v>
      </c>
      <c r="I63" s="6">
        <v>1.5</v>
      </c>
      <c r="J63" s="6">
        <v>1</v>
      </c>
      <c r="K63" s="25">
        <f t="shared" si="8"/>
        <v>1.0463893916437506</v>
      </c>
      <c r="L63" s="6">
        <f t="shared" si="20"/>
        <v>3930.9409096531049</v>
      </c>
      <c r="M63" s="6">
        <f t="shared" si="21"/>
        <v>62737.089255040912</v>
      </c>
      <c r="N63" s="6">
        <f t="shared" si="22"/>
        <v>7412.6314296315704</v>
      </c>
      <c r="O63" s="6">
        <f t="shared" si="23"/>
        <v>0.4</v>
      </c>
      <c r="P63" s="6">
        <f t="shared" si="24"/>
        <v>1.5</v>
      </c>
      <c r="Q63" s="6">
        <f t="shared" si="25"/>
        <v>1</v>
      </c>
      <c r="R63" s="6"/>
      <c r="S63" s="35">
        <v>46</v>
      </c>
      <c r="T63" s="6">
        <f>VLOOKUP($S$13,角色设定!$AB$9:$AJ$21,MATCH(E$17,角色设定!$AB$9:$AJ$9,0),0)*Z63*$L$15*E63/Y63/(1+W63*(X63-1))</f>
        <v>2105.8612015998779</v>
      </c>
      <c r="U63" s="6">
        <f>VLOOKUP($S$13,角色设定!$AB$9:$AJ$21,MATCH(F$17,角色设定!$AB$9:$AJ$9,0),0)*F63*$L$15/(1+V63/$N$16)</f>
        <v>69707.876950045465</v>
      </c>
      <c r="V63" s="6">
        <f>VLOOKUP($S$13,角色设定!$AB$9:$AJ$21,MATCH(V$17,角色设定!$AB$9:$AJ$9,0),0)*G63*$L$15</f>
        <v>7412.6314296315704</v>
      </c>
      <c r="W63" s="6">
        <f>VLOOKUP($S$13,角色设定!$AB$9:$AJ$21,MATCH(W$17,角色设定!$AB$9:$AJ$9,0),0)*H63</f>
        <v>0.4</v>
      </c>
      <c r="X63" s="6">
        <f>VLOOKUP($S$13,角色设定!$AB$9:$AJ$21,MATCH(X$17,角色设定!$AB$9:$AJ$9,0),0)*I63</f>
        <v>1.5</v>
      </c>
      <c r="Y63" s="6">
        <f>VLOOKUP($S$13,角色设定!$AB$9:$AJ$21,MATCH(Y$17,角色设定!$AB$9:$AJ$9,0),0)*J63</f>
        <v>0.9</v>
      </c>
      <c r="Z63" s="6">
        <f>VLOOKUP($S$13,角色设定!$AB$9:$AJ$21,MATCH(Z$17,角色设定!$AB$9:$AJ$9,0),0)</f>
        <v>0.75</v>
      </c>
      <c r="AA63" s="6"/>
      <c r="AB63" s="6"/>
      <c r="AC63" s="6">
        <f>T63*战斗公式!$E$38*(1+W63*(X63-1))*Y63</f>
        <v>56858.252443196703</v>
      </c>
      <c r="AD63" s="6">
        <f>U63*战斗公式!$E$40*(1+V63*战斗公式!$E$39)</f>
        <v>74875.06494577344</v>
      </c>
      <c r="AE63" s="21">
        <f t="shared" si="12"/>
        <v>131733.31738897014</v>
      </c>
      <c r="AF63" s="21">
        <f t="shared" si="16"/>
        <v>6273.0151137605426</v>
      </c>
      <c r="AG63" s="21"/>
      <c r="AH63" s="9">
        <f t="shared" si="13"/>
        <v>631.75836047996336</v>
      </c>
      <c r="AI63" s="9">
        <f t="shared" si="14"/>
        <v>20912.36308501364</v>
      </c>
      <c r="AJ63" s="9">
        <f t="shared" si="15"/>
        <v>2223.7894288894709</v>
      </c>
      <c r="AK63" s="9">
        <f t="shared" si="17"/>
        <v>30.08373145142707</v>
      </c>
      <c r="AL63" s="9">
        <f t="shared" si="18"/>
        <v>930.16073100755239</v>
      </c>
      <c r="AM63" s="9">
        <f t="shared" si="19"/>
        <v>105.89473470902294</v>
      </c>
    </row>
    <row r="64" spans="4:39" ht="14.25" customHeight="1" x14ac:dyDescent="0.2">
      <c r="D64" s="1">
        <v>47</v>
      </c>
      <c r="E64" s="6">
        <f t="shared" si="26"/>
        <v>94.342581831674508</v>
      </c>
      <c r="F64" s="6">
        <f t="shared" si="26"/>
        <v>943.42581831674511</v>
      </c>
      <c r="G64" s="6">
        <f t="shared" si="26"/>
        <v>103.77684001484195</v>
      </c>
      <c r="H64" s="6">
        <v>0.4</v>
      </c>
      <c r="I64" s="6">
        <v>1.5</v>
      </c>
      <c r="J64" s="6">
        <v>1</v>
      </c>
      <c r="K64" s="25">
        <f t="shared" si="8"/>
        <v>1.0462225002979284</v>
      </c>
      <c r="L64" s="6">
        <f t="shared" si="20"/>
        <v>4127.4879551357599</v>
      </c>
      <c r="M64" s="6">
        <f t="shared" si="21"/>
        <v>65647.424659081938</v>
      </c>
      <c r="N64" s="6">
        <f t="shared" si="22"/>
        <v>7783.2630011131459</v>
      </c>
      <c r="O64" s="6">
        <f t="shared" si="23"/>
        <v>0.4</v>
      </c>
      <c r="P64" s="6">
        <f t="shared" si="24"/>
        <v>1.5</v>
      </c>
      <c r="Q64" s="6">
        <f t="shared" si="25"/>
        <v>1</v>
      </c>
      <c r="R64" s="6"/>
      <c r="S64" s="35">
        <v>47</v>
      </c>
      <c r="T64" s="6">
        <f>VLOOKUP($S$13,角色设定!$AB$9:$AJ$21,MATCH(E$17,角色设定!$AB$9:$AJ$9,0),0)*Z64*$L$15*E64/Y64/(1+W64*(X64-1))</f>
        <v>2211.1542616798711</v>
      </c>
      <c r="U64" s="6">
        <f>VLOOKUP($S$13,角色设定!$AB$9:$AJ$21,MATCH(F$17,角色设定!$AB$9:$AJ$9,0),0)*F64*$L$15/(1+V64/$N$16)</f>
        <v>72941.582954535479</v>
      </c>
      <c r="V64" s="6">
        <f>VLOOKUP($S$13,角色设定!$AB$9:$AJ$21,MATCH(V$17,角色设定!$AB$9:$AJ$9,0),0)*G64*$L$15</f>
        <v>7783.2630011131459</v>
      </c>
      <c r="W64" s="6">
        <f>VLOOKUP($S$13,角色设定!$AB$9:$AJ$21,MATCH(W$17,角色设定!$AB$9:$AJ$9,0),0)*H64</f>
        <v>0.4</v>
      </c>
      <c r="X64" s="6">
        <f>VLOOKUP($S$13,角色设定!$AB$9:$AJ$21,MATCH(X$17,角色设定!$AB$9:$AJ$9,0),0)*I64</f>
        <v>1.5</v>
      </c>
      <c r="Y64" s="6">
        <f>VLOOKUP($S$13,角色设定!$AB$9:$AJ$21,MATCH(Y$17,角色设定!$AB$9:$AJ$9,0),0)*J64</f>
        <v>0.9</v>
      </c>
      <c r="Z64" s="6">
        <f>VLOOKUP($S$13,角色设定!$AB$9:$AJ$21,MATCH(Z$17,角色设定!$AB$9:$AJ$9,0),0)</f>
        <v>0.75</v>
      </c>
      <c r="AA64" s="6"/>
      <c r="AB64" s="6"/>
      <c r="AC64" s="6">
        <f>T64*战斗公式!$E$38*(1+W64*(X64-1))*Y64</f>
        <v>59701.165065356523</v>
      </c>
      <c r="AD64" s="6">
        <f>U64*战斗公式!$E$40*(1+V64*战斗公式!$E$39)</f>
        <v>78618.818193062092</v>
      </c>
      <c r="AE64" s="21">
        <f t="shared" si="12"/>
        <v>138319.98325841862</v>
      </c>
      <c r="AF64" s="21">
        <f t="shared" si="16"/>
        <v>6586.6658694484795</v>
      </c>
      <c r="AG64" s="21"/>
      <c r="AH64" s="9">
        <f t="shared" si="13"/>
        <v>663.34627850396134</v>
      </c>
      <c r="AI64" s="9">
        <f t="shared" si="14"/>
        <v>21882.474886360644</v>
      </c>
      <c r="AJ64" s="9">
        <f t="shared" si="15"/>
        <v>2334.9789003339438</v>
      </c>
      <c r="AK64" s="9">
        <f t="shared" si="17"/>
        <v>31.587918023997986</v>
      </c>
      <c r="AL64" s="9">
        <f t="shared" si="18"/>
        <v>970.11180134700408</v>
      </c>
      <c r="AM64" s="9">
        <f t="shared" si="19"/>
        <v>111.18947144447293</v>
      </c>
    </row>
    <row r="65" spans="4:39" ht="14.25" customHeight="1" x14ac:dyDescent="0.2">
      <c r="D65" s="1">
        <v>48</v>
      </c>
      <c r="E65" s="6">
        <f t="shared" si="26"/>
        <v>99.059710923258265</v>
      </c>
      <c r="F65" s="6">
        <f t="shared" si="26"/>
        <v>990.59710923258262</v>
      </c>
      <c r="G65" s="6">
        <f t="shared" si="26"/>
        <v>108.96568201558409</v>
      </c>
      <c r="H65" s="6">
        <v>0.4</v>
      </c>
      <c r="I65" s="6">
        <v>1.5</v>
      </c>
      <c r="J65" s="6">
        <v>1</v>
      </c>
      <c r="K65" s="25">
        <f t="shared" si="8"/>
        <v>1.046048551906819</v>
      </c>
      <c r="L65" s="6">
        <f t="shared" si="20"/>
        <v>4333.8623528925491</v>
      </c>
      <c r="M65" s="6">
        <f t="shared" si="21"/>
        <v>68681.812764944581</v>
      </c>
      <c r="N65" s="6">
        <f t="shared" si="22"/>
        <v>8172.4261511688073</v>
      </c>
      <c r="O65" s="6">
        <f t="shared" si="23"/>
        <v>0.4</v>
      </c>
      <c r="P65" s="6">
        <f t="shared" si="24"/>
        <v>1.5</v>
      </c>
      <c r="Q65" s="6">
        <f t="shared" si="25"/>
        <v>1</v>
      </c>
      <c r="R65" s="6"/>
      <c r="S65" s="35">
        <v>48</v>
      </c>
      <c r="T65" s="6">
        <f>VLOOKUP($S$13,角色设定!$AB$9:$AJ$21,MATCH(E$17,角色设定!$AB$9:$AJ$9,0),0)*Z65*$L$15*E65/Y65/(1+W65*(X65-1))</f>
        <v>2321.7119747638658</v>
      </c>
      <c r="U65" s="6">
        <f>VLOOKUP($S$13,角色设定!$AB$9:$AJ$21,MATCH(F$17,角色设定!$AB$9:$AJ$9,0),0)*F65*$L$15/(1+V65/$N$16)</f>
        <v>76313.125294382873</v>
      </c>
      <c r="V65" s="6">
        <f>VLOOKUP($S$13,角色设定!$AB$9:$AJ$21,MATCH(V$17,角色设定!$AB$9:$AJ$9,0),0)*G65*$L$15</f>
        <v>8172.4261511688073</v>
      </c>
      <c r="W65" s="6">
        <f>VLOOKUP($S$13,角色设定!$AB$9:$AJ$21,MATCH(W$17,角色设定!$AB$9:$AJ$9,0),0)*H65</f>
        <v>0.4</v>
      </c>
      <c r="X65" s="6">
        <f>VLOOKUP($S$13,角色设定!$AB$9:$AJ$21,MATCH(X$17,角色设定!$AB$9:$AJ$9,0),0)*I65</f>
        <v>1.5</v>
      </c>
      <c r="Y65" s="6">
        <f>VLOOKUP($S$13,角色设定!$AB$9:$AJ$21,MATCH(Y$17,角色设定!$AB$9:$AJ$9,0),0)*J65</f>
        <v>0.9</v>
      </c>
      <c r="Z65" s="6">
        <f>VLOOKUP($S$13,角色设定!$AB$9:$AJ$21,MATCH(Z$17,角色设定!$AB$9:$AJ$9,0),0)</f>
        <v>0.75</v>
      </c>
      <c r="AA65" s="6"/>
      <c r="AB65" s="6"/>
      <c r="AC65" s="6">
        <f>T65*战斗公式!$E$38*(1+W65*(X65-1))*Y65</f>
        <v>62686.223318624383</v>
      </c>
      <c r="AD65" s="6">
        <f>U65*战斗公式!$E$40*(1+V65*战斗公式!$E$39)</f>
        <v>82549.759102715238</v>
      </c>
      <c r="AE65" s="21">
        <f t="shared" si="12"/>
        <v>145235.98242133961</v>
      </c>
      <c r="AF65" s="21">
        <f t="shared" si="16"/>
        <v>6915.9991629209835</v>
      </c>
      <c r="AG65" s="21"/>
      <c r="AH65" s="9">
        <f t="shared" si="13"/>
        <v>696.51359242915976</v>
      </c>
      <c r="AI65" s="9">
        <f t="shared" si="14"/>
        <v>22893.93758831486</v>
      </c>
      <c r="AJ65" s="9">
        <f t="shared" si="15"/>
        <v>2451.7278453506419</v>
      </c>
      <c r="AK65" s="9">
        <f t="shared" si="17"/>
        <v>33.167313925198414</v>
      </c>
      <c r="AL65" s="9">
        <f t="shared" si="18"/>
        <v>1011.4627019542168</v>
      </c>
      <c r="AM65" s="9">
        <f t="shared" si="19"/>
        <v>116.74894501669814</v>
      </c>
    </row>
    <row r="66" spans="4:39" ht="14.25" customHeight="1" x14ac:dyDescent="0.2">
      <c r="D66" s="1">
        <v>49</v>
      </c>
      <c r="E66" s="6">
        <f t="shared" si="26"/>
        <v>104.01269646942117</v>
      </c>
      <c r="F66" s="6">
        <f t="shared" si="26"/>
        <v>1040.1269646942117</v>
      </c>
      <c r="G66" s="6">
        <f t="shared" si="26"/>
        <v>114.41396611636328</v>
      </c>
      <c r="H66" s="6">
        <v>0.4</v>
      </c>
      <c r="I66" s="6">
        <v>1.5</v>
      </c>
      <c r="J66" s="6">
        <v>1</v>
      </c>
      <c r="K66" s="25">
        <f t="shared" si="8"/>
        <v>1.0458673096137068</v>
      </c>
      <c r="L66" s="6">
        <f t="shared" si="20"/>
        <v>4550.555470537176</v>
      </c>
      <c r="M66" s="6">
        <f t="shared" si="21"/>
        <v>71844.510785105551</v>
      </c>
      <c r="N66" s="6">
        <f t="shared" si="22"/>
        <v>8581.0474587272456</v>
      </c>
      <c r="O66" s="6">
        <f t="shared" si="23"/>
        <v>0.4</v>
      </c>
      <c r="P66" s="6">
        <f t="shared" si="24"/>
        <v>1.5</v>
      </c>
      <c r="Q66" s="6">
        <f t="shared" si="25"/>
        <v>1</v>
      </c>
      <c r="R66" s="6"/>
      <c r="S66" s="35">
        <v>49</v>
      </c>
      <c r="T66" s="6">
        <f>VLOOKUP($S$13,角色设定!$AB$9:$AJ$21,MATCH(E$17,角色设定!$AB$9:$AJ$9,0),0)*Z66*$L$15*E66/Y66/(1+W66*(X66-1))</f>
        <v>2437.7975735020586</v>
      </c>
      <c r="U66" s="6">
        <f>VLOOKUP($S$13,角色设定!$AB$9:$AJ$21,MATCH(F$17,角色设定!$AB$9:$AJ$9,0),0)*F66*$L$15/(1+V66/$N$16)</f>
        <v>79827.234205672823</v>
      </c>
      <c r="V66" s="6">
        <f>VLOOKUP($S$13,角色设定!$AB$9:$AJ$21,MATCH(V$17,角色设定!$AB$9:$AJ$9,0),0)*G66*$L$15</f>
        <v>8581.0474587272456</v>
      </c>
      <c r="W66" s="6">
        <f>VLOOKUP($S$13,角色设定!$AB$9:$AJ$21,MATCH(W$17,角色设定!$AB$9:$AJ$9,0),0)*H66</f>
        <v>0.4</v>
      </c>
      <c r="X66" s="6">
        <f>VLOOKUP($S$13,角色设定!$AB$9:$AJ$21,MATCH(X$17,角色设定!$AB$9:$AJ$9,0),0)*I66</f>
        <v>1.5</v>
      </c>
      <c r="Y66" s="6">
        <f>VLOOKUP($S$13,角色设定!$AB$9:$AJ$21,MATCH(Y$17,角色设定!$AB$9:$AJ$9,0),0)*J66</f>
        <v>0.9</v>
      </c>
      <c r="Z66" s="6">
        <f>VLOOKUP($S$13,角色设定!$AB$9:$AJ$21,MATCH(Z$17,角色设定!$AB$9:$AJ$9,0),0)</f>
        <v>0.75</v>
      </c>
      <c r="AA66" s="6"/>
      <c r="AB66" s="6"/>
      <c r="AC66" s="6">
        <f>T66*战斗公式!$E$38*(1+W66*(X66-1))*Y66</f>
        <v>65820.534484555581</v>
      </c>
      <c r="AD66" s="6">
        <f>U66*战斗公式!$E$40*(1+V66*战斗公式!$E$39)</f>
        <v>86677.247057850967</v>
      </c>
      <c r="AE66" s="21">
        <f t="shared" si="12"/>
        <v>152497.78154240653</v>
      </c>
      <c r="AF66" s="21">
        <f t="shared" si="16"/>
        <v>7261.7991210669279</v>
      </c>
      <c r="AG66" s="21"/>
      <c r="AH66" s="9">
        <f t="shared" si="13"/>
        <v>731.33927205061752</v>
      </c>
      <c r="AI66" s="9">
        <f t="shared" si="14"/>
        <v>23948.170261701845</v>
      </c>
      <c r="AJ66" s="9">
        <f t="shared" si="15"/>
        <v>2574.3142376181736</v>
      </c>
      <c r="AK66" s="9">
        <f t="shared" si="17"/>
        <v>34.825679621457766</v>
      </c>
      <c r="AL66" s="9">
        <f t="shared" si="18"/>
        <v>1054.232673386985</v>
      </c>
      <c r="AM66" s="9">
        <f t="shared" si="19"/>
        <v>122.58639226753166</v>
      </c>
    </row>
    <row r="67" spans="4:39" ht="14.25" customHeight="1" x14ac:dyDescent="0.2">
      <c r="D67" s="1">
        <v>50</v>
      </c>
      <c r="E67" s="6">
        <f t="shared" si="26"/>
        <v>109.21333129289224</v>
      </c>
      <c r="F67" s="6">
        <f t="shared" si="26"/>
        <v>1092.1333129289224</v>
      </c>
      <c r="G67" s="6">
        <f t="shared" si="26"/>
        <v>120.13466442218146</v>
      </c>
      <c r="H67" s="6">
        <v>0.4</v>
      </c>
      <c r="I67" s="6">
        <v>1.5</v>
      </c>
      <c r="J67" s="6">
        <v>1</v>
      </c>
      <c r="K67" s="25">
        <f t="shared" si="8"/>
        <v>1.04567853437384</v>
      </c>
      <c r="L67" s="6">
        <f t="shared" si="20"/>
        <v>4778.0832440640352</v>
      </c>
      <c r="M67" s="6">
        <f t="shared" si="21"/>
        <v>75139.82520533129</v>
      </c>
      <c r="N67" s="6">
        <f t="shared" si="22"/>
        <v>9010.0998316636087</v>
      </c>
      <c r="O67" s="6">
        <f t="shared" si="23"/>
        <v>0.4</v>
      </c>
      <c r="P67" s="6">
        <f t="shared" si="24"/>
        <v>1.5</v>
      </c>
      <c r="Q67" s="6">
        <f t="shared" si="25"/>
        <v>1</v>
      </c>
      <c r="R67" s="6"/>
      <c r="S67" s="35">
        <v>50</v>
      </c>
      <c r="T67" s="6">
        <f>VLOOKUP($S$13,角色设定!$AB$9:$AJ$21,MATCH(E$17,角色设定!$AB$9:$AJ$9,0),0)*Z67*$L$15*E67/Y67/(1+W67*(X67-1))</f>
        <v>2559.687452177162</v>
      </c>
      <c r="U67" s="6">
        <f>VLOOKUP($S$13,角色设定!$AB$9:$AJ$21,MATCH(F$17,角色设定!$AB$9:$AJ$9,0),0)*F67*$L$15/(1+V67/$N$16)</f>
        <v>83488.694672590325</v>
      </c>
      <c r="V67" s="6">
        <f>VLOOKUP($S$13,角色设定!$AB$9:$AJ$21,MATCH(V$17,角色设定!$AB$9:$AJ$9,0),0)*G67*$L$15</f>
        <v>9010.0998316636087</v>
      </c>
      <c r="W67" s="6">
        <f>VLOOKUP($S$13,角色设定!$AB$9:$AJ$21,MATCH(W$17,角色设定!$AB$9:$AJ$9,0),0)*H67</f>
        <v>0.4</v>
      </c>
      <c r="X67" s="6">
        <f>VLOOKUP($S$13,角色设定!$AB$9:$AJ$21,MATCH(X$17,角色设定!$AB$9:$AJ$9,0),0)*I67</f>
        <v>1.5</v>
      </c>
      <c r="Y67" s="6">
        <f>VLOOKUP($S$13,角色设定!$AB$9:$AJ$21,MATCH(Y$17,角色设定!$AB$9:$AJ$9,0),0)*J67</f>
        <v>0.9</v>
      </c>
      <c r="Z67" s="6">
        <f>VLOOKUP($S$13,角色设定!$AB$9:$AJ$21,MATCH(Z$17,角色设定!$AB$9:$AJ$9,0),0)</f>
        <v>0.75</v>
      </c>
      <c r="AA67" s="6"/>
      <c r="AB67" s="6"/>
      <c r="AC67" s="6">
        <f>T67*战斗公式!$E$38*(1+W67*(X67-1))*Y67</f>
        <v>69111.561208783372</v>
      </c>
      <c r="AD67" s="6">
        <f>U67*战斗公式!$E$40*(1+V67*战斗公式!$E$39)</f>
        <v>91011.109410743535</v>
      </c>
      <c r="AE67" s="21">
        <f t="shared" si="12"/>
        <v>160122.67061952691</v>
      </c>
      <c r="AF67" s="21">
        <f t="shared" si="16"/>
        <v>7624.8890771203733</v>
      </c>
      <c r="AG67" s="21"/>
      <c r="AH67" s="9">
        <f t="shared" si="13"/>
        <v>767.90623565314854</v>
      </c>
      <c r="AI67" s="9">
        <f t="shared" si="14"/>
        <v>25046.608401777095</v>
      </c>
      <c r="AJ67" s="9">
        <f t="shared" si="15"/>
        <v>2703.0299494990827</v>
      </c>
      <c r="AK67" s="9">
        <f t="shared" si="17"/>
        <v>36.566963602531018</v>
      </c>
      <c r="AL67" s="9">
        <f t="shared" si="18"/>
        <v>1098.43814007525</v>
      </c>
      <c r="AM67" s="9">
        <f t="shared" si="19"/>
        <v>128.71571188090911</v>
      </c>
    </row>
    <row r="68" spans="4:39" ht="14.25" customHeight="1" x14ac:dyDescent="0.2">
      <c r="D68" s="1">
        <v>51</v>
      </c>
      <c r="E68" s="6">
        <f t="shared" si="26"/>
        <v>114.67399785753685</v>
      </c>
      <c r="F68" s="6">
        <f t="shared" si="26"/>
        <v>1146.7399785753685</v>
      </c>
      <c r="G68" s="6">
        <f t="shared" si="26"/>
        <v>126.14139764329053</v>
      </c>
      <c r="H68" s="6">
        <v>0.4</v>
      </c>
      <c r="I68" s="6">
        <v>1.5</v>
      </c>
      <c r="J68" s="6">
        <v>1</v>
      </c>
      <c r="K68" s="25">
        <f t="shared" si="8"/>
        <v>1.0454819855367339</v>
      </c>
      <c r="L68" s="6">
        <f t="shared" si="20"/>
        <v>5016.987406267237</v>
      </c>
      <c r="M68" s="6">
        <f t="shared" si="21"/>
        <v>78572.102293817341</v>
      </c>
      <c r="N68" s="6">
        <f t="shared" si="22"/>
        <v>9460.6048232467892</v>
      </c>
      <c r="O68" s="6">
        <f t="shared" si="23"/>
        <v>0.4</v>
      </c>
      <c r="P68" s="6">
        <f t="shared" si="24"/>
        <v>1.5</v>
      </c>
      <c r="Q68" s="6">
        <f t="shared" si="25"/>
        <v>1</v>
      </c>
      <c r="R68" s="6"/>
      <c r="S68" s="35">
        <v>51</v>
      </c>
      <c r="T68" s="6">
        <f>VLOOKUP($S$13,角色设定!$AB$9:$AJ$21,MATCH(E$17,角色设定!$AB$9:$AJ$9,0),0)*Z68*$L$15*E68/Y68/(1+W68*(X68-1))</f>
        <v>2687.6718247860199</v>
      </c>
      <c r="U68" s="6">
        <f>VLOOKUP($S$13,角色设定!$AB$9:$AJ$21,MATCH(F$17,角色设定!$AB$9:$AJ$9,0),0)*F68*$L$15/(1+V68/$N$16)</f>
        <v>87302.335882019281</v>
      </c>
      <c r="V68" s="6">
        <f>VLOOKUP($S$13,角色设定!$AB$9:$AJ$21,MATCH(V$17,角色设定!$AB$9:$AJ$9,0),0)*G68*$L$15</f>
        <v>9460.6048232467892</v>
      </c>
      <c r="W68" s="6">
        <f>VLOOKUP($S$13,角色设定!$AB$9:$AJ$21,MATCH(W$17,角色设定!$AB$9:$AJ$9,0),0)*H68</f>
        <v>0.4</v>
      </c>
      <c r="X68" s="6">
        <f>VLOOKUP($S$13,角色设定!$AB$9:$AJ$21,MATCH(X$17,角色设定!$AB$9:$AJ$9,0),0)*I68</f>
        <v>1.5</v>
      </c>
      <c r="Y68" s="6">
        <f>VLOOKUP($S$13,角色设定!$AB$9:$AJ$21,MATCH(Y$17,角色设定!$AB$9:$AJ$9,0),0)*J68</f>
        <v>0.9</v>
      </c>
      <c r="Z68" s="6">
        <f>VLOOKUP($S$13,角色设定!$AB$9:$AJ$21,MATCH(Z$17,角色设定!$AB$9:$AJ$9,0),0)</f>
        <v>0.75</v>
      </c>
      <c r="AA68" s="6"/>
      <c r="AB68" s="6"/>
      <c r="AC68" s="6">
        <f>T68*战斗公式!$E$38*(1+W68*(X68-1))*Y68</f>
        <v>72567.139269222534</v>
      </c>
      <c r="AD68" s="6">
        <f>U68*战斗公式!$E$40*(1+V68*战斗公式!$E$39)</f>
        <v>95561.664881280711</v>
      </c>
      <c r="AE68" s="21">
        <f t="shared" si="12"/>
        <v>168128.80415050325</v>
      </c>
      <c r="AF68" s="21">
        <f t="shared" si="16"/>
        <v>8006.1335309763381</v>
      </c>
      <c r="AG68" s="21"/>
      <c r="AH68" s="9">
        <f t="shared" si="13"/>
        <v>806.3015474358059</v>
      </c>
      <c r="AI68" s="9">
        <f t="shared" si="14"/>
        <v>26190.700764605783</v>
      </c>
      <c r="AJ68" s="9">
        <f t="shared" si="15"/>
        <v>2838.1814469740366</v>
      </c>
      <c r="AK68" s="9">
        <f t="shared" si="17"/>
        <v>38.395311782657359</v>
      </c>
      <c r="AL68" s="9">
        <f t="shared" si="18"/>
        <v>1144.0923628286873</v>
      </c>
      <c r="AM68" s="9">
        <f t="shared" si="19"/>
        <v>135.15149747495389</v>
      </c>
    </row>
    <row r="69" spans="4:39" ht="14.25" customHeight="1" x14ac:dyDescent="0.2">
      <c r="D69" s="1">
        <v>52</v>
      </c>
      <c r="E69" s="6">
        <f t="shared" si="26"/>
        <v>120.40769775041369</v>
      </c>
      <c r="F69" s="6">
        <f t="shared" si="26"/>
        <v>1204.0769775041369</v>
      </c>
      <c r="G69" s="6">
        <f t="shared" si="26"/>
        <v>132.44846752545504</v>
      </c>
      <c r="H69" s="6">
        <v>0.4</v>
      </c>
      <c r="I69" s="6">
        <v>1.5</v>
      </c>
      <c r="J69" s="6">
        <v>1</v>
      </c>
      <c r="K69" s="25">
        <f t="shared" si="8"/>
        <v>1.0452774214915752</v>
      </c>
      <c r="L69" s="6">
        <f t="shared" si="20"/>
        <v>5267.8367765805997</v>
      </c>
      <c r="M69" s="6">
        <f t="shared" si="21"/>
        <v>82145.717513935509</v>
      </c>
      <c r="N69" s="6">
        <f t="shared" si="22"/>
        <v>9933.635064409129</v>
      </c>
      <c r="O69" s="6">
        <f t="shared" si="23"/>
        <v>0.4</v>
      </c>
      <c r="P69" s="6">
        <f t="shared" si="24"/>
        <v>1.5</v>
      </c>
      <c r="Q69" s="6">
        <f t="shared" si="25"/>
        <v>1</v>
      </c>
      <c r="R69" s="6"/>
      <c r="S69" s="35">
        <v>52</v>
      </c>
      <c r="T69" s="6">
        <f>VLOOKUP($S$13,角色设定!$AB$9:$AJ$21,MATCH(E$17,角色设定!$AB$9:$AJ$9,0),0)*Z69*$L$15*E69/Y69/(1+W69*(X69-1))</f>
        <v>2822.0554160253205</v>
      </c>
      <c r="U69" s="6">
        <f>VLOOKUP($S$13,角色设定!$AB$9:$AJ$21,MATCH(F$17,角色设定!$AB$9:$AJ$9,0),0)*F69*$L$15/(1+V69/$N$16)</f>
        <v>91273.019459928342</v>
      </c>
      <c r="V69" s="6">
        <f>VLOOKUP($S$13,角色设定!$AB$9:$AJ$21,MATCH(V$17,角色设定!$AB$9:$AJ$9,0),0)*G69*$L$15</f>
        <v>9933.635064409129</v>
      </c>
      <c r="W69" s="6">
        <f>VLOOKUP($S$13,角色设定!$AB$9:$AJ$21,MATCH(W$17,角色设定!$AB$9:$AJ$9,0),0)*H69</f>
        <v>0.4</v>
      </c>
      <c r="X69" s="6">
        <f>VLOOKUP($S$13,角色设定!$AB$9:$AJ$21,MATCH(X$17,角色设定!$AB$9:$AJ$9,0),0)*I69</f>
        <v>1.5</v>
      </c>
      <c r="Y69" s="6">
        <f>VLOOKUP($S$13,角色设定!$AB$9:$AJ$21,MATCH(Y$17,角色设定!$AB$9:$AJ$9,0),0)*J69</f>
        <v>0.9</v>
      </c>
      <c r="Z69" s="6">
        <f>VLOOKUP($S$13,角色设定!$AB$9:$AJ$21,MATCH(Z$17,角色设定!$AB$9:$AJ$9,0),0)</f>
        <v>0.75</v>
      </c>
      <c r="AA69" s="6"/>
      <c r="AB69" s="6"/>
      <c r="AC69" s="6">
        <f>T69*战斗公式!$E$38*(1+W69*(X69-1))*Y69</f>
        <v>76195.496232683654</v>
      </c>
      <c r="AD69" s="6">
        <f>U69*战斗公式!$E$40*(1+V69*战斗公式!$E$39)</f>
        <v>100339.74812534475</v>
      </c>
      <c r="AE69" s="21">
        <f t="shared" si="12"/>
        <v>176535.2443580284</v>
      </c>
      <c r="AF69" s="21">
        <f t="shared" si="16"/>
        <v>8406.4402075251564</v>
      </c>
      <c r="AG69" s="21"/>
      <c r="AH69" s="9">
        <f t="shared" si="13"/>
        <v>846.61662480759617</v>
      </c>
      <c r="AI69" s="9">
        <f t="shared" si="14"/>
        <v>27381.905837978502</v>
      </c>
      <c r="AJ69" s="9">
        <f t="shared" si="15"/>
        <v>2980.0905193227386</v>
      </c>
      <c r="AK69" s="9">
        <f t="shared" si="17"/>
        <v>40.315077371790267</v>
      </c>
      <c r="AL69" s="9">
        <f t="shared" si="18"/>
        <v>1191.2050733727192</v>
      </c>
      <c r="AM69" s="9">
        <f t="shared" si="19"/>
        <v>141.90907234870201</v>
      </c>
    </row>
    <row r="70" spans="4:39" ht="14.25" customHeight="1" x14ac:dyDescent="0.2">
      <c r="D70" s="1">
        <v>53</v>
      </c>
      <c r="E70" s="6">
        <f t="shared" si="26"/>
        <v>126.42808263793438</v>
      </c>
      <c r="F70" s="6">
        <f t="shared" si="26"/>
        <v>1264.2808263793438</v>
      </c>
      <c r="G70" s="6">
        <f t="shared" si="26"/>
        <v>139.07089090172781</v>
      </c>
      <c r="H70" s="6">
        <v>0.4</v>
      </c>
      <c r="I70" s="6">
        <v>1.5</v>
      </c>
      <c r="J70" s="6">
        <v>1</v>
      </c>
      <c r="K70" s="25">
        <f t="shared" si="8"/>
        <v>1.0450646003783373</v>
      </c>
      <c r="L70" s="6">
        <f t="shared" si="20"/>
        <v>5531.2286154096282</v>
      </c>
      <c r="M70" s="6">
        <f t="shared" si="21"/>
        <v>85865.063789541848</v>
      </c>
      <c r="N70" s="6">
        <f t="shared" si="22"/>
        <v>10430.316817629586</v>
      </c>
      <c r="O70" s="6">
        <f t="shared" si="23"/>
        <v>0.4</v>
      </c>
      <c r="P70" s="6">
        <f t="shared" si="24"/>
        <v>1.5</v>
      </c>
      <c r="Q70" s="6">
        <f t="shared" si="25"/>
        <v>1</v>
      </c>
      <c r="R70" s="6"/>
      <c r="S70" s="35">
        <v>53</v>
      </c>
      <c r="T70" s="6">
        <f>VLOOKUP($S$13,角色设定!$AB$9:$AJ$21,MATCH(E$17,角色设定!$AB$9:$AJ$9,0),0)*Z70*$L$15*E70/Y70/(1+W70*(X70-1))</f>
        <v>2963.1581868265871</v>
      </c>
      <c r="U70" s="6">
        <f>VLOOKUP($S$13,角色设定!$AB$9:$AJ$21,MATCH(F$17,角色设定!$AB$9:$AJ$9,0),0)*F70*$L$15/(1+V70/$N$16)</f>
        <v>95405.626432824254</v>
      </c>
      <c r="V70" s="6">
        <f>VLOOKUP($S$13,角色设定!$AB$9:$AJ$21,MATCH(V$17,角色设定!$AB$9:$AJ$9,0),0)*G70*$L$15</f>
        <v>10430.316817629586</v>
      </c>
      <c r="W70" s="6">
        <f>VLOOKUP($S$13,角色设定!$AB$9:$AJ$21,MATCH(W$17,角色设定!$AB$9:$AJ$9,0),0)*H70</f>
        <v>0.4</v>
      </c>
      <c r="X70" s="6">
        <f>VLOOKUP($S$13,角色设定!$AB$9:$AJ$21,MATCH(X$17,角色设定!$AB$9:$AJ$9,0),0)*I70</f>
        <v>1.5</v>
      </c>
      <c r="Y70" s="6">
        <f>VLOOKUP($S$13,角色设定!$AB$9:$AJ$21,MATCH(Y$17,角色设定!$AB$9:$AJ$9,0),0)*J70</f>
        <v>0.9</v>
      </c>
      <c r="Z70" s="6">
        <f>VLOOKUP($S$13,角色设定!$AB$9:$AJ$21,MATCH(Z$17,角色设定!$AB$9:$AJ$9,0),0)</f>
        <v>0.75</v>
      </c>
      <c r="AA70" s="6"/>
      <c r="AB70" s="6"/>
      <c r="AC70" s="6">
        <f>T70*战斗公式!$E$38*(1+W70*(X70-1))*Y70</f>
        <v>80005.271044317851</v>
      </c>
      <c r="AD70" s="6">
        <f>U70*战斗公式!$E$40*(1+V70*战斗公式!$E$39)</f>
        <v>105356.73553161198</v>
      </c>
      <c r="AE70" s="21">
        <f t="shared" si="12"/>
        <v>185362.00657592982</v>
      </c>
      <c r="AF70" s="21">
        <f t="shared" si="16"/>
        <v>8826.7622179014143</v>
      </c>
      <c r="AG70" s="21"/>
      <c r="AH70" s="9">
        <f t="shared" si="13"/>
        <v>888.94745604797606</v>
      </c>
      <c r="AI70" s="9">
        <f t="shared" si="14"/>
        <v>28621.687929847274</v>
      </c>
      <c r="AJ70" s="9">
        <f t="shared" si="15"/>
        <v>3129.0950452888756</v>
      </c>
      <c r="AK70" s="9">
        <f t="shared" si="17"/>
        <v>42.330831240379894</v>
      </c>
      <c r="AL70" s="9">
        <f t="shared" si="18"/>
        <v>1239.7820918687721</v>
      </c>
      <c r="AM70" s="9">
        <f t="shared" si="19"/>
        <v>149.00452596613695</v>
      </c>
    </row>
    <row r="71" spans="4:39" ht="14.25" customHeight="1" x14ac:dyDescent="0.2">
      <c r="D71" s="1">
        <v>54</v>
      </c>
      <c r="E71" s="6">
        <f t="shared" si="26"/>
        <v>132.74948676983109</v>
      </c>
      <c r="F71" s="6">
        <f t="shared" si="26"/>
        <v>1327.4948676983108</v>
      </c>
      <c r="G71" s="6">
        <f t="shared" si="26"/>
        <v>146.02443544681418</v>
      </c>
      <c r="H71" s="6">
        <v>0.4</v>
      </c>
      <c r="I71" s="6">
        <v>1.5</v>
      </c>
      <c r="J71" s="6">
        <v>1</v>
      </c>
      <c r="K71" s="25">
        <f t="shared" si="8"/>
        <v>1.0448432808669132</v>
      </c>
      <c r="L71" s="6">
        <f t="shared" si="20"/>
        <v>5807.7900461801109</v>
      </c>
      <c r="M71" s="6">
        <f t="shared" si="21"/>
        <v>89734.538575677987</v>
      </c>
      <c r="N71" s="6">
        <f t="shared" si="22"/>
        <v>10951.832658511064</v>
      </c>
      <c r="O71" s="6">
        <f t="shared" si="23"/>
        <v>0.4</v>
      </c>
      <c r="P71" s="6">
        <f t="shared" si="24"/>
        <v>1.5</v>
      </c>
      <c r="Q71" s="6">
        <f t="shared" si="25"/>
        <v>1</v>
      </c>
      <c r="R71" s="6"/>
      <c r="S71" s="35">
        <v>54</v>
      </c>
      <c r="T71" s="6">
        <f>VLOOKUP($S$13,角色设定!$AB$9:$AJ$21,MATCH(E$17,角色设定!$AB$9:$AJ$9,0),0)*Z71*$L$15*E71/Y71/(1+W71*(X71-1))</f>
        <v>3111.3160961679164</v>
      </c>
      <c r="U71" s="6">
        <f>VLOOKUP($S$13,角色设定!$AB$9:$AJ$21,MATCH(F$17,角色设定!$AB$9:$AJ$9,0),0)*F71*$L$15/(1+V71/$N$16)</f>
        <v>99705.042861864436</v>
      </c>
      <c r="V71" s="6">
        <f>VLOOKUP($S$13,角色设定!$AB$9:$AJ$21,MATCH(V$17,角色设定!$AB$9:$AJ$9,0),0)*G71*$L$15</f>
        <v>10951.832658511064</v>
      </c>
      <c r="W71" s="6">
        <f>VLOOKUP($S$13,角色设定!$AB$9:$AJ$21,MATCH(W$17,角色设定!$AB$9:$AJ$9,0),0)*H71</f>
        <v>0.4</v>
      </c>
      <c r="X71" s="6">
        <f>VLOOKUP($S$13,角色设定!$AB$9:$AJ$21,MATCH(X$17,角色设定!$AB$9:$AJ$9,0),0)*I71</f>
        <v>1.5</v>
      </c>
      <c r="Y71" s="6">
        <f>VLOOKUP($S$13,角色设定!$AB$9:$AJ$21,MATCH(Y$17,角色设定!$AB$9:$AJ$9,0),0)*J71</f>
        <v>0.9</v>
      </c>
      <c r="Z71" s="6">
        <f>VLOOKUP($S$13,角色设定!$AB$9:$AJ$21,MATCH(Z$17,角色设定!$AB$9:$AJ$9,0),0)</f>
        <v>0.75</v>
      </c>
      <c r="AA71" s="6"/>
      <c r="AB71" s="6"/>
      <c r="AC71" s="6">
        <f>T71*战斗公式!$E$38*(1+W71*(X71-1))*Y71</f>
        <v>84005.534596533747</v>
      </c>
      <c r="AD71" s="6">
        <f>U71*战斗公式!$E$40*(1+V71*战斗公式!$E$39)</f>
        <v>110624.57230819257</v>
      </c>
      <c r="AE71" s="21">
        <f t="shared" si="12"/>
        <v>194630.1069047263</v>
      </c>
      <c r="AF71" s="21">
        <f t="shared" si="16"/>
        <v>9268.100328796485</v>
      </c>
      <c r="AG71" s="21"/>
      <c r="AH71" s="9">
        <f t="shared" si="13"/>
        <v>933.39482885037489</v>
      </c>
      <c r="AI71" s="9">
        <f t="shared" si="14"/>
        <v>29911.51285855933</v>
      </c>
      <c r="AJ71" s="9">
        <f t="shared" si="15"/>
        <v>3285.5497975533194</v>
      </c>
      <c r="AK71" s="9">
        <f t="shared" si="17"/>
        <v>44.447372802398831</v>
      </c>
      <c r="AL71" s="9">
        <f t="shared" si="18"/>
        <v>1289.8249287120561</v>
      </c>
      <c r="AM71" s="9">
        <f t="shared" si="19"/>
        <v>156.45475226444387</v>
      </c>
    </row>
    <row r="72" spans="4:39" ht="14.25" customHeight="1" x14ac:dyDescent="0.2">
      <c r="D72" s="1">
        <v>55</v>
      </c>
      <c r="E72" s="6">
        <f t="shared" si="26"/>
        <v>139.38696110832262</v>
      </c>
      <c r="F72" s="6">
        <f t="shared" si="26"/>
        <v>1393.8696110832263</v>
      </c>
      <c r="G72" s="6">
        <f t="shared" si="26"/>
        <v>153.32565721915489</v>
      </c>
      <c r="H72" s="6">
        <v>0.4</v>
      </c>
      <c r="I72" s="6">
        <v>1.5</v>
      </c>
      <c r="J72" s="6">
        <v>1</v>
      </c>
      <c r="K72" s="25">
        <f t="shared" si="8"/>
        <v>1.0446132230062484</v>
      </c>
      <c r="L72" s="6">
        <f t="shared" si="20"/>
        <v>6098.1795484891145</v>
      </c>
      <c r="M72" s="6">
        <f t="shared" si="21"/>
        <v>93758.529692489974</v>
      </c>
      <c r="N72" s="6">
        <f t="shared" si="22"/>
        <v>11499.424291436617</v>
      </c>
      <c r="O72" s="6">
        <f t="shared" si="23"/>
        <v>0.4</v>
      </c>
      <c r="P72" s="6">
        <f t="shared" si="24"/>
        <v>1.5</v>
      </c>
      <c r="Q72" s="6">
        <f t="shared" si="25"/>
        <v>1</v>
      </c>
      <c r="R72" s="6"/>
      <c r="S72" s="35">
        <v>55</v>
      </c>
      <c r="T72" s="6">
        <f>VLOOKUP($S$13,角色设定!$AB$9:$AJ$21,MATCH(E$17,角色设定!$AB$9:$AJ$9,0),0)*Z72*$L$15*E72/Y72/(1+W72*(X72-1))</f>
        <v>3266.8819009763115</v>
      </c>
      <c r="U72" s="6">
        <f>VLOOKUP($S$13,角色设定!$AB$9:$AJ$21,MATCH(F$17,角色设定!$AB$9:$AJ$9,0),0)*F72*$L$15/(1+V72/$N$16)</f>
        <v>104176.14410276664</v>
      </c>
      <c r="V72" s="6">
        <f>VLOOKUP($S$13,角色设定!$AB$9:$AJ$21,MATCH(V$17,角色设定!$AB$9:$AJ$9,0),0)*G72*$L$15</f>
        <v>11499.424291436617</v>
      </c>
      <c r="W72" s="6">
        <f>VLOOKUP($S$13,角色设定!$AB$9:$AJ$21,MATCH(W$17,角色设定!$AB$9:$AJ$9,0),0)*H72</f>
        <v>0.4</v>
      </c>
      <c r="X72" s="6">
        <f>VLOOKUP($S$13,角色设定!$AB$9:$AJ$21,MATCH(X$17,角色设定!$AB$9:$AJ$9,0),0)*I72</f>
        <v>1.5</v>
      </c>
      <c r="Y72" s="6">
        <f>VLOOKUP($S$13,角色设定!$AB$9:$AJ$21,MATCH(Y$17,角色设定!$AB$9:$AJ$9,0),0)*J72</f>
        <v>0.9</v>
      </c>
      <c r="Z72" s="6">
        <f>VLOOKUP($S$13,角色设定!$AB$9:$AJ$21,MATCH(Z$17,角色设定!$AB$9:$AJ$9,0),0)</f>
        <v>0.75</v>
      </c>
      <c r="AA72" s="6"/>
      <c r="AB72" s="6"/>
      <c r="AC72" s="6">
        <f>T72*战斗公式!$E$38*(1+W72*(X72-1))*Y72</f>
        <v>88205.811326360403</v>
      </c>
      <c r="AD72" s="6">
        <f>U72*战斗公式!$E$40*(1+V72*战斗公式!$E$39)</f>
        <v>116155.8009236022</v>
      </c>
      <c r="AE72" s="21">
        <f t="shared" si="12"/>
        <v>204361.61224996261</v>
      </c>
      <c r="AF72" s="21">
        <f t="shared" si="16"/>
        <v>9731.5053452363063</v>
      </c>
      <c r="AG72" s="21"/>
      <c r="AH72" s="9">
        <f t="shared" si="13"/>
        <v>980.06457029289345</v>
      </c>
      <c r="AI72" s="9">
        <f t="shared" si="14"/>
        <v>31252.843230829993</v>
      </c>
      <c r="AJ72" s="9">
        <f t="shared" si="15"/>
        <v>3449.8272874309851</v>
      </c>
      <c r="AK72" s="9">
        <f t="shared" si="17"/>
        <v>46.669741442518557</v>
      </c>
      <c r="AL72" s="9">
        <f t="shared" si="18"/>
        <v>1341.3303722706623</v>
      </c>
      <c r="AM72" s="9">
        <f t="shared" si="19"/>
        <v>164.27748987766563</v>
      </c>
    </row>
    <row r="73" spans="4:39" ht="14.25" customHeight="1" x14ac:dyDescent="0.2">
      <c r="D73" s="1">
        <v>56</v>
      </c>
      <c r="E73" s="6">
        <f t="shared" si="26"/>
        <v>146.35630916373879</v>
      </c>
      <c r="F73" s="6">
        <f t="shared" si="26"/>
        <v>1463.563091637388</v>
      </c>
      <c r="G73" s="6">
        <f t="shared" si="26"/>
        <v>160.99194008011267</v>
      </c>
      <c r="H73" s="6">
        <v>0.4</v>
      </c>
      <c r="I73" s="6">
        <v>1.5</v>
      </c>
      <c r="J73" s="6">
        <v>1</v>
      </c>
      <c r="K73" s="25">
        <f t="shared" si="8"/>
        <v>1.0443741891450449</v>
      </c>
      <c r="L73" s="6">
        <f t="shared" si="20"/>
        <v>6403.0885259135712</v>
      </c>
      <c r="M73" s="6">
        <f t="shared" si="21"/>
        <v>97941.399886398984</v>
      </c>
      <c r="N73" s="6">
        <f t="shared" si="22"/>
        <v>12074.39550600845</v>
      </c>
      <c r="O73" s="6">
        <f t="shared" si="23"/>
        <v>0.4</v>
      </c>
      <c r="P73" s="6">
        <f t="shared" si="24"/>
        <v>1.5</v>
      </c>
      <c r="Q73" s="6">
        <f t="shared" si="25"/>
        <v>1</v>
      </c>
      <c r="R73" s="6"/>
      <c r="S73" s="35">
        <v>56</v>
      </c>
      <c r="T73" s="6">
        <f>VLOOKUP($S$13,角色设定!$AB$9:$AJ$21,MATCH(E$17,角色设定!$AB$9:$AJ$9,0),0)*Z73*$L$15*E73/Y73/(1+W73*(X73-1))</f>
        <v>3430.2259960251281</v>
      </c>
      <c r="U73" s="6">
        <f>VLOOKUP($S$13,角色设定!$AB$9:$AJ$21,MATCH(F$17,角色设定!$AB$9:$AJ$9,0),0)*F73*$L$15/(1+V73/$N$16)</f>
        <v>108823.77765155444</v>
      </c>
      <c r="V73" s="6">
        <f>VLOOKUP($S$13,角色设定!$AB$9:$AJ$21,MATCH(V$17,角色设定!$AB$9:$AJ$9,0),0)*G73*$L$15</f>
        <v>12074.39550600845</v>
      </c>
      <c r="W73" s="6">
        <f>VLOOKUP($S$13,角色设定!$AB$9:$AJ$21,MATCH(W$17,角色设定!$AB$9:$AJ$9,0),0)*H73</f>
        <v>0.4</v>
      </c>
      <c r="X73" s="6">
        <f>VLOOKUP($S$13,角色设定!$AB$9:$AJ$21,MATCH(X$17,角色设定!$AB$9:$AJ$9,0),0)*I73</f>
        <v>1.5</v>
      </c>
      <c r="Y73" s="6">
        <f>VLOOKUP($S$13,角色设定!$AB$9:$AJ$21,MATCH(Y$17,角色设定!$AB$9:$AJ$9,0),0)*J73</f>
        <v>0.9</v>
      </c>
      <c r="Z73" s="6">
        <f>VLOOKUP($S$13,角色设定!$AB$9:$AJ$21,MATCH(Z$17,角色设定!$AB$9:$AJ$9,0),0)</f>
        <v>0.75</v>
      </c>
      <c r="AA73" s="6"/>
      <c r="AB73" s="6"/>
      <c r="AC73" s="6">
        <f>T73*战斗公式!$E$38*(1+W73*(X73-1))*Y73</f>
        <v>92616.10189267846</v>
      </c>
      <c r="AD73" s="6">
        <f>U73*战斗公式!$E$40*(1+V73*战斗公式!$E$39)</f>
        <v>121963.59096978235</v>
      </c>
      <c r="AE73" s="21">
        <f t="shared" si="12"/>
        <v>214579.6928624608</v>
      </c>
      <c r="AF73" s="21">
        <f t="shared" si="16"/>
        <v>10218.08061249819</v>
      </c>
      <c r="AG73" s="21"/>
      <c r="AH73" s="9">
        <f t="shared" si="13"/>
        <v>1029.0677988075383</v>
      </c>
      <c r="AI73" s="9">
        <f t="shared" si="14"/>
        <v>32647.13329546633</v>
      </c>
      <c r="AJ73" s="9">
        <f t="shared" si="15"/>
        <v>3622.318651802535</v>
      </c>
      <c r="AK73" s="9">
        <f t="shared" si="17"/>
        <v>49.003228514644888</v>
      </c>
      <c r="AL73" s="9">
        <f t="shared" si="18"/>
        <v>1394.2900646363378</v>
      </c>
      <c r="AM73" s="9">
        <f t="shared" si="19"/>
        <v>172.49136437154993</v>
      </c>
    </row>
    <row r="74" spans="4:39" ht="14.25" customHeight="1" x14ac:dyDescent="0.2">
      <c r="D74" s="1">
        <v>57</v>
      </c>
      <c r="E74" s="6">
        <f t="shared" si="26"/>
        <v>153.6741246219257</v>
      </c>
      <c r="F74" s="6">
        <f t="shared" si="26"/>
        <v>1536.7412462192569</v>
      </c>
      <c r="G74" s="6">
        <f t="shared" si="26"/>
        <v>169.04153708411826</v>
      </c>
      <c r="H74" s="6">
        <v>0.4</v>
      </c>
      <c r="I74" s="6">
        <v>1.5</v>
      </c>
      <c r="J74" s="6">
        <v>1</v>
      </c>
      <c r="K74" s="25">
        <f t="shared" si="8"/>
        <v>1.0441259449251004</v>
      </c>
      <c r="L74" s="6">
        <f t="shared" si="20"/>
        <v>6723.2429522092498</v>
      </c>
      <c r="M74" s="6">
        <f t="shared" si="21"/>
        <v>102287.47009008852</v>
      </c>
      <c r="N74" s="6">
        <f t="shared" si="22"/>
        <v>12678.11528130887</v>
      </c>
      <c r="O74" s="6">
        <f t="shared" si="23"/>
        <v>0.4</v>
      </c>
      <c r="P74" s="6">
        <f t="shared" si="24"/>
        <v>1.5</v>
      </c>
      <c r="Q74" s="6">
        <f t="shared" si="25"/>
        <v>1</v>
      </c>
      <c r="R74" s="6"/>
      <c r="S74" s="35">
        <v>57</v>
      </c>
      <c r="T74" s="6">
        <f>VLOOKUP($S$13,角色设定!$AB$9:$AJ$21,MATCH(E$17,角色设定!$AB$9:$AJ$9,0),0)*Z74*$L$15*E74/Y74/(1+W74*(X74-1))</f>
        <v>3601.7372958263832</v>
      </c>
      <c r="U74" s="6">
        <f>VLOOKUP($S$13,角色设定!$AB$9:$AJ$21,MATCH(F$17,角色设定!$AB$9:$AJ$9,0),0)*F74*$L$15/(1+V74/$N$16)</f>
        <v>113652.7445445428</v>
      </c>
      <c r="V74" s="6">
        <f>VLOOKUP($S$13,角色设定!$AB$9:$AJ$21,MATCH(V$17,角色设定!$AB$9:$AJ$9,0),0)*G74*$L$15</f>
        <v>12678.11528130887</v>
      </c>
      <c r="W74" s="6">
        <f>VLOOKUP($S$13,角色设定!$AB$9:$AJ$21,MATCH(W$17,角色设定!$AB$9:$AJ$9,0),0)*H74</f>
        <v>0.4</v>
      </c>
      <c r="X74" s="6">
        <f>VLOOKUP($S$13,角色设定!$AB$9:$AJ$21,MATCH(X$17,角色设定!$AB$9:$AJ$9,0),0)*I74</f>
        <v>1.5</v>
      </c>
      <c r="Y74" s="6">
        <f>VLOOKUP($S$13,角色设定!$AB$9:$AJ$21,MATCH(Y$17,角色设定!$AB$9:$AJ$9,0),0)*J74</f>
        <v>0.9</v>
      </c>
      <c r="Z74" s="6">
        <f>VLOOKUP($S$13,角色设定!$AB$9:$AJ$21,MATCH(Z$17,角色设定!$AB$9:$AJ$9,0),0)</f>
        <v>0.75</v>
      </c>
      <c r="AA74" s="6"/>
      <c r="AB74" s="6"/>
      <c r="AC74" s="6">
        <f>T74*战斗公式!$E$38*(1+W74*(X74-1))*Y74</f>
        <v>97246.906987312337</v>
      </c>
      <c r="AD74" s="6">
        <f>U74*战斗公式!$E$40*(1+V74*战斗公式!$E$39)</f>
        <v>128061.77051827141</v>
      </c>
      <c r="AE74" s="21">
        <f t="shared" si="12"/>
        <v>225308.67750558374</v>
      </c>
      <c r="AF74" s="21">
        <f t="shared" si="16"/>
        <v>10728.984643122938</v>
      </c>
      <c r="AG74" s="21"/>
      <c r="AH74" s="9">
        <f t="shared" si="13"/>
        <v>1080.5211887479149</v>
      </c>
      <c r="AI74" s="9">
        <f t="shared" si="14"/>
        <v>34095.823363362841</v>
      </c>
      <c r="AJ74" s="9">
        <f t="shared" si="15"/>
        <v>3803.4345843926608</v>
      </c>
      <c r="AK74" s="9">
        <f t="shared" si="17"/>
        <v>51.45338994037661</v>
      </c>
      <c r="AL74" s="9">
        <f t="shared" si="18"/>
        <v>1448.6900678965103</v>
      </c>
      <c r="AM74" s="9">
        <f t="shared" si="19"/>
        <v>181.11593259012579</v>
      </c>
    </row>
    <row r="75" spans="4:39" ht="14.25" customHeight="1" x14ac:dyDescent="0.2">
      <c r="D75" s="1">
        <v>58</v>
      </c>
      <c r="E75" s="6">
        <f t="shared" si="26"/>
        <v>161.35783085302199</v>
      </c>
      <c r="F75" s="6">
        <f t="shared" si="26"/>
        <v>1613.5783085302201</v>
      </c>
      <c r="G75" s="6">
        <f t="shared" si="26"/>
        <v>177.49361393832422</v>
      </c>
      <c r="H75" s="6">
        <v>0.4</v>
      </c>
      <c r="I75" s="6">
        <v>1.5</v>
      </c>
      <c r="J75" s="6">
        <v>1</v>
      </c>
      <c r="K75" s="25">
        <f t="shared" si="8"/>
        <v>1.0438682603477776</v>
      </c>
      <c r="L75" s="6">
        <f t="shared" si="20"/>
        <v>7059.4050998197117</v>
      </c>
      <c r="M75" s="6">
        <f t="shared" si="21"/>
        <v>106801.00136181162</v>
      </c>
      <c r="N75" s="6">
        <f t="shared" si="22"/>
        <v>13312.021045374317</v>
      </c>
      <c r="O75" s="6">
        <f t="shared" si="23"/>
        <v>0.4</v>
      </c>
      <c r="P75" s="6">
        <f t="shared" si="24"/>
        <v>1.5</v>
      </c>
      <c r="Q75" s="6">
        <f t="shared" si="25"/>
        <v>1</v>
      </c>
      <c r="R75" s="6"/>
      <c r="S75" s="35">
        <v>58</v>
      </c>
      <c r="T75" s="6">
        <f>VLOOKUP($S$13,角色设定!$AB$9:$AJ$21,MATCH(E$17,角色设定!$AB$9:$AJ$9,0),0)*Z75*$L$15*E75/Y75/(1+W75*(X75-1))</f>
        <v>3781.8241606177025</v>
      </c>
      <c r="U75" s="6">
        <f>VLOOKUP($S$13,角色设定!$AB$9:$AJ$21,MATCH(F$17,角色设定!$AB$9:$AJ$9,0),0)*F75*$L$15/(1+V75/$N$16)</f>
        <v>118667.77929090182</v>
      </c>
      <c r="V75" s="6">
        <f>VLOOKUP($S$13,角色设定!$AB$9:$AJ$21,MATCH(V$17,角色设定!$AB$9:$AJ$9,0),0)*G75*$L$15</f>
        <v>13312.021045374317</v>
      </c>
      <c r="W75" s="6">
        <f>VLOOKUP($S$13,角色设定!$AB$9:$AJ$21,MATCH(W$17,角色设定!$AB$9:$AJ$9,0),0)*H75</f>
        <v>0.4</v>
      </c>
      <c r="X75" s="6">
        <f>VLOOKUP($S$13,角色设定!$AB$9:$AJ$21,MATCH(X$17,角色设定!$AB$9:$AJ$9,0),0)*I75</f>
        <v>1.5</v>
      </c>
      <c r="Y75" s="6">
        <f>VLOOKUP($S$13,角色设定!$AB$9:$AJ$21,MATCH(Y$17,角色设定!$AB$9:$AJ$9,0),0)*J75</f>
        <v>0.9</v>
      </c>
      <c r="Z75" s="6">
        <f>VLOOKUP($S$13,角色设定!$AB$9:$AJ$21,MATCH(Z$17,角色设定!$AB$9:$AJ$9,0),0)</f>
        <v>0.75</v>
      </c>
      <c r="AA75" s="6"/>
      <c r="AB75" s="6"/>
      <c r="AC75" s="6">
        <f>T75*战斗公式!$E$38*(1+W75*(X75-1))*Y75</f>
        <v>102109.25233667795</v>
      </c>
      <c r="AD75" s="6">
        <f>U75*战斗公式!$E$40*(1+V75*战斗公式!$E$39)</f>
        <v>134464.85904418502</v>
      </c>
      <c r="AE75" s="21">
        <f t="shared" si="12"/>
        <v>236574.11138086297</v>
      </c>
      <c r="AF75" s="21">
        <f t="shared" si="16"/>
        <v>11265.433875279239</v>
      </c>
      <c r="AG75" s="21"/>
      <c r="AH75" s="9">
        <f t="shared" si="13"/>
        <v>1134.5472481853108</v>
      </c>
      <c r="AI75" s="9">
        <f t="shared" si="14"/>
        <v>35600.333787270545</v>
      </c>
      <c r="AJ75" s="9">
        <f t="shared" si="15"/>
        <v>3993.6063136122948</v>
      </c>
      <c r="AK75" s="9">
        <f t="shared" si="17"/>
        <v>54.026059437395816</v>
      </c>
      <c r="AL75" s="9">
        <f t="shared" si="18"/>
        <v>1504.5104239077045</v>
      </c>
      <c r="AM75" s="9">
        <f t="shared" si="19"/>
        <v>190.17172921963402</v>
      </c>
    </row>
    <row r="76" spans="4:39" ht="14.25" customHeight="1" x14ac:dyDescent="0.2">
      <c r="D76" s="1">
        <v>59</v>
      </c>
      <c r="E76" s="6">
        <f t="shared" si="26"/>
        <v>169.42572239567312</v>
      </c>
      <c r="F76" s="6">
        <f t="shared" si="26"/>
        <v>1694.2572239567312</v>
      </c>
      <c r="G76" s="6">
        <f t="shared" si="26"/>
        <v>186.36829463524043</v>
      </c>
      <c r="H76" s="6">
        <v>0.4</v>
      </c>
      <c r="I76" s="6">
        <v>1.5</v>
      </c>
      <c r="J76" s="6">
        <v>1</v>
      </c>
      <c r="K76" s="25">
        <f t="shared" si="8"/>
        <v>1.0436009109134565</v>
      </c>
      <c r="L76" s="6">
        <f t="shared" si="20"/>
        <v>7412.3753548106979</v>
      </c>
      <c r="M76" s="6">
        <f t="shared" si="21"/>
        <v>111486.17549495492</v>
      </c>
      <c r="N76" s="6">
        <f t="shared" si="22"/>
        <v>13977.622097643032</v>
      </c>
      <c r="O76" s="6">
        <f t="shared" si="23"/>
        <v>0.4</v>
      </c>
      <c r="P76" s="6">
        <f t="shared" si="24"/>
        <v>1.5</v>
      </c>
      <c r="Q76" s="6">
        <f t="shared" si="25"/>
        <v>1</v>
      </c>
      <c r="R76" s="6"/>
      <c r="S76" s="35">
        <v>59</v>
      </c>
      <c r="T76" s="6">
        <f>VLOOKUP($S$13,角色设定!$AB$9:$AJ$21,MATCH(E$17,角色设定!$AB$9:$AJ$9,0),0)*Z76*$L$15*E76/Y76/(1+W76*(X76-1))</f>
        <v>3970.9153686485888</v>
      </c>
      <c r="U76" s="6">
        <f>VLOOKUP($S$13,角色设定!$AB$9:$AJ$21,MATCH(F$17,角色设定!$AB$9:$AJ$9,0),0)*F76*$L$15/(1+V76/$N$16)</f>
        <v>123873.5283277277</v>
      </c>
      <c r="V76" s="6">
        <f>VLOOKUP($S$13,角色设定!$AB$9:$AJ$21,MATCH(V$17,角色设定!$AB$9:$AJ$9,0),0)*G76*$L$15</f>
        <v>13977.622097643032</v>
      </c>
      <c r="W76" s="6">
        <f>VLOOKUP($S$13,角色设定!$AB$9:$AJ$21,MATCH(W$17,角色设定!$AB$9:$AJ$9,0),0)*H76</f>
        <v>0.4</v>
      </c>
      <c r="X76" s="6">
        <f>VLOOKUP($S$13,角色设定!$AB$9:$AJ$21,MATCH(X$17,角色设定!$AB$9:$AJ$9,0),0)*I76</f>
        <v>1.5</v>
      </c>
      <c r="Y76" s="6">
        <f>VLOOKUP($S$13,角色设定!$AB$9:$AJ$21,MATCH(Y$17,角色设定!$AB$9:$AJ$9,0),0)*J76</f>
        <v>0.9</v>
      </c>
      <c r="Z76" s="6">
        <f>VLOOKUP($S$13,角色设定!$AB$9:$AJ$21,MATCH(Z$17,角色设定!$AB$9:$AJ$9,0),0)</f>
        <v>0.75</v>
      </c>
      <c r="AA76" s="6"/>
      <c r="AB76" s="6"/>
      <c r="AC76" s="6">
        <f>T76*战斗公式!$E$38*(1+W76*(X76-1))*Y76</f>
        <v>107214.7149535119</v>
      </c>
      <c r="AD76" s="6">
        <f>U76*战斗公式!$E$40*(1+V76*战斗公式!$E$39)</f>
        <v>141188.10199639428</v>
      </c>
      <c r="AE76" s="21">
        <f t="shared" si="12"/>
        <v>248402.81694990618</v>
      </c>
      <c r="AF76" s="21">
        <f t="shared" si="16"/>
        <v>11828.705569043203</v>
      </c>
      <c r="AG76" s="21"/>
      <c r="AH76" s="9">
        <f t="shared" si="13"/>
        <v>1191.2746105945766</v>
      </c>
      <c r="AI76" s="9">
        <f t="shared" si="14"/>
        <v>37162.058498318307</v>
      </c>
      <c r="AJ76" s="9">
        <f t="shared" si="15"/>
        <v>4193.2866292929093</v>
      </c>
      <c r="AK76" s="9">
        <f t="shared" si="17"/>
        <v>56.727362409265879</v>
      </c>
      <c r="AL76" s="9">
        <f t="shared" si="18"/>
        <v>1561.724711047762</v>
      </c>
      <c r="AM76" s="9">
        <f t="shared" si="19"/>
        <v>199.68031568061451</v>
      </c>
    </row>
    <row r="77" spans="4:39" ht="14.25" customHeight="1" x14ac:dyDescent="0.2">
      <c r="D77" s="1">
        <v>60</v>
      </c>
      <c r="E77" s="6">
        <f t="shared" si="26"/>
        <v>177.89700851545678</v>
      </c>
      <c r="F77" s="6">
        <f t="shared" si="26"/>
        <v>1778.9700851545679</v>
      </c>
      <c r="G77" s="6">
        <f t="shared" si="26"/>
        <v>195.68670936700246</v>
      </c>
      <c r="H77" s="6">
        <v>0.4</v>
      </c>
      <c r="I77" s="6">
        <v>1.5</v>
      </c>
      <c r="J77" s="6">
        <v>1</v>
      </c>
      <c r="K77" s="25">
        <f t="shared" si="8"/>
        <v>1.0433236788330467</v>
      </c>
      <c r="L77" s="6">
        <f t="shared" si="20"/>
        <v>7782.9941225512339</v>
      </c>
      <c r="M77" s="6">
        <f t="shared" si="21"/>
        <v>116347.07430079243</v>
      </c>
      <c r="N77" s="6">
        <f t="shared" si="22"/>
        <v>14676.503202525184</v>
      </c>
      <c r="O77" s="6">
        <f t="shared" si="23"/>
        <v>0.4</v>
      </c>
      <c r="P77" s="6">
        <f t="shared" si="24"/>
        <v>1.5</v>
      </c>
      <c r="Q77" s="6">
        <f t="shared" si="25"/>
        <v>1</v>
      </c>
      <c r="R77" s="6"/>
      <c r="S77" s="35">
        <v>60</v>
      </c>
      <c r="T77" s="6">
        <f>VLOOKUP($S$13,角色设定!$AB$9:$AJ$21,MATCH(E$17,角色设定!$AB$9:$AJ$9,0),0)*Z77*$L$15*E77/Y77/(1+W77*(X77-1))</f>
        <v>4169.4611370810189</v>
      </c>
      <c r="U77" s="6">
        <f>VLOOKUP($S$13,角色设定!$AB$9:$AJ$21,MATCH(F$17,角色设定!$AB$9:$AJ$9,0),0)*F77*$L$15/(1+V77/$N$16)</f>
        <v>129274.52700088048</v>
      </c>
      <c r="V77" s="6">
        <f>VLOOKUP($S$13,角色设定!$AB$9:$AJ$21,MATCH(V$17,角色设定!$AB$9:$AJ$9,0),0)*G77*$L$15</f>
        <v>14676.503202525184</v>
      </c>
      <c r="W77" s="6">
        <f>VLOOKUP($S$13,角色设定!$AB$9:$AJ$21,MATCH(W$17,角色设定!$AB$9:$AJ$9,0),0)*H77</f>
        <v>0.4</v>
      </c>
      <c r="X77" s="6">
        <f>VLOOKUP($S$13,角色设定!$AB$9:$AJ$21,MATCH(X$17,角色设定!$AB$9:$AJ$9,0),0)*I77</f>
        <v>1.5</v>
      </c>
      <c r="Y77" s="6">
        <f>VLOOKUP($S$13,角色设定!$AB$9:$AJ$21,MATCH(Y$17,角色设定!$AB$9:$AJ$9,0),0)*J77</f>
        <v>0.9</v>
      </c>
      <c r="Z77" s="6">
        <f>VLOOKUP($S$13,角色设定!$AB$9:$AJ$21,MATCH(Z$17,角色设定!$AB$9:$AJ$9,0),0)</f>
        <v>0.75</v>
      </c>
      <c r="AA77" s="6"/>
      <c r="AB77" s="6"/>
      <c r="AC77" s="6">
        <f>T77*战斗公式!$E$38*(1+W77*(X77-1))*Y77</f>
        <v>112575.45070118752</v>
      </c>
      <c r="AD77" s="6">
        <f>U77*战斗公式!$E$40*(1+V77*战斗公式!$E$39)</f>
        <v>148247.50709621399</v>
      </c>
      <c r="AE77" s="21">
        <f t="shared" si="12"/>
        <v>260822.95779740153</v>
      </c>
      <c r="AF77" s="21">
        <f t="shared" si="16"/>
        <v>12420.14084749535</v>
      </c>
      <c r="AG77" s="21"/>
      <c r="AH77" s="9">
        <f t="shared" si="13"/>
        <v>1250.8383411243055</v>
      </c>
      <c r="AI77" s="9">
        <f t="shared" si="14"/>
        <v>38782.358100264144</v>
      </c>
      <c r="AJ77" s="9">
        <f t="shared" si="15"/>
        <v>4402.9509607575546</v>
      </c>
      <c r="AK77" s="9">
        <f t="shared" si="17"/>
        <v>59.5637305297289</v>
      </c>
      <c r="AL77" s="9">
        <f t="shared" si="18"/>
        <v>1620.2996019458369</v>
      </c>
      <c r="AM77" s="9">
        <f t="shared" si="19"/>
        <v>209.66433146464533</v>
      </c>
    </row>
    <row r="78" spans="4:39" ht="14.25" customHeight="1" x14ac:dyDescent="0.2">
      <c r="D78" s="1">
        <v>61</v>
      </c>
      <c r="E78" s="6">
        <f t="shared" si="26"/>
        <v>186.79185894122958</v>
      </c>
      <c r="F78" s="6">
        <f t="shared" si="26"/>
        <v>1867.9185894122959</v>
      </c>
      <c r="G78" s="6">
        <f t="shared" si="26"/>
        <v>205.47104483535256</v>
      </c>
      <c r="H78" s="6">
        <v>0.4</v>
      </c>
      <c r="I78" s="6">
        <v>1.5</v>
      </c>
      <c r="J78" s="6">
        <v>1</v>
      </c>
      <c r="K78" s="25">
        <f t="shared" si="8"/>
        <v>1.0430363543098202</v>
      </c>
      <c r="L78" s="6">
        <f t="shared" si="20"/>
        <v>8172.1438286787934</v>
      </c>
      <c r="M78" s="6">
        <f t="shared" si="21"/>
        <v>121387.65758096459</v>
      </c>
      <c r="N78" s="6">
        <f t="shared" si="22"/>
        <v>15410.328362651442</v>
      </c>
      <c r="O78" s="6">
        <f t="shared" si="23"/>
        <v>0.4</v>
      </c>
      <c r="P78" s="6">
        <f t="shared" si="24"/>
        <v>1.5</v>
      </c>
      <c r="Q78" s="6">
        <f t="shared" si="25"/>
        <v>1</v>
      </c>
      <c r="R78" s="6"/>
      <c r="S78" s="35">
        <v>61</v>
      </c>
      <c r="T78" s="6">
        <f>VLOOKUP($S$13,角色设定!$AB$9:$AJ$21,MATCH(E$17,角色设定!$AB$9:$AJ$9,0),0)*Z78*$L$15*E78/Y78/(1+W78*(X78-1))</f>
        <v>4377.9341939350688</v>
      </c>
      <c r="U78" s="6">
        <f>VLOOKUP($S$13,角色设定!$AB$9:$AJ$21,MATCH(F$17,角色设定!$AB$9:$AJ$9,0),0)*F78*$L$15/(1+V78/$N$16)</f>
        <v>134875.17508996066</v>
      </c>
      <c r="V78" s="6">
        <f>VLOOKUP($S$13,角色设定!$AB$9:$AJ$21,MATCH(V$17,角色设定!$AB$9:$AJ$9,0),0)*G78*$L$15</f>
        <v>15410.328362651442</v>
      </c>
      <c r="W78" s="6">
        <f>VLOOKUP($S$13,角色设定!$AB$9:$AJ$21,MATCH(W$17,角色设定!$AB$9:$AJ$9,0),0)*H78</f>
        <v>0.4</v>
      </c>
      <c r="X78" s="6">
        <f>VLOOKUP($S$13,角色设定!$AB$9:$AJ$21,MATCH(X$17,角色设定!$AB$9:$AJ$9,0),0)*I78</f>
        <v>1.5</v>
      </c>
      <c r="Y78" s="6">
        <f>VLOOKUP($S$13,角色设定!$AB$9:$AJ$21,MATCH(Y$17,角色设定!$AB$9:$AJ$9,0),0)*J78</f>
        <v>0.9</v>
      </c>
      <c r="Z78" s="6">
        <f>VLOOKUP($S$13,角色设定!$AB$9:$AJ$21,MATCH(Z$17,角色设定!$AB$9:$AJ$9,0),0)</f>
        <v>0.75</v>
      </c>
      <c r="AA78" s="6"/>
      <c r="AB78" s="6"/>
      <c r="AC78" s="6">
        <f>T78*战斗公式!$E$38*(1+W78*(X78-1))*Y78</f>
        <v>118204.22323624686</v>
      </c>
      <c r="AD78" s="6">
        <f>U78*战斗公式!$E$40*(1+V78*战斗公式!$E$39)</f>
        <v>155659.88245102466</v>
      </c>
      <c r="AE78" s="21">
        <f t="shared" si="12"/>
        <v>273864.10568727151</v>
      </c>
      <c r="AF78" s="21">
        <f t="shared" si="16"/>
        <v>13041.147889869986</v>
      </c>
      <c r="AG78" s="21"/>
      <c r="AH78" s="9">
        <f t="shared" si="13"/>
        <v>1313.3802581805205</v>
      </c>
      <c r="AI78" s="9">
        <f t="shared" si="14"/>
        <v>40462.552526988198</v>
      </c>
      <c r="AJ78" s="9">
        <f t="shared" si="15"/>
        <v>4623.0985087954323</v>
      </c>
      <c r="AK78" s="9">
        <f t="shared" si="17"/>
        <v>62.54191705621497</v>
      </c>
      <c r="AL78" s="9">
        <f t="shared" si="18"/>
        <v>1680.1944267240542</v>
      </c>
      <c r="AM78" s="9">
        <f t="shared" si="19"/>
        <v>220.14754803787764</v>
      </c>
    </row>
    <row r="79" spans="4:39" ht="14.25" customHeight="1" x14ac:dyDescent="0.2">
      <c r="D79" s="1">
        <v>62</v>
      </c>
      <c r="E79" s="6">
        <f t="shared" si="26"/>
        <v>196.13145188829111</v>
      </c>
      <c r="F79" s="6">
        <f t="shared" si="26"/>
        <v>1961.3145188829112</v>
      </c>
      <c r="G79" s="6">
        <f t="shared" si="26"/>
        <v>215.74459707712023</v>
      </c>
      <c r="H79" s="6">
        <v>0.4</v>
      </c>
      <c r="I79" s="6">
        <v>1.5</v>
      </c>
      <c r="J79" s="6">
        <v>1</v>
      </c>
      <c r="K79" s="25">
        <f t="shared" si="8"/>
        <v>1.0427387368888794</v>
      </c>
      <c r="L79" s="6">
        <f t="shared" si="20"/>
        <v>8580.751020112737</v>
      </c>
      <c r="M79" s="6">
        <f t="shared" si="21"/>
        <v>126611.7398214581</v>
      </c>
      <c r="N79" s="6">
        <f t="shared" si="22"/>
        <v>16180.844780784017</v>
      </c>
      <c r="O79" s="6">
        <f t="shared" si="23"/>
        <v>0.4</v>
      </c>
      <c r="P79" s="6">
        <f t="shared" si="24"/>
        <v>1.5</v>
      </c>
      <c r="Q79" s="6">
        <f t="shared" si="25"/>
        <v>1</v>
      </c>
      <c r="R79" s="6"/>
      <c r="S79" s="35">
        <v>62</v>
      </c>
      <c r="T79" s="6">
        <f>VLOOKUP($S$13,角色设定!$AB$9:$AJ$21,MATCH(E$17,角色设定!$AB$9:$AJ$9,0),0)*Z79*$L$15*E79/Y79/(1+W79*(X79-1))</f>
        <v>4596.8309036318224</v>
      </c>
      <c r="U79" s="6">
        <f>VLOOKUP($S$13,角色设定!$AB$9:$AJ$21,MATCH(F$17,角色设定!$AB$9:$AJ$9,0),0)*F79*$L$15/(1+V79/$N$16)</f>
        <v>140679.71091273124</v>
      </c>
      <c r="V79" s="6">
        <f>VLOOKUP($S$13,角色设定!$AB$9:$AJ$21,MATCH(V$17,角色设定!$AB$9:$AJ$9,0),0)*G79*$L$15</f>
        <v>16180.844780784017</v>
      </c>
      <c r="W79" s="6">
        <f>VLOOKUP($S$13,角色设定!$AB$9:$AJ$21,MATCH(W$17,角色设定!$AB$9:$AJ$9,0),0)*H79</f>
        <v>0.4</v>
      </c>
      <c r="X79" s="6">
        <f>VLOOKUP($S$13,角色设定!$AB$9:$AJ$21,MATCH(X$17,角色设定!$AB$9:$AJ$9,0),0)*I79</f>
        <v>1.5</v>
      </c>
      <c r="Y79" s="6">
        <f>VLOOKUP($S$13,角色设定!$AB$9:$AJ$21,MATCH(Y$17,角色设定!$AB$9:$AJ$9,0),0)*J79</f>
        <v>0.9</v>
      </c>
      <c r="Z79" s="6">
        <f>VLOOKUP($S$13,角色设定!$AB$9:$AJ$21,MATCH(Z$17,角色设定!$AB$9:$AJ$9,0),0)</f>
        <v>0.75</v>
      </c>
      <c r="AA79" s="6"/>
      <c r="AB79" s="6"/>
      <c r="AC79" s="6">
        <f>T79*战斗公式!$E$38*(1+W79*(X79-1))*Y79</f>
        <v>124114.43439805921</v>
      </c>
      <c r="AD79" s="6">
        <f>U79*战斗公式!$E$40*(1+V79*战斗公式!$E$39)</f>
        <v>163442.87657357595</v>
      </c>
      <c r="AE79" s="21">
        <f t="shared" si="12"/>
        <v>287557.31097163516</v>
      </c>
      <c r="AF79" s="21">
        <f t="shared" si="16"/>
        <v>13693.205284363648</v>
      </c>
      <c r="AG79" s="21"/>
      <c r="AH79" s="9">
        <f t="shared" si="13"/>
        <v>1379.0492710895467</v>
      </c>
      <c r="AI79" s="9">
        <f t="shared" si="14"/>
        <v>42203.913273819373</v>
      </c>
      <c r="AJ79" s="9">
        <f t="shared" si="15"/>
        <v>4854.2534342352046</v>
      </c>
      <c r="AK79" s="9">
        <f t="shared" si="17"/>
        <v>65.669012909026151</v>
      </c>
      <c r="AL79" s="9">
        <f t="shared" si="18"/>
        <v>1741.3607468311748</v>
      </c>
      <c r="AM79" s="9">
        <f t="shared" si="19"/>
        <v>231.15492543977234</v>
      </c>
    </row>
    <row r="80" spans="4:39" ht="14.25" customHeight="1" x14ac:dyDescent="0.2">
      <c r="D80" s="1">
        <v>63</v>
      </c>
      <c r="E80" s="6">
        <f t="shared" si="26"/>
        <v>205.9380244827056</v>
      </c>
      <c r="F80" s="6">
        <f t="shared" si="26"/>
        <v>2059.3802448270558</v>
      </c>
      <c r="G80" s="6">
        <f t="shared" si="26"/>
        <v>226.53182693097614</v>
      </c>
      <c r="H80" s="6">
        <v>0.4</v>
      </c>
      <c r="I80" s="6">
        <v>1.5</v>
      </c>
      <c r="J80" s="6">
        <v>1</v>
      </c>
      <c r="K80" s="25">
        <f t="shared" si="8"/>
        <v>1.0424306368705902</v>
      </c>
      <c r="L80" s="6">
        <f t="shared" si="20"/>
        <v>9009.7885711183699</v>
      </c>
      <c r="M80" s="6">
        <f t="shared" si="21"/>
        <v>132022.96565673067</v>
      </c>
      <c r="N80" s="6">
        <f t="shared" si="22"/>
        <v>16989.887019823211</v>
      </c>
      <c r="O80" s="6">
        <f t="shared" si="23"/>
        <v>0.4</v>
      </c>
      <c r="P80" s="6">
        <f t="shared" si="24"/>
        <v>1.5</v>
      </c>
      <c r="Q80" s="6">
        <f t="shared" si="25"/>
        <v>1</v>
      </c>
      <c r="R80" s="6"/>
      <c r="S80" s="35">
        <v>63</v>
      </c>
      <c r="T80" s="6">
        <f>VLOOKUP($S$13,角色设定!$AB$9:$AJ$21,MATCH(E$17,角色设定!$AB$9:$AJ$9,0),0)*Z80*$L$15*E80/Y80/(1+W80*(X80-1))</f>
        <v>4826.6724488134132</v>
      </c>
      <c r="U80" s="6">
        <f>VLOOKUP($S$13,角色设定!$AB$9:$AJ$21,MATCH(F$17,角色设定!$AB$9:$AJ$9,0),0)*F80*$L$15/(1+V80/$N$16)</f>
        <v>146692.18406303407</v>
      </c>
      <c r="V80" s="6">
        <f>VLOOKUP($S$13,角色设定!$AB$9:$AJ$21,MATCH(V$17,角色设定!$AB$9:$AJ$9,0),0)*G80*$L$15</f>
        <v>16989.887019823211</v>
      </c>
      <c r="W80" s="6">
        <f>VLOOKUP($S$13,角色设定!$AB$9:$AJ$21,MATCH(W$17,角色设定!$AB$9:$AJ$9,0),0)*H80</f>
        <v>0.4</v>
      </c>
      <c r="X80" s="6">
        <f>VLOOKUP($S$13,角色设定!$AB$9:$AJ$21,MATCH(X$17,角色设定!$AB$9:$AJ$9,0),0)*I80</f>
        <v>1.5</v>
      </c>
      <c r="Y80" s="6">
        <f>VLOOKUP($S$13,角色设定!$AB$9:$AJ$21,MATCH(Y$17,角色设定!$AB$9:$AJ$9,0),0)*J80</f>
        <v>0.9</v>
      </c>
      <c r="Z80" s="6">
        <f>VLOOKUP($S$13,角色设定!$AB$9:$AJ$21,MATCH(Z$17,角色设定!$AB$9:$AJ$9,0),0)</f>
        <v>0.75</v>
      </c>
      <c r="AA80" s="6"/>
      <c r="AB80" s="6"/>
      <c r="AC80" s="6">
        <f>T80*战斗公式!$E$38*(1+W80*(X80-1))*Y80</f>
        <v>130320.15611796218</v>
      </c>
      <c r="AD80" s="6">
        <f>U80*战斗公式!$E$40*(1+V80*战斗公式!$E$39)</f>
        <v>171615.02040225465</v>
      </c>
      <c r="AE80" s="21">
        <f t="shared" si="12"/>
        <v>301935.17652021686</v>
      </c>
      <c r="AF80" s="21">
        <f t="shared" si="16"/>
        <v>14377.8655485817</v>
      </c>
      <c r="AG80" s="21"/>
      <c r="AH80" s="9">
        <f t="shared" si="13"/>
        <v>1448.0017346440238</v>
      </c>
      <c r="AI80" s="9">
        <f t="shared" si="14"/>
        <v>44007.655218910222</v>
      </c>
      <c r="AJ80" s="9">
        <f t="shared" si="15"/>
        <v>5096.9661059469627</v>
      </c>
      <c r="AK80" s="9">
        <f t="shared" si="17"/>
        <v>68.952463554477163</v>
      </c>
      <c r="AL80" s="9">
        <f t="shared" si="18"/>
        <v>1803.7419450908492</v>
      </c>
      <c r="AM80" s="9">
        <f t="shared" si="19"/>
        <v>242.71267171175805</v>
      </c>
    </row>
    <row r="81" spans="4:39" ht="14.25" customHeight="1" x14ac:dyDescent="0.2">
      <c r="D81" s="1">
        <v>64</v>
      </c>
      <c r="E81" s="6">
        <f t="shared" si="26"/>
        <v>216.23492570684095</v>
      </c>
      <c r="F81" s="6">
        <f t="shared" si="26"/>
        <v>2162.3492570684098</v>
      </c>
      <c r="G81" s="6">
        <f t="shared" si="26"/>
        <v>237.85841827752506</v>
      </c>
      <c r="H81" s="6">
        <v>0.4</v>
      </c>
      <c r="I81" s="6">
        <v>1.5</v>
      </c>
      <c r="J81" s="6">
        <v>1</v>
      </c>
      <c r="K81" s="25">
        <f t="shared" si="8"/>
        <v>1.0421118767831572</v>
      </c>
      <c r="L81" s="6">
        <f t="shared" si="20"/>
        <v>9460.277999674292</v>
      </c>
      <c r="M81" s="6">
        <f t="shared" si="21"/>
        <v>137624.78417108982</v>
      </c>
      <c r="N81" s="6">
        <f t="shared" si="22"/>
        <v>17839.381370814379</v>
      </c>
      <c r="O81" s="6">
        <f t="shared" si="23"/>
        <v>0.4</v>
      </c>
      <c r="P81" s="6">
        <f t="shared" si="24"/>
        <v>1.5</v>
      </c>
      <c r="Q81" s="6">
        <f t="shared" si="25"/>
        <v>1</v>
      </c>
      <c r="R81" s="6"/>
      <c r="S81" s="35">
        <v>64</v>
      </c>
      <c r="T81" s="6">
        <f>VLOOKUP($S$13,角色设定!$AB$9:$AJ$21,MATCH(E$17,角色设定!$AB$9:$AJ$9,0),0)*Z81*$L$15*E81/Y81/(1+W81*(X81-1))</f>
        <v>5068.0060712540844</v>
      </c>
      <c r="U81" s="6">
        <f>VLOOKUP($S$13,角色设定!$AB$9:$AJ$21,MATCH(F$17,角色设定!$AB$9:$AJ$9,0),0)*F81*$L$15/(1+V81/$N$16)</f>
        <v>152916.42685676648</v>
      </c>
      <c r="V81" s="6">
        <f>VLOOKUP($S$13,角色设定!$AB$9:$AJ$21,MATCH(V$17,角色设定!$AB$9:$AJ$9,0),0)*G81*$L$15</f>
        <v>17839.381370814379</v>
      </c>
      <c r="W81" s="6">
        <f>VLOOKUP($S$13,角色设定!$AB$9:$AJ$21,MATCH(W$17,角色设定!$AB$9:$AJ$9,0),0)*H81</f>
        <v>0.4</v>
      </c>
      <c r="X81" s="6">
        <f>VLOOKUP($S$13,角色设定!$AB$9:$AJ$21,MATCH(X$17,角色设定!$AB$9:$AJ$9,0),0)*I81</f>
        <v>1.5</v>
      </c>
      <c r="Y81" s="6">
        <f>VLOOKUP($S$13,角色设定!$AB$9:$AJ$21,MATCH(Y$17,角色设定!$AB$9:$AJ$9,0),0)*J81</f>
        <v>0.9</v>
      </c>
      <c r="Z81" s="6">
        <f>VLOOKUP($S$13,角色设定!$AB$9:$AJ$21,MATCH(Z$17,角色设定!$AB$9:$AJ$9,0),0)</f>
        <v>0.75</v>
      </c>
      <c r="AA81" s="6"/>
      <c r="AB81" s="6"/>
      <c r="AC81" s="6">
        <f>T81*战斗公式!$E$38*(1+W81*(X81-1))*Y81</f>
        <v>136836.16392386027</v>
      </c>
      <c r="AD81" s="6">
        <f>U81*战斗公式!$E$40*(1+V81*战斗公式!$E$39)</f>
        <v>180195.77142236748</v>
      </c>
      <c r="AE81" s="21">
        <f t="shared" si="12"/>
        <v>317031.93534622772</v>
      </c>
      <c r="AF81" s="21">
        <f t="shared" si="16"/>
        <v>15096.758826010861</v>
      </c>
      <c r="AG81" s="21"/>
      <c r="AH81" s="9">
        <f t="shared" si="13"/>
        <v>1520.4018213762254</v>
      </c>
      <c r="AI81" s="9">
        <f t="shared" si="14"/>
        <v>45874.928057029945</v>
      </c>
      <c r="AJ81" s="9">
        <f t="shared" si="15"/>
        <v>5351.8144112443133</v>
      </c>
      <c r="AK81" s="9">
        <f t="shared" si="17"/>
        <v>72.400086732201544</v>
      </c>
      <c r="AL81" s="9">
        <f t="shared" si="18"/>
        <v>1867.272838119723</v>
      </c>
      <c r="AM81" s="9">
        <f t="shared" si="19"/>
        <v>254.84830529735063</v>
      </c>
    </row>
    <row r="82" spans="4:39" ht="14.25" customHeight="1" x14ac:dyDescent="0.2">
      <c r="D82" s="1">
        <v>65</v>
      </c>
      <c r="E82" s="6">
        <f t="shared" si="26"/>
        <v>227.04667199218301</v>
      </c>
      <c r="F82" s="6">
        <f t="shared" si="26"/>
        <v>2270.4667199218297</v>
      </c>
      <c r="G82" s="6">
        <f t="shared" si="26"/>
        <v>249.75133919140129</v>
      </c>
      <c r="H82" s="6">
        <v>0.4</v>
      </c>
      <c r="I82" s="6">
        <v>1.5</v>
      </c>
      <c r="J82" s="6">
        <v>1</v>
      </c>
      <c r="K82" s="25">
        <f t="shared" si="8"/>
        <v>1.041782292908414</v>
      </c>
      <c r="L82" s="6">
        <f t="shared" ref="L82:L117" si="27">E82*$L$16/J82/(1+H82*(I82-1))*$L$15</f>
        <v>9933.2918996580065</v>
      </c>
      <c r="M82" s="6">
        <f t="shared" ref="M82:M113" si="28">F82/(1+N82/$N$16)*$L$15</f>
        <v>143420.42212441136</v>
      </c>
      <c r="N82" s="6">
        <f t="shared" ref="N82:N117" si="29">G82*$L$15</f>
        <v>18731.350439355097</v>
      </c>
      <c r="O82" s="6">
        <f t="shared" ref="O82:O94" si="30">H82</f>
        <v>0.4</v>
      </c>
      <c r="P82" s="6">
        <f t="shared" ref="P82:P94" si="31">I82</f>
        <v>1.5</v>
      </c>
      <c r="Q82" s="6">
        <f t="shared" ref="Q82:Q94" si="32">J82</f>
        <v>1</v>
      </c>
      <c r="R82" s="6"/>
      <c r="S82" s="35">
        <v>65</v>
      </c>
      <c r="T82" s="6">
        <f>VLOOKUP($S$13,角色设定!$AB$9:$AJ$21,MATCH(E$17,角色设定!$AB$9:$AJ$9,0),0)*Z82*$L$15*E82/Y82/(1+W82*(X82-1))</f>
        <v>5321.4063748167891</v>
      </c>
      <c r="U82" s="6">
        <f>VLOOKUP($S$13,角色设定!$AB$9:$AJ$21,MATCH(F$17,角色设定!$AB$9:$AJ$9,0),0)*F82*$L$15/(1+V82/$N$16)</f>
        <v>159356.0245826793</v>
      </c>
      <c r="V82" s="6">
        <f>VLOOKUP($S$13,角色设定!$AB$9:$AJ$21,MATCH(V$17,角色设定!$AB$9:$AJ$9,0),0)*G82*$L$15</f>
        <v>18731.350439355097</v>
      </c>
      <c r="W82" s="6">
        <f>VLOOKUP($S$13,角色设定!$AB$9:$AJ$21,MATCH(W$17,角色设定!$AB$9:$AJ$9,0),0)*H82</f>
        <v>0.4</v>
      </c>
      <c r="X82" s="6">
        <f>VLOOKUP($S$13,角色设定!$AB$9:$AJ$21,MATCH(X$17,角色设定!$AB$9:$AJ$9,0),0)*I82</f>
        <v>1.5</v>
      </c>
      <c r="Y82" s="6">
        <f>VLOOKUP($S$13,角色设定!$AB$9:$AJ$21,MATCH(Y$17,角色设定!$AB$9:$AJ$9,0),0)*J82</f>
        <v>0.9</v>
      </c>
      <c r="Z82" s="6">
        <f>VLOOKUP($S$13,角色设定!$AB$9:$AJ$21,MATCH(Z$17,角色设定!$AB$9:$AJ$9,0),0)</f>
        <v>0.75</v>
      </c>
      <c r="AA82" s="6"/>
      <c r="AB82" s="6"/>
      <c r="AC82" s="6">
        <f>T82*战斗公式!$E$38*(1+W82*(X82-1))*Y82</f>
        <v>143677.97212005331</v>
      </c>
      <c r="AD82" s="6">
        <f>U82*战斗公式!$E$40*(1+V82*战斗公式!$E$39)</f>
        <v>189205.5599934858</v>
      </c>
      <c r="AE82" s="21">
        <f t="shared" si="12"/>
        <v>332883.53211353911</v>
      </c>
      <c r="AF82" s="21">
        <f t="shared" si="16"/>
        <v>15851.596767311392</v>
      </c>
      <c r="AG82" s="21"/>
      <c r="AH82" s="9">
        <f t="shared" si="13"/>
        <v>1596.4219124450367</v>
      </c>
      <c r="AI82" s="9">
        <f t="shared" si="14"/>
        <v>47806.807374803786</v>
      </c>
      <c r="AJ82" s="9">
        <f t="shared" si="15"/>
        <v>5619.4051318065294</v>
      </c>
      <c r="AK82" s="9">
        <f t="shared" si="17"/>
        <v>76.020091068811325</v>
      </c>
      <c r="AL82" s="9">
        <f t="shared" si="18"/>
        <v>1931.8793177738407</v>
      </c>
      <c r="AM82" s="9">
        <f t="shared" si="19"/>
        <v>267.59072056221612</v>
      </c>
    </row>
    <row r="83" spans="4:39" ht="14.25" customHeight="1" x14ac:dyDescent="0.2">
      <c r="D83" s="1">
        <v>66</v>
      </c>
      <c r="E83" s="6">
        <f t="shared" ref="E83:G117" si="33">E$15*E$16^($D83-1)</f>
        <v>238.39900559179216</v>
      </c>
      <c r="F83" s="6">
        <f t="shared" si="33"/>
        <v>2383.9900559179218</v>
      </c>
      <c r="G83" s="6">
        <f t="shared" si="33"/>
        <v>262.23890615097139</v>
      </c>
      <c r="H83" s="6">
        <v>0.4</v>
      </c>
      <c r="I83" s="6">
        <v>1.5</v>
      </c>
      <c r="J83" s="6">
        <v>1</v>
      </c>
      <c r="K83" s="25">
        <f t="shared" ref="K83:K115" si="34">M84/M83</f>
        <v>1.0414417368535842</v>
      </c>
      <c r="L83" s="6">
        <f t="shared" si="27"/>
        <v>10429.956494640906</v>
      </c>
      <c r="M83" s="6">
        <f t="shared" si="28"/>
        <v>149412.85621066188</v>
      </c>
      <c r="N83" s="6">
        <f t="shared" si="29"/>
        <v>19667.917961322855</v>
      </c>
      <c r="O83" s="6">
        <f t="shared" si="30"/>
        <v>0.4</v>
      </c>
      <c r="P83" s="6">
        <f t="shared" si="31"/>
        <v>1.5</v>
      </c>
      <c r="Q83" s="6">
        <f t="shared" si="32"/>
        <v>1</v>
      </c>
      <c r="R83" s="6"/>
      <c r="S83" s="35">
        <v>66</v>
      </c>
      <c r="T83" s="6">
        <f>VLOOKUP($S$13,角色设定!$AB$9:$AJ$21,MATCH(E$17,角色设定!$AB$9:$AJ$9,0),0)*Z83*$L$15*E83/Y83/(1+W83*(X83-1))</f>
        <v>5587.476693557629</v>
      </c>
      <c r="U83" s="6">
        <f>VLOOKUP($S$13,角色设定!$AB$9:$AJ$21,MATCH(F$17,角色设定!$AB$9:$AJ$9,0),0)*F83*$L$15/(1+V83/$N$16)</f>
        <v>166014.28467851321</v>
      </c>
      <c r="V83" s="6">
        <f>VLOOKUP($S$13,角色设定!$AB$9:$AJ$21,MATCH(V$17,角色设定!$AB$9:$AJ$9,0),0)*G83*$L$15</f>
        <v>19667.917961322855</v>
      </c>
      <c r="W83" s="6">
        <f>VLOOKUP($S$13,角色设定!$AB$9:$AJ$21,MATCH(W$17,角色设定!$AB$9:$AJ$9,0),0)*H83</f>
        <v>0.4</v>
      </c>
      <c r="X83" s="6">
        <f>VLOOKUP($S$13,角色设定!$AB$9:$AJ$21,MATCH(X$17,角色设定!$AB$9:$AJ$9,0),0)*I83</f>
        <v>1.5</v>
      </c>
      <c r="Y83" s="6">
        <f>VLOOKUP($S$13,角色设定!$AB$9:$AJ$21,MATCH(Y$17,角色设定!$AB$9:$AJ$9,0),0)*J83</f>
        <v>0.9</v>
      </c>
      <c r="Z83" s="6">
        <f>VLOOKUP($S$13,角色设定!$AB$9:$AJ$21,MATCH(Z$17,角色设定!$AB$9:$AJ$9,0),0)</f>
        <v>0.75</v>
      </c>
      <c r="AA83" s="6"/>
      <c r="AB83" s="6"/>
      <c r="AC83" s="6">
        <f>T83*战斗公式!$E$38*(1+W83*(X83-1))*Y83</f>
        <v>150861.87072605599</v>
      </c>
      <c r="AD83" s="6">
        <f>U83*战斗公式!$E$40*(1+V83*战斗公式!$E$39)</f>
        <v>198665.83799316018</v>
      </c>
      <c r="AE83" s="21">
        <f t="shared" ref="AE83:AE117" si="35">AC83+AD83</f>
        <v>349527.70871921617</v>
      </c>
      <c r="AF83" s="21">
        <f t="shared" si="16"/>
        <v>16644.176605677058</v>
      </c>
      <c r="AG83" s="21"/>
      <c r="AH83" s="9">
        <f t="shared" ref="AH83:AH117" si="36">T83*$F$5</f>
        <v>1676.2430080672887</v>
      </c>
      <c r="AI83" s="9">
        <f t="shared" ref="AI83:AI117" si="37">U83*$F$5</f>
        <v>49804.285403553964</v>
      </c>
      <c r="AJ83" s="9">
        <f t="shared" ref="AJ83:AJ117" si="38">V83*$F$5</f>
        <v>5900.3753883968566</v>
      </c>
      <c r="AK83" s="9">
        <f t="shared" si="17"/>
        <v>79.82109562225196</v>
      </c>
      <c r="AL83" s="9">
        <f t="shared" si="18"/>
        <v>1997.4780287501781</v>
      </c>
      <c r="AM83" s="9">
        <f t="shared" si="19"/>
        <v>280.97025659032715</v>
      </c>
    </row>
    <row r="84" spans="4:39" ht="14.25" customHeight="1" x14ac:dyDescent="0.2">
      <c r="D84" s="1">
        <v>67</v>
      </c>
      <c r="E84" s="6">
        <f t="shared" si="33"/>
        <v>250.31895587138177</v>
      </c>
      <c r="F84" s="6">
        <f t="shared" si="33"/>
        <v>2503.1895587138179</v>
      </c>
      <c r="G84" s="6">
        <f t="shared" si="33"/>
        <v>275.35085145851997</v>
      </c>
      <c r="H84" s="6">
        <v>0.4</v>
      </c>
      <c r="I84" s="6">
        <v>1.5</v>
      </c>
      <c r="J84" s="6">
        <v>1</v>
      </c>
      <c r="K84" s="25">
        <f t="shared" si="34"/>
        <v>1.0410900771605376</v>
      </c>
      <c r="L84" s="6">
        <f t="shared" si="27"/>
        <v>10951.454319372951</v>
      </c>
      <c r="M84" s="6">
        <f t="shared" si="28"/>
        <v>155604.78448028656</v>
      </c>
      <c r="N84" s="6">
        <f t="shared" si="29"/>
        <v>20651.313859388996</v>
      </c>
      <c r="O84" s="6">
        <f t="shared" si="30"/>
        <v>0.4</v>
      </c>
      <c r="P84" s="6">
        <f t="shared" si="31"/>
        <v>1.5</v>
      </c>
      <c r="Q84" s="6">
        <f t="shared" si="32"/>
        <v>1</v>
      </c>
      <c r="R84" s="6"/>
      <c r="S84" s="35">
        <v>67</v>
      </c>
      <c r="T84" s="6">
        <f>VLOOKUP($S$13,角色设定!$AB$9:$AJ$21,MATCH(E$17,角色设定!$AB$9:$AJ$9,0),0)*Z84*$L$15*E84/Y84/(1+W84*(X84-1))</f>
        <v>5866.85052823551</v>
      </c>
      <c r="U84" s="6">
        <f>VLOOKUP($S$13,角色设定!$AB$9:$AJ$21,MATCH(F$17,角色设定!$AB$9:$AJ$9,0),0)*F84*$L$15/(1+V84/$N$16)</f>
        <v>172894.20497809618</v>
      </c>
      <c r="V84" s="6">
        <f>VLOOKUP($S$13,角色设定!$AB$9:$AJ$21,MATCH(V$17,角色设定!$AB$9:$AJ$9,0),0)*G84*$L$15</f>
        <v>20651.313859388996</v>
      </c>
      <c r="W84" s="6">
        <f>VLOOKUP($S$13,角色设定!$AB$9:$AJ$21,MATCH(W$17,角色设定!$AB$9:$AJ$9,0),0)*H84</f>
        <v>0.4</v>
      </c>
      <c r="X84" s="6">
        <f>VLOOKUP($S$13,角色设定!$AB$9:$AJ$21,MATCH(X$17,角色设定!$AB$9:$AJ$9,0),0)*I84</f>
        <v>1.5</v>
      </c>
      <c r="Y84" s="6">
        <f>VLOOKUP($S$13,角色设定!$AB$9:$AJ$21,MATCH(Y$17,角色设定!$AB$9:$AJ$9,0),0)*J84</f>
        <v>0.9</v>
      </c>
      <c r="Z84" s="6">
        <f>VLOOKUP($S$13,角色设定!$AB$9:$AJ$21,MATCH(Z$17,角色设定!$AB$9:$AJ$9,0),0)</f>
        <v>0.75</v>
      </c>
      <c r="AA84" s="6"/>
      <c r="AB84" s="6"/>
      <c r="AC84" s="6">
        <f>T84*战斗公式!$E$38*(1+W84*(X84-1))*Y84</f>
        <v>158404.96426235876</v>
      </c>
      <c r="AD84" s="6">
        <f>U84*战斗公式!$E$40*(1+V84*战斗公式!$E$39)</f>
        <v>208599.12989281816</v>
      </c>
      <c r="AE84" s="21">
        <f t="shared" si="35"/>
        <v>367004.09415517689</v>
      </c>
      <c r="AF84" s="21">
        <f t="shared" ref="AF84:AF117" si="39">AE84-AE83</f>
        <v>17476.385435960721</v>
      </c>
      <c r="AG84" s="21"/>
      <c r="AH84" s="9">
        <f t="shared" si="36"/>
        <v>1760.0551584706529</v>
      </c>
      <c r="AI84" s="9">
        <f t="shared" si="37"/>
        <v>51868.26149342885</v>
      </c>
      <c r="AJ84" s="9">
        <f t="shared" si="38"/>
        <v>6195.3941578166987</v>
      </c>
      <c r="AK84" s="9">
        <f t="shared" ref="AK84:AK118" si="40">AH84-AH83</f>
        <v>83.812150403364285</v>
      </c>
      <c r="AL84" s="9">
        <f t="shared" ref="AL84:AL118" si="41">AI84-AI83</f>
        <v>2063.9760898748864</v>
      </c>
      <c r="AM84" s="9">
        <f t="shared" ref="AM84:AM118" si="42">AJ84-AJ83</f>
        <v>295.0187694198421</v>
      </c>
    </row>
    <row r="85" spans="4:39" ht="14.25" customHeight="1" x14ac:dyDescent="0.2">
      <c r="D85" s="1">
        <v>68</v>
      </c>
      <c r="E85" s="6">
        <f t="shared" si="33"/>
        <v>262.83490366495084</v>
      </c>
      <c r="F85" s="6">
        <f t="shared" si="33"/>
        <v>2628.3490366495089</v>
      </c>
      <c r="G85" s="6">
        <f t="shared" si="33"/>
        <v>289.11839403144597</v>
      </c>
      <c r="H85" s="6">
        <v>0.4</v>
      </c>
      <c r="I85" s="6">
        <v>1.5</v>
      </c>
      <c r="J85" s="6">
        <v>1</v>
      </c>
      <c r="K85" s="25">
        <f t="shared" si="34"/>
        <v>1.0407272009426711</v>
      </c>
      <c r="L85" s="6">
        <f t="shared" si="27"/>
        <v>11499.027035341598</v>
      </c>
      <c r="M85" s="6">
        <f t="shared" si="28"/>
        <v>161998.59708113037</v>
      </c>
      <c r="N85" s="6">
        <f t="shared" si="29"/>
        <v>21683.879552358449</v>
      </c>
      <c r="O85" s="6">
        <f t="shared" si="30"/>
        <v>0.4</v>
      </c>
      <c r="P85" s="6">
        <f t="shared" si="31"/>
        <v>1.5</v>
      </c>
      <c r="Q85" s="6">
        <f t="shared" si="32"/>
        <v>1</v>
      </c>
      <c r="R85" s="6"/>
      <c r="S85" s="35">
        <v>68</v>
      </c>
      <c r="T85" s="6">
        <f>VLOOKUP($S$13,角色设定!$AB$9:$AJ$21,MATCH(E$17,角色设定!$AB$9:$AJ$9,0),0)*Z85*$L$15*E85/Y85/(1+W85*(X85-1))</f>
        <v>6160.193054647285</v>
      </c>
      <c r="U85" s="6">
        <f>VLOOKUP($S$13,角色设定!$AB$9:$AJ$21,MATCH(F$17,角色设定!$AB$9:$AJ$9,0),0)*F85*$L$15/(1+V85/$N$16)</f>
        <v>179998.44120125601</v>
      </c>
      <c r="V85" s="6">
        <f>VLOOKUP($S$13,角色设定!$AB$9:$AJ$21,MATCH(V$17,角色设定!$AB$9:$AJ$9,0),0)*G85*$L$15</f>
        <v>21683.879552358449</v>
      </c>
      <c r="W85" s="6">
        <f>VLOOKUP($S$13,角色设定!$AB$9:$AJ$21,MATCH(W$17,角色设定!$AB$9:$AJ$9,0),0)*H85</f>
        <v>0.4</v>
      </c>
      <c r="X85" s="6">
        <f>VLOOKUP($S$13,角色设定!$AB$9:$AJ$21,MATCH(X$17,角色设定!$AB$9:$AJ$9,0),0)*I85</f>
        <v>1.5</v>
      </c>
      <c r="Y85" s="6">
        <f>VLOOKUP($S$13,角色设定!$AB$9:$AJ$21,MATCH(Y$17,角色设定!$AB$9:$AJ$9,0),0)*J85</f>
        <v>0.9</v>
      </c>
      <c r="Z85" s="6">
        <f>VLOOKUP($S$13,角色设定!$AB$9:$AJ$21,MATCH(Z$17,角色设定!$AB$9:$AJ$9,0),0)</f>
        <v>0.75</v>
      </c>
      <c r="AA85" s="6"/>
      <c r="AB85" s="6"/>
      <c r="AC85" s="6">
        <f>T85*战斗公式!$E$38*(1+W85*(X85-1))*Y85</f>
        <v>166325.2124754767</v>
      </c>
      <c r="AD85" s="6">
        <f>U85*战斗公式!$E$40*(1+V85*战斗公式!$E$39)</f>
        <v>219029.0863874591</v>
      </c>
      <c r="AE85" s="21">
        <f t="shared" si="35"/>
        <v>385354.2988629358</v>
      </c>
      <c r="AF85" s="21">
        <f t="shared" si="39"/>
        <v>18350.204707758909</v>
      </c>
      <c r="AG85" s="21"/>
      <c r="AH85" s="9">
        <f t="shared" si="36"/>
        <v>1848.0579163941854</v>
      </c>
      <c r="AI85" s="9">
        <f t="shared" si="37"/>
        <v>53999.532360376797</v>
      </c>
      <c r="AJ85" s="9">
        <f t="shared" si="38"/>
        <v>6505.1638657075346</v>
      </c>
      <c r="AK85" s="9">
        <f t="shared" si="40"/>
        <v>88.002757923532499</v>
      </c>
      <c r="AL85" s="9">
        <f t="shared" si="41"/>
        <v>2131.2708669479471</v>
      </c>
      <c r="AM85" s="9">
        <f t="shared" si="42"/>
        <v>309.76970789083589</v>
      </c>
    </row>
    <row r="86" spans="4:39" ht="14.25" customHeight="1" x14ac:dyDescent="0.2">
      <c r="D86" s="1">
        <v>69</v>
      </c>
      <c r="E86" s="6">
        <f t="shared" si="33"/>
        <v>275.97664884819841</v>
      </c>
      <c r="F86" s="6">
        <f t="shared" si="33"/>
        <v>2759.7664884819837</v>
      </c>
      <c r="G86" s="6">
        <f t="shared" si="33"/>
        <v>303.57431373301824</v>
      </c>
      <c r="H86" s="6">
        <v>0.4</v>
      </c>
      <c r="I86" s="6">
        <v>1.5</v>
      </c>
      <c r="J86" s="6">
        <v>1</v>
      </c>
      <c r="K86" s="25">
        <f t="shared" si="34"/>
        <v>1.0403530155382283</v>
      </c>
      <c r="L86" s="6">
        <f t="shared" si="27"/>
        <v>12073.97838710868</v>
      </c>
      <c r="M86" s="6">
        <f t="shared" si="28"/>
        <v>168596.34649688439</v>
      </c>
      <c r="N86" s="6">
        <f t="shared" si="29"/>
        <v>22768.073529976369</v>
      </c>
      <c r="O86" s="6">
        <f t="shared" si="30"/>
        <v>0.4</v>
      </c>
      <c r="P86" s="6">
        <f t="shared" si="31"/>
        <v>1.5</v>
      </c>
      <c r="Q86" s="6">
        <f t="shared" si="32"/>
        <v>1</v>
      </c>
      <c r="R86" s="6"/>
      <c r="S86" s="35">
        <v>69</v>
      </c>
      <c r="T86" s="6">
        <f>VLOOKUP($S$13,角色设定!$AB$9:$AJ$21,MATCH(E$17,角色设定!$AB$9:$AJ$9,0),0)*Z86*$L$15*E86/Y86/(1+W86*(X86-1))</f>
        <v>6468.2027073796498</v>
      </c>
      <c r="U86" s="6">
        <f>VLOOKUP($S$13,角色设定!$AB$9:$AJ$21,MATCH(F$17,角色设定!$AB$9:$AJ$9,0),0)*F86*$L$15/(1+V86/$N$16)</f>
        <v>187329.27388542713</v>
      </c>
      <c r="V86" s="6">
        <f>VLOOKUP($S$13,角色设定!$AB$9:$AJ$21,MATCH(V$17,角色设定!$AB$9:$AJ$9,0),0)*G86*$L$15</f>
        <v>22768.073529976369</v>
      </c>
      <c r="W86" s="6">
        <f>VLOOKUP($S$13,角色设定!$AB$9:$AJ$21,MATCH(W$17,角色设定!$AB$9:$AJ$9,0),0)*H86</f>
        <v>0.4</v>
      </c>
      <c r="X86" s="6">
        <f>VLOOKUP($S$13,角色设定!$AB$9:$AJ$21,MATCH(X$17,角色设定!$AB$9:$AJ$9,0),0)*I86</f>
        <v>1.5</v>
      </c>
      <c r="Y86" s="6">
        <f>VLOOKUP($S$13,角色设定!$AB$9:$AJ$21,MATCH(Y$17,角色设定!$AB$9:$AJ$9,0),0)*J86</f>
        <v>0.9</v>
      </c>
      <c r="Z86" s="6">
        <f>VLOOKUP($S$13,角色设定!$AB$9:$AJ$21,MATCH(Z$17,角色设定!$AB$9:$AJ$9,0),0)</f>
        <v>0.75</v>
      </c>
      <c r="AA86" s="6"/>
      <c r="AB86" s="6"/>
      <c r="AC86" s="6">
        <f>T86*战斗公式!$E$38*(1+W86*(X86-1))*Y86</f>
        <v>174641.47309925055</v>
      </c>
      <c r="AD86" s="6">
        <f>U86*战斗公式!$E$40*(1+V86*战斗公式!$E$39)</f>
        <v>229980.54070683199</v>
      </c>
      <c r="AE86" s="21">
        <f t="shared" si="35"/>
        <v>404622.01380608254</v>
      </c>
      <c r="AF86" s="21">
        <f t="shared" si="39"/>
        <v>19267.714943146741</v>
      </c>
      <c r="AG86" s="21"/>
      <c r="AH86" s="9">
        <f t="shared" si="36"/>
        <v>1940.4608122138948</v>
      </c>
      <c r="AI86" s="9">
        <f t="shared" si="37"/>
        <v>56198.782165628138</v>
      </c>
      <c r="AJ86" s="9">
        <f t="shared" si="38"/>
        <v>6830.4220589929109</v>
      </c>
      <c r="AK86" s="9">
        <f t="shared" si="40"/>
        <v>92.402895819709329</v>
      </c>
      <c r="AL86" s="9">
        <f t="shared" si="41"/>
        <v>2199.2498052513401</v>
      </c>
      <c r="AM86" s="9">
        <f t="shared" si="42"/>
        <v>325.25819328537636</v>
      </c>
    </row>
    <row r="87" spans="4:39" ht="14.25" customHeight="1" x14ac:dyDescent="0.2">
      <c r="D87" s="1">
        <v>70</v>
      </c>
      <c r="E87" s="6">
        <f t="shared" si="33"/>
        <v>289.7754812906083</v>
      </c>
      <c r="F87" s="6">
        <f t="shared" si="33"/>
        <v>2897.7548129060833</v>
      </c>
      <c r="G87" s="6">
        <f t="shared" si="33"/>
        <v>318.75302941966913</v>
      </c>
      <c r="H87" s="6">
        <v>0.4</v>
      </c>
      <c r="I87" s="6">
        <v>1.5</v>
      </c>
      <c r="J87" s="6">
        <v>1</v>
      </c>
      <c r="K87" s="25">
        <f t="shared" si="34"/>
        <v>1.0399674501674856</v>
      </c>
      <c r="L87" s="6">
        <f t="shared" si="27"/>
        <v>12677.677306464113</v>
      </c>
      <c r="M87" s="6">
        <f t="shared" si="28"/>
        <v>175399.71748676168</v>
      </c>
      <c r="N87" s="6">
        <f t="shared" si="29"/>
        <v>23906.477206475185</v>
      </c>
      <c r="O87" s="6">
        <f t="shared" si="30"/>
        <v>0.4</v>
      </c>
      <c r="P87" s="6">
        <f t="shared" si="31"/>
        <v>1.5</v>
      </c>
      <c r="Q87" s="6">
        <f t="shared" si="32"/>
        <v>1</v>
      </c>
      <c r="R87" s="6"/>
      <c r="S87" s="35">
        <v>70</v>
      </c>
      <c r="T87" s="6">
        <f>VLOOKUP($S$13,角色设定!$AB$9:$AJ$21,MATCH(E$17,角色设定!$AB$9:$AJ$9,0),0)*Z87*$L$15*E87/Y87/(1+W87*(X87-1))</f>
        <v>6791.6128427486319</v>
      </c>
      <c r="U87" s="6">
        <f>VLOOKUP($S$13,角色设定!$AB$9:$AJ$21,MATCH(F$17,角色设定!$AB$9:$AJ$9,0),0)*F87*$L$15/(1+V87/$N$16)</f>
        <v>194888.57498529079</v>
      </c>
      <c r="V87" s="6">
        <f>VLOOKUP($S$13,角色设定!$AB$9:$AJ$21,MATCH(V$17,角色设定!$AB$9:$AJ$9,0),0)*G87*$L$15</f>
        <v>23906.477206475185</v>
      </c>
      <c r="W87" s="6">
        <f>VLOOKUP($S$13,角色设定!$AB$9:$AJ$21,MATCH(W$17,角色设定!$AB$9:$AJ$9,0),0)*H87</f>
        <v>0.4</v>
      </c>
      <c r="X87" s="6">
        <f>VLOOKUP($S$13,角色设定!$AB$9:$AJ$21,MATCH(X$17,角色设定!$AB$9:$AJ$9,0),0)*I87</f>
        <v>1.5</v>
      </c>
      <c r="Y87" s="6">
        <f>VLOOKUP($S$13,角色设定!$AB$9:$AJ$21,MATCH(Y$17,角色设定!$AB$9:$AJ$9,0),0)*J87</f>
        <v>0.9</v>
      </c>
      <c r="Z87" s="6">
        <f>VLOOKUP($S$13,角色设定!$AB$9:$AJ$21,MATCH(Z$17,角色设定!$AB$9:$AJ$9,0),0)</f>
        <v>0.75</v>
      </c>
      <c r="AA87" s="6"/>
      <c r="AB87" s="6"/>
      <c r="AC87" s="6">
        <f>T87*战斗公式!$E$38*(1+W87*(X87-1))*Y87</f>
        <v>183373.54675421305</v>
      </c>
      <c r="AD87" s="6">
        <f>U87*战斗公式!$E$40*(1+V87*战斗公式!$E$39)</f>
        <v>241479.56774217362</v>
      </c>
      <c r="AE87" s="21">
        <f t="shared" si="35"/>
        <v>424853.11449638667</v>
      </c>
      <c r="AF87" s="21">
        <f t="shared" si="39"/>
        <v>20231.100690304127</v>
      </c>
      <c r="AG87" s="21"/>
      <c r="AH87" s="9">
        <f t="shared" si="36"/>
        <v>2037.4838528245896</v>
      </c>
      <c r="AI87" s="9">
        <f t="shared" si="37"/>
        <v>58466.572495587236</v>
      </c>
      <c r="AJ87" s="9">
        <f t="shared" si="38"/>
        <v>7171.943161942555</v>
      </c>
      <c r="AK87" s="9">
        <f t="shared" si="40"/>
        <v>97.023040610694807</v>
      </c>
      <c r="AL87" s="9">
        <f t="shared" si="41"/>
        <v>2267.790329959098</v>
      </c>
      <c r="AM87" s="9">
        <f t="shared" si="42"/>
        <v>341.52110294964405</v>
      </c>
    </row>
    <row r="88" spans="4:39" ht="14.25" customHeight="1" x14ac:dyDescent="0.2">
      <c r="D88" s="1">
        <v>71</v>
      </c>
      <c r="E88" s="6">
        <f t="shared" si="33"/>
        <v>304.26425535513874</v>
      </c>
      <c r="F88" s="6">
        <f t="shared" si="33"/>
        <v>3042.6425535513872</v>
      </c>
      <c r="G88" s="6">
        <f t="shared" si="33"/>
        <v>334.69068089065257</v>
      </c>
      <c r="H88" s="6">
        <v>0.4</v>
      </c>
      <c r="I88" s="6">
        <v>1.5</v>
      </c>
      <c r="J88" s="6">
        <v>1</v>
      </c>
      <c r="K88" s="25">
        <f t="shared" si="34"/>
        <v>1.0395704575799198</v>
      </c>
      <c r="L88" s="6">
        <f t="shared" si="27"/>
        <v>13311.561171787322</v>
      </c>
      <c r="M88" s="6">
        <f t="shared" si="28"/>
        <v>182409.9969548049</v>
      </c>
      <c r="N88" s="6">
        <f t="shared" si="29"/>
        <v>25101.801066798944</v>
      </c>
      <c r="O88" s="6">
        <f t="shared" si="30"/>
        <v>0.4</v>
      </c>
      <c r="P88" s="6">
        <f t="shared" si="31"/>
        <v>1.5</v>
      </c>
      <c r="Q88" s="6">
        <f t="shared" si="32"/>
        <v>1</v>
      </c>
      <c r="R88" s="6"/>
      <c r="S88" s="35">
        <v>71</v>
      </c>
      <c r="T88" s="6">
        <f>VLOOKUP($S$13,角色设定!$AB$9:$AJ$21,MATCH(E$17,角色设定!$AB$9:$AJ$9,0),0)*Z88*$L$15*E88/Y88/(1+W88*(X88-1))</f>
        <v>7131.1934848860637</v>
      </c>
      <c r="U88" s="6">
        <f>VLOOKUP($S$13,角色设定!$AB$9:$AJ$21,MATCH(F$17,角色设定!$AB$9:$AJ$9,0),0)*F88*$L$15/(1+V88/$N$16)</f>
        <v>202677.77439422769</v>
      </c>
      <c r="V88" s="6">
        <f>VLOOKUP($S$13,角色设定!$AB$9:$AJ$21,MATCH(V$17,角色设定!$AB$9:$AJ$9,0),0)*G88*$L$15</f>
        <v>25101.801066798944</v>
      </c>
      <c r="W88" s="6">
        <f>VLOOKUP($S$13,角色设定!$AB$9:$AJ$21,MATCH(W$17,角色设定!$AB$9:$AJ$9,0),0)*H88</f>
        <v>0.4</v>
      </c>
      <c r="X88" s="6">
        <f>VLOOKUP($S$13,角色设定!$AB$9:$AJ$21,MATCH(X$17,角色设定!$AB$9:$AJ$9,0),0)*I88</f>
        <v>1.5</v>
      </c>
      <c r="Y88" s="6">
        <f>VLOOKUP($S$13,角色设定!$AB$9:$AJ$21,MATCH(Y$17,角色设定!$AB$9:$AJ$9,0),0)*J88</f>
        <v>0.9</v>
      </c>
      <c r="Z88" s="6">
        <f>VLOOKUP($S$13,角色设定!$AB$9:$AJ$21,MATCH(Z$17,角色设定!$AB$9:$AJ$9,0),0)</f>
        <v>0.75</v>
      </c>
      <c r="AA88" s="6"/>
      <c r="AB88" s="6"/>
      <c r="AC88" s="6">
        <f>T88*战斗公式!$E$38*(1+W88*(X88-1))*Y88</f>
        <v>192542.22409192371</v>
      </c>
      <c r="AD88" s="6">
        <f>U88*战斗公式!$E$40*(1+V88*战斗公式!$E$39)</f>
        <v>253553.54612928227</v>
      </c>
      <c r="AE88" s="21">
        <f t="shared" si="35"/>
        <v>446095.77022120601</v>
      </c>
      <c r="AF88" s="21">
        <f t="shared" si="39"/>
        <v>21242.655724819342</v>
      </c>
      <c r="AG88" s="21"/>
      <c r="AH88" s="9">
        <f t="shared" si="36"/>
        <v>2139.358045465819</v>
      </c>
      <c r="AI88" s="9">
        <f t="shared" si="37"/>
        <v>60803.332318268302</v>
      </c>
      <c r="AJ88" s="9">
        <f t="shared" si="38"/>
        <v>7530.5403200396831</v>
      </c>
      <c r="AK88" s="9">
        <f t="shared" si="40"/>
        <v>101.87419264122946</v>
      </c>
      <c r="AL88" s="9">
        <f t="shared" si="41"/>
        <v>2336.759822681066</v>
      </c>
      <c r="AM88" s="9">
        <f t="shared" si="42"/>
        <v>358.59715809712816</v>
      </c>
    </row>
    <row r="89" spans="4:39" ht="14.25" customHeight="1" x14ac:dyDescent="0.2">
      <c r="D89" s="1">
        <v>72</v>
      </c>
      <c r="E89" s="6">
        <f t="shared" si="33"/>
        <v>319.47746812289569</v>
      </c>
      <c r="F89" s="6">
        <f t="shared" si="33"/>
        <v>3194.774681228957</v>
      </c>
      <c r="G89" s="6">
        <f t="shared" si="33"/>
        <v>351.42521493518524</v>
      </c>
      <c r="H89" s="6">
        <v>0.4</v>
      </c>
      <c r="I89" s="6">
        <v>1.5</v>
      </c>
      <c r="J89" s="6">
        <v>1</v>
      </c>
      <c r="K89" s="25">
        <f t="shared" si="34"/>
        <v>1.0391620156761692</v>
      </c>
      <c r="L89" s="6">
        <f t="shared" si="27"/>
        <v>13977.139230376686</v>
      </c>
      <c r="M89" s="6">
        <f t="shared" si="28"/>
        <v>189628.04400145833</v>
      </c>
      <c r="N89" s="6">
        <f t="shared" si="29"/>
        <v>26356.891120138895</v>
      </c>
      <c r="O89" s="6">
        <f t="shared" si="30"/>
        <v>0.4</v>
      </c>
      <c r="P89" s="6">
        <f t="shared" si="31"/>
        <v>1.5</v>
      </c>
      <c r="Q89" s="6">
        <f t="shared" si="32"/>
        <v>1</v>
      </c>
      <c r="R89" s="6"/>
      <c r="S89" s="35">
        <v>72</v>
      </c>
      <c r="T89" s="6">
        <f>VLOOKUP($S$13,角色设定!$AB$9:$AJ$21,MATCH(E$17,角色设定!$AB$9:$AJ$9,0),0)*Z89*$L$15*E89/Y89/(1+W89*(X89-1))</f>
        <v>7487.7531591303677</v>
      </c>
      <c r="U89" s="6">
        <f>VLOOKUP($S$13,角色设定!$AB$9:$AJ$21,MATCH(F$17,角色设定!$AB$9:$AJ$9,0),0)*F89*$L$15/(1+V89/$N$16)</f>
        <v>210697.82666828705</v>
      </c>
      <c r="V89" s="6">
        <f>VLOOKUP($S$13,角色设定!$AB$9:$AJ$21,MATCH(V$17,角色设定!$AB$9:$AJ$9,0),0)*G89*$L$15</f>
        <v>26356.891120138895</v>
      </c>
      <c r="W89" s="6">
        <f>VLOOKUP($S$13,角色设定!$AB$9:$AJ$21,MATCH(W$17,角色设定!$AB$9:$AJ$9,0),0)*H89</f>
        <v>0.4</v>
      </c>
      <c r="X89" s="6">
        <f>VLOOKUP($S$13,角色设定!$AB$9:$AJ$21,MATCH(X$17,角色设定!$AB$9:$AJ$9,0),0)*I89</f>
        <v>1.5</v>
      </c>
      <c r="Y89" s="6">
        <f>VLOOKUP($S$13,角色设定!$AB$9:$AJ$21,MATCH(Y$17,角色设定!$AB$9:$AJ$9,0),0)*J89</f>
        <v>0.9</v>
      </c>
      <c r="Z89" s="6">
        <f>VLOOKUP($S$13,角色设定!$AB$9:$AJ$21,MATCH(Z$17,角色设定!$AB$9:$AJ$9,0),0)</f>
        <v>0.75</v>
      </c>
      <c r="AA89" s="6"/>
      <c r="AB89" s="6"/>
      <c r="AC89" s="6">
        <f>T89*战斗公式!$E$38*(1+W89*(X89-1))*Y89</f>
        <v>202169.33529651992</v>
      </c>
      <c r="AD89" s="6">
        <f>U89*战斗公式!$E$40*(1+V89*战斗公式!$E$39)</f>
        <v>266231.22343574645</v>
      </c>
      <c r="AE89" s="21">
        <f t="shared" si="35"/>
        <v>468400.55873226636</v>
      </c>
      <c r="AF89" s="21">
        <f t="shared" si="39"/>
        <v>22304.788511060353</v>
      </c>
      <c r="AG89" s="21"/>
      <c r="AH89" s="9">
        <f t="shared" si="36"/>
        <v>2246.3259477391102</v>
      </c>
      <c r="AI89" s="9">
        <f t="shared" si="37"/>
        <v>63209.348000486112</v>
      </c>
      <c r="AJ89" s="9">
        <f t="shared" si="38"/>
        <v>7907.0673360416677</v>
      </c>
      <c r="AK89" s="9">
        <f t="shared" si="40"/>
        <v>106.9679022732912</v>
      </c>
      <c r="AL89" s="9">
        <f t="shared" si="41"/>
        <v>2406.0156822178105</v>
      </c>
      <c r="AM89" s="9">
        <f t="shared" si="42"/>
        <v>376.52701600198452</v>
      </c>
    </row>
    <row r="90" spans="4:39" ht="14.25" customHeight="1" x14ac:dyDescent="0.2">
      <c r="D90" s="1">
        <v>73</v>
      </c>
      <c r="E90" s="6">
        <f t="shared" si="33"/>
        <v>335.45134152904046</v>
      </c>
      <c r="F90" s="6">
        <f t="shared" si="33"/>
        <v>3354.5134152904047</v>
      </c>
      <c r="G90" s="6">
        <f t="shared" si="33"/>
        <v>368.9964756819445</v>
      </c>
      <c r="H90" s="6">
        <v>0.4</v>
      </c>
      <c r="I90" s="6">
        <v>1.5</v>
      </c>
      <c r="J90" s="6">
        <v>1</v>
      </c>
      <c r="K90" s="25">
        <f t="shared" si="34"/>
        <v>1.0387421290884371</v>
      </c>
      <c r="L90" s="6">
        <f t="shared" si="27"/>
        <v>14675.99619189552</v>
      </c>
      <c r="M90" s="6">
        <f t="shared" si="28"/>
        <v>197054.26043328474</v>
      </c>
      <c r="N90" s="6">
        <f t="shared" si="29"/>
        <v>27674.735676145836</v>
      </c>
      <c r="O90" s="6">
        <f t="shared" si="30"/>
        <v>0.4</v>
      </c>
      <c r="P90" s="6">
        <f t="shared" si="31"/>
        <v>1.5</v>
      </c>
      <c r="Q90" s="6">
        <f t="shared" si="32"/>
        <v>1</v>
      </c>
      <c r="R90" s="6"/>
      <c r="S90" s="35">
        <v>73</v>
      </c>
      <c r="T90" s="6">
        <f>VLOOKUP($S$13,角色设定!$AB$9:$AJ$21,MATCH(E$17,角色设定!$AB$9:$AJ$9,0),0)*Z90*$L$15*E90/Y90/(1+W90*(X90-1))</f>
        <v>7862.1408170868872</v>
      </c>
      <c r="U90" s="6">
        <f>VLOOKUP($S$13,角色设定!$AB$9:$AJ$21,MATCH(F$17,角色设定!$AB$9:$AJ$9,0),0)*F90*$L$15/(1+V90/$N$16)</f>
        <v>218949.17825920528</v>
      </c>
      <c r="V90" s="6">
        <f>VLOOKUP($S$13,角色设定!$AB$9:$AJ$21,MATCH(V$17,角色设定!$AB$9:$AJ$9,0),0)*G90*$L$15</f>
        <v>27674.735676145836</v>
      </c>
      <c r="W90" s="6">
        <f>VLOOKUP($S$13,角色设定!$AB$9:$AJ$21,MATCH(W$17,角色设定!$AB$9:$AJ$9,0),0)*H90</f>
        <v>0.4</v>
      </c>
      <c r="X90" s="6">
        <f>VLOOKUP($S$13,角色设定!$AB$9:$AJ$21,MATCH(X$17,角色设定!$AB$9:$AJ$9,0),0)*I90</f>
        <v>1.5</v>
      </c>
      <c r="Y90" s="6">
        <f>VLOOKUP($S$13,角色设定!$AB$9:$AJ$21,MATCH(Y$17,角色设定!$AB$9:$AJ$9,0),0)*J90</f>
        <v>0.9</v>
      </c>
      <c r="Z90" s="6">
        <f>VLOOKUP($S$13,角色设定!$AB$9:$AJ$21,MATCH(Z$17,角色设定!$AB$9:$AJ$9,0),0)</f>
        <v>0.75</v>
      </c>
      <c r="AA90" s="6"/>
      <c r="AB90" s="6"/>
      <c r="AC90" s="6">
        <f>T90*战斗公式!$E$38*(1+W90*(X90-1))*Y90</f>
        <v>212277.80206134598</v>
      </c>
      <c r="AD90" s="6">
        <f>U90*战斗公式!$E$40*(1+V90*战斗公式!$E$39)</f>
        <v>279542.78460753371</v>
      </c>
      <c r="AE90" s="21">
        <f t="shared" si="35"/>
        <v>491820.58666887973</v>
      </c>
      <c r="AF90" s="21">
        <f t="shared" si="39"/>
        <v>23420.027936613362</v>
      </c>
      <c r="AG90" s="21"/>
      <c r="AH90" s="9">
        <f t="shared" si="36"/>
        <v>2358.642245126066</v>
      </c>
      <c r="AI90" s="9">
        <f t="shared" si="37"/>
        <v>65684.75347776158</v>
      </c>
      <c r="AJ90" s="9">
        <f t="shared" si="38"/>
        <v>8302.4207028437504</v>
      </c>
      <c r="AK90" s="9">
        <f t="shared" si="40"/>
        <v>112.31629738695574</v>
      </c>
      <c r="AL90" s="9">
        <f t="shared" si="41"/>
        <v>2475.405477275468</v>
      </c>
      <c r="AM90" s="9">
        <f t="shared" si="42"/>
        <v>395.35336680208275</v>
      </c>
    </row>
    <row r="91" spans="4:39" ht="14.25" customHeight="1" x14ac:dyDescent="0.2">
      <c r="D91" s="1">
        <v>74</v>
      </c>
      <c r="E91" s="6">
        <f t="shared" si="33"/>
        <v>352.22390860549245</v>
      </c>
      <c r="F91" s="6">
        <f t="shared" si="33"/>
        <v>3522.2390860549249</v>
      </c>
      <c r="G91" s="6">
        <f t="shared" si="33"/>
        <v>387.44629946604169</v>
      </c>
      <c r="H91" s="6">
        <v>0.4</v>
      </c>
      <c r="I91" s="6">
        <v>1.5</v>
      </c>
      <c r="J91" s="6">
        <v>1</v>
      </c>
      <c r="K91" s="25">
        <f t="shared" si="34"/>
        <v>1.0383108307018805</v>
      </c>
      <c r="L91" s="6">
        <f t="shared" si="27"/>
        <v>15409.796001490295</v>
      </c>
      <c r="M91" s="6">
        <f t="shared" si="28"/>
        <v>204688.56202841757</v>
      </c>
      <c r="N91" s="6">
        <f t="shared" si="29"/>
        <v>29058.472459953126</v>
      </c>
      <c r="O91" s="6">
        <f t="shared" si="30"/>
        <v>0.4</v>
      </c>
      <c r="P91" s="6">
        <f t="shared" si="31"/>
        <v>1.5</v>
      </c>
      <c r="Q91" s="6">
        <f t="shared" si="32"/>
        <v>1</v>
      </c>
      <c r="R91" s="6"/>
      <c r="S91" s="35">
        <v>74</v>
      </c>
      <c r="T91" s="6">
        <f>VLOOKUP($S$13,角色设定!$AB$9:$AJ$21,MATCH(E$17,角色设定!$AB$9:$AJ$9,0),0)*Z91*$L$15*E91/Y91/(1+W91*(X91-1))</f>
        <v>8255.2478579412291</v>
      </c>
      <c r="U91" s="6">
        <f>VLOOKUP($S$13,角色设定!$AB$9:$AJ$21,MATCH(F$17,角色设定!$AB$9:$AJ$9,0),0)*F91*$L$15/(1+V91/$N$16)</f>
        <v>227431.73558713065</v>
      </c>
      <c r="V91" s="6">
        <f>VLOOKUP($S$13,角色设定!$AB$9:$AJ$21,MATCH(V$17,角色设定!$AB$9:$AJ$9,0),0)*G91*$L$15</f>
        <v>29058.472459953126</v>
      </c>
      <c r="W91" s="6">
        <f>VLOOKUP($S$13,角色设定!$AB$9:$AJ$21,MATCH(W$17,角色设定!$AB$9:$AJ$9,0),0)*H91</f>
        <v>0.4</v>
      </c>
      <c r="X91" s="6">
        <f>VLOOKUP($S$13,角色设定!$AB$9:$AJ$21,MATCH(X$17,角色设定!$AB$9:$AJ$9,0),0)*I91</f>
        <v>1.5</v>
      </c>
      <c r="Y91" s="6">
        <f>VLOOKUP($S$13,角色设定!$AB$9:$AJ$21,MATCH(Y$17,角色设定!$AB$9:$AJ$9,0),0)*J91</f>
        <v>0.9</v>
      </c>
      <c r="Z91" s="6">
        <f>VLOOKUP($S$13,角色设定!$AB$9:$AJ$21,MATCH(Z$17,角色设定!$AB$9:$AJ$9,0),0)</f>
        <v>0.75</v>
      </c>
      <c r="AA91" s="6"/>
      <c r="AB91" s="6"/>
      <c r="AC91" s="6">
        <f>T91*战斗公式!$E$38*(1+W91*(X91-1))*Y91</f>
        <v>222891.69216441319</v>
      </c>
      <c r="AD91" s="6">
        <f>U91*战斗公式!$E$40*(1+V91*战斗公式!$E$39)</f>
        <v>293519.92383791041</v>
      </c>
      <c r="AE91" s="21">
        <f t="shared" si="35"/>
        <v>516411.61600232357</v>
      </c>
      <c r="AF91" s="21">
        <f t="shared" si="39"/>
        <v>24591.029333443847</v>
      </c>
      <c r="AG91" s="21"/>
      <c r="AH91" s="9">
        <f t="shared" si="36"/>
        <v>2476.5743573823688</v>
      </c>
      <c r="AI91" s="9">
        <f t="shared" si="37"/>
        <v>68229.520676139189</v>
      </c>
      <c r="AJ91" s="9">
        <f t="shared" si="38"/>
        <v>8717.5417379859373</v>
      </c>
      <c r="AK91" s="9">
        <f t="shared" si="40"/>
        <v>117.93211225630284</v>
      </c>
      <c r="AL91" s="9">
        <f t="shared" si="41"/>
        <v>2544.767198377609</v>
      </c>
      <c r="AM91" s="9">
        <f t="shared" si="42"/>
        <v>415.12103514218688</v>
      </c>
    </row>
    <row r="92" spans="4:39" ht="14.25" customHeight="1" x14ac:dyDescent="0.2">
      <c r="D92" s="1">
        <v>75</v>
      </c>
      <c r="E92" s="6">
        <f t="shared" si="33"/>
        <v>369.83510403576707</v>
      </c>
      <c r="F92" s="6">
        <f t="shared" si="33"/>
        <v>3698.3510403576711</v>
      </c>
      <c r="G92" s="6">
        <f t="shared" si="33"/>
        <v>406.81861443934378</v>
      </c>
      <c r="H92" s="6">
        <v>0.4</v>
      </c>
      <c r="I92" s="6">
        <v>1.5</v>
      </c>
      <c r="J92" s="6">
        <v>1</v>
      </c>
      <c r="K92" s="25">
        <f t="shared" si="34"/>
        <v>1.0378681830986287</v>
      </c>
      <c r="L92" s="6">
        <f t="shared" si="27"/>
        <v>16180.285801564807</v>
      </c>
      <c r="M92" s="6">
        <f t="shared" si="28"/>
        <v>212530.35087489962</v>
      </c>
      <c r="N92" s="6">
        <f t="shared" si="29"/>
        <v>30511.396082950781</v>
      </c>
      <c r="O92" s="6">
        <f t="shared" si="30"/>
        <v>0.4</v>
      </c>
      <c r="P92" s="6">
        <f t="shared" si="31"/>
        <v>1.5</v>
      </c>
      <c r="Q92" s="6">
        <f t="shared" si="32"/>
        <v>1</v>
      </c>
      <c r="R92" s="6"/>
      <c r="S92" s="35">
        <v>75</v>
      </c>
      <c r="T92" s="6">
        <f>VLOOKUP($S$13,角色设定!$AB$9:$AJ$21,MATCH(E$17,角色设定!$AB$9:$AJ$9,0),0)*Z92*$L$15*E92/Y92/(1+W92*(X92-1))</f>
        <v>8668.0102508382915</v>
      </c>
      <c r="U92" s="6">
        <f>VLOOKUP($S$13,角色设定!$AB$9:$AJ$21,MATCH(F$17,角色设定!$AB$9:$AJ$9,0),0)*F92*$L$15/(1+V92/$N$16)</f>
        <v>236144.83430544403</v>
      </c>
      <c r="V92" s="6">
        <f>VLOOKUP($S$13,角色设定!$AB$9:$AJ$21,MATCH(V$17,角色设定!$AB$9:$AJ$9,0),0)*G92*$L$15</f>
        <v>30511.396082950781</v>
      </c>
      <c r="W92" s="6">
        <f>VLOOKUP($S$13,角色设定!$AB$9:$AJ$21,MATCH(W$17,角色设定!$AB$9:$AJ$9,0),0)*H92</f>
        <v>0.4</v>
      </c>
      <c r="X92" s="6">
        <f>VLOOKUP($S$13,角色设定!$AB$9:$AJ$21,MATCH(X$17,角色设定!$AB$9:$AJ$9,0),0)*I92</f>
        <v>1.5</v>
      </c>
      <c r="Y92" s="6">
        <f>VLOOKUP($S$13,角色设定!$AB$9:$AJ$21,MATCH(Y$17,角色设定!$AB$9:$AJ$9,0),0)*J92</f>
        <v>0.9</v>
      </c>
      <c r="Z92" s="6">
        <f>VLOOKUP($S$13,角色设定!$AB$9:$AJ$21,MATCH(Z$17,角色设定!$AB$9:$AJ$9,0),0)</f>
        <v>0.75</v>
      </c>
      <c r="AA92" s="6"/>
      <c r="AB92" s="6"/>
      <c r="AC92" s="6">
        <f>T92*战斗公式!$E$38*(1+W92*(X92-1))*Y92</f>
        <v>234036.27677263386</v>
      </c>
      <c r="AD92" s="6">
        <f>U92*战斗公式!$E$40*(1+V92*战斗公式!$E$39)</f>
        <v>308195.92002980591</v>
      </c>
      <c r="AE92" s="21">
        <f t="shared" si="35"/>
        <v>542232.19680243975</v>
      </c>
      <c r="AF92" s="21">
        <f t="shared" si="39"/>
        <v>25820.580800116179</v>
      </c>
      <c r="AG92" s="21"/>
      <c r="AH92" s="9">
        <f t="shared" si="36"/>
        <v>2600.4030752514873</v>
      </c>
      <c r="AI92" s="9">
        <f t="shared" si="37"/>
        <v>70843.450291633213</v>
      </c>
      <c r="AJ92" s="9">
        <f t="shared" si="38"/>
        <v>9153.4188248852333</v>
      </c>
      <c r="AK92" s="9">
        <f t="shared" si="40"/>
        <v>123.82871786911846</v>
      </c>
      <c r="AL92" s="9">
        <f t="shared" si="41"/>
        <v>2613.9296154940239</v>
      </c>
      <c r="AM92" s="9">
        <f t="shared" si="42"/>
        <v>435.87708689929605</v>
      </c>
    </row>
    <row r="93" spans="4:39" ht="14.25" customHeight="1" x14ac:dyDescent="0.2">
      <c r="D93" s="1">
        <v>76</v>
      </c>
      <c r="E93" s="6">
        <f t="shared" si="33"/>
        <v>388.32685923755548</v>
      </c>
      <c r="F93" s="6">
        <f t="shared" si="33"/>
        <v>3883.2685923755548</v>
      </c>
      <c r="G93" s="6">
        <f t="shared" si="33"/>
        <v>427.15954516131103</v>
      </c>
      <c r="H93" s="6">
        <v>0.4</v>
      </c>
      <c r="I93" s="6">
        <v>1.5</v>
      </c>
      <c r="J93" s="6">
        <v>1</v>
      </c>
      <c r="K93" s="25">
        <f t="shared" si="34"/>
        <v>1.0374142799053203</v>
      </c>
      <c r="L93" s="6">
        <f t="shared" si="27"/>
        <v>16989.300091643054</v>
      </c>
      <c r="M93" s="6">
        <f t="shared" si="28"/>
        <v>220578.48911584611</v>
      </c>
      <c r="N93" s="6">
        <f t="shared" si="29"/>
        <v>32036.965887098326</v>
      </c>
      <c r="O93" s="6">
        <f t="shared" si="30"/>
        <v>0.4</v>
      </c>
      <c r="P93" s="6">
        <f t="shared" si="31"/>
        <v>1.5</v>
      </c>
      <c r="Q93" s="6">
        <f t="shared" si="32"/>
        <v>1</v>
      </c>
      <c r="R93" s="6"/>
      <c r="S93" s="35">
        <v>76</v>
      </c>
      <c r="T93" s="6">
        <f>VLOOKUP($S$13,角色设定!$AB$9:$AJ$21,MATCH(E$17,角色设定!$AB$9:$AJ$9,0),0)*Z93*$L$15*E93/Y93/(1+W93*(X93-1))</f>
        <v>9101.4107633802068</v>
      </c>
      <c r="U93" s="6">
        <f>VLOOKUP($S$13,角色设定!$AB$9:$AJ$21,MATCH(F$17,角色设定!$AB$9:$AJ$9,0),0)*F93*$L$15/(1+V93/$N$16)</f>
        <v>245087.21012871791</v>
      </c>
      <c r="V93" s="6">
        <f>VLOOKUP($S$13,角色设定!$AB$9:$AJ$21,MATCH(V$17,角色设定!$AB$9:$AJ$9,0),0)*G93*$L$15</f>
        <v>32036.965887098326</v>
      </c>
      <c r="W93" s="6">
        <f>VLOOKUP($S$13,角色设定!$AB$9:$AJ$21,MATCH(W$17,角色设定!$AB$9:$AJ$9,0),0)*H93</f>
        <v>0.4</v>
      </c>
      <c r="X93" s="6">
        <f>VLOOKUP($S$13,角色设定!$AB$9:$AJ$21,MATCH(X$17,角色设定!$AB$9:$AJ$9,0),0)*I93</f>
        <v>1.5</v>
      </c>
      <c r="Y93" s="6">
        <f>VLOOKUP($S$13,角色设定!$AB$9:$AJ$21,MATCH(Y$17,角色设定!$AB$9:$AJ$9,0),0)*J93</f>
        <v>0.9</v>
      </c>
      <c r="Z93" s="6">
        <f>VLOOKUP($S$13,角色设定!$AB$9:$AJ$21,MATCH(Z$17,角色设定!$AB$9:$AJ$9,0),0)</f>
        <v>0.75</v>
      </c>
      <c r="AA93" s="6"/>
      <c r="AB93" s="6"/>
      <c r="AC93" s="6">
        <f>T93*战斗公式!$E$38*(1+W93*(X93-1))*Y93</f>
        <v>245738.09061126559</v>
      </c>
      <c r="AD93" s="6">
        <f>U93*战斗公式!$E$40*(1+V93*战斗公式!$E$39)</f>
        <v>323605.71603129624</v>
      </c>
      <c r="AE93" s="21">
        <f t="shared" si="35"/>
        <v>569343.8066425618</v>
      </c>
      <c r="AF93" s="21">
        <f t="shared" si="39"/>
        <v>27111.609840122052</v>
      </c>
      <c r="AG93" s="21"/>
      <c r="AH93" s="9">
        <f t="shared" si="36"/>
        <v>2730.4232290140621</v>
      </c>
      <c r="AI93" s="9">
        <f t="shared" si="37"/>
        <v>73526.16303861537</v>
      </c>
      <c r="AJ93" s="9">
        <f t="shared" si="38"/>
        <v>9611.0897661294966</v>
      </c>
      <c r="AK93" s="9">
        <f t="shared" si="40"/>
        <v>130.02015376257486</v>
      </c>
      <c r="AL93" s="9">
        <f t="shared" si="41"/>
        <v>2682.7127469821571</v>
      </c>
      <c r="AM93" s="9">
        <f t="shared" si="42"/>
        <v>457.6709412442633</v>
      </c>
    </row>
    <row r="94" spans="4:39" ht="14.25" customHeight="1" x14ac:dyDescent="0.2">
      <c r="D94" s="1">
        <v>77</v>
      </c>
      <c r="E94" s="6">
        <f t="shared" si="33"/>
        <v>407.7432021994332</v>
      </c>
      <c r="F94" s="6">
        <f t="shared" si="33"/>
        <v>4077.432021994332</v>
      </c>
      <c r="G94" s="6">
        <f t="shared" si="33"/>
        <v>448.51752241937652</v>
      </c>
      <c r="H94" s="6">
        <v>0.4</v>
      </c>
      <c r="I94" s="6">
        <v>1.5</v>
      </c>
      <c r="J94" s="6">
        <v>1</v>
      </c>
      <c r="K94" s="25">
        <f t="shared" si="34"/>
        <v>1.0369492470245605</v>
      </c>
      <c r="L94" s="6">
        <f t="shared" si="27"/>
        <v>17838.765096225205</v>
      </c>
      <c r="M94" s="6">
        <f t="shared" si="28"/>
        <v>228831.27444871902</v>
      </c>
      <c r="N94" s="6">
        <f t="shared" si="29"/>
        <v>33638.814181453236</v>
      </c>
      <c r="O94" s="6">
        <f t="shared" si="30"/>
        <v>0.4</v>
      </c>
      <c r="P94" s="6">
        <f t="shared" si="31"/>
        <v>1.5</v>
      </c>
      <c r="Q94" s="6">
        <f t="shared" si="32"/>
        <v>1</v>
      </c>
      <c r="R94" s="6"/>
      <c r="S94" s="35">
        <v>77</v>
      </c>
      <c r="T94" s="6">
        <f>VLOOKUP($S$13,角色设定!$AB$9:$AJ$21,MATCH(E$17,角色设定!$AB$9:$AJ$9,0),0)*Z94*$L$15*E94/Y94/(1+W94*(X94-1))</f>
        <v>9556.4813015492164</v>
      </c>
      <c r="U94" s="6">
        <f>VLOOKUP($S$13,角色设定!$AB$9:$AJ$21,MATCH(F$17,角色设定!$AB$9:$AJ$9,0),0)*F94*$L$15/(1+V94/$N$16)</f>
        <v>254256.97160968778</v>
      </c>
      <c r="V94" s="6">
        <f>VLOOKUP($S$13,角色设定!$AB$9:$AJ$21,MATCH(V$17,角色设定!$AB$9:$AJ$9,0),0)*G94*$L$15</f>
        <v>33638.814181453236</v>
      </c>
      <c r="W94" s="6">
        <f>VLOOKUP($S$13,角色设定!$AB$9:$AJ$21,MATCH(W$17,角色设定!$AB$9:$AJ$9,0),0)*H94</f>
        <v>0.4</v>
      </c>
      <c r="X94" s="6">
        <f>VLOOKUP($S$13,角色设定!$AB$9:$AJ$21,MATCH(X$17,角色设定!$AB$9:$AJ$9,0),0)*I94</f>
        <v>1.5</v>
      </c>
      <c r="Y94" s="6">
        <f>VLOOKUP($S$13,角色设定!$AB$9:$AJ$21,MATCH(Y$17,角色设定!$AB$9:$AJ$9,0),0)*J94</f>
        <v>0.9</v>
      </c>
      <c r="Z94" s="6">
        <f>VLOOKUP($S$13,角色设定!$AB$9:$AJ$21,MATCH(Z$17,角色设定!$AB$9:$AJ$9,0),0)</f>
        <v>0.75</v>
      </c>
      <c r="AA94" s="6"/>
      <c r="AB94" s="6"/>
      <c r="AC94" s="6">
        <f>T94*战斗公式!$E$38*(1+W94*(X94-1))*Y94</f>
        <v>258024.99514182887</v>
      </c>
      <c r="AD94" s="6">
        <f>U94*战斗公式!$E$40*(1+V94*战斗公式!$E$39)</f>
        <v>339786.00183286099</v>
      </c>
      <c r="AE94" s="21">
        <f t="shared" si="35"/>
        <v>597810.99697468989</v>
      </c>
      <c r="AF94" s="21">
        <f t="shared" si="39"/>
        <v>28467.190332128084</v>
      </c>
      <c r="AG94" s="21"/>
      <c r="AH94" s="9">
        <f t="shared" si="36"/>
        <v>2866.9443904647646</v>
      </c>
      <c r="AI94" s="9">
        <f t="shared" si="37"/>
        <v>76277.091482906326</v>
      </c>
      <c r="AJ94" s="9">
        <f t="shared" si="38"/>
        <v>10091.644254435971</v>
      </c>
      <c r="AK94" s="9">
        <f t="shared" si="40"/>
        <v>136.52116145070249</v>
      </c>
      <c r="AL94" s="9">
        <f t="shared" si="41"/>
        <v>2750.9284442909557</v>
      </c>
      <c r="AM94" s="9">
        <f t="shared" si="42"/>
        <v>480.55448830647401</v>
      </c>
    </row>
    <row r="95" spans="4:39" ht="14.25" customHeight="1" x14ac:dyDescent="0.2">
      <c r="D95" s="1">
        <v>78</v>
      </c>
      <c r="E95" s="6">
        <f t="shared" si="33"/>
        <v>428.13036230940497</v>
      </c>
      <c r="F95" s="6">
        <f t="shared" si="33"/>
        <v>4281.3036230940497</v>
      </c>
      <c r="G95" s="6">
        <f t="shared" si="33"/>
        <v>470.94339854034547</v>
      </c>
      <c r="H95" s="6">
        <v>0.4</v>
      </c>
      <c r="I95" s="6">
        <v>1.5</v>
      </c>
      <c r="J95" s="6">
        <v>1</v>
      </c>
      <c r="K95" s="25">
        <f t="shared" si="34"/>
        <v>1.0364732437304212</v>
      </c>
      <c r="L95" s="6">
        <f t="shared" si="27"/>
        <v>18730.703351036467</v>
      </c>
      <c r="M95" s="6">
        <f t="shared" si="28"/>
        <v>237286.41773526973</v>
      </c>
      <c r="N95" s="6">
        <f t="shared" si="29"/>
        <v>35320.75489052591</v>
      </c>
      <c r="O95" s="6">
        <f t="shared" ref="O95:O117" si="43">H95</f>
        <v>0.4</v>
      </c>
      <c r="P95" s="6">
        <f t="shared" ref="P95:P117" si="44">I95</f>
        <v>1.5</v>
      </c>
      <c r="Q95" s="6">
        <f t="shared" ref="Q95:Q117" si="45">J95</f>
        <v>1</v>
      </c>
      <c r="R95" s="6"/>
      <c r="S95" s="35">
        <v>78</v>
      </c>
      <c r="T95" s="6">
        <f>VLOOKUP($S$13,角色设定!$AB$9:$AJ$21,MATCH(E$17,角色设定!$AB$9:$AJ$9,0),0)*Z95*$L$15*E95/Y95/(1+W95*(X95-1))</f>
        <v>10034.305366626679</v>
      </c>
      <c r="U95" s="6">
        <f>VLOOKUP($S$13,角色设定!$AB$9:$AJ$21,MATCH(F$17,角色设定!$AB$9:$AJ$9,0),0)*F95*$L$15/(1+V95/$N$16)</f>
        <v>263651.57526141079</v>
      </c>
      <c r="V95" s="6">
        <f>VLOOKUP($S$13,角色设定!$AB$9:$AJ$21,MATCH(V$17,角色设定!$AB$9:$AJ$9,0),0)*G95*$L$15</f>
        <v>35320.75489052591</v>
      </c>
      <c r="W95" s="6">
        <f>VLOOKUP($S$13,角色设定!$AB$9:$AJ$21,MATCH(W$17,角色设定!$AB$9:$AJ$9,0),0)*H95</f>
        <v>0.4</v>
      </c>
      <c r="X95" s="6">
        <f>VLOOKUP($S$13,角色设定!$AB$9:$AJ$21,MATCH(X$17,角色设定!$AB$9:$AJ$9,0),0)*I95</f>
        <v>1.5</v>
      </c>
      <c r="Y95" s="6">
        <f>VLOOKUP($S$13,角色设定!$AB$9:$AJ$21,MATCH(Y$17,角色设定!$AB$9:$AJ$9,0),0)*J95</f>
        <v>0.9</v>
      </c>
      <c r="Z95" s="6">
        <f>VLOOKUP($S$13,角色设定!$AB$9:$AJ$21,MATCH(Z$17,角色设定!$AB$9:$AJ$9,0),0)</f>
        <v>0.75</v>
      </c>
      <c r="AA95" s="6"/>
      <c r="AB95" s="6"/>
      <c r="AC95" s="6">
        <f>T95*战斗公式!$E$38*(1+W95*(X95-1))*Y95</f>
        <v>270926.24489892035</v>
      </c>
      <c r="AD95" s="6">
        <f>U95*战斗公式!$E$40*(1+V95*战斗公式!$E$39)</f>
        <v>356775.30192450417</v>
      </c>
      <c r="AE95" s="21">
        <f t="shared" si="35"/>
        <v>627701.54682342452</v>
      </c>
      <c r="AF95" s="21">
        <f t="shared" si="39"/>
        <v>29890.549848734634</v>
      </c>
      <c r="AG95" s="21"/>
      <c r="AH95" s="9">
        <f t="shared" si="36"/>
        <v>3010.2916099880035</v>
      </c>
      <c r="AI95" s="9">
        <f t="shared" si="37"/>
        <v>79095.472578423229</v>
      </c>
      <c r="AJ95" s="9">
        <f t="shared" si="38"/>
        <v>10596.226467157772</v>
      </c>
      <c r="AK95" s="9">
        <f t="shared" si="40"/>
        <v>143.34721952323889</v>
      </c>
      <c r="AL95" s="9">
        <f t="shared" si="41"/>
        <v>2818.3810955169029</v>
      </c>
      <c r="AM95" s="9">
        <f t="shared" si="42"/>
        <v>504.58221272180162</v>
      </c>
    </row>
    <row r="96" spans="4:39" ht="14.25" customHeight="1" x14ac:dyDescent="0.2">
      <c r="D96" s="1">
        <v>79</v>
      </c>
      <c r="E96" s="6">
        <f t="shared" si="33"/>
        <v>449.53688042487505</v>
      </c>
      <c r="F96" s="6">
        <f t="shared" si="33"/>
        <v>4495.3688042487511</v>
      </c>
      <c r="G96" s="6">
        <f t="shared" si="33"/>
        <v>494.49056846736255</v>
      </c>
      <c r="H96" s="6">
        <v>0.4</v>
      </c>
      <c r="I96" s="6">
        <v>1.5</v>
      </c>
      <c r="J96" s="6">
        <v>1</v>
      </c>
      <c r="K96" s="25">
        <f t="shared" si="34"/>
        <v>1.0359864636081895</v>
      </c>
      <c r="L96" s="6">
        <f t="shared" si="27"/>
        <v>19667.238518588281</v>
      </c>
      <c r="M96" s="6">
        <f t="shared" si="28"/>
        <v>245941.02308324675</v>
      </c>
      <c r="N96" s="6">
        <f t="shared" si="29"/>
        <v>37086.792635052188</v>
      </c>
      <c r="O96" s="6">
        <f t="shared" si="43"/>
        <v>0.4</v>
      </c>
      <c r="P96" s="6">
        <f t="shared" si="44"/>
        <v>1.5</v>
      </c>
      <c r="Q96" s="6">
        <f t="shared" si="45"/>
        <v>1</v>
      </c>
      <c r="R96" s="6"/>
      <c r="S96" s="35">
        <v>79</v>
      </c>
      <c r="T96" s="6">
        <f>VLOOKUP($S$13,角色设定!$AB$9:$AJ$21,MATCH(E$17,角色设定!$AB$9:$AJ$9,0),0)*Z96*$L$15*E96/Y96/(1+W96*(X96-1))</f>
        <v>10536.020634958009</v>
      </c>
      <c r="U96" s="6">
        <f>VLOOKUP($S$13,角色设定!$AB$9:$AJ$21,MATCH(F$17,角色设定!$AB$9:$AJ$9,0),0)*F96*$L$15/(1+V96/$N$16)</f>
        <v>273267.80342582974</v>
      </c>
      <c r="V96" s="6">
        <f>VLOOKUP($S$13,角色设定!$AB$9:$AJ$21,MATCH(V$17,角色设定!$AB$9:$AJ$9,0),0)*G96*$L$15</f>
        <v>37086.792635052188</v>
      </c>
      <c r="W96" s="6">
        <f>VLOOKUP($S$13,角色设定!$AB$9:$AJ$21,MATCH(W$17,角色设定!$AB$9:$AJ$9,0),0)*H96</f>
        <v>0.4</v>
      </c>
      <c r="X96" s="6">
        <f>VLOOKUP($S$13,角色设定!$AB$9:$AJ$21,MATCH(X$17,角色设定!$AB$9:$AJ$9,0),0)*I96</f>
        <v>1.5</v>
      </c>
      <c r="Y96" s="6">
        <f>VLOOKUP($S$13,角色设定!$AB$9:$AJ$21,MATCH(Y$17,角色设定!$AB$9:$AJ$9,0),0)*J96</f>
        <v>0.9</v>
      </c>
      <c r="Z96" s="6">
        <f>VLOOKUP($S$13,角色设定!$AB$9:$AJ$21,MATCH(Z$17,角色设定!$AB$9:$AJ$9,0),0)</f>
        <v>0.75</v>
      </c>
      <c r="AA96" s="6"/>
      <c r="AB96" s="6"/>
      <c r="AC96" s="6">
        <f>T96*战斗公式!$E$38*(1+W96*(X96-1))*Y96</f>
        <v>284472.55714386626</v>
      </c>
      <c r="AD96" s="6">
        <f>U96*战斗公式!$E$40*(1+V96*战斗公式!$E$39)</f>
        <v>374614.06702072924</v>
      </c>
      <c r="AE96" s="21">
        <f t="shared" si="35"/>
        <v>659086.6241645955</v>
      </c>
      <c r="AF96" s="21">
        <f t="shared" si="39"/>
        <v>31385.077341170982</v>
      </c>
      <c r="AG96" s="21"/>
      <c r="AH96" s="9">
        <f t="shared" si="36"/>
        <v>3160.8061904874025</v>
      </c>
      <c r="AI96" s="9">
        <f t="shared" si="37"/>
        <v>81980.341027748917</v>
      </c>
      <c r="AJ96" s="9">
        <f t="shared" si="38"/>
        <v>11126.037790515657</v>
      </c>
      <c r="AK96" s="9">
        <f t="shared" si="40"/>
        <v>150.51458049939902</v>
      </c>
      <c r="AL96" s="9">
        <f t="shared" si="41"/>
        <v>2884.8684493256878</v>
      </c>
      <c r="AM96" s="9">
        <f t="shared" si="42"/>
        <v>529.81132335788425</v>
      </c>
    </row>
    <row r="97" spans="4:39" ht="14.25" customHeight="1" x14ac:dyDescent="0.2">
      <c r="D97" s="1">
        <v>80</v>
      </c>
      <c r="E97" s="6">
        <f t="shared" si="33"/>
        <v>472.013724446119</v>
      </c>
      <c r="F97" s="6">
        <f t="shared" si="33"/>
        <v>4720.1372444611898</v>
      </c>
      <c r="G97" s="6">
        <f t="shared" si="33"/>
        <v>519.21509689073093</v>
      </c>
      <c r="H97" s="6">
        <v>0.4</v>
      </c>
      <c r="I97" s="6">
        <v>1.5</v>
      </c>
      <c r="J97" s="6">
        <v>1</v>
      </c>
      <c r="K97" s="25">
        <f t="shared" si="34"/>
        <v>1.0354891353188844</v>
      </c>
      <c r="L97" s="6">
        <f t="shared" si="27"/>
        <v>20650.600444517702</v>
      </c>
      <c r="M97" s="6">
        <f t="shared" si="28"/>
        <v>254791.5707601929</v>
      </c>
      <c r="N97" s="6">
        <f t="shared" si="29"/>
        <v>38941.132266804823</v>
      </c>
      <c r="O97" s="6">
        <f t="shared" si="43"/>
        <v>0.4</v>
      </c>
      <c r="P97" s="6">
        <f t="shared" si="44"/>
        <v>1.5</v>
      </c>
      <c r="Q97" s="6">
        <f t="shared" si="45"/>
        <v>1</v>
      </c>
      <c r="R97" s="6"/>
      <c r="S97" s="35">
        <v>80</v>
      </c>
      <c r="T97" s="6">
        <f>VLOOKUP($S$13,角色设定!$AB$9:$AJ$21,MATCH(E$17,角色设定!$AB$9:$AJ$9,0),0)*Z97*$L$15*E97/Y97/(1+W97*(X97-1))</f>
        <v>11062.821666705913</v>
      </c>
      <c r="U97" s="6">
        <f>VLOOKUP($S$13,角色设定!$AB$9:$AJ$21,MATCH(F$17,角色设定!$AB$9:$AJ$9,0),0)*F97*$L$15/(1+V97/$N$16)</f>
        <v>283101.74528910324</v>
      </c>
      <c r="V97" s="6">
        <f>VLOOKUP($S$13,角色设定!$AB$9:$AJ$21,MATCH(V$17,角色设定!$AB$9:$AJ$9,0),0)*G97*$L$15</f>
        <v>38941.132266804823</v>
      </c>
      <c r="W97" s="6">
        <f>VLOOKUP($S$13,角色设定!$AB$9:$AJ$21,MATCH(W$17,角色设定!$AB$9:$AJ$9,0),0)*H97</f>
        <v>0.4</v>
      </c>
      <c r="X97" s="6">
        <f>VLOOKUP($S$13,角色设定!$AB$9:$AJ$21,MATCH(X$17,角色设定!$AB$9:$AJ$9,0),0)*I97</f>
        <v>1.5</v>
      </c>
      <c r="Y97" s="6">
        <f>VLOOKUP($S$13,角色设定!$AB$9:$AJ$21,MATCH(Y$17,角色设定!$AB$9:$AJ$9,0),0)*J97</f>
        <v>0.9</v>
      </c>
      <c r="Z97" s="6">
        <f>VLOOKUP($S$13,角色设定!$AB$9:$AJ$21,MATCH(Z$17,角色设定!$AB$9:$AJ$9,0),0)</f>
        <v>0.75</v>
      </c>
      <c r="AA97" s="6"/>
      <c r="AB97" s="6"/>
      <c r="AC97" s="6">
        <f>T97*战斗公式!$E$38*(1+W97*(X97-1))*Y97</f>
        <v>298696.18500105967</v>
      </c>
      <c r="AD97" s="6">
        <f>U97*战斗公式!$E$40*(1+V97*战斗公式!$E$39)</f>
        <v>393344.77037176583</v>
      </c>
      <c r="AE97" s="21">
        <f t="shared" si="35"/>
        <v>692040.9553728255</v>
      </c>
      <c r="AF97" s="21">
        <f t="shared" si="39"/>
        <v>32954.331208229996</v>
      </c>
      <c r="AG97" s="21"/>
      <c r="AH97" s="9">
        <f t="shared" si="36"/>
        <v>3318.846500011774</v>
      </c>
      <c r="AI97" s="9">
        <f t="shared" si="37"/>
        <v>84930.523586730968</v>
      </c>
      <c r="AJ97" s="9">
        <f t="shared" si="38"/>
        <v>11682.339680041447</v>
      </c>
      <c r="AK97" s="9">
        <f t="shared" si="40"/>
        <v>158.04030952437142</v>
      </c>
      <c r="AL97" s="9">
        <f t="shared" si="41"/>
        <v>2950.182558982051</v>
      </c>
      <c r="AM97" s="9">
        <f t="shared" si="42"/>
        <v>556.3018895257901</v>
      </c>
    </row>
    <row r="98" spans="4:39" ht="14.25" customHeight="1" x14ac:dyDescent="0.2">
      <c r="D98" s="1">
        <v>81</v>
      </c>
      <c r="E98" s="6">
        <f t="shared" si="33"/>
        <v>495.61441066842491</v>
      </c>
      <c r="F98" s="6">
        <f t="shared" si="33"/>
        <v>4956.144106684249</v>
      </c>
      <c r="G98" s="6">
        <f t="shared" si="33"/>
        <v>545.17585173526743</v>
      </c>
      <c r="H98" s="6">
        <v>0.4</v>
      </c>
      <c r="I98" s="6">
        <v>1.5</v>
      </c>
      <c r="J98" s="6">
        <v>1</v>
      </c>
      <c r="K98" s="25">
        <f t="shared" si="34"/>
        <v>1.0349815231698274</v>
      </c>
      <c r="L98" s="6">
        <f t="shared" si="27"/>
        <v>21683.130466743591</v>
      </c>
      <c r="M98" s="6">
        <f t="shared" si="28"/>
        <v>263833.90329301252</v>
      </c>
      <c r="N98" s="6">
        <f t="shared" si="29"/>
        <v>40888.188880145055</v>
      </c>
      <c r="O98" s="6">
        <f t="shared" si="43"/>
        <v>0.4</v>
      </c>
      <c r="P98" s="6">
        <f t="shared" si="44"/>
        <v>1.5</v>
      </c>
      <c r="Q98" s="6">
        <f t="shared" si="45"/>
        <v>1</v>
      </c>
      <c r="R98" s="6"/>
      <c r="S98" s="35">
        <v>81</v>
      </c>
      <c r="T98" s="6">
        <f>VLOOKUP($S$13,角色设定!$AB$9:$AJ$21,MATCH(E$17,角色设定!$AB$9:$AJ$9,0),0)*Z98*$L$15*E98/Y98/(1+W98*(X98-1))</f>
        <v>11615.962750041208</v>
      </c>
      <c r="U98" s="6">
        <f>VLOOKUP($S$13,角色设定!$AB$9:$AJ$21,MATCH(F$17,角色设定!$AB$9:$AJ$9,0),0)*F98*$L$15/(1+V98/$N$16)</f>
        <v>293148.78143668053</v>
      </c>
      <c r="V98" s="6">
        <f>VLOOKUP($S$13,角色设定!$AB$9:$AJ$21,MATCH(V$17,角色设定!$AB$9:$AJ$9,0),0)*G98*$L$15</f>
        <v>40888.188880145055</v>
      </c>
      <c r="W98" s="6">
        <f>VLOOKUP($S$13,角色设定!$AB$9:$AJ$21,MATCH(W$17,角色设定!$AB$9:$AJ$9,0),0)*H98</f>
        <v>0.4</v>
      </c>
      <c r="X98" s="6">
        <f>VLOOKUP($S$13,角色设定!$AB$9:$AJ$21,MATCH(X$17,角色设定!$AB$9:$AJ$9,0),0)*I98</f>
        <v>1.5</v>
      </c>
      <c r="Y98" s="6">
        <f>VLOOKUP($S$13,角色设定!$AB$9:$AJ$21,MATCH(Y$17,角色设定!$AB$9:$AJ$9,0),0)*J98</f>
        <v>0.9</v>
      </c>
      <c r="Z98" s="6">
        <f>VLOOKUP($S$13,角色设定!$AB$9:$AJ$21,MATCH(Z$17,角色设定!$AB$9:$AJ$9,0),0)</f>
        <v>0.75</v>
      </c>
      <c r="AA98" s="6"/>
      <c r="AB98" s="6"/>
      <c r="AC98" s="6">
        <f>T98*战斗公式!$E$38*(1+W98*(X98-1))*Y98</f>
        <v>313630.99425111263</v>
      </c>
      <c r="AD98" s="6">
        <f>U98*战斗公式!$E$40*(1+V98*战斗公式!$E$39)</f>
        <v>413012.00889035413</v>
      </c>
      <c r="AE98" s="21">
        <f t="shared" si="35"/>
        <v>726643.00314146676</v>
      </c>
      <c r="AF98" s="21">
        <f t="shared" si="39"/>
        <v>34602.047768641263</v>
      </c>
      <c r="AG98" s="21"/>
      <c r="AH98" s="9">
        <f t="shared" si="36"/>
        <v>3484.7888250123624</v>
      </c>
      <c r="AI98" s="9">
        <f t="shared" si="37"/>
        <v>87944.63443100416</v>
      </c>
      <c r="AJ98" s="9">
        <f t="shared" si="38"/>
        <v>12266.456664043517</v>
      </c>
      <c r="AK98" s="9">
        <f t="shared" si="40"/>
        <v>165.94232500058843</v>
      </c>
      <c r="AL98" s="9">
        <f t="shared" si="41"/>
        <v>3014.1108442731929</v>
      </c>
      <c r="AM98" s="9">
        <f t="shared" si="42"/>
        <v>584.11698400207024</v>
      </c>
    </row>
    <row r="99" spans="4:39" ht="14.25" customHeight="1" x14ac:dyDescent="0.2">
      <c r="D99" s="1">
        <v>82</v>
      </c>
      <c r="E99" s="6">
        <f t="shared" si="33"/>
        <v>520.3951312018462</v>
      </c>
      <c r="F99" s="6">
        <f t="shared" si="33"/>
        <v>5203.951312018462</v>
      </c>
      <c r="G99" s="6">
        <f t="shared" si="33"/>
        <v>572.43464432203086</v>
      </c>
      <c r="H99" s="6">
        <v>0.4</v>
      </c>
      <c r="I99" s="6">
        <v>1.5</v>
      </c>
      <c r="J99" s="6">
        <v>1</v>
      </c>
      <c r="K99" s="25">
        <f t="shared" si="34"/>
        <v>1.034463927473589</v>
      </c>
      <c r="L99" s="6">
        <f t="shared" si="27"/>
        <v>22767.286990080771</v>
      </c>
      <c r="M99" s="6">
        <f t="shared" si="28"/>
        <v>273063.21509404306</v>
      </c>
      <c r="N99" s="6">
        <f t="shared" si="29"/>
        <v>42932.598324152314</v>
      </c>
      <c r="O99" s="6">
        <f t="shared" si="43"/>
        <v>0.4</v>
      </c>
      <c r="P99" s="6">
        <f t="shared" si="44"/>
        <v>1.5</v>
      </c>
      <c r="Q99" s="6">
        <f t="shared" si="45"/>
        <v>1</v>
      </c>
      <c r="R99" s="6"/>
      <c r="S99" s="35">
        <v>82</v>
      </c>
      <c r="T99" s="6">
        <f>VLOOKUP($S$13,角色设定!$AB$9:$AJ$21,MATCH(E$17,角色设定!$AB$9:$AJ$9,0),0)*Z99*$L$15*E99/Y99/(1+W99*(X99-1))</f>
        <v>12196.760887543271</v>
      </c>
      <c r="U99" s="6">
        <f>VLOOKUP($S$13,角色设定!$AB$9:$AJ$21,MATCH(F$17,角色设定!$AB$9:$AJ$9,0),0)*F99*$L$15/(1+V99/$N$16)</f>
        <v>303403.57232671452</v>
      </c>
      <c r="V99" s="6">
        <f>VLOOKUP($S$13,角色设定!$AB$9:$AJ$21,MATCH(V$17,角色设定!$AB$9:$AJ$9,0),0)*G99*$L$15</f>
        <v>42932.598324152314</v>
      </c>
      <c r="W99" s="6">
        <f>VLOOKUP($S$13,角色设定!$AB$9:$AJ$21,MATCH(W$17,角色设定!$AB$9:$AJ$9,0),0)*H99</f>
        <v>0.4</v>
      </c>
      <c r="X99" s="6">
        <f>VLOOKUP($S$13,角色设定!$AB$9:$AJ$21,MATCH(X$17,角色设定!$AB$9:$AJ$9,0),0)*I99</f>
        <v>1.5</v>
      </c>
      <c r="Y99" s="6">
        <f>VLOOKUP($S$13,角色设定!$AB$9:$AJ$21,MATCH(Y$17,角色设定!$AB$9:$AJ$9,0),0)*J99</f>
        <v>0.9</v>
      </c>
      <c r="Z99" s="6">
        <f>VLOOKUP($S$13,角色设定!$AB$9:$AJ$21,MATCH(Z$17,角色设定!$AB$9:$AJ$9,0),0)</f>
        <v>0.75</v>
      </c>
      <c r="AA99" s="6"/>
      <c r="AB99" s="6"/>
      <c r="AC99" s="6">
        <f>T99*战斗公式!$E$38*(1+W99*(X99-1))*Y99</f>
        <v>329312.54396366829</v>
      </c>
      <c r="AD99" s="6">
        <f>U99*战斗公式!$E$40*(1+V99*战斗公式!$E$39)</f>
        <v>433662.60933487187</v>
      </c>
      <c r="AE99" s="21">
        <f t="shared" si="35"/>
        <v>762975.15329854016</v>
      </c>
      <c r="AF99" s="21">
        <f t="shared" si="39"/>
        <v>36332.150157073396</v>
      </c>
      <c r="AG99" s="21"/>
      <c r="AH99" s="9">
        <f t="shared" si="36"/>
        <v>3659.0282662629811</v>
      </c>
      <c r="AI99" s="9">
        <f t="shared" si="37"/>
        <v>91021.071698014348</v>
      </c>
      <c r="AJ99" s="9">
        <f t="shared" si="38"/>
        <v>12879.779497245694</v>
      </c>
      <c r="AK99" s="9">
        <f t="shared" si="40"/>
        <v>174.23944125061871</v>
      </c>
      <c r="AL99" s="9">
        <f t="shared" si="41"/>
        <v>3076.4372670101875</v>
      </c>
      <c r="AM99" s="9">
        <f t="shared" si="42"/>
        <v>613.32283320217721</v>
      </c>
    </row>
    <row r="100" spans="4:39" ht="14.25" customHeight="1" x14ac:dyDescent="0.2">
      <c r="D100" s="1">
        <v>83</v>
      </c>
      <c r="E100" s="6">
        <f t="shared" si="33"/>
        <v>546.41488776193853</v>
      </c>
      <c r="F100" s="6">
        <f t="shared" si="33"/>
        <v>5464.1488776193855</v>
      </c>
      <c r="G100" s="6">
        <f t="shared" si="33"/>
        <v>601.05637653813233</v>
      </c>
      <c r="H100" s="6">
        <v>0.4</v>
      </c>
      <c r="I100" s="6">
        <v>1.5</v>
      </c>
      <c r="J100" s="6">
        <v>1</v>
      </c>
      <c r="K100" s="25">
        <f t="shared" si="34"/>
        <v>1.0339366846791083</v>
      </c>
      <c r="L100" s="6">
        <f t="shared" si="27"/>
        <v>23905.651339584812</v>
      </c>
      <c r="M100" s="6">
        <f t="shared" si="28"/>
        <v>282474.04593474919</v>
      </c>
      <c r="N100" s="6">
        <f t="shared" si="29"/>
        <v>45079.228240359924</v>
      </c>
      <c r="O100" s="6">
        <f t="shared" si="43"/>
        <v>0.4</v>
      </c>
      <c r="P100" s="6">
        <f t="shared" si="44"/>
        <v>1.5</v>
      </c>
      <c r="Q100" s="6">
        <f t="shared" si="45"/>
        <v>1</v>
      </c>
      <c r="R100" s="6"/>
      <c r="S100" s="35">
        <v>83</v>
      </c>
      <c r="T100" s="6">
        <f>VLOOKUP($S$13,角色设定!$AB$9:$AJ$21,MATCH(E$17,角色设定!$AB$9:$AJ$9,0),0)*Z100*$L$15*E100/Y100/(1+W100*(X100-1))</f>
        <v>12806.598931920435</v>
      </c>
      <c r="U100" s="6">
        <f>VLOOKUP($S$13,角色设定!$AB$9:$AJ$21,MATCH(F$17,角色设定!$AB$9:$AJ$9,0),0)*F100*$L$15/(1+V100/$N$16)</f>
        <v>313860.05103861023</v>
      </c>
      <c r="V100" s="6">
        <f>VLOOKUP($S$13,角色设定!$AB$9:$AJ$21,MATCH(V$17,角色设定!$AB$9:$AJ$9,0),0)*G100*$L$15</f>
        <v>45079.228240359924</v>
      </c>
      <c r="W100" s="6">
        <f>VLOOKUP($S$13,角色设定!$AB$9:$AJ$21,MATCH(W$17,角色设定!$AB$9:$AJ$9,0),0)*H100</f>
        <v>0.4</v>
      </c>
      <c r="X100" s="6">
        <f>VLOOKUP($S$13,角色设定!$AB$9:$AJ$21,MATCH(X$17,角色设定!$AB$9:$AJ$9,0),0)*I100</f>
        <v>1.5</v>
      </c>
      <c r="Y100" s="6">
        <f>VLOOKUP($S$13,角色设定!$AB$9:$AJ$21,MATCH(Y$17,角色设定!$AB$9:$AJ$9,0),0)*J100</f>
        <v>0.9</v>
      </c>
      <c r="Z100" s="6">
        <f>VLOOKUP($S$13,角色设定!$AB$9:$AJ$21,MATCH(Z$17,角色设定!$AB$9:$AJ$9,0),0)</f>
        <v>0.75</v>
      </c>
      <c r="AA100" s="6"/>
      <c r="AB100" s="6"/>
      <c r="AC100" s="6">
        <f>T100*战斗公式!$E$38*(1+W100*(X100-1))*Y100</f>
        <v>345778.17116185179</v>
      </c>
      <c r="AD100" s="6">
        <f>U100*战斗公式!$E$40*(1+V100*战斗公式!$E$39)</f>
        <v>455345.73980161548</v>
      </c>
      <c r="AE100" s="21">
        <f t="shared" si="35"/>
        <v>801123.91096346732</v>
      </c>
      <c r="AF100" s="21">
        <f t="shared" si="39"/>
        <v>38148.757664927165</v>
      </c>
      <c r="AG100" s="21"/>
      <c r="AH100" s="9">
        <f t="shared" si="36"/>
        <v>3841.9796795761304</v>
      </c>
      <c r="AI100" s="9">
        <f t="shared" si="37"/>
        <v>94158.015311583062</v>
      </c>
      <c r="AJ100" s="9">
        <f t="shared" si="38"/>
        <v>13523.768472107977</v>
      </c>
      <c r="AK100" s="9">
        <f t="shared" si="40"/>
        <v>182.95141331314926</v>
      </c>
      <c r="AL100" s="9">
        <f t="shared" si="41"/>
        <v>3136.9436135687138</v>
      </c>
      <c r="AM100" s="9">
        <f t="shared" si="42"/>
        <v>643.9889748622827</v>
      </c>
    </row>
    <row r="101" spans="4:39" ht="14.25" customHeight="1" x14ac:dyDescent="0.2">
      <c r="D101" s="1">
        <v>84</v>
      </c>
      <c r="E101" s="6">
        <f t="shared" si="33"/>
        <v>573.73563215003537</v>
      </c>
      <c r="F101" s="6">
        <f t="shared" si="33"/>
        <v>5737.3563215003542</v>
      </c>
      <c r="G101" s="6">
        <f t="shared" si="33"/>
        <v>631.109195365039</v>
      </c>
      <c r="H101" s="6">
        <v>0.4</v>
      </c>
      <c r="I101" s="6">
        <v>1.5</v>
      </c>
      <c r="J101" s="6">
        <v>1</v>
      </c>
      <c r="K101" s="25">
        <f t="shared" si="34"/>
        <v>1.0334001672606301</v>
      </c>
      <c r="L101" s="6">
        <f t="shared" si="27"/>
        <v>25100.933906564049</v>
      </c>
      <c r="M101" s="6">
        <f t="shared" si="28"/>
        <v>292060.2785616687</v>
      </c>
      <c r="N101" s="6">
        <f t="shared" si="29"/>
        <v>47333.189652377921</v>
      </c>
      <c r="O101" s="6">
        <f t="shared" si="43"/>
        <v>0.4</v>
      </c>
      <c r="P101" s="6">
        <f t="shared" si="44"/>
        <v>1.5</v>
      </c>
      <c r="Q101" s="6">
        <f t="shared" si="45"/>
        <v>1</v>
      </c>
      <c r="R101" s="6"/>
      <c r="S101" s="35">
        <v>84</v>
      </c>
      <c r="T101" s="6">
        <f>VLOOKUP($S$13,角色设定!$AB$9:$AJ$21,MATCH(E$17,角色设定!$AB$9:$AJ$9,0),0)*Z101*$L$15*E101/Y101/(1+W101*(X101-1))</f>
        <v>13446.928878516454</v>
      </c>
      <c r="U101" s="6">
        <f>VLOOKUP($S$13,角色设定!$AB$9:$AJ$21,MATCH(F$17,角色设定!$AB$9:$AJ$9,0),0)*F101*$L$15/(1+V101/$N$16)</f>
        <v>324511.42062407633</v>
      </c>
      <c r="V101" s="6">
        <f>VLOOKUP($S$13,角色设定!$AB$9:$AJ$21,MATCH(V$17,角色设定!$AB$9:$AJ$9,0),0)*G101*$L$15</f>
        <v>47333.189652377921</v>
      </c>
      <c r="W101" s="6">
        <f>VLOOKUP($S$13,角色设定!$AB$9:$AJ$21,MATCH(W$17,角色设定!$AB$9:$AJ$9,0),0)*H101</f>
        <v>0.4</v>
      </c>
      <c r="X101" s="6">
        <f>VLOOKUP($S$13,角色设定!$AB$9:$AJ$21,MATCH(X$17,角色设定!$AB$9:$AJ$9,0),0)*I101</f>
        <v>1.5</v>
      </c>
      <c r="Y101" s="6">
        <f>VLOOKUP($S$13,角色设定!$AB$9:$AJ$21,MATCH(Y$17,角色设定!$AB$9:$AJ$9,0),0)*J101</f>
        <v>0.9</v>
      </c>
      <c r="Z101" s="6">
        <f>VLOOKUP($S$13,角色设定!$AB$9:$AJ$21,MATCH(Z$17,角色设定!$AB$9:$AJ$9,0),0)</f>
        <v>0.75</v>
      </c>
      <c r="AA101" s="6"/>
      <c r="AB101" s="6"/>
      <c r="AC101" s="6">
        <f>T101*战斗公式!$E$38*(1+W101*(X101-1))*Y101</f>
        <v>363067.07971994422</v>
      </c>
      <c r="AD101" s="6">
        <f>U101*战斗公式!$E$40*(1+V101*战斗公式!$E$39)</f>
        <v>478113.0267916962</v>
      </c>
      <c r="AE101" s="21">
        <f t="shared" si="35"/>
        <v>841180.10651164036</v>
      </c>
      <c r="AF101" s="21">
        <f t="shared" si="39"/>
        <v>40056.19554817304</v>
      </c>
      <c r="AG101" s="21"/>
      <c r="AH101" s="9">
        <f t="shared" si="36"/>
        <v>4034.0786635549357</v>
      </c>
      <c r="AI101" s="9">
        <f t="shared" si="37"/>
        <v>97353.426187222896</v>
      </c>
      <c r="AJ101" s="9">
        <f t="shared" si="38"/>
        <v>14199.956895713376</v>
      </c>
      <c r="AK101" s="9">
        <f t="shared" si="40"/>
        <v>192.09898397880534</v>
      </c>
      <c r="AL101" s="9">
        <f t="shared" si="41"/>
        <v>3195.4108756398346</v>
      </c>
      <c r="AM101" s="9">
        <f t="shared" si="42"/>
        <v>676.18842360539929</v>
      </c>
    </row>
    <row r="102" spans="4:39" ht="14.25" customHeight="1" x14ac:dyDescent="0.2">
      <c r="D102" s="1">
        <v>85</v>
      </c>
      <c r="E102" s="6">
        <f t="shared" si="33"/>
        <v>602.42241375753724</v>
      </c>
      <c r="F102" s="6">
        <f t="shared" si="33"/>
        <v>6024.224137575372</v>
      </c>
      <c r="G102" s="6">
        <f t="shared" si="33"/>
        <v>662.66465513329092</v>
      </c>
      <c r="H102" s="6">
        <v>0.4</v>
      </c>
      <c r="I102" s="6">
        <v>1.5</v>
      </c>
      <c r="J102" s="6">
        <v>1</v>
      </c>
      <c r="K102" s="25">
        <f t="shared" si="34"/>
        <v>1.0328547833522939</v>
      </c>
      <c r="L102" s="6">
        <f t="shared" si="27"/>
        <v>26355.980601892254</v>
      </c>
      <c r="M102" s="6">
        <f t="shared" si="28"/>
        <v>301815.14071581466</v>
      </c>
      <c r="N102" s="6">
        <f t="shared" si="29"/>
        <v>49699.849134996817</v>
      </c>
      <c r="O102" s="6">
        <f t="shared" si="43"/>
        <v>0.4</v>
      </c>
      <c r="P102" s="6">
        <f t="shared" si="44"/>
        <v>1.5</v>
      </c>
      <c r="Q102" s="6">
        <f t="shared" si="45"/>
        <v>1</v>
      </c>
      <c r="R102" s="6"/>
      <c r="S102" s="35">
        <v>85</v>
      </c>
      <c r="T102" s="6">
        <f>VLOOKUP($S$13,角色设定!$AB$9:$AJ$21,MATCH(E$17,角色设定!$AB$9:$AJ$9,0),0)*Z102*$L$15*E102/Y102/(1+W102*(X102-1))</f>
        <v>14119.27532244228</v>
      </c>
      <c r="U102" s="6">
        <f>VLOOKUP($S$13,角色设定!$AB$9:$AJ$21,MATCH(F$17,角色设定!$AB$9:$AJ$9,0),0)*F102*$L$15/(1+V102/$N$16)</f>
        <v>335350.15635090525</v>
      </c>
      <c r="V102" s="6">
        <f>VLOOKUP($S$13,角色设定!$AB$9:$AJ$21,MATCH(V$17,角色设定!$AB$9:$AJ$9,0),0)*G102*$L$15</f>
        <v>49699.849134996817</v>
      </c>
      <c r="W102" s="6">
        <f>VLOOKUP($S$13,角色设定!$AB$9:$AJ$21,MATCH(W$17,角色设定!$AB$9:$AJ$9,0),0)*H102</f>
        <v>0.4</v>
      </c>
      <c r="X102" s="6">
        <f>VLOOKUP($S$13,角色设定!$AB$9:$AJ$21,MATCH(X$17,角色设定!$AB$9:$AJ$9,0),0)*I102</f>
        <v>1.5</v>
      </c>
      <c r="Y102" s="6">
        <f>VLOOKUP($S$13,角色设定!$AB$9:$AJ$21,MATCH(Y$17,角色设定!$AB$9:$AJ$9,0),0)*J102</f>
        <v>0.9</v>
      </c>
      <c r="Z102" s="6">
        <f>VLOOKUP($S$13,角色设定!$AB$9:$AJ$21,MATCH(Z$17,角色设定!$AB$9:$AJ$9,0),0)</f>
        <v>0.75</v>
      </c>
      <c r="AA102" s="6"/>
      <c r="AB102" s="6"/>
      <c r="AC102" s="6">
        <f>T102*战斗公式!$E$38*(1+W102*(X102-1))*Y102</f>
        <v>381220.4337059416</v>
      </c>
      <c r="AD102" s="6">
        <f>U102*战斗公式!$E$40*(1+V102*战斗公式!$E$39)</f>
        <v>502018.67813128117</v>
      </c>
      <c r="AE102" s="21">
        <f t="shared" si="35"/>
        <v>883239.11183722271</v>
      </c>
      <c r="AF102" s="21">
        <f t="shared" si="39"/>
        <v>42059.005325582344</v>
      </c>
      <c r="AG102" s="21"/>
      <c r="AH102" s="9">
        <f t="shared" si="36"/>
        <v>4235.7825967326835</v>
      </c>
      <c r="AI102" s="9">
        <f t="shared" si="37"/>
        <v>100605.04690527158</v>
      </c>
      <c r="AJ102" s="9">
        <f t="shared" si="38"/>
        <v>14909.954740499044</v>
      </c>
      <c r="AK102" s="9">
        <f t="shared" si="40"/>
        <v>201.70393317774779</v>
      </c>
      <c r="AL102" s="9">
        <f t="shared" si="41"/>
        <v>3251.6207180486817</v>
      </c>
      <c r="AM102" s="9">
        <f t="shared" si="42"/>
        <v>709.99784478566835</v>
      </c>
    </row>
    <row r="103" spans="4:39" ht="14.25" customHeight="1" x14ac:dyDescent="0.2">
      <c r="D103" s="1">
        <v>86</v>
      </c>
      <c r="E103" s="6">
        <f t="shared" si="33"/>
        <v>632.54353444541402</v>
      </c>
      <c r="F103" s="6">
        <f t="shared" si="33"/>
        <v>6325.4353444541402</v>
      </c>
      <c r="G103" s="6">
        <f t="shared" si="33"/>
        <v>695.7978878899554</v>
      </c>
      <c r="H103" s="6">
        <v>0.4</v>
      </c>
      <c r="I103" s="6">
        <v>1.5</v>
      </c>
      <c r="J103" s="6">
        <v>1</v>
      </c>
      <c r="K103" s="25">
        <f t="shared" si="34"/>
        <v>1.0323009761188044</v>
      </c>
      <c r="L103" s="6">
        <f t="shared" si="27"/>
        <v>27673.779631986861</v>
      </c>
      <c r="M103" s="6">
        <f t="shared" si="28"/>
        <v>311731.21177647484</v>
      </c>
      <c r="N103" s="6">
        <f t="shared" si="29"/>
        <v>52184.841591746655</v>
      </c>
      <c r="O103" s="6">
        <f t="shared" si="43"/>
        <v>0.4</v>
      </c>
      <c r="P103" s="6">
        <f t="shared" si="44"/>
        <v>1.5</v>
      </c>
      <c r="Q103" s="6">
        <f t="shared" si="45"/>
        <v>1</v>
      </c>
      <c r="R103" s="6"/>
      <c r="S103" s="35">
        <v>86</v>
      </c>
      <c r="T103" s="6">
        <f>VLOOKUP($S$13,角色设定!$AB$9:$AJ$21,MATCH(E$17,角色设定!$AB$9:$AJ$9,0),0)*Z103*$L$15*E103/Y103/(1+W103*(X103-1))</f>
        <v>14825.239088564393</v>
      </c>
      <c r="U103" s="6">
        <f>VLOOKUP($S$13,角色设定!$AB$9:$AJ$21,MATCH(F$17,角色设定!$AB$9:$AJ$9,0),0)*F103*$L$15/(1+V103/$N$16)</f>
        <v>346368.01308497204</v>
      </c>
      <c r="V103" s="6">
        <f>VLOOKUP($S$13,角色设定!$AB$9:$AJ$21,MATCH(V$17,角色设定!$AB$9:$AJ$9,0),0)*G103*$L$15</f>
        <v>52184.841591746655</v>
      </c>
      <c r="W103" s="6">
        <f>VLOOKUP($S$13,角色设定!$AB$9:$AJ$21,MATCH(W$17,角色设定!$AB$9:$AJ$9,0),0)*H103</f>
        <v>0.4</v>
      </c>
      <c r="X103" s="6">
        <f>VLOOKUP($S$13,角色设定!$AB$9:$AJ$21,MATCH(X$17,角色设定!$AB$9:$AJ$9,0),0)*I103</f>
        <v>1.5</v>
      </c>
      <c r="Y103" s="6">
        <f>VLOOKUP($S$13,角色设定!$AB$9:$AJ$21,MATCH(Y$17,角色设定!$AB$9:$AJ$9,0),0)*J103</f>
        <v>0.9</v>
      </c>
      <c r="Z103" s="6">
        <f>VLOOKUP($S$13,角色设定!$AB$9:$AJ$21,MATCH(Z$17,角色设定!$AB$9:$AJ$9,0),0)</f>
        <v>0.75</v>
      </c>
      <c r="AA103" s="6"/>
      <c r="AB103" s="6"/>
      <c r="AC103" s="6">
        <f>T103*战斗公式!$E$38*(1+W103*(X103-1))*Y103</f>
        <v>400281.45539123856</v>
      </c>
      <c r="AD103" s="6">
        <f>U103*战斗公式!$E$40*(1+V103*战斗公式!$E$39)</f>
        <v>527119.61203784507</v>
      </c>
      <c r="AE103" s="21">
        <f t="shared" si="35"/>
        <v>927401.06742908363</v>
      </c>
      <c r="AF103" s="21">
        <f t="shared" si="39"/>
        <v>44161.955591860926</v>
      </c>
      <c r="AG103" s="21"/>
      <c r="AH103" s="9">
        <f t="shared" si="36"/>
        <v>4447.5717265693174</v>
      </c>
      <c r="AI103" s="9">
        <f t="shared" si="37"/>
        <v>103910.40392549161</v>
      </c>
      <c r="AJ103" s="9">
        <f t="shared" si="38"/>
        <v>15655.452477523995</v>
      </c>
      <c r="AK103" s="9">
        <f t="shared" si="40"/>
        <v>211.78912983663395</v>
      </c>
      <c r="AL103" s="9">
        <f t="shared" si="41"/>
        <v>3305.3570202200353</v>
      </c>
      <c r="AM103" s="9">
        <f t="shared" si="42"/>
        <v>745.49773702495077</v>
      </c>
    </row>
    <row r="104" spans="4:39" ht="14.25" customHeight="1" x14ac:dyDescent="0.2">
      <c r="D104" s="1">
        <v>87</v>
      </c>
      <c r="E104" s="6">
        <f t="shared" si="33"/>
        <v>664.17071116768466</v>
      </c>
      <c r="F104" s="6">
        <f t="shared" si="33"/>
        <v>6641.7071116768466</v>
      </c>
      <c r="G104" s="6">
        <f t="shared" si="33"/>
        <v>730.58778228445317</v>
      </c>
      <c r="H104" s="6">
        <v>0.4</v>
      </c>
      <c r="I104" s="6">
        <v>1.5</v>
      </c>
      <c r="J104" s="6">
        <v>1</v>
      </c>
      <c r="K104" s="25">
        <f t="shared" si="34"/>
        <v>1.0317392228555144</v>
      </c>
      <c r="L104" s="6">
        <f t="shared" si="27"/>
        <v>29057.468613586203</v>
      </c>
      <c r="M104" s="6">
        <f t="shared" si="28"/>
        <v>321800.43420355272</v>
      </c>
      <c r="N104" s="6">
        <f t="shared" si="29"/>
        <v>54794.083671333989</v>
      </c>
      <c r="O104" s="6">
        <f t="shared" si="43"/>
        <v>0.4</v>
      </c>
      <c r="P104" s="6">
        <f t="shared" si="44"/>
        <v>1.5</v>
      </c>
      <c r="Q104" s="6">
        <f t="shared" si="45"/>
        <v>1</v>
      </c>
      <c r="R104" s="6"/>
      <c r="S104" s="35">
        <v>87</v>
      </c>
      <c r="T104" s="6">
        <f>VLOOKUP($S$13,角色设定!$AB$9:$AJ$21,MATCH(E$17,角色设定!$AB$9:$AJ$9,0),0)*Z104*$L$15*E104/Y104/(1+W104*(X104-1))</f>
        <v>15566.501042992608</v>
      </c>
      <c r="U104" s="6">
        <f>VLOOKUP($S$13,角色设定!$AB$9:$AJ$21,MATCH(F$17,角色设定!$AB$9:$AJ$9,0),0)*F104*$L$15/(1+V104/$N$16)</f>
        <v>357556.03800394747</v>
      </c>
      <c r="V104" s="6">
        <f>VLOOKUP($S$13,角色设定!$AB$9:$AJ$21,MATCH(V$17,角色设定!$AB$9:$AJ$9,0),0)*G104*$L$15</f>
        <v>54794.083671333989</v>
      </c>
      <c r="W104" s="6">
        <f>VLOOKUP($S$13,角色设定!$AB$9:$AJ$21,MATCH(W$17,角色设定!$AB$9:$AJ$9,0),0)*H104</f>
        <v>0.4</v>
      </c>
      <c r="X104" s="6">
        <f>VLOOKUP($S$13,角色设定!$AB$9:$AJ$21,MATCH(X$17,角色设定!$AB$9:$AJ$9,0),0)*I104</f>
        <v>1.5</v>
      </c>
      <c r="Y104" s="6">
        <f>VLOOKUP($S$13,角色设定!$AB$9:$AJ$21,MATCH(Y$17,角色设定!$AB$9:$AJ$9,0),0)*J104</f>
        <v>0.9</v>
      </c>
      <c r="Z104" s="6">
        <f>VLOOKUP($S$13,角色设定!$AB$9:$AJ$21,MATCH(Z$17,角色设定!$AB$9:$AJ$9,0),0)</f>
        <v>0.75</v>
      </c>
      <c r="AA104" s="6"/>
      <c r="AB104" s="6"/>
      <c r="AC104" s="6">
        <f>T104*战斗公式!$E$38*(1+W104*(X104-1))*Y104</f>
        <v>420295.5281608004</v>
      </c>
      <c r="AD104" s="6">
        <f>U104*战斗公式!$E$40*(1+V104*战斗公式!$E$39)</f>
        <v>553475.5926397373</v>
      </c>
      <c r="AE104" s="21">
        <f t="shared" si="35"/>
        <v>973771.12080053776</v>
      </c>
      <c r="AF104" s="21">
        <f t="shared" si="39"/>
        <v>46370.053371454123</v>
      </c>
      <c r="AG104" s="21"/>
      <c r="AH104" s="9">
        <f t="shared" si="36"/>
        <v>4669.9503128977822</v>
      </c>
      <c r="AI104" s="9">
        <f t="shared" si="37"/>
        <v>107266.81140118424</v>
      </c>
      <c r="AJ104" s="9">
        <f t="shared" si="38"/>
        <v>16438.225101400196</v>
      </c>
      <c r="AK104" s="9">
        <f t="shared" si="40"/>
        <v>222.37858632846473</v>
      </c>
      <c r="AL104" s="9">
        <f t="shared" si="41"/>
        <v>3356.4074756926275</v>
      </c>
      <c r="AM104" s="9">
        <f t="shared" si="42"/>
        <v>782.77262387620067</v>
      </c>
    </row>
    <row r="105" spans="4:39" ht="14.25" customHeight="1" x14ac:dyDescent="0.2">
      <c r="D105" s="1">
        <v>88</v>
      </c>
      <c r="E105" s="6">
        <f t="shared" si="33"/>
        <v>697.37924672606914</v>
      </c>
      <c r="F105" s="6">
        <f t="shared" si="33"/>
        <v>6973.7924672606905</v>
      </c>
      <c r="G105" s="6">
        <f t="shared" si="33"/>
        <v>767.11717139867596</v>
      </c>
      <c r="H105" s="6">
        <v>0.4</v>
      </c>
      <c r="I105" s="6">
        <v>1.5</v>
      </c>
      <c r="J105" s="6">
        <v>1</v>
      </c>
      <c r="K105" s="25">
        <f t="shared" si="34"/>
        <v>1.0311700338144427</v>
      </c>
      <c r="L105" s="6">
        <f t="shared" si="27"/>
        <v>30510.342044265526</v>
      </c>
      <c r="M105" s="6">
        <f t="shared" si="28"/>
        <v>332014.12989974057</v>
      </c>
      <c r="N105" s="6">
        <f t="shared" si="29"/>
        <v>57533.7878549007</v>
      </c>
      <c r="O105" s="6">
        <f t="shared" si="43"/>
        <v>0.4</v>
      </c>
      <c r="P105" s="6">
        <f t="shared" si="44"/>
        <v>1.5</v>
      </c>
      <c r="Q105" s="6">
        <f t="shared" si="45"/>
        <v>1</v>
      </c>
      <c r="R105" s="6"/>
      <c r="S105" s="35">
        <v>88</v>
      </c>
      <c r="T105" s="6">
        <f>VLOOKUP($S$13,角色设定!$AB$9:$AJ$21,MATCH(E$17,角色设定!$AB$9:$AJ$9,0),0)*Z105*$L$15*E105/Y105/(1+W105*(X105-1))</f>
        <v>16344.826095142247</v>
      </c>
      <c r="U105" s="6">
        <f>VLOOKUP($S$13,角色设定!$AB$9:$AJ$21,MATCH(F$17,角色设定!$AB$9:$AJ$9,0),0)*F105*$L$15/(1+V105/$N$16)</f>
        <v>368904.58877748955</v>
      </c>
      <c r="V105" s="6">
        <f>VLOOKUP($S$13,角色设定!$AB$9:$AJ$21,MATCH(V$17,角色设定!$AB$9:$AJ$9,0),0)*G105*$L$15</f>
        <v>57533.7878549007</v>
      </c>
      <c r="W105" s="6">
        <f>VLOOKUP($S$13,角色设定!$AB$9:$AJ$21,MATCH(W$17,角色设定!$AB$9:$AJ$9,0),0)*H105</f>
        <v>0.4</v>
      </c>
      <c r="X105" s="6">
        <f>VLOOKUP($S$13,角色设定!$AB$9:$AJ$21,MATCH(X$17,角色设定!$AB$9:$AJ$9,0),0)*I105</f>
        <v>1.5</v>
      </c>
      <c r="Y105" s="6">
        <f>VLOOKUP($S$13,角色设定!$AB$9:$AJ$21,MATCH(Y$17,角色设定!$AB$9:$AJ$9,0),0)*J105</f>
        <v>0.9</v>
      </c>
      <c r="Z105" s="6">
        <f>VLOOKUP($S$13,角色设定!$AB$9:$AJ$21,MATCH(Z$17,角色设定!$AB$9:$AJ$9,0),0)</f>
        <v>0.75</v>
      </c>
      <c r="AA105" s="6"/>
      <c r="AB105" s="6"/>
      <c r="AC105" s="6">
        <f>T105*战斗公式!$E$38*(1+W105*(X105-1))*Y105</f>
        <v>441310.30456884066</v>
      </c>
      <c r="AD105" s="6">
        <f>U105*战斗公式!$E$40*(1+V105*战斗公式!$E$39)</f>
        <v>581149.37227172428</v>
      </c>
      <c r="AE105" s="21">
        <f t="shared" si="35"/>
        <v>1022459.6768405649</v>
      </c>
      <c r="AF105" s="21">
        <f t="shared" si="39"/>
        <v>48688.556040027179</v>
      </c>
      <c r="AG105" s="21"/>
      <c r="AH105" s="9">
        <f t="shared" si="36"/>
        <v>4903.447828542674</v>
      </c>
      <c r="AI105" s="9">
        <f t="shared" si="37"/>
        <v>110671.37663324687</v>
      </c>
      <c r="AJ105" s="9">
        <f t="shared" si="38"/>
        <v>17260.136356470208</v>
      </c>
      <c r="AK105" s="9">
        <f t="shared" si="40"/>
        <v>233.49751564489179</v>
      </c>
      <c r="AL105" s="9">
        <f t="shared" si="41"/>
        <v>3404.565232062625</v>
      </c>
      <c r="AM105" s="9">
        <f t="shared" si="42"/>
        <v>821.91125507001198</v>
      </c>
    </row>
    <row r="106" spans="4:39" ht="14.25" customHeight="1" x14ac:dyDescent="0.2">
      <c r="D106" s="1">
        <v>89</v>
      </c>
      <c r="E106" s="6">
        <f t="shared" si="33"/>
        <v>732.24820906237244</v>
      </c>
      <c r="F106" s="6">
        <f t="shared" si="33"/>
        <v>7322.4820906237237</v>
      </c>
      <c r="G106" s="6">
        <f t="shared" si="33"/>
        <v>805.47302996860969</v>
      </c>
      <c r="H106" s="6">
        <v>0.4</v>
      </c>
      <c r="I106" s="6">
        <v>1.5</v>
      </c>
      <c r="J106" s="6">
        <v>1</v>
      </c>
      <c r="K106" s="25">
        <f t="shared" si="34"/>
        <v>1.0305939507562205</v>
      </c>
      <c r="L106" s="6">
        <f t="shared" si="27"/>
        <v>32035.859146478793</v>
      </c>
      <c r="M106" s="6">
        <f t="shared" si="28"/>
        <v>342363.02155558823</v>
      </c>
      <c r="N106" s="6">
        <f t="shared" si="29"/>
        <v>60410.477247645729</v>
      </c>
      <c r="O106" s="6">
        <f t="shared" si="43"/>
        <v>0.4</v>
      </c>
      <c r="P106" s="6">
        <f t="shared" si="44"/>
        <v>1.5</v>
      </c>
      <c r="Q106" s="6">
        <f t="shared" si="45"/>
        <v>1</v>
      </c>
      <c r="R106" s="6"/>
      <c r="S106" s="35">
        <v>89</v>
      </c>
      <c r="T106" s="6">
        <f>VLOOKUP($S$13,角色设定!$AB$9:$AJ$21,MATCH(E$17,角色设定!$AB$9:$AJ$9,0),0)*Z106*$L$15*E106/Y106/(1+W106*(X106-1))</f>
        <v>17162.067399899355</v>
      </c>
      <c r="U106" s="6">
        <f>VLOOKUP($S$13,角色设定!$AB$9:$AJ$21,MATCH(F$17,角色设定!$AB$9:$AJ$9,0),0)*F106*$L$15/(1+V106/$N$16)</f>
        <v>380403.35728398687</v>
      </c>
      <c r="V106" s="6">
        <f>VLOOKUP($S$13,角色设定!$AB$9:$AJ$21,MATCH(V$17,角色设定!$AB$9:$AJ$9,0),0)*G106*$L$15</f>
        <v>60410.477247645729</v>
      </c>
      <c r="W106" s="6">
        <f>VLOOKUP($S$13,角色设定!$AB$9:$AJ$21,MATCH(W$17,角色设定!$AB$9:$AJ$9,0),0)*H106</f>
        <v>0.4</v>
      </c>
      <c r="X106" s="6">
        <f>VLOOKUP($S$13,角色设定!$AB$9:$AJ$21,MATCH(X$17,角色设定!$AB$9:$AJ$9,0),0)*I106</f>
        <v>1.5</v>
      </c>
      <c r="Y106" s="6">
        <f>VLOOKUP($S$13,角色设定!$AB$9:$AJ$21,MATCH(Y$17,角色设定!$AB$9:$AJ$9,0),0)*J106</f>
        <v>0.9</v>
      </c>
      <c r="Z106" s="6">
        <f>VLOOKUP($S$13,角色设定!$AB$9:$AJ$21,MATCH(Z$17,角色设定!$AB$9:$AJ$9,0),0)</f>
        <v>0.75</v>
      </c>
      <c r="AA106" s="6"/>
      <c r="AB106" s="6"/>
      <c r="AC106" s="6">
        <f>T106*战斗公式!$E$38*(1+W106*(X106-1))*Y106</f>
        <v>463375.81979728251</v>
      </c>
      <c r="AD106" s="6">
        <f>U106*战斗公式!$E$40*(1+V106*战斗公式!$E$39)</f>
        <v>610206.84088531032</v>
      </c>
      <c r="AE106" s="21">
        <f t="shared" si="35"/>
        <v>1073582.6606825928</v>
      </c>
      <c r="AF106" s="21">
        <f t="shared" si="39"/>
        <v>51122.983842027839</v>
      </c>
      <c r="AG106" s="21"/>
      <c r="AH106" s="9">
        <f t="shared" si="36"/>
        <v>5148.6202199698064</v>
      </c>
      <c r="AI106" s="9">
        <f t="shared" si="37"/>
        <v>114121.00718519605</v>
      </c>
      <c r="AJ106" s="9">
        <f t="shared" si="38"/>
        <v>18123.143174293717</v>
      </c>
      <c r="AK106" s="9">
        <f t="shared" si="40"/>
        <v>245.17239142713242</v>
      </c>
      <c r="AL106" s="9">
        <f t="shared" si="41"/>
        <v>3449.6305519491871</v>
      </c>
      <c r="AM106" s="9">
        <f t="shared" si="42"/>
        <v>863.00681782350875</v>
      </c>
    </row>
    <row r="107" spans="4:39" ht="14.25" customHeight="1" x14ac:dyDescent="0.2">
      <c r="D107" s="1">
        <v>90</v>
      </c>
      <c r="E107" s="6">
        <f t="shared" si="33"/>
        <v>768.86061951549107</v>
      </c>
      <c r="F107" s="6">
        <f t="shared" si="33"/>
        <v>7688.6061951549109</v>
      </c>
      <c r="G107" s="6">
        <f t="shared" si="33"/>
        <v>845.74668146704016</v>
      </c>
      <c r="H107" s="6">
        <v>0.4</v>
      </c>
      <c r="I107" s="6">
        <v>1.5</v>
      </c>
      <c r="J107" s="6">
        <v>1</v>
      </c>
      <c r="K107" s="25">
        <f t="shared" si="34"/>
        <v>1.0300115452315743</v>
      </c>
      <c r="L107" s="6">
        <f t="shared" si="27"/>
        <v>33637.652103802728</v>
      </c>
      <c r="M107" s="6">
        <f t="shared" si="28"/>
        <v>352837.25897781079</v>
      </c>
      <c r="N107" s="6">
        <f t="shared" si="29"/>
        <v>63431.00111002801</v>
      </c>
      <c r="O107" s="6">
        <f t="shared" si="43"/>
        <v>0.4</v>
      </c>
      <c r="P107" s="6">
        <f t="shared" si="44"/>
        <v>1.5</v>
      </c>
      <c r="Q107" s="6">
        <f t="shared" si="45"/>
        <v>1</v>
      </c>
      <c r="R107" s="6"/>
      <c r="S107" s="35">
        <v>90</v>
      </c>
      <c r="T107" s="6">
        <f>VLOOKUP($S$13,角色设定!$AB$9:$AJ$21,MATCH(E$17,角色设定!$AB$9:$AJ$9,0),0)*Z107*$L$15*E107/Y107/(1+W107*(X107-1))</f>
        <v>18020.170769894321</v>
      </c>
      <c r="U107" s="6">
        <f>VLOOKUP($S$13,角色设定!$AB$9:$AJ$21,MATCH(F$17,角色设定!$AB$9:$AJ$9,0),0)*F107*$L$15/(1+V107/$N$16)</f>
        <v>392041.39886423422</v>
      </c>
      <c r="V107" s="6">
        <f>VLOOKUP($S$13,角色设定!$AB$9:$AJ$21,MATCH(V$17,角色设定!$AB$9:$AJ$9,0),0)*G107*$L$15</f>
        <v>63431.00111002801</v>
      </c>
      <c r="W107" s="6">
        <f>VLOOKUP($S$13,角色设定!$AB$9:$AJ$21,MATCH(W$17,角色设定!$AB$9:$AJ$9,0),0)*H107</f>
        <v>0.4</v>
      </c>
      <c r="X107" s="6">
        <f>VLOOKUP($S$13,角色设定!$AB$9:$AJ$21,MATCH(X$17,角色设定!$AB$9:$AJ$9,0),0)*I107</f>
        <v>1.5</v>
      </c>
      <c r="Y107" s="6">
        <f>VLOOKUP($S$13,角色设定!$AB$9:$AJ$21,MATCH(Y$17,角色设定!$AB$9:$AJ$9,0),0)*J107</f>
        <v>0.9</v>
      </c>
      <c r="Z107" s="6">
        <f>VLOOKUP($S$13,角色设定!$AB$9:$AJ$21,MATCH(Z$17,角色设定!$AB$9:$AJ$9,0),0)</f>
        <v>0.75</v>
      </c>
      <c r="AA107" s="6"/>
      <c r="AB107" s="6"/>
      <c r="AC107" s="6">
        <f>T107*战斗公式!$E$38*(1+W107*(X107-1))*Y107</f>
        <v>486544.61078714667</v>
      </c>
      <c r="AD107" s="6">
        <f>U107*战斗公式!$E$40*(1+V107*战斗公式!$E$39)</f>
        <v>640717.18292957603</v>
      </c>
      <c r="AE107" s="21">
        <f t="shared" si="35"/>
        <v>1127261.7937167226</v>
      </c>
      <c r="AF107" s="21">
        <f t="shared" si="39"/>
        <v>53679.13303412986</v>
      </c>
      <c r="AG107" s="21"/>
      <c r="AH107" s="9">
        <f t="shared" si="36"/>
        <v>5406.0512309682963</v>
      </c>
      <c r="AI107" s="9">
        <f t="shared" si="37"/>
        <v>117612.41965927026</v>
      </c>
      <c r="AJ107" s="9">
        <f t="shared" si="38"/>
        <v>19029.300333008403</v>
      </c>
      <c r="AK107" s="9">
        <f t="shared" si="40"/>
        <v>257.43101099848991</v>
      </c>
      <c r="AL107" s="9">
        <f t="shared" si="41"/>
        <v>3491.4124740742118</v>
      </c>
      <c r="AM107" s="9">
        <f t="shared" si="42"/>
        <v>906.15715871468637</v>
      </c>
    </row>
    <row r="108" spans="4:39" ht="14.25" customHeight="1" x14ac:dyDescent="0.2">
      <c r="D108" s="1">
        <v>91</v>
      </c>
      <c r="E108" s="6">
        <f t="shared" si="33"/>
        <v>807.30365049126567</v>
      </c>
      <c r="F108" s="6">
        <f t="shared" si="33"/>
        <v>8073.0365049126558</v>
      </c>
      <c r="G108" s="6">
        <f t="shared" si="33"/>
        <v>888.03401554039215</v>
      </c>
      <c r="H108" s="6">
        <v>0.4</v>
      </c>
      <c r="I108" s="6">
        <v>1.5</v>
      </c>
      <c r="J108" s="6">
        <v>1</v>
      </c>
      <c r="K108" s="25">
        <f t="shared" si="34"/>
        <v>1.0294234165997382</v>
      </c>
      <c r="L108" s="6">
        <f t="shared" si="27"/>
        <v>35319.534708992869</v>
      </c>
      <c r="M108" s="6">
        <f t="shared" si="28"/>
        <v>363426.45033500809</v>
      </c>
      <c r="N108" s="6">
        <f t="shared" si="29"/>
        <v>66602.55116552941</v>
      </c>
      <c r="O108" s="6">
        <f t="shared" si="43"/>
        <v>0.4</v>
      </c>
      <c r="P108" s="6">
        <f t="shared" si="44"/>
        <v>1.5</v>
      </c>
      <c r="Q108" s="6">
        <f t="shared" si="45"/>
        <v>1</v>
      </c>
      <c r="R108" s="6"/>
      <c r="S108" s="35">
        <v>91</v>
      </c>
      <c r="T108" s="6">
        <f>VLOOKUP($S$13,角色设定!$AB$9:$AJ$21,MATCH(E$17,角色设定!$AB$9:$AJ$9,0),0)*Z108*$L$15*E108/Y108/(1+W108*(X108-1))</f>
        <v>18921.179308389041</v>
      </c>
      <c r="U108" s="6">
        <f>VLOOKUP($S$13,角色设定!$AB$9:$AJ$21,MATCH(F$17,角色设定!$AB$9:$AJ$9,0),0)*F108*$L$15/(1+V108/$N$16)</f>
        <v>403807.16703889793</v>
      </c>
      <c r="V108" s="6">
        <f>VLOOKUP($S$13,角色设定!$AB$9:$AJ$21,MATCH(V$17,角色设定!$AB$9:$AJ$9,0),0)*G108*$L$15</f>
        <v>66602.55116552941</v>
      </c>
      <c r="W108" s="6">
        <f>VLOOKUP($S$13,角色设定!$AB$9:$AJ$21,MATCH(W$17,角色设定!$AB$9:$AJ$9,0),0)*H108</f>
        <v>0.4</v>
      </c>
      <c r="X108" s="6">
        <f>VLOOKUP($S$13,角色设定!$AB$9:$AJ$21,MATCH(X$17,角色设定!$AB$9:$AJ$9,0),0)*I108</f>
        <v>1.5</v>
      </c>
      <c r="Y108" s="6">
        <f>VLOOKUP($S$13,角色设定!$AB$9:$AJ$21,MATCH(Y$17,角色设定!$AB$9:$AJ$9,0),0)*J108</f>
        <v>0.9</v>
      </c>
      <c r="Z108" s="6">
        <f>VLOOKUP($S$13,角色设定!$AB$9:$AJ$21,MATCH(Z$17,角色设定!$AB$9:$AJ$9,0),0)</f>
        <v>0.75</v>
      </c>
      <c r="AA108" s="6"/>
      <c r="AB108" s="6"/>
      <c r="AC108" s="6">
        <f>T108*战斗公式!$E$38*(1+W108*(X108-1))*Y108</f>
        <v>510871.84132650413</v>
      </c>
      <c r="AD108" s="6">
        <f>U108*战斗公式!$E$40*(1+V108*战斗公式!$E$39)</f>
        <v>672753.04207605473</v>
      </c>
      <c r="AE108" s="21">
        <f t="shared" si="35"/>
        <v>1183624.883402559</v>
      </c>
      <c r="AF108" s="21">
        <f t="shared" si="39"/>
        <v>56363.089685836341</v>
      </c>
      <c r="AG108" s="21"/>
      <c r="AH108" s="9">
        <f t="shared" si="36"/>
        <v>5676.353792516712</v>
      </c>
      <c r="AI108" s="9">
        <f t="shared" si="37"/>
        <v>121142.15011166937</v>
      </c>
      <c r="AJ108" s="9">
        <f t="shared" si="38"/>
        <v>19980.765349658821</v>
      </c>
      <c r="AK108" s="9">
        <f t="shared" si="40"/>
        <v>270.30256154841572</v>
      </c>
      <c r="AL108" s="9">
        <f t="shared" si="41"/>
        <v>3529.7304523991043</v>
      </c>
      <c r="AM108" s="9">
        <f t="shared" si="42"/>
        <v>951.46501665041797</v>
      </c>
    </row>
    <row r="109" spans="4:39" ht="14.25" customHeight="1" x14ac:dyDescent="0.2">
      <c r="D109" s="1">
        <v>92</v>
      </c>
      <c r="E109" s="6">
        <f t="shared" si="33"/>
        <v>847.66883301582902</v>
      </c>
      <c r="F109" s="6">
        <f t="shared" si="33"/>
        <v>8476.6883301582911</v>
      </c>
      <c r="G109" s="6">
        <f t="shared" si="33"/>
        <v>932.43571631741202</v>
      </c>
      <c r="H109" s="6">
        <v>0.4</v>
      </c>
      <c r="I109" s="6">
        <v>1.5</v>
      </c>
      <c r="J109" s="6">
        <v>1</v>
      </c>
      <c r="K109" s="25">
        <f t="shared" si="34"/>
        <v>1.0288301897949765</v>
      </c>
      <c r="L109" s="6">
        <f t="shared" si="27"/>
        <v>37085.51144444252</v>
      </c>
      <c r="M109" s="6">
        <f t="shared" si="28"/>
        <v>374119.6981865791</v>
      </c>
      <c r="N109" s="6">
        <f t="shared" si="29"/>
        <v>69932.678723805904</v>
      </c>
      <c r="O109" s="6">
        <f t="shared" si="43"/>
        <v>0.4</v>
      </c>
      <c r="P109" s="6">
        <f t="shared" si="44"/>
        <v>1.5</v>
      </c>
      <c r="Q109" s="6">
        <f t="shared" si="45"/>
        <v>1</v>
      </c>
      <c r="R109" s="6"/>
      <c r="S109" s="35">
        <v>92</v>
      </c>
      <c r="T109" s="6">
        <f>VLOOKUP($S$13,角色设定!$AB$9:$AJ$21,MATCH(E$17,角色设定!$AB$9:$AJ$9,0),0)*Z109*$L$15*E109/Y109/(1+W109*(X109-1))</f>
        <v>19867.238273808496</v>
      </c>
      <c r="U109" s="6">
        <f>VLOOKUP($S$13,角色设定!$AB$9:$AJ$21,MATCH(F$17,角色设定!$AB$9:$AJ$9,0),0)*F109*$L$15/(1+V109/$N$16)</f>
        <v>415688.55354064348</v>
      </c>
      <c r="V109" s="6">
        <f>VLOOKUP($S$13,角色设定!$AB$9:$AJ$21,MATCH(V$17,角色设定!$AB$9:$AJ$9,0),0)*G109*$L$15</f>
        <v>69932.678723805904</v>
      </c>
      <c r="W109" s="6">
        <f>VLOOKUP($S$13,角色设定!$AB$9:$AJ$21,MATCH(W$17,角色设定!$AB$9:$AJ$9,0),0)*H109</f>
        <v>0.4</v>
      </c>
      <c r="X109" s="6">
        <f>VLOOKUP($S$13,角色设定!$AB$9:$AJ$21,MATCH(X$17,角色设定!$AB$9:$AJ$9,0),0)*I109</f>
        <v>1.5</v>
      </c>
      <c r="Y109" s="6">
        <f>VLOOKUP($S$13,角色设定!$AB$9:$AJ$21,MATCH(Y$17,角色设定!$AB$9:$AJ$9,0),0)*J109</f>
        <v>0.9</v>
      </c>
      <c r="Z109" s="6">
        <f>VLOOKUP($S$13,角色设定!$AB$9:$AJ$21,MATCH(Z$17,角色设定!$AB$9:$AJ$9,0),0)</f>
        <v>0.75</v>
      </c>
      <c r="AA109" s="6"/>
      <c r="AB109" s="6"/>
      <c r="AC109" s="6">
        <f>T109*战斗公式!$E$38*(1+W109*(X109-1))*Y109</f>
        <v>536415.43339282938</v>
      </c>
      <c r="AD109" s="6">
        <f>U109*战斗公式!$E$40*(1+V109*战斗公式!$E$39)</f>
        <v>706390.69417985762</v>
      </c>
      <c r="AE109" s="21">
        <f t="shared" si="35"/>
        <v>1242806.1275726869</v>
      </c>
      <c r="AF109" s="21">
        <f t="shared" si="39"/>
        <v>59181.244170127902</v>
      </c>
      <c r="AG109" s="21"/>
      <c r="AH109" s="9">
        <f t="shared" si="36"/>
        <v>5960.1714821425485</v>
      </c>
      <c r="AI109" s="9">
        <f t="shared" si="37"/>
        <v>124706.56606219304</v>
      </c>
      <c r="AJ109" s="9">
        <f t="shared" si="38"/>
        <v>20979.80361714177</v>
      </c>
      <c r="AK109" s="9">
        <f t="shared" si="40"/>
        <v>283.81768962583646</v>
      </c>
      <c r="AL109" s="9">
        <f t="shared" si="41"/>
        <v>3564.4159505236748</v>
      </c>
      <c r="AM109" s="9">
        <f t="shared" si="42"/>
        <v>999.03826748294887</v>
      </c>
    </row>
    <row r="110" spans="4:39" ht="14.25" customHeight="1" x14ac:dyDescent="0.2">
      <c r="D110" s="1">
        <v>93</v>
      </c>
      <c r="E110" s="6">
        <f t="shared" si="33"/>
        <v>890.05227466662041</v>
      </c>
      <c r="F110" s="6">
        <f t="shared" si="33"/>
        <v>8900.5227466662036</v>
      </c>
      <c r="G110" s="6">
        <f t="shared" si="33"/>
        <v>979.05750213328236</v>
      </c>
      <c r="H110" s="6">
        <v>0.4</v>
      </c>
      <c r="I110" s="6">
        <v>1.5</v>
      </c>
      <c r="J110" s="6">
        <v>1</v>
      </c>
      <c r="K110" s="25">
        <f t="shared" si="34"/>
        <v>1.0282325128562</v>
      </c>
      <c r="L110" s="6">
        <f t="shared" si="27"/>
        <v>38939.787016664639</v>
      </c>
      <c r="M110" s="6">
        <f t="shared" si="28"/>
        <v>384905.6400913375</v>
      </c>
      <c r="N110" s="6">
        <f t="shared" si="29"/>
        <v>73429.312659996183</v>
      </c>
      <c r="O110" s="6">
        <f t="shared" si="43"/>
        <v>0.4</v>
      </c>
      <c r="P110" s="6">
        <f t="shared" si="44"/>
        <v>1.5</v>
      </c>
      <c r="Q110" s="6">
        <f t="shared" si="45"/>
        <v>1</v>
      </c>
      <c r="R110" s="6"/>
      <c r="S110" s="35">
        <v>93</v>
      </c>
      <c r="T110" s="6">
        <f>VLOOKUP($S$13,角色设定!$AB$9:$AJ$21,MATCH(E$17,角色设定!$AB$9:$AJ$9,0),0)*Z110*$L$15*E110/Y110/(1+W110*(X110-1))</f>
        <v>20860.600187498916</v>
      </c>
      <c r="U110" s="6">
        <f>VLOOKUP($S$13,角色设定!$AB$9:$AJ$21,MATCH(F$17,角色设定!$AB$9:$AJ$9,0),0)*F110*$L$15/(1+V110/$N$16)</f>
        <v>427672.93343481945</v>
      </c>
      <c r="V110" s="6">
        <f>VLOOKUP($S$13,角色设定!$AB$9:$AJ$21,MATCH(V$17,角色设定!$AB$9:$AJ$9,0),0)*G110*$L$15</f>
        <v>73429.312659996183</v>
      </c>
      <c r="W110" s="6">
        <f>VLOOKUP($S$13,角色设定!$AB$9:$AJ$21,MATCH(W$17,角色设定!$AB$9:$AJ$9,0),0)*H110</f>
        <v>0.4</v>
      </c>
      <c r="X110" s="6">
        <f>VLOOKUP($S$13,角色设定!$AB$9:$AJ$21,MATCH(X$17,角色设定!$AB$9:$AJ$9,0),0)*I110</f>
        <v>1.5</v>
      </c>
      <c r="Y110" s="6">
        <f>VLOOKUP($S$13,角色设定!$AB$9:$AJ$21,MATCH(Y$17,角色设定!$AB$9:$AJ$9,0),0)*J110</f>
        <v>0.9</v>
      </c>
      <c r="Z110" s="6">
        <f>VLOOKUP($S$13,角色设定!$AB$9:$AJ$21,MATCH(Z$17,角色设定!$AB$9:$AJ$9,0),0)</f>
        <v>0.75</v>
      </c>
      <c r="AA110" s="6"/>
      <c r="AB110" s="6"/>
      <c r="AC110" s="6">
        <f>T110*战斗公式!$E$38*(1+W110*(X110-1))*Y110</f>
        <v>563236.20506247063</v>
      </c>
      <c r="AD110" s="6">
        <f>U110*战斗公式!$E$40*(1+V110*战斗公式!$E$39)</f>
        <v>741710.22888885043</v>
      </c>
      <c r="AE110" s="21">
        <f t="shared" si="35"/>
        <v>1304946.4339513211</v>
      </c>
      <c r="AF110" s="21">
        <f t="shared" si="39"/>
        <v>62140.306378634181</v>
      </c>
      <c r="AG110" s="21"/>
      <c r="AH110" s="9">
        <f t="shared" si="36"/>
        <v>6258.1800562496746</v>
      </c>
      <c r="AI110" s="9">
        <f t="shared" si="37"/>
        <v>128301.88003044583</v>
      </c>
      <c r="AJ110" s="9">
        <f t="shared" si="38"/>
        <v>22028.793797998853</v>
      </c>
      <c r="AK110" s="9">
        <f t="shared" si="40"/>
        <v>298.00857410712615</v>
      </c>
      <c r="AL110" s="9">
        <f t="shared" si="41"/>
        <v>3595.3139682527835</v>
      </c>
      <c r="AM110" s="9">
        <f t="shared" si="42"/>
        <v>1048.990180857083</v>
      </c>
    </row>
    <row r="111" spans="4:39" ht="14.25" customHeight="1" x14ac:dyDescent="0.2">
      <c r="D111" s="1">
        <v>94</v>
      </c>
      <c r="E111" s="6">
        <f t="shared" si="33"/>
        <v>934.55488839995155</v>
      </c>
      <c r="F111" s="6">
        <f t="shared" si="33"/>
        <v>9345.548883999516</v>
      </c>
      <c r="G111" s="6">
        <f t="shared" si="33"/>
        <v>1028.0103772399466</v>
      </c>
      <c r="H111" s="6">
        <v>0.4</v>
      </c>
      <c r="I111" s="6">
        <v>1.5</v>
      </c>
      <c r="J111" s="6">
        <v>1</v>
      </c>
      <c r="K111" s="25">
        <f t="shared" si="34"/>
        <v>1.0276310542382976</v>
      </c>
      <c r="L111" s="6">
        <f t="shared" si="27"/>
        <v>40886.776367497878</v>
      </c>
      <c r="M111" s="6">
        <f t="shared" si="28"/>
        <v>395772.49352364003</v>
      </c>
      <c r="N111" s="6">
        <f t="shared" si="29"/>
        <v>77100.778292995994</v>
      </c>
      <c r="O111" s="6">
        <f t="shared" si="43"/>
        <v>0.4</v>
      </c>
      <c r="P111" s="6">
        <f t="shared" si="44"/>
        <v>1.5</v>
      </c>
      <c r="Q111" s="6">
        <f t="shared" si="45"/>
        <v>1</v>
      </c>
      <c r="R111" s="6"/>
      <c r="S111" s="35">
        <v>94</v>
      </c>
      <c r="T111" s="6">
        <f>VLOOKUP($S$13,角色设定!$AB$9:$AJ$21,MATCH(E$17,角色设定!$AB$9:$AJ$9,0),0)*Z111*$L$15*E111/Y111/(1+W111*(X111-1))</f>
        <v>21903.630196873866</v>
      </c>
      <c r="U111" s="6">
        <f>VLOOKUP($S$13,角色设定!$AB$9:$AJ$21,MATCH(F$17,角色设定!$AB$9:$AJ$9,0),0)*F111*$L$15/(1+V111/$N$16)</f>
        <v>439747.21502626676</v>
      </c>
      <c r="V111" s="6">
        <f>VLOOKUP($S$13,角色设定!$AB$9:$AJ$21,MATCH(V$17,角色设定!$AB$9:$AJ$9,0),0)*G111*$L$15</f>
        <v>77100.778292995994</v>
      </c>
      <c r="W111" s="6">
        <f>VLOOKUP($S$13,角色设定!$AB$9:$AJ$21,MATCH(W$17,角色设定!$AB$9:$AJ$9,0),0)*H111</f>
        <v>0.4</v>
      </c>
      <c r="X111" s="6">
        <f>VLOOKUP($S$13,角色设定!$AB$9:$AJ$21,MATCH(X$17,角色设定!$AB$9:$AJ$9,0),0)*I111</f>
        <v>1.5</v>
      </c>
      <c r="Y111" s="6">
        <f>VLOOKUP($S$13,角色设定!$AB$9:$AJ$21,MATCH(Y$17,角色设定!$AB$9:$AJ$9,0),0)*J111</f>
        <v>0.9</v>
      </c>
      <c r="Z111" s="6">
        <f>VLOOKUP($S$13,角色设定!$AB$9:$AJ$21,MATCH(Z$17,角色设定!$AB$9:$AJ$9,0),0)</f>
        <v>0.75</v>
      </c>
      <c r="AA111" s="6"/>
      <c r="AB111" s="6"/>
      <c r="AC111" s="6">
        <f>T111*战斗公式!$E$38*(1+W111*(X111-1))*Y111</f>
        <v>591398.01531559438</v>
      </c>
      <c r="AD111" s="6">
        <f>U111*战斗公式!$E$40*(1+V111*战斗公式!$E$39)</f>
        <v>778795.7403332931</v>
      </c>
      <c r="AE111" s="21">
        <f t="shared" si="35"/>
        <v>1370193.7556488875</v>
      </c>
      <c r="AF111" s="21">
        <f t="shared" si="39"/>
        <v>65247.321697566425</v>
      </c>
      <c r="AG111" s="21"/>
      <c r="AH111" s="9">
        <f t="shared" si="36"/>
        <v>6571.0890590621593</v>
      </c>
      <c r="AI111" s="9">
        <f t="shared" si="37"/>
        <v>131924.16450788002</v>
      </c>
      <c r="AJ111" s="9">
        <f t="shared" si="38"/>
        <v>23130.233487898797</v>
      </c>
      <c r="AK111" s="9">
        <f t="shared" si="40"/>
        <v>312.90900281248469</v>
      </c>
      <c r="AL111" s="9">
        <f t="shared" si="41"/>
        <v>3622.2844774341938</v>
      </c>
      <c r="AM111" s="9">
        <f t="shared" si="42"/>
        <v>1101.4396898999439</v>
      </c>
    </row>
    <row r="112" spans="4:39" ht="14.25" customHeight="1" x14ac:dyDescent="0.2">
      <c r="D112" s="1">
        <v>95</v>
      </c>
      <c r="E112" s="6">
        <f t="shared" si="33"/>
        <v>981.28263281994873</v>
      </c>
      <c r="F112" s="6">
        <f t="shared" si="33"/>
        <v>9812.8263281994878</v>
      </c>
      <c r="G112" s="6">
        <f t="shared" si="33"/>
        <v>1079.4108961019435</v>
      </c>
      <c r="H112" s="6">
        <v>0.4</v>
      </c>
      <c r="I112" s="6">
        <v>1.5</v>
      </c>
      <c r="J112" s="6">
        <v>1</v>
      </c>
      <c r="K112" s="25">
        <f t="shared" si="34"/>
        <v>1.0270264999272962</v>
      </c>
      <c r="L112" s="6">
        <f t="shared" si="27"/>
        <v>42931.115185872761</v>
      </c>
      <c r="M112" s="6">
        <f t="shared" si="28"/>
        <v>406708.10475821805</v>
      </c>
      <c r="N112" s="6">
        <f t="shared" si="29"/>
        <v>80955.81720764577</v>
      </c>
      <c r="O112" s="6">
        <f t="shared" si="43"/>
        <v>0.4</v>
      </c>
      <c r="P112" s="6">
        <f t="shared" si="44"/>
        <v>1.5</v>
      </c>
      <c r="Q112" s="6">
        <f t="shared" si="45"/>
        <v>1</v>
      </c>
      <c r="R112" s="6"/>
      <c r="S112" s="35">
        <v>95</v>
      </c>
      <c r="T112" s="6">
        <f>VLOOKUP($S$13,角色设定!$AB$9:$AJ$21,MATCH(E$17,角色设定!$AB$9:$AJ$9,0),0)*Z112*$L$15*E112/Y112/(1+W112*(X112-1))</f>
        <v>22998.811706717548</v>
      </c>
      <c r="U112" s="6">
        <f>VLOOKUP($S$13,角色设定!$AB$9:$AJ$21,MATCH(F$17,角色设定!$AB$9:$AJ$9,0),0)*F112*$L$15/(1+V112/$N$16)</f>
        <v>451897.89417579788</v>
      </c>
      <c r="V112" s="6">
        <f>VLOOKUP($S$13,角色设定!$AB$9:$AJ$21,MATCH(V$17,角色设定!$AB$9:$AJ$9,0),0)*G112*$L$15</f>
        <v>80955.81720764577</v>
      </c>
      <c r="W112" s="6">
        <f>VLOOKUP($S$13,角色设定!$AB$9:$AJ$21,MATCH(W$17,角色设定!$AB$9:$AJ$9,0),0)*H112</f>
        <v>0.4</v>
      </c>
      <c r="X112" s="6">
        <f>VLOOKUP($S$13,角色设定!$AB$9:$AJ$21,MATCH(X$17,角色设定!$AB$9:$AJ$9,0),0)*I112</f>
        <v>1.5</v>
      </c>
      <c r="Y112" s="6">
        <f>VLOOKUP($S$13,角色设定!$AB$9:$AJ$21,MATCH(Y$17,角色设定!$AB$9:$AJ$9,0),0)*J112</f>
        <v>0.9</v>
      </c>
      <c r="Z112" s="6">
        <f>VLOOKUP($S$13,角色设定!$AB$9:$AJ$21,MATCH(Z$17,角色设定!$AB$9:$AJ$9,0),0)</f>
        <v>0.75</v>
      </c>
      <c r="AA112" s="6"/>
      <c r="AB112" s="6"/>
      <c r="AC112" s="6">
        <f>T112*战斗公式!$E$38*(1+W112*(X112-1))*Y112</f>
        <v>620967.91608137381</v>
      </c>
      <c r="AD112" s="6">
        <f>U112*战斗公式!$E$40*(1+V112*战斗公式!$E$39)</f>
        <v>817735.52734995738</v>
      </c>
      <c r="AE112" s="21">
        <f t="shared" si="35"/>
        <v>1438703.4434313313</v>
      </c>
      <c r="AF112" s="21">
        <f t="shared" si="39"/>
        <v>68509.687782443827</v>
      </c>
      <c r="AG112" s="21"/>
      <c r="AH112" s="9">
        <f t="shared" si="36"/>
        <v>6899.6435120152646</v>
      </c>
      <c r="AI112" s="9">
        <f t="shared" si="37"/>
        <v>135569.36825273937</v>
      </c>
      <c r="AJ112" s="9">
        <f t="shared" si="38"/>
        <v>24286.74516229373</v>
      </c>
      <c r="AK112" s="9">
        <f t="shared" si="40"/>
        <v>328.55445295310528</v>
      </c>
      <c r="AL112" s="9">
        <f t="shared" si="41"/>
        <v>3645.2037448593474</v>
      </c>
      <c r="AM112" s="9">
        <f t="shared" si="42"/>
        <v>1156.5116743949329</v>
      </c>
    </row>
    <row r="113" spans="4:39" ht="14.25" customHeight="1" x14ac:dyDescent="0.2">
      <c r="D113" s="1">
        <v>96</v>
      </c>
      <c r="E113" s="6">
        <f t="shared" si="33"/>
        <v>1030.3467644609466</v>
      </c>
      <c r="F113" s="6">
        <f t="shared" si="33"/>
        <v>10303.467644609467</v>
      </c>
      <c r="G113" s="6">
        <f t="shared" si="33"/>
        <v>1133.3814409070412</v>
      </c>
      <c r="H113" s="6">
        <v>0.4</v>
      </c>
      <c r="I113" s="6">
        <v>1.5</v>
      </c>
      <c r="J113" s="6">
        <v>1</v>
      </c>
      <c r="K113" s="25">
        <f t="shared" si="34"/>
        <v>1.0264195503846134</v>
      </c>
      <c r="L113" s="6">
        <f t="shared" si="27"/>
        <v>45077.670945166414</v>
      </c>
      <c r="M113" s="6">
        <f t="shared" si="28"/>
        <v>417700.00132189679</v>
      </c>
      <c r="N113" s="6">
        <f t="shared" si="29"/>
        <v>85003.608068028087</v>
      </c>
      <c r="O113" s="6">
        <f t="shared" si="43"/>
        <v>0.4</v>
      </c>
      <c r="P113" s="6">
        <f t="shared" si="44"/>
        <v>1.5</v>
      </c>
      <c r="Q113" s="6">
        <f t="shared" si="45"/>
        <v>1</v>
      </c>
      <c r="R113" s="6"/>
      <c r="S113" s="35">
        <v>96</v>
      </c>
      <c r="T113" s="6">
        <f>VLOOKUP($S$13,角色设定!$AB$9:$AJ$21,MATCH(E$17,角色设定!$AB$9:$AJ$9,0),0)*Z113*$L$15*E113/Y113/(1+W113*(X113-1))</f>
        <v>24148.752292053436</v>
      </c>
      <c r="U113" s="6">
        <f>VLOOKUP($S$13,角色设定!$AB$9:$AJ$21,MATCH(F$17,角色设定!$AB$9:$AJ$9,0),0)*F113*$L$15/(1+V113/$N$16)</f>
        <v>464111.11257988535</v>
      </c>
      <c r="V113" s="6">
        <f>VLOOKUP($S$13,角色设定!$AB$9:$AJ$21,MATCH(V$17,角色设定!$AB$9:$AJ$9,0),0)*G113*$L$15</f>
        <v>85003.608068028087</v>
      </c>
      <c r="W113" s="6">
        <f>VLOOKUP($S$13,角色设定!$AB$9:$AJ$21,MATCH(W$17,角色设定!$AB$9:$AJ$9,0),0)*H113</f>
        <v>0.4</v>
      </c>
      <c r="X113" s="6">
        <f>VLOOKUP($S$13,角色设定!$AB$9:$AJ$21,MATCH(X$17,角色设定!$AB$9:$AJ$9,0),0)*I113</f>
        <v>1.5</v>
      </c>
      <c r="Y113" s="6">
        <f>VLOOKUP($S$13,角色设定!$AB$9:$AJ$21,MATCH(Y$17,角色设定!$AB$9:$AJ$9,0),0)*J113</f>
        <v>0.9</v>
      </c>
      <c r="Z113" s="6">
        <f>VLOOKUP($S$13,角色设定!$AB$9:$AJ$21,MATCH(Z$17,角色设定!$AB$9:$AJ$9,0),0)</f>
        <v>0.75</v>
      </c>
      <c r="AA113" s="6"/>
      <c r="AB113" s="6"/>
      <c r="AC113" s="6">
        <f>T113*战斗公式!$E$38*(1+W113*(X113-1))*Y113</f>
        <v>652016.3118854427</v>
      </c>
      <c r="AD113" s="6">
        <f>U113*战斗公式!$E$40*(1+V113*战斗公式!$E$39)</f>
        <v>858622.30371745571</v>
      </c>
      <c r="AE113" s="21">
        <f t="shared" si="35"/>
        <v>1510638.6156028984</v>
      </c>
      <c r="AF113" s="21">
        <f t="shared" si="39"/>
        <v>71935.172171567101</v>
      </c>
      <c r="AG113" s="21"/>
      <c r="AH113" s="9">
        <f t="shared" si="36"/>
        <v>7244.6256876160305</v>
      </c>
      <c r="AI113" s="9">
        <f t="shared" si="37"/>
        <v>139233.3337739656</v>
      </c>
      <c r="AJ113" s="9">
        <f t="shared" si="38"/>
        <v>25501.082420408424</v>
      </c>
      <c r="AK113" s="9">
        <f t="shared" si="40"/>
        <v>344.98217560076591</v>
      </c>
      <c r="AL113" s="9">
        <f t="shared" si="41"/>
        <v>3663.9655212262296</v>
      </c>
      <c r="AM113" s="9">
        <f t="shared" si="42"/>
        <v>1214.3372581146941</v>
      </c>
    </row>
    <row r="114" spans="4:39" ht="14.25" customHeight="1" x14ac:dyDescent="0.2">
      <c r="D114" s="1">
        <v>97</v>
      </c>
      <c r="E114" s="6">
        <f t="shared" si="33"/>
        <v>1081.8641026839939</v>
      </c>
      <c r="F114" s="6">
        <f t="shared" si="33"/>
        <v>10818.641026839938</v>
      </c>
      <c r="G114" s="6">
        <f t="shared" si="33"/>
        <v>1190.0505129523933</v>
      </c>
      <c r="H114" s="6">
        <v>0.4</v>
      </c>
      <c r="I114" s="6">
        <v>1.5</v>
      </c>
      <c r="J114" s="6">
        <v>1</v>
      </c>
      <c r="K114" s="25">
        <f t="shared" si="34"/>
        <v>1.0258109173485497</v>
      </c>
      <c r="L114" s="6">
        <f t="shared" si="27"/>
        <v>47331.55449242473</v>
      </c>
      <c r="M114" s="6">
        <f t="shared" ref="M114:M117" si="46">F114/(1+N114/$N$16)*$L$15</f>
        <v>428735.44755247375</v>
      </c>
      <c r="N114" s="6">
        <f t="shared" si="29"/>
        <v>89253.788471429492</v>
      </c>
      <c r="O114" s="6">
        <f t="shared" si="43"/>
        <v>0.4</v>
      </c>
      <c r="P114" s="6">
        <f t="shared" si="44"/>
        <v>1.5</v>
      </c>
      <c r="Q114" s="6">
        <f t="shared" si="45"/>
        <v>1</v>
      </c>
      <c r="R114" s="6"/>
      <c r="S114" s="35">
        <v>97</v>
      </c>
      <c r="T114" s="6">
        <f>VLOOKUP($S$13,角色设定!$AB$9:$AJ$21,MATCH(E$17,角色设定!$AB$9:$AJ$9,0),0)*Z114*$L$15*E114/Y114/(1+W114*(X114-1))</f>
        <v>25356.189906656105</v>
      </c>
      <c r="U114" s="6">
        <f>VLOOKUP($S$13,角色设定!$AB$9:$AJ$21,MATCH(F$17,角色设定!$AB$9:$AJ$9,0),0)*F114*$L$15/(1+V114/$N$16)</f>
        <v>476372.71950274863</v>
      </c>
      <c r="V114" s="6">
        <f>VLOOKUP($S$13,角色设定!$AB$9:$AJ$21,MATCH(V$17,角色设定!$AB$9:$AJ$9,0),0)*G114*$L$15</f>
        <v>89253.788471429492</v>
      </c>
      <c r="W114" s="6">
        <f>VLOOKUP($S$13,角色设定!$AB$9:$AJ$21,MATCH(W$17,角色设定!$AB$9:$AJ$9,0),0)*H114</f>
        <v>0.4</v>
      </c>
      <c r="X114" s="6">
        <f>VLOOKUP($S$13,角色设定!$AB$9:$AJ$21,MATCH(X$17,角色设定!$AB$9:$AJ$9,0),0)*I114</f>
        <v>1.5</v>
      </c>
      <c r="Y114" s="6">
        <f>VLOOKUP($S$13,角色设定!$AB$9:$AJ$21,MATCH(Y$17,角色设定!$AB$9:$AJ$9,0),0)*J114</f>
        <v>0.9</v>
      </c>
      <c r="Z114" s="6">
        <f>VLOOKUP($S$13,角色设定!$AB$9:$AJ$21,MATCH(Z$17,角色设定!$AB$9:$AJ$9,0),0)</f>
        <v>0.75</v>
      </c>
      <c r="AA114" s="6"/>
      <c r="AB114" s="6"/>
      <c r="AC114" s="6">
        <f>T114*战斗公式!$E$38*(1+W114*(X114-1))*Y114</f>
        <v>684617.12747971481</v>
      </c>
      <c r="AD114" s="6">
        <f>U114*战斗公式!$E$40*(1+V114*战斗公式!$E$39)</f>
        <v>901553.41890332813</v>
      </c>
      <c r="AE114" s="21">
        <f t="shared" si="35"/>
        <v>1586170.5463830428</v>
      </c>
      <c r="AF114" s="21">
        <f t="shared" si="39"/>
        <v>75531.930780144408</v>
      </c>
      <c r="AG114" s="21"/>
      <c r="AH114" s="9">
        <f t="shared" si="36"/>
        <v>7606.8569719968309</v>
      </c>
      <c r="AI114" s="9">
        <f t="shared" si="37"/>
        <v>142911.81585082458</v>
      </c>
      <c r="AJ114" s="9">
        <f t="shared" si="38"/>
        <v>26776.136541428848</v>
      </c>
      <c r="AK114" s="9">
        <f t="shared" si="40"/>
        <v>362.23128438080039</v>
      </c>
      <c r="AL114" s="9">
        <f t="shared" si="41"/>
        <v>3678.4820768589852</v>
      </c>
      <c r="AM114" s="9">
        <f t="shared" si="42"/>
        <v>1275.0541210204246</v>
      </c>
    </row>
    <row r="115" spans="4:39" ht="14.25" customHeight="1" x14ac:dyDescent="0.2">
      <c r="D115" s="1">
        <v>98</v>
      </c>
      <c r="E115" s="6">
        <f t="shared" si="33"/>
        <v>1135.9573078181936</v>
      </c>
      <c r="F115" s="6">
        <f t="shared" si="33"/>
        <v>11359.573078181935</v>
      </c>
      <c r="G115" s="6">
        <f t="shared" si="33"/>
        <v>1249.553038600013</v>
      </c>
      <c r="H115" s="6">
        <v>0.4</v>
      </c>
      <c r="I115" s="6">
        <v>1.5</v>
      </c>
      <c r="J115" s="6">
        <v>1</v>
      </c>
      <c r="K115" s="25">
        <f t="shared" si="34"/>
        <v>1.0252013205234816</v>
      </c>
      <c r="L115" s="6">
        <f t="shared" si="27"/>
        <v>49698.132217045975</v>
      </c>
      <c r="M115" s="6">
        <f t="shared" si="46"/>
        <v>439801.50275364408</v>
      </c>
      <c r="N115" s="6">
        <f t="shared" si="29"/>
        <v>93716.477895000979</v>
      </c>
      <c r="O115" s="6">
        <f t="shared" si="43"/>
        <v>0.4</v>
      </c>
      <c r="P115" s="6">
        <f t="shared" si="44"/>
        <v>1.5</v>
      </c>
      <c r="Q115" s="6">
        <f t="shared" si="45"/>
        <v>1</v>
      </c>
      <c r="R115" s="6"/>
      <c r="S115" s="35">
        <v>98</v>
      </c>
      <c r="T115" s="6">
        <f>VLOOKUP($S$13,角色设定!$AB$9:$AJ$21,MATCH(E$17,角色设定!$AB$9:$AJ$9,0),0)*Z115*$L$15*E115/Y115/(1+W115*(X115-1))</f>
        <v>26623.999401988913</v>
      </c>
      <c r="U115" s="6">
        <f>VLOOKUP($S$13,角色设定!$AB$9:$AJ$21,MATCH(F$17,角色设定!$AB$9:$AJ$9,0),0)*F115*$L$15/(1+V115/$N$16)</f>
        <v>488668.33639293787</v>
      </c>
      <c r="V115" s="6">
        <f>VLOOKUP($S$13,角色设定!$AB$9:$AJ$21,MATCH(V$17,角色设定!$AB$9:$AJ$9,0),0)*G115*$L$15</f>
        <v>93716.477895000979</v>
      </c>
      <c r="W115" s="6">
        <f>VLOOKUP($S$13,角色设定!$AB$9:$AJ$21,MATCH(W$17,角色设定!$AB$9:$AJ$9,0),0)*H115</f>
        <v>0.4</v>
      </c>
      <c r="X115" s="6">
        <f>VLOOKUP($S$13,角色设定!$AB$9:$AJ$21,MATCH(X$17,角色设定!$AB$9:$AJ$9,0),0)*I115</f>
        <v>1.5</v>
      </c>
      <c r="Y115" s="6">
        <f>VLOOKUP($S$13,角色设定!$AB$9:$AJ$21,MATCH(Y$17,角色设定!$AB$9:$AJ$9,0),0)*J115</f>
        <v>0.9</v>
      </c>
      <c r="Z115" s="6">
        <f>VLOOKUP($S$13,角色设定!$AB$9:$AJ$21,MATCH(Z$17,角色设定!$AB$9:$AJ$9,0),0)</f>
        <v>0.75</v>
      </c>
      <c r="AA115" s="6"/>
      <c r="AB115" s="6"/>
      <c r="AC115" s="6">
        <f>T115*战斗公式!$E$38*(1+W115*(X115-1))*Y115</f>
        <v>718847.98385370069</v>
      </c>
      <c r="AD115" s="6">
        <f>U115*战斗公式!$E$40*(1+V115*战斗公式!$E$39)</f>
        <v>946631.08984849462</v>
      </c>
      <c r="AE115" s="21">
        <f t="shared" si="35"/>
        <v>1665479.0737021952</v>
      </c>
      <c r="AF115" s="21">
        <f t="shared" si="39"/>
        <v>79308.527319152374</v>
      </c>
      <c r="AG115" s="21"/>
      <c r="AH115" s="9">
        <f t="shared" si="36"/>
        <v>7987.1998205966738</v>
      </c>
      <c r="AI115" s="9">
        <f t="shared" si="37"/>
        <v>146600.50091788135</v>
      </c>
      <c r="AJ115" s="9">
        <f t="shared" si="38"/>
        <v>28114.943368500291</v>
      </c>
      <c r="AK115" s="9">
        <f t="shared" si="40"/>
        <v>380.34284859984291</v>
      </c>
      <c r="AL115" s="9">
        <f t="shared" si="41"/>
        <v>3688.6850670567655</v>
      </c>
      <c r="AM115" s="9">
        <f t="shared" si="42"/>
        <v>1338.806827071443</v>
      </c>
    </row>
    <row r="116" spans="4:39" ht="14.25" customHeight="1" x14ac:dyDescent="0.2">
      <c r="D116" s="1">
        <v>99</v>
      </c>
      <c r="E116" s="6">
        <f t="shared" si="33"/>
        <v>1192.7551732091033</v>
      </c>
      <c r="F116" s="6">
        <f t="shared" si="33"/>
        <v>11927.551732091033</v>
      </c>
      <c r="G116" s="6">
        <f t="shared" si="33"/>
        <v>1312.0306905300135</v>
      </c>
      <c r="H116" s="6">
        <v>0.4</v>
      </c>
      <c r="I116" s="6">
        <v>1.5</v>
      </c>
      <c r="J116" s="6">
        <v>1</v>
      </c>
      <c r="K116" s="25">
        <f>M117/M116</f>
        <v>1.024591484189221</v>
      </c>
      <c r="L116" s="6">
        <f t="shared" si="27"/>
        <v>52183.038827898265</v>
      </c>
      <c r="M116" s="6">
        <f t="shared" si="46"/>
        <v>450885.08139124751</v>
      </c>
      <c r="N116" s="6">
        <f t="shared" si="29"/>
        <v>98402.301789751014</v>
      </c>
      <c r="O116" s="6">
        <f t="shared" si="43"/>
        <v>0.4</v>
      </c>
      <c r="P116" s="6">
        <f t="shared" si="44"/>
        <v>1.5</v>
      </c>
      <c r="Q116" s="6">
        <f t="shared" si="45"/>
        <v>1</v>
      </c>
      <c r="R116" s="6"/>
      <c r="S116" s="35">
        <v>99</v>
      </c>
      <c r="T116" s="6">
        <f>VLOOKUP($S$13,角色设定!$AB$9:$AJ$21,MATCH(E$17,角色设定!$AB$9:$AJ$9,0),0)*Z116*$L$15*E116/Y116/(1+W116*(X116-1))</f>
        <v>27955.199372088362</v>
      </c>
      <c r="U116" s="6">
        <f>VLOOKUP($S$13,角色设定!$AB$9:$AJ$21,MATCH(F$17,角色设定!$AB$9:$AJ$9,0),0)*F116*$L$15/(1+V116/$N$16)</f>
        <v>500983.42376805283</v>
      </c>
      <c r="V116" s="6">
        <f>VLOOKUP($S$13,角色设定!$AB$9:$AJ$21,MATCH(V$17,角色设定!$AB$9:$AJ$9,0),0)*G116*$L$15</f>
        <v>98402.301789751014</v>
      </c>
      <c r="W116" s="6">
        <f>VLOOKUP($S$13,角色设定!$AB$9:$AJ$21,MATCH(W$17,角色设定!$AB$9:$AJ$9,0),0)*H116</f>
        <v>0.4</v>
      </c>
      <c r="X116" s="6">
        <f>VLOOKUP($S$13,角色设定!$AB$9:$AJ$21,MATCH(X$17,角色设定!$AB$9:$AJ$9,0),0)*I116</f>
        <v>1.5</v>
      </c>
      <c r="Y116" s="6">
        <f>VLOOKUP($S$13,角色设定!$AB$9:$AJ$21,MATCH(Y$17,角色设定!$AB$9:$AJ$9,0),0)*J116</f>
        <v>0.9</v>
      </c>
      <c r="Z116" s="6">
        <f>VLOOKUP($S$13,角色设定!$AB$9:$AJ$21,MATCH(Z$17,角色设定!$AB$9:$AJ$9,0),0)</f>
        <v>0.75</v>
      </c>
      <c r="AA116" s="6"/>
      <c r="AB116" s="6"/>
      <c r="AC116" s="6">
        <f>T116*战斗公式!$E$38*(1+W116*(X116-1))*Y116</f>
        <v>754790.38304638572</v>
      </c>
      <c r="AD116" s="6">
        <f>U116*战斗公式!$E$40*(1+V116*战斗公式!$E$39)</f>
        <v>993962.64434091945</v>
      </c>
      <c r="AE116" s="21">
        <f t="shared" si="35"/>
        <v>1748753.0273873052</v>
      </c>
      <c r="AF116" s="21">
        <f t="shared" si="39"/>
        <v>83273.953685109969</v>
      </c>
      <c r="AG116" s="21"/>
      <c r="AH116" s="9">
        <f t="shared" si="36"/>
        <v>8386.5598116265082</v>
      </c>
      <c r="AI116" s="9">
        <f t="shared" si="37"/>
        <v>150295.02713041584</v>
      </c>
      <c r="AJ116" s="9">
        <f t="shared" si="38"/>
        <v>29520.690536925304</v>
      </c>
      <c r="AK116" s="9">
        <f t="shared" si="40"/>
        <v>399.35999102983442</v>
      </c>
      <c r="AL116" s="9">
        <f t="shared" si="41"/>
        <v>3694.5262125344889</v>
      </c>
      <c r="AM116" s="9">
        <f t="shared" si="42"/>
        <v>1405.7471684250122</v>
      </c>
    </row>
    <row r="117" spans="4:39" ht="14.25" customHeight="1" x14ac:dyDescent="0.2">
      <c r="D117" s="1">
        <v>100</v>
      </c>
      <c r="E117" s="6">
        <f t="shared" si="33"/>
        <v>1252.3929318695587</v>
      </c>
      <c r="F117" s="6">
        <f t="shared" si="33"/>
        <v>12523.929318695586</v>
      </c>
      <c r="G117" s="6">
        <f t="shared" si="33"/>
        <v>1377.6322250565145</v>
      </c>
      <c r="H117" s="6">
        <v>0.4</v>
      </c>
      <c r="I117" s="6">
        <v>1.5</v>
      </c>
      <c r="J117" s="6">
        <v>1</v>
      </c>
      <c r="K117" s="25"/>
      <c r="L117" s="6">
        <f t="shared" si="27"/>
        <v>54792.190769293185</v>
      </c>
      <c r="M117" s="6">
        <f t="shared" si="46"/>
        <v>461973.014741436</v>
      </c>
      <c r="N117" s="6">
        <f t="shared" si="29"/>
        <v>103322.41687923859</v>
      </c>
      <c r="O117" s="6">
        <f t="shared" si="43"/>
        <v>0.4</v>
      </c>
      <c r="P117" s="6">
        <f t="shared" si="44"/>
        <v>1.5</v>
      </c>
      <c r="Q117" s="6">
        <f t="shared" si="45"/>
        <v>1</v>
      </c>
      <c r="R117" s="6"/>
      <c r="S117" s="35">
        <v>100</v>
      </c>
      <c r="T117" s="6">
        <f>VLOOKUP($S$13,角色设定!$AB$9:$AJ$21,MATCH(E$17,角色设定!$AB$9:$AJ$9,0),0)*Z117*$L$15*E117/Y117/(1+W117*(X117-1))</f>
        <v>29352.959340692778</v>
      </c>
      <c r="U117" s="6">
        <f>VLOOKUP($S$13,角色设定!$AB$9:$AJ$21,MATCH(F$17,角色设定!$AB$9:$AJ$9,0),0)*F117*$L$15/(1+V117/$N$16)</f>
        <v>513303.34971270675</v>
      </c>
      <c r="V117" s="6">
        <f>VLOOKUP($S$13,角色设定!$AB$9:$AJ$21,MATCH(V$17,角色设定!$AB$9:$AJ$9,0),0)*G117*$L$15</f>
        <v>103322.41687923859</v>
      </c>
      <c r="W117" s="6">
        <f>VLOOKUP($S$13,角色设定!$AB$9:$AJ$21,MATCH(W$17,角色设定!$AB$9:$AJ$9,0),0)*H117</f>
        <v>0.4</v>
      </c>
      <c r="X117" s="6">
        <f>VLOOKUP($S$13,角色设定!$AB$9:$AJ$21,MATCH(X$17,角色设定!$AB$9:$AJ$9,0),0)*I117</f>
        <v>1.5</v>
      </c>
      <c r="Y117" s="6">
        <f>VLOOKUP($S$13,角色设定!$AB$9:$AJ$21,MATCH(Y$17,角色设定!$AB$9:$AJ$9,0),0)*J117</f>
        <v>0.9</v>
      </c>
      <c r="Z117" s="6">
        <f>VLOOKUP($S$13,角色设定!$AB$9:$AJ$21,MATCH(Z$17,角色设定!$AB$9:$AJ$9,0),0)</f>
        <v>0.75</v>
      </c>
      <c r="AA117" s="6"/>
      <c r="AB117" s="6"/>
      <c r="AC117" s="6">
        <f>T117*战斗公式!$E$38*(1+W117*(X117-1))*Y117</f>
        <v>792529.90219870501</v>
      </c>
      <c r="AD117" s="6">
        <f>U117*战斗公式!$E$40*(1+V117*战斗公式!$E$39)</f>
        <v>1043660.7765579656</v>
      </c>
      <c r="AE117" s="21">
        <f t="shared" si="35"/>
        <v>1836190.6787566706</v>
      </c>
      <c r="AF117" s="21">
        <f t="shared" si="39"/>
        <v>87437.651369365398</v>
      </c>
      <c r="AG117" s="21"/>
      <c r="AH117" s="9">
        <f t="shared" si="36"/>
        <v>8805.8878022078334</v>
      </c>
      <c r="AI117" s="9">
        <f t="shared" si="37"/>
        <v>153991.00491381201</v>
      </c>
      <c r="AJ117" s="9">
        <f t="shared" si="38"/>
        <v>30996.725063771577</v>
      </c>
      <c r="AK117" s="9">
        <f t="shared" si="40"/>
        <v>419.32799058132514</v>
      </c>
      <c r="AL117" s="9">
        <f t="shared" si="41"/>
        <v>3695.9777833961707</v>
      </c>
      <c r="AM117" s="9">
        <f t="shared" si="42"/>
        <v>1476.0345268462734</v>
      </c>
    </row>
    <row r="118" spans="4:39" ht="14.25" customHeight="1" x14ac:dyDescent="0.2">
      <c r="M118" s="6">
        <f>M117/L117</f>
        <v>8.4313660077329189</v>
      </c>
      <c r="N118" s="6">
        <f>M117/N117</f>
        <v>4.4711789434947296</v>
      </c>
      <c r="U118" s="6">
        <f>U117/T117</f>
        <v>17.487277645668279</v>
      </c>
      <c r="V118" s="6">
        <f>U117/V117</f>
        <v>4.9679766038830335</v>
      </c>
      <c r="AI118" s="1">
        <f t="shared" ref="AI118" si="47">M118*$F$5*2</f>
        <v>5.0588196046397513</v>
      </c>
      <c r="AJ118" s="1">
        <f t="shared" ref="AJ118" si="48">N118*$F$5*2</f>
        <v>2.6827073660968375</v>
      </c>
      <c r="AK118" s="9">
        <f t="shared" si="40"/>
        <v>-8805.8878022078334</v>
      </c>
      <c r="AL118" s="9">
        <f t="shared" si="41"/>
        <v>-153985.94609420738</v>
      </c>
      <c r="AM118" s="9">
        <f t="shared" si="42"/>
        <v>-30994.04235640548</v>
      </c>
    </row>
    <row r="119" spans="4:39" ht="14.25" customHeight="1" x14ac:dyDescent="0.2">
      <c r="L119" s="6">
        <f>L117/100</f>
        <v>547.92190769293188</v>
      </c>
      <c r="M119" s="6">
        <f>M117/100</f>
        <v>4619.7301474143596</v>
      </c>
      <c r="N119" s="6">
        <f t="shared" ref="N119" si="49">N117/100</f>
        <v>1033.2241687923859</v>
      </c>
    </row>
    <row r="121" spans="4:39" ht="14.25" customHeight="1" x14ac:dyDescent="0.2">
      <c r="L121" s="8">
        <f>L119*0.4</f>
        <v>219.16876307717277</v>
      </c>
      <c r="M121" s="8">
        <f>M119*0.4</f>
        <v>1847.8920589657439</v>
      </c>
      <c r="N121" s="8">
        <f>N119*4</f>
        <v>4132.8966751695434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11D5-9AD7-4695-94D9-52154B25E213}">
  <sheetPr codeName="Sheet6"/>
  <dimension ref="A1:AK122"/>
  <sheetViews>
    <sheetView workbookViewId="0">
      <selection activeCell="C17" sqref="C17:D20"/>
    </sheetView>
  </sheetViews>
  <sheetFormatPr defaultRowHeight="14.25" x14ac:dyDescent="0.2"/>
  <cols>
    <col min="1" max="16384" width="9" style="1"/>
  </cols>
  <sheetData>
    <row r="1" spans="1:33" ht="14.25" customHeight="1" x14ac:dyDescent="0.2">
      <c r="A1" s="108" t="s">
        <v>177</v>
      </c>
      <c r="B1" s="109"/>
      <c r="AB1" s="9"/>
    </row>
    <row r="2" spans="1:33" ht="14.25" customHeight="1" x14ac:dyDescent="0.2">
      <c r="A2" s="110"/>
      <c r="B2" s="111"/>
      <c r="E2" s="23"/>
      <c r="AB2" s="9"/>
    </row>
    <row r="3" spans="1:33" ht="14.25" customHeight="1" x14ac:dyDescent="0.2">
      <c r="C3" s="3" t="s">
        <v>176</v>
      </c>
      <c r="D3" s="24" t="s">
        <v>114</v>
      </c>
      <c r="E3" s="3" t="s">
        <v>118</v>
      </c>
      <c r="AB3" s="9"/>
    </row>
    <row r="4" spans="1:33" ht="14.25" customHeight="1" x14ac:dyDescent="0.2">
      <c r="C4" s="1">
        <v>0</v>
      </c>
      <c r="D4" s="1">
        <v>10</v>
      </c>
      <c r="E4" s="4">
        <f>D4/$D$14</f>
        <v>0.5</v>
      </c>
      <c r="AB4" s="9"/>
    </row>
    <row r="5" spans="1:33" s="3" customFormat="1" ht="14.25" customHeight="1" x14ac:dyDescent="0.2">
      <c r="C5" s="1">
        <v>1</v>
      </c>
      <c r="D5" s="1">
        <v>11</v>
      </c>
      <c r="E5" s="4">
        <f t="shared" ref="E5:E14" si="0">D5/$D$14</f>
        <v>0.55000000000000004</v>
      </c>
      <c r="G5" s="1"/>
      <c r="H5" s="1"/>
      <c r="I5" s="1"/>
      <c r="J5" s="1"/>
      <c r="K5" s="1"/>
      <c r="L5" s="1"/>
      <c r="M5" s="1"/>
      <c r="Z5" s="1"/>
      <c r="AA5" s="1"/>
      <c r="AB5" s="9"/>
    </row>
    <row r="6" spans="1:33" ht="14.25" customHeight="1" x14ac:dyDescent="0.2">
      <c r="C6" s="1">
        <v>2</v>
      </c>
      <c r="D6" s="1">
        <v>12</v>
      </c>
      <c r="E6" s="4">
        <f t="shared" si="0"/>
        <v>0.6</v>
      </c>
      <c r="F6" s="19"/>
      <c r="G6" s="19"/>
      <c r="H6" s="19"/>
      <c r="I6" s="19"/>
      <c r="J6" s="19"/>
      <c r="Z6" s="9"/>
    </row>
    <row r="7" spans="1:33" ht="14.25" customHeight="1" x14ac:dyDescent="0.2">
      <c r="C7" s="1">
        <v>3</v>
      </c>
      <c r="D7" s="1">
        <v>13</v>
      </c>
      <c r="E7" s="4">
        <f t="shared" si="0"/>
        <v>0.65</v>
      </c>
      <c r="F7" s="33"/>
      <c r="G7" s="33"/>
      <c r="Z7" s="9"/>
    </row>
    <row r="8" spans="1:33" ht="14.25" customHeight="1" x14ac:dyDescent="0.2">
      <c r="C8" s="1">
        <v>4</v>
      </c>
      <c r="D8" s="1">
        <v>14</v>
      </c>
      <c r="E8" s="4">
        <f t="shared" si="0"/>
        <v>0.7</v>
      </c>
      <c r="F8" s="33"/>
      <c r="G8" s="33"/>
      <c r="Z8" s="9"/>
    </row>
    <row r="9" spans="1:33" ht="14.25" customHeight="1" x14ac:dyDescent="0.2">
      <c r="C9" s="1">
        <v>5</v>
      </c>
      <c r="D9" s="1">
        <v>15</v>
      </c>
      <c r="E9" s="4">
        <f t="shared" si="0"/>
        <v>0.75</v>
      </c>
      <c r="F9" s="33"/>
      <c r="G9" s="33"/>
      <c r="K9" s="6"/>
      <c r="Z9" s="9"/>
    </row>
    <row r="10" spans="1:33" ht="14.25" customHeight="1" x14ac:dyDescent="0.2">
      <c r="C10" s="1">
        <v>6</v>
      </c>
      <c r="D10" s="1">
        <v>16</v>
      </c>
      <c r="E10" s="4">
        <f t="shared" si="0"/>
        <v>0.8</v>
      </c>
      <c r="Z10" s="9"/>
    </row>
    <row r="11" spans="1:33" ht="14.25" customHeight="1" x14ac:dyDescent="0.2">
      <c r="C11" s="1">
        <v>7</v>
      </c>
      <c r="D11" s="1">
        <v>17</v>
      </c>
      <c r="E11" s="4">
        <f t="shared" si="0"/>
        <v>0.85</v>
      </c>
      <c r="L11" s="25"/>
      <c r="Z11" s="9"/>
    </row>
    <row r="12" spans="1:33" ht="14.25" customHeight="1" x14ac:dyDescent="0.2">
      <c r="C12" s="1">
        <v>8</v>
      </c>
      <c r="D12" s="1">
        <v>18</v>
      </c>
      <c r="E12" s="4">
        <f t="shared" si="0"/>
        <v>0.9</v>
      </c>
      <c r="AB12" s="9"/>
    </row>
    <row r="13" spans="1:33" ht="14.25" customHeight="1" x14ac:dyDescent="0.2">
      <c r="C13" s="1">
        <v>9</v>
      </c>
      <c r="D13" s="1">
        <v>19</v>
      </c>
      <c r="E13" s="4">
        <f t="shared" si="0"/>
        <v>0.95</v>
      </c>
      <c r="I13" s="2"/>
      <c r="AB13" s="9"/>
    </row>
    <row r="14" spans="1:33" ht="14.25" customHeight="1" x14ac:dyDescent="0.2">
      <c r="C14" s="1">
        <v>10</v>
      </c>
      <c r="D14" s="30">
        <v>20</v>
      </c>
      <c r="E14" s="4">
        <f t="shared" si="0"/>
        <v>1</v>
      </c>
      <c r="J14" s="2"/>
      <c r="P14" s="3"/>
      <c r="AB14" s="4"/>
    </row>
    <row r="15" spans="1:33" ht="14.25" customHeight="1" x14ac:dyDescent="0.2">
      <c r="E15" s="6"/>
      <c r="L15" s="8"/>
      <c r="M15" s="8"/>
      <c r="AF15" s="9"/>
      <c r="AG15" s="9"/>
    </row>
    <row r="16" spans="1:33" ht="14.25" customHeight="1" x14ac:dyDescent="0.2">
      <c r="C16" s="36" t="s">
        <v>179</v>
      </c>
      <c r="D16" s="37" t="s">
        <v>178</v>
      </c>
      <c r="N16" s="6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6"/>
    </row>
    <row r="17" spans="2:37" ht="14.25" customHeight="1" x14ac:dyDescent="0.2">
      <c r="C17" s="6" t="s">
        <v>160</v>
      </c>
      <c r="D17" s="1">
        <v>0.6</v>
      </c>
      <c r="E17" s="25"/>
      <c r="AC17" s="21"/>
    </row>
    <row r="18" spans="2:37" ht="14.25" customHeight="1" x14ac:dyDescent="0.2">
      <c r="C18" s="6" t="s">
        <v>180</v>
      </c>
      <c r="D18" s="1">
        <v>0.8</v>
      </c>
    </row>
    <row r="19" spans="2:37" ht="14.25" customHeight="1" x14ac:dyDescent="0.2">
      <c r="C19" s="6" t="s">
        <v>181</v>
      </c>
      <c r="D19" s="1">
        <v>1</v>
      </c>
      <c r="E19" s="6"/>
      <c r="F19" s="6"/>
      <c r="G19" s="6"/>
      <c r="H19" s="6"/>
      <c r="I19" s="25"/>
      <c r="J19" s="6"/>
      <c r="K19" s="6"/>
      <c r="L19" s="6"/>
      <c r="M19" s="6"/>
      <c r="N19" s="6"/>
      <c r="O19" s="6"/>
      <c r="P19" s="6"/>
      <c r="Q19" s="35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21"/>
      <c r="AF19" s="9"/>
      <c r="AG19" s="9"/>
      <c r="AH19" s="9"/>
    </row>
    <row r="20" spans="2:37" ht="14.25" customHeight="1" x14ac:dyDescent="0.2">
      <c r="C20" s="6" t="s">
        <v>182</v>
      </c>
      <c r="D20" s="1">
        <v>1.2</v>
      </c>
      <c r="E20" s="6"/>
      <c r="F20" s="6"/>
      <c r="G20" s="6"/>
      <c r="H20" s="6"/>
      <c r="I20" s="25"/>
      <c r="J20" s="6"/>
      <c r="K20" s="6"/>
      <c r="L20" s="6"/>
      <c r="M20" s="6"/>
      <c r="N20" s="6"/>
      <c r="O20" s="6"/>
      <c r="P20" s="6"/>
      <c r="Q20" s="35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21"/>
      <c r="AD20" s="21"/>
      <c r="AE20" s="21"/>
      <c r="AF20" s="9"/>
      <c r="AG20" s="9"/>
      <c r="AH20" s="9"/>
      <c r="AI20" s="9"/>
      <c r="AJ20" s="9"/>
      <c r="AK20" s="9"/>
    </row>
    <row r="21" spans="2:37" ht="14.25" customHeight="1" x14ac:dyDescent="0.2">
      <c r="C21" s="6"/>
      <c r="E21" s="6"/>
      <c r="F21" s="6"/>
      <c r="G21" s="6"/>
      <c r="H21" s="6"/>
      <c r="I21" s="25"/>
      <c r="J21" s="6"/>
      <c r="K21" s="6"/>
      <c r="L21" s="6"/>
      <c r="M21" s="6"/>
      <c r="N21" s="6"/>
      <c r="O21" s="6"/>
      <c r="P21" s="6"/>
      <c r="Q21" s="35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21"/>
      <c r="AD21" s="21"/>
      <c r="AE21" s="21"/>
      <c r="AF21" s="9"/>
      <c r="AG21" s="9"/>
      <c r="AH21" s="9"/>
      <c r="AI21" s="9"/>
      <c r="AJ21" s="9"/>
      <c r="AK21" s="9"/>
    </row>
    <row r="22" spans="2:37" ht="14.25" customHeight="1" x14ac:dyDescent="0.2">
      <c r="B22" s="6"/>
      <c r="E22" s="6"/>
      <c r="F22" s="6"/>
      <c r="G22" s="6"/>
      <c r="H22" s="6"/>
      <c r="I22" s="25"/>
      <c r="J22" s="6"/>
      <c r="K22" s="6"/>
      <c r="L22" s="6"/>
      <c r="M22" s="6"/>
      <c r="N22" s="6"/>
      <c r="O22" s="6"/>
      <c r="P22" s="6"/>
      <c r="Q22" s="35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21"/>
      <c r="AD22" s="21"/>
      <c r="AE22" s="21"/>
      <c r="AF22" s="9"/>
      <c r="AG22" s="9"/>
      <c r="AH22" s="9"/>
      <c r="AI22" s="9"/>
      <c r="AJ22" s="9"/>
      <c r="AK22" s="9"/>
    </row>
    <row r="23" spans="2:37" ht="14.25" customHeight="1" x14ac:dyDescent="0.2">
      <c r="B23" s="6"/>
      <c r="C23" s="6"/>
      <c r="E23" s="6"/>
      <c r="F23" s="6"/>
      <c r="G23" s="6"/>
      <c r="H23" s="6"/>
      <c r="I23" s="25"/>
      <c r="J23" s="6"/>
      <c r="K23" s="6"/>
      <c r="L23" s="6"/>
      <c r="M23" s="6"/>
      <c r="N23" s="6"/>
      <c r="O23" s="6"/>
      <c r="P23" s="6"/>
      <c r="Q23" s="35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21"/>
      <c r="AD23" s="21"/>
      <c r="AE23" s="21"/>
      <c r="AF23" s="9"/>
      <c r="AG23" s="9"/>
      <c r="AH23" s="9"/>
      <c r="AI23" s="9"/>
      <c r="AJ23" s="9"/>
      <c r="AK23" s="9"/>
    </row>
    <row r="24" spans="2:37" ht="14.25" customHeight="1" x14ac:dyDescent="0.2">
      <c r="C24" s="6"/>
      <c r="E24" s="6"/>
      <c r="F24" s="6"/>
      <c r="G24" s="6"/>
      <c r="H24" s="6"/>
      <c r="I24" s="25"/>
      <c r="J24" s="6"/>
      <c r="K24" s="6"/>
      <c r="L24" s="6"/>
      <c r="M24" s="6"/>
      <c r="N24" s="6"/>
      <c r="O24" s="6"/>
      <c r="P24" s="6"/>
      <c r="Q24" s="35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21"/>
      <c r="AD24" s="21"/>
      <c r="AE24" s="21"/>
      <c r="AF24" s="9"/>
      <c r="AG24" s="9"/>
      <c r="AH24" s="9"/>
      <c r="AI24" s="9"/>
      <c r="AJ24" s="9"/>
      <c r="AK24" s="9"/>
    </row>
    <row r="25" spans="2:37" ht="14.25" customHeight="1" x14ac:dyDescent="0.2">
      <c r="E25" s="6"/>
      <c r="F25" s="6"/>
      <c r="G25" s="6"/>
      <c r="H25" s="6"/>
      <c r="I25" s="25"/>
      <c r="J25" s="6"/>
      <c r="K25" s="6"/>
      <c r="L25" s="6"/>
      <c r="M25" s="6"/>
      <c r="N25" s="6"/>
      <c r="O25" s="6"/>
      <c r="P25" s="6"/>
      <c r="Q25" s="35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21"/>
      <c r="AD25" s="21"/>
      <c r="AE25" s="21"/>
      <c r="AF25" s="9"/>
      <c r="AG25" s="9"/>
      <c r="AH25" s="9"/>
      <c r="AI25" s="9"/>
      <c r="AJ25" s="9"/>
      <c r="AK25" s="9"/>
    </row>
    <row r="26" spans="2:37" ht="14.25" customHeight="1" x14ac:dyDescent="0.2">
      <c r="B26" s="31"/>
      <c r="C26" s="6"/>
      <c r="E26" s="6"/>
      <c r="F26" s="6"/>
      <c r="G26" s="6"/>
      <c r="H26" s="6"/>
      <c r="I26" s="25"/>
      <c r="J26" s="6"/>
      <c r="K26" s="6"/>
      <c r="L26" s="6"/>
      <c r="M26" s="6"/>
      <c r="N26" s="6"/>
      <c r="O26" s="6"/>
      <c r="P26" s="6"/>
      <c r="Q26" s="35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21"/>
      <c r="AD26" s="21"/>
      <c r="AE26" s="21"/>
      <c r="AF26" s="9"/>
      <c r="AG26" s="9"/>
      <c r="AH26" s="9"/>
      <c r="AI26" s="9"/>
      <c r="AJ26" s="9"/>
      <c r="AK26" s="9"/>
    </row>
    <row r="27" spans="2:37" ht="14.25" customHeight="1" x14ac:dyDescent="0.2">
      <c r="B27" s="31"/>
      <c r="C27" s="6"/>
      <c r="E27" s="6"/>
      <c r="F27" s="6"/>
      <c r="G27" s="6"/>
      <c r="H27" s="6"/>
      <c r="I27" s="25"/>
      <c r="J27" s="6"/>
      <c r="K27" s="6"/>
      <c r="L27" s="6"/>
      <c r="M27" s="6"/>
      <c r="N27" s="6"/>
      <c r="O27" s="6"/>
      <c r="P27" s="6"/>
      <c r="Q27" s="35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21"/>
      <c r="AD27" s="21"/>
      <c r="AE27" s="21"/>
      <c r="AF27" s="9"/>
      <c r="AG27" s="9"/>
      <c r="AH27" s="9"/>
      <c r="AI27" s="9"/>
      <c r="AJ27" s="9"/>
      <c r="AK27" s="9"/>
    </row>
    <row r="28" spans="2:37" ht="14.25" customHeight="1" x14ac:dyDescent="0.2">
      <c r="B28" s="31"/>
      <c r="C28" s="6"/>
      <c r="E28" s="6"/>
      <c r="F28" s="6"/>
      <c r="G28" s="6"/>
      <c r="H28" s="6"/>
      <c r="I28" s="25"/>
      <c r="J28" s="6"/>
      <c r="K28" s="6"/>
      <c r="L28" s="6"/>
      <c r="M28" s="6"/>
      <c r="N28" s="6"/>
      <c r="O28" s="6"/>
      <c r="P28" s="6"/>
      <c r="Q28" s="35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21"/>
      <c r="AD28" s="21"/>
      <c r="AE28" s="21"/>
      <c r="AF28" s="9"/>
      <c r="AG28" s="9"/>
      <c r="AH28" s="9"/>
      <c r="AI28" s="9"/>
      <c r="AJ28" s="9"/>
      <c r="AK28" s="9"/>
    </row>
    <row r="29" spans="2:37" ht="14.25" customHeight="1" x14ac:dyDescent="0.2">
      <c r="B29" s="31"/>
      <c r="C29" s="6"/>
      <c r="E29" s="6"/>
      <c r="F29" s="6"/>
      <c r="G29" s="6"/>
      <c r="H29" s="6"/>
      <c r="I29" s="25"/>
      <c r="J29" s="6"/>
      <c r="K29" s="6"/>
      <c r="L29" s="6"/>
      <c r="M29" s="6"/>
      <c r="N29" s="6"/>
      <c r="O29" s="6"/>
      <c r="P29" s="6"/>
      <c r="Q29" s="35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21"/>
      <c r="AD29" s="21"/>
      <c r="AE29" s="21"/>
      <c r="AF29" s="9"/>
      <c r="AG29" s="9"/>
      <c r="AH29" s="9"/>
      <c r="AI29" s="9"/>
      <c r="AJ29" s="9"/>
      <c r="AK29" s="9"/>
    </row>
    <row r="30" spans="2:37" ht="14.25" customHeight="1" x14ac:dyDescent="0.2">
      <c r="B30" s="31"/>
      <c r="C30" s="6"/>
      <c r="E30" s="6"/>
      <c r="F30" s="6"/>
      <c r="G30" s="6"/>
      <c r="H30" s="6"/>
      <c r="I30" s="25"/>
      <c r="J30" s="6"/>
      <c r="K30" s="6"/>
      <c r="L30" s="6"/>
      <c r="M30" s="6"/>
      <c r="N30" s="6"/>
      <c r="O30" s="6"/>
      <c r="P30" s="6"/>
      <c r="Q30" s="35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21"/>
      <c r="AD30" s="21"/>
      <c r="AE30" s="21"/>
      <c r="AF30" s="9"/>
      <c r="AG30" s="9"/>
      <c r="AH30" s="9"/>
      <c r="AI30" s="9"/>
      <c r="AJ30" s="9"/>
      <c r="AK30" s="9"/>
    </row>
    <row r="31" spans="2:37" ht="14.25" customHeight="1" x14ac:dyDescent="0.2">
      <c r="B31" s="31"/>
      <c r="C31" s="6"/>
      <c r="E31" s="6"/>
      <c r="F31" s="6"/>
      <c r="G31" s="6"/>
      <c r="H31" s="6"/>
      <c r="I31" s="25"/>
      <c r="J31" s="6"/>
      <c r="K31" s="6"/>
      <c r="L31" s="6"/>
      <c r="M31" s="6"/>
      <c r="N31" s="6"/>
      <c r="O31" s="6"/>
      <c r="P31" s="6"/>
      <c r="Q31" s="35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21"/>
      <c r="AD31" s="21"/>
      <c r="AE31" s="21"/>
      <c r="AF31" s="9"/>
      <c r="AG31" s="9"/>
      <c r="AH31" s="9"/>
      <c r="AI31" s="9"/>
      <c r="AJ31" s="9"/>
      <c r="AK31" s="9"/>
    </row>
    <row r="32" spans="2:37" ht="14.25" customHeight="1" x14ac:dyDescent="0.2">
      <c r="B32" s="6"/>
      <c r="E32" s="6"/>
      <c r="F32" s="6"/>
      <c r="G32" s="6"/>
      <c r="H32" s="6"/>
      <c r="I32" s="25"/>
      <c r="J32" s="6"/>
      <c r="K32" s="6"/>
      <c r="L32" s="6"/>
      <c r="M32" s="6"/>
      <c r="N32" s="6"/>
      <c r="O32" s="6"/>
      <c r="P32" s="6"/>
      <c r="Q32" s="35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21"/>
      <c r="AD32" s="21"/>
      <c r="AE32" s="21"/>
      <c r="AF32" s="9"/>
      <c r="AG32" s="9"/>
      <c r="AH32" s="9"/>
      <c r="AI32" s="9"/>
      <c r="AJ32" s="9"/>
      <c r="AK32" s="9"/>
    </row>
    <row r="33" spans="2:37" ht="14.25" customHeight="1" x14ac:dyDescent="0.2">
      <c r="B33" s="6"/>
      <c r="E33" s="6"/>
      <c r="F33" s="6"/>
      <c r="G33" s="6"/>
      <c r="H33" s="6"/>
      <c r="I33" s="25"/>
      <c r="J33" s="6"/>
      <c r="K33" s="6"/>
      <c r="L33" s="6"/>
      <c r="M33" s="6"/>
      <c r="N33" s="6"/>
      <c r="O33" s="6"/>
      <c r="P33" s="6"/>
      <c r="Q33" s="35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21"/>
      <c r="AD33" s="21"/>
      <c r="AE33" s="21"/>
      <c r="AF33" s="9"/>
      <c r="AG33" s="9"/>
      <c r="AH33" s="9"/>
      <c r="AI33" s="9"/>
      <c r="AJ33" s="9"/>
      <c r="AK33" s="9"/>
    </row>
    <row r="34" spans="2:37" ht="14.25" customHeight="1" x14ac:dyDescent="0.2">
      <c r="E34" s="6"/>
      <c r="F34" s="6"/>
      <c r="G34" s="6"/>
      <c r="H34" s="6"/>
      <c r="I34" s="25"/>
      <c r="J34" s="6"/>
      <c r="K34" s="6"/>
      <c r="L34" s="6"/>
      <c r="M34" s="6"/>
      <c r="N34" s="6"/>
      <c r="O34" s="6"/>
      <c r="P34" s="6"/>
      <c r="Q34" s="35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21"/>
      <c r="AD34" s="21"/>
      <c r="AE34" s="21"/>
      <c r="AF34" s="9"/>
      <c r="AG34" s="9"/>
      <c r="AH34" s="9"/>
      <c r="AI34" s="9"/>
      <c r="AJ34" s="9"/>
      <c r="AK34" s="9"/>
    </row>
    <row r="35" spans="2:37" ht="14.25" customHeight="1" x14ac:dyDescent="0.2">
      <c r="E35" s="6"/>
      <c r="F35" s="6"/>
      <c r="G35" s="6"/>
      <c r="H35" s="6"/>
      <c r="I35" s="25"/>
      <c r="J35" s="6"/>
      <c r="K35" s="6"/>
      <c r="L35" s="6"/>
      <c r="M35" s="6"/>
      <c r="N35" s="6"/>
      <c r="O35" s="6"/>
      <c r="P35" s="6"/>
      <c r="Q35" s="35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21"/>
      <c r="AD35" s="21"/>
      <c r="AE35" s="21"/>
      <c r="AF35" s="9"/>
      <c r="AG35" s="9"/>
      <c r="AH35" s="9"/>
      <c r="AI35" s="9"/>
      <c r="AJ35" s="9"/>
      <c r="AK35" s="9"/>
    </row>
    <row r="36" spans="2:37" ht="14.25" customHeight="1" x14ac:dyDescent="0.2">
      <c r="E36" s="6"/>
      <c r="F36" s="6"/>
      <c r="G36" s="6"/>
      <c r="H36" s="6"/>
      <c r="I36" s="25"/>
      <c r="J36" s="6"/>
      <c r="K36" s="6"/>
      <c r="L36" s="6"/>
      <c r="M36" s="6"/>
      <c r="N36" s="6"/>
      <c r="O36" s="6"/>
      <c r="P36" s="6"/>
      <c r="Q36" s="35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21"/>
      <c r="AD36" s="21"/>
      <c r="AE36" s="21"/>
      <c r="AF36" s="9"/>
      <c r="AG36" s="9"/>
      <c r="AH36" s="9"/>
      <c r="AI36" s="9"/>
      <c r="AJ36" s="9"/>
      <c r="AK36" s="9"/>
    </row>
    <row r="37" spans="2:37" ht="14.25" customHeight="1" x14ac:dyDescent="0.2">
      <c r="E37" s="6"/>
      <c r="F37" s="6"/>
      <c r="G37" s="6"/>
      <c r="H37" s="6"/>
      <c r="I37" s="25"/>
      <c r="J37" s="6"/>
      <c r="K37" s="6"/>
      <c r="L37" s="6"/>
      <c r="M37" s="6"/>
      <c r="N37" s="6"/>
      <c r="O37" s="6"/>
      <c r="P37" s="6"/>
      <c r="Q37" s="35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21"/>
      <c r="AD37" s="21"/>
      <c r="AE37" s="21"/>
      <c r="AF37" s="9"/>
      <c r="AG37" s="9"/>
      <c r="AH37" s="9"/>
      <c r="AI37" s="9"/>
      <c r="AJ37" s="9"/>
      <c r="AK37" s="9"/>
    </row>
    <row r="38" spans="2:37" ht="14.25" customHeight="1" x14ac:dyDescent="0.2">
      <c r="E38" s="6"/>
      <c r="F38" s="6"/>
      <c r="G38" s="6"/>
      <c r="H38" s="6"/>
      <c r="I38" s="25"/>
      <c r="J38" s="6"/>
      <c r="K38" s="6"/>
      <c r="L38" s="6"/>
      <c r="M38" s="6"/>
      <c r="N38" s="6"/>
      <c r="O38" s="6"/>
      <c r="P38" s="6"/>
      <c r="Q38" s="35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21"/>
      <c r="AD38" s="21"/>
      <c r="AE38" s="21"/>
      <c r="AF38" s="9"/>
      <c r="AG38" s="9"/>
      <c r="AH38" s="9"/>
      <c r="AI38" s="9"/>
      <c r="AJ38" s="9"/>
      <c r="AK38" s="9"/>
    </row>
    <row r="39" spans="2:37" ht="14.25" customHeight="1" x14ac:dyDescent="0.2">
      <c r="E39" s="6"/>
      <c r="F39" s="6"/>
      <c r="G39" s="6"/>
      <c r="H39" s="6"/>
      <c r="I39" s="25"/>
      <c r="J39" s="6"/>
      <c r="K39" s="6"/>
      <c r="L39" s="6"/>
      <c r="M39" s="6"/>
      <c r="N39" s="6"/>
      <c r="O39" s="6"/>
      <c r="P39" s="6"/>
      <c r="Q39" s="35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21"/>
      <c r="AD39" s="21"/>
      <c r="AE39" s="21"/>
      <c r="AF39" s="9"/>
      <c r="AG39" s="9"/>
      <c r="AH39" s="9"/>
      <c r="AI39" s="9"/>
      <c r="AJ39" s="9"/>
      <c r="AK39" s="9"/>
    </row>
    <row r="40" spans="2:37" ht="14.25" customHeight="1" x14ac:dyDescent="0.2">
      <c r="E40" s="6"/>
      <c r="F40" s="6"/>
      <c r="G40" s="6"/>
      <c r="H40" s="6"/>
      <c r="I40" s="25"/>
      <c r="J40" s="6"/>
      <c r="K40" s="6"/>
      <c r="L40" s="6"/>
      <c r="M40" s="6"/>
      <c r="N40" s="6"/>
      <c r="O40" s="6"/>
      <c r="P40" s="6"/>
      <c r="Q40" s="35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21"/>
      <c r="AD40" s="21"/>
      <c r="AE40" s="21"/>
      <c r="AF40" s="9"/>
      <c r="AG40" s="9"/>
      <c r="AH40" s="9"/>
      <c r="AI40" s="9"/>
      <c r="AJ40" s="9"/>
      <c r="AK40" s="9"/>
    </row>
    <row r="41" spans="2:37" ht="14.25" customHeight="1" x14ac:dyDescent="0.2">
      <c r="E41" s="6"/>
      <c r="F41" s="6"/>
      <c r="G41" s="6"/>
      <c r="H41" s="6"/>
      <c r="I41" s="25"/>
      <c r="J41" s="6"/>
      <c r="K41" s="6"/>
      <c r="L41" s="6"/>
      <c r="M41" s="6"/>
      <c r="N41" s="6"/>
      <c r="O41" s="6"/>
      <c r="P41" s="6"/>
      <c r="Q41" s="35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21"/>
      <c r="AD41" s="21"/>
      <c r="AE41" s="21"/>
      <c r="AF41" s="9"/>
      <c r="AG41" s="9"/>
      <c r="AH41" s="9"/>
      <c r="AI41" s="9"/>
      <c r="AJ41" s="9"/>
      <c r="AK41" s="9"/>
    </row>
    <row r="42" spans="2:37" ht="14.25" customHeight="1" x14ac:dyDescent="0.2">
      <c r="E42" s="6"/>
      <c r="F42" s="6"/>
      <c r="G42" s="6"/>
      <c r="H42" s="6"/>
      <c r="I42" s="25"/>
      <c r="J42" s="6"/>
      <c r="K42" s="6"/>
      <c r="L42" s="6"/>
      <c r="M42" s="6"/>
      <c r="N42" s="6"/>
      <c r="O42" s="6"/>
      <c r="P42" s="6"/>
      <c r="Q42" s="35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21"/>
      <c r="AD42" s="21"/>
      <c r="AE42" s="21"/>
      <c r="AF42" s="9"/>
      <c r="AG42" s="9"/>
      <c r="AH42" s="9"/>
      <c r="AI42" s="9"/>
      <c r="AJ42" s="9"/>
      <c r="AK42" s="9"/>
    </row>
    <row r="43" spans="2:37" ht="14.25" customHeight="1" x14ac:dyDescent="0.2">
      <c r="E43" s="6"/>
      <c r="F43" s="6"/>
      <c r="G43" s="6"/>
      <c r="H43" s="6"/>
      <c r="I43" s="25"/>
      <c r="J43" s="6"/>
      <c r="K43" s="6"/>
      <c r="L43" s="6"/>
      <c r="M43" s="6"/>
      <c r="N43" s="6"/>
      <c r="O43" s="6"/>
      <c r="P43" s="6"/>
      <c r="Q43" s="35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21"/>
      <c r="AD43" s="21"/>
      <c r="AE43" s="21"/>
      <c r="AF43" s="9"/>
      <c r="AG43" s="9"/>
      <c r="AH43" s="9"/>
      <c r="AI43" s="9"/>
      <c r="AJ43" s="9"/>
      <c r="AK43" s="9"/>
    </row>
    <row r="44" spans="2:37" ht="14.25" customHeight="1" x14ac:dyDescent="0.2">
      <c r="E44" s="6"/>
      <c r="F44" s="6"/>
      <c r="G44" s="6"/>
      <c r="H44" s="6"/>
      <c r="I44" s="25"/>
      <c r="J44" s="6"/>
      <c r="K44" s="6"/>
      <c r="L44" s="6"/>
      <c r="M44" s="6"/>
      <c r="N44" s="6"/>
      <c r="O44" s="6"/>
      <c r="P44" s="6"/>
      <c r="Q44" s="35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21"/>
      <c r="AD44" s="21"/>
      <c r="AE44" s="21"/>
      <c r="AF44" s="9"/>
      <c r="AG44" s="9"/>
      <c r="AH44" s="9"/>
      <c r="AI44" s="9"/>
      <c r="AJ44" s="9"/>
      <c r="AK44" s="9"/>
    </row>
    <row r="45" spans="2:37" ht="14.25" customHeight="1" x14ac:dyDescent="0.2">
      <c r="E45" s="6"/>
      <c r="F45" s="6"/>
      <c r="G45" s="6"/>
      <c r="H45" s="6"/>
      <c r="I45" s="25"/>
      <c r="J45" s="6"/>
      <c r="K45" s="6"/>
      <c r="L45" s="6"/>
      <c r="M45" s="6"/>
      <c r="N45" s="6"/>
      <c r="O45" s="6"/>
      <c r="P45" s="6"/>
      <c r="Q45" s="35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21"/>
      <c r="AD45" s="21"/>
      <c r="AE45" s="21"/>
      <c r="AF45" s="9"/>
      <c r="AG45" s="9"/>
      <c r="AH45" s="9"/>
      <c r="AI45" s="9"/>
      <c r="AJ45" s="9"/>
      <c r="AK45" s="9"/>
    </row>
    <row r="46" spans="2:37" ht="14.25" customHeight="1" x14ac:dyDescent="0.2">
      <c r="E46" s="6"/>
      <c r="F46" s="6"/>
      <c r="G46" s="6"/>
      <c r="H46" s="6"/>
      <c r="I46" s="25"/>
      <c r="J46" s="6"/>
      <c r="K46" s="6"/>
      <c r="L46" s="6"/>
      <c r="M46" s="6"/>
      <c r="N46" s="6"/>
      <c r="O46" s="6"/>
      <c r="P46" s="6"/>
      <c r="Q46" s="35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21"/>
      <c r="AD46" s="21"/>
      <c r="AE46" s="21"/>
      <c r="AF46" s="9"/>
      <c r="AG46" s="9"/>
      <c r="AH46" s="9"/>
      <c r="AI46" s="9"/>
      <c r="AJ46" s="9"/>
      <c r="AK46" s="9"/>
    </row>
    <row r="47" spans="2:37" ht="14.25" customHeight="1" x14ac:dyDescent="0.2">
      <c r="E47" s="6"/>
      <c r="F47" s="6"/>
      <c r="G47" s="6"/>
      <c r="H47" s="6"/>
      <c r="I47" s="25"/>
      <c r="J47" s="6"/>
      <c r="K47" s="6"/>
      <c r="L47" s="6"/>
      <c r="M47" s="6"/>
      <c r="N47" s="6"/>
      <c r="O47" s="6"/>
      <c r="P47" s="6"/>
      <c r="Q47" s="35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21"/>
      <c r="AD47" s="21"/>
      <c r="AE47" s="21"/>
      <c r="AF47" s="9"/>
      <c r="AG47" s="9"/>
      <c r="AH47" s="9"/>
      <c r="AI47" s="9"/>
      <c r="AJ47" s="9"/>
      <c r="AK47" s="9"/>
    </row>
    <row r="48" spans="2:37" ht="14.25" customHeight="1" x14ac:dyDescent="0.2">
      <c r="E48" s="6"/>
      <c r="F48" s="6"/>
      <c r="G48" s="6"/>
      <c r="H48" s="6"/>
      <c r="I48" s="25"/>
      <c r="J48" s="6"/>
      <c r="K48" s="6"/>
      <c r="L48" s="6"/>
      <c r="M48" s="6"/>
      <c r="N48" s="6"/>
      <c r="O48" s="6"/>
      <c r="P48" s="6"/>
      <c r="Q48" s="35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21"/>
      <c r="AD48" s="21"/>
      <c r="AE48" s="21"/>
      <c r="AF48" s="9"/>
      <c r="AG48" s="9"/>
      <c r="AH48" s="9"/>
      <c r="AI48" s="9"/>
      <c r="AJ48" s="9"/>
      <c r="AK48" s="9"/>
    </row>
    <row r="49" spans="5:37" ht="14.25" customHeight="1" x14ac:dyDescent="0.2">
      <c r="E49" s="6"/>
      <c r="F49" s="6"/>
      <c r="G49" s="6"/>
      <c r="H49" s="6"/>
      <c r="I49" s="25"/>
      <c r="J49" s="6"/>
      <c r="K49" s="6"/>
      <c r="L49" s="6"/>
      <c r="M49" s="6"/>
      <c r="N49" s="6"/>
      <c r="O49" s="6"/>
      <c r="P49" s="6"/>
      <c r="Q49" s="35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21"/>
      <c r="AD49" s="21"/>
      <c r="AE49" s="21"/>
      <c r="AF49" s="9"/>
      <c r="AG49" s="9"/>
      <c r="AH49" s="9"/>
      <c r="AI49" s="9"/>
      <c r="AJ49" s="9"/>
      <c r="AK49" s="9"/>
    </row>
    <row r="50" spans="5:37" ht="14.25" customHeight="1" x14ac:dyDescent="0.2">
      <c r="E50" s="6"/>
      <c r="F50" s="6"/>
      <c r="G50" s="6"/>
      <c r="H50" s="6"/>
      <c r="I50" s="25"/>
      <c r="J50" s="6"/>
      <c r="K50" s="6"/>
      <c r="L50" s="6"/>
      <c r="M50" s="6"/>
      <c r="N50" s="6"/>
      <c r="O50" s="6"/>
      <c r="P50" s="6"/>
      <c r="Q50" s="35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21"/>
      <c r="AD50" s="21"/>
      <c r="AE50" s="21"/>
      <c r="AF50" s="9"/>
      <c r="AG50" s="9"/>
      <c r="AH50" s="9"/>
      <c r="AI50" s="9"/>
      <c r="AJ50" s="9"/>
      <c r="AK50" s="9"/>
    </row>
    <row r="51" spans="5:37" ht="14.25" customHeight="1" x14ac:dyDescent="0.2">
      <c r="E51" s="6"/>
      <c r="F51" s="6"/>
      <c r="G51" s="6"/>
      <c r="H51" s="6"/>
      <c r="I51" s="25"/>
      <c r="J51" s="6"/>
      <c r="K51" s="6"/>
      <c r="L51" s="6"/>
      <c r="M51" s="6"/>
      <c r="N51" s="6"/>
      <c r="O51" s="6"/>
      <c r="P51" s="6"/>
      <c r="Q51" s="35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21"/>
      <c r="AD51" s="21"/>
      <c r="AE51" s="21"/>
      <c r="AF51" s="9"/>
      <c r="AG51" s="9"/>
      <c r="AH51" s="9"/>
      <c r="AI51" s="9"/>
      <c r="AJ51" s="9"/>
      <c r="AK51" s="9"/>
    </row>
    <row r="52" spans="5:37" ht="14.25" customHeight="1" x14ac:dyDescent="0.2">
      <c r="E52" s="6"/>
      <c r="F52" s="6"/>
      <c r="G52" s="6"/>
      <c r="H52" s="6"/>
      <c r="I52" s="25"/>
      <c r="J52" s="6"/>
      <c r="K52" s="6"/>
      <c r="L52" s="6"/>
      <c r="M52" s="6"/>
      <c r="N52" s="6"/>
      <c r="O52" s="6"/>
      <c r="P52" s="6"/>
      <c r="Q52" s="35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21"/>
      <c r="AD52" s="21"/>
      <c r="AE52" s="21"/>
      <c r="AF52" s="9"/>
      <c r="AG52" s="9"/>
      <c r="AH52" s="9"/>
      <c r="AI52" s="9"/>
      <c r="AJ52" s="9"/>
      <c r="AK52" s="9"/>
    </row>
    <row r="53" spans="5:37" ht="14.25" customHeight="1" x14ac:dyDescent="0.2">
      <c r="E53" s="6"/>
      <c r="F53" s="6"/>
      <c r="G53" s="6"/>
      <c r="H53" s="6"/>
      <c r="I53" s="25"/>
      <c r="J53" s="6"/>
      <c r="K53" s="6"/>
      <c r="L53" s="6"/>
      <c r="M53" s="6"/>
      <c r="N53" s="6"/>
      <c r="O53" s="6"/>
      <c r="P53" s="6"/>
      <c r="Q53" s="35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21"/>
      <c r="AD53" s="21"/>
      <c r="AE53" s="21"/>
      <c r="AF53" s="9"/>
      <c r="AG53" s="9"/>
      <c r="AH53" s="9"/>
      <c r="AI53" s="9"/>
      <c r="AJ53" s="9"/>
      <c r="AK53" s="9"/>
    </row>
    <row r="54" spans="5:37" ht="14.25" customHeight="1" x14ac:dyDescent="0.2">
      <c r="E54" s="6"/>
      <c r="F54" s="6"/>
      <c r="G54" s="6"/>
      <c r="H54" s="6"/>
      <c r="I54" s="25"/>
      <c r="J54" s="6"/>
      <c r="K54" s="6"/>
      <c r="L54" s="6"/>
      <c r="M54" s="6"/>
      <c r="N54" s="6"/>
      <c r="O54" s="6"/>
      <c r="P54" s="6"/>
      <c r="Q54" s="35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21"/>
      <c r="AD54" s="21"/>
      <c r="AE54" s="21"/>
      <c r="AF54" s="9"/>
      <c r="AG54" s="9"/>
      <c r="AH54" s="9"/>
      <c r="AI54" s="9"/>
      <c r="AJ54" s="9"/>
      <c r="AK54" s="9"/>
    </row>
    <row r="55" spans="5:37" ht="14.25" customHeight="1" x14ac:dyDescent="0.2">
      <c r="E55" s="6"/>
      <c r="F55" s="6"/>
      <c r="G55" s="6"/>
      <c r="H55" s="6"/>
      <c r="I55" s="25"/>
      <c r="J55" s="6"/>
      <c r="K55" s="6"/>
      <c r="L55" s="6"/>
      <c r="M55" s="6"/>
      <c r="N55" s="6"/>
      <c r="O55" s="6"/>
      <c r="P55" s="6"/>
      <c r="Q55" s="35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1"/>
      <c r="AD55" s="21"/>
      <c r="AE55" s="21"/>
      <c r="AF55" s="9"/>
      <c r="AG55" s="9"/>
      <c r="AH55" s="9"/>
      <c r="AI55" s="9"/>
      <c r="AJ55" s="9"/>
      <c r="AK55" s="9"/>
    </row>
    <row r="56" spans="5:37" ht="14.25" customHeight="1" x14ac:dyDescent="0.2">
      <c r="E56" s="6"/>
      <c r="F56" s="6"/>
      <c r="G56" s="6"/>
      <c r="H56" s="6"/>
      <c r="I56" s="25"/>
      <c r="J56" s="6"/>
      <c r="K56" s="6"/>
      <c r="L56" s="6"/>
      <c r="M56" s="6"/>
      <c r="N56" s="6"/>
      <c r="O56" s="6"/>
      <c r="P56" s="6"/>
      <c r="Q56" s="35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21"/>
      <c r="AD56" s="21"/>
      <c r="AE56" s="21"/>
      <c r="AF56" s="9"/>
      <c r="AG56" s="9"/>
      <c r="AH56" s="9"/>
      <c r="AI56" s="9"/>
      <c r="AJ56" s="9"/>
      <c r="AK56" s="9"/>
    </row>
    <row r="57" spans="5:37" ht="14.25" customHeight="1" x14ac:dyDescent="0.2">
      <c r="E57" s="6"/>
      <c r="F57" s="6"/>
      <c r="G57" s="6"/>
      <c r="H57" s="6"/>
      <c r="I57" s="25"/>
      <c r="J57" s="6"/>
      <c r="K57" s="6"/>
      <c r="L57" s="6"/>
      <c r="M57" s="6"/>
      <c r="N57" s="6"/>
      <c r="O57" s="6"/>
      <c r="P57" s="6"/>
      <c r="Q57" s="35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21"/>
      <c r="AD57" s="21"/>
      <c r="AE57" s="21"/>
      <c r="AF57" s="9"/>
      <c r="AG57" s="9"/>
      <c r="AH57" s="9"/>
      <c r="AI57" s="9"/>
      <c r="AJ57" s="9"/>
      <c r="AK57" s="9"/>
    </row>
    <row r="58" spans="5:37" ht="14.25" customHeight="1" x14ac:dyDescent="0.2">
      <c r="E58" s="6"/>
      <c r="F58" s="6"/>
      <c r="G58" s="6"/>
      <c r="H58" s="6"/>
      <c r="I58" s="25"/>
      <c r="J58" s="6"/>
      <c r="K58" s="6"/>
      <c r="L58" s="6"/>
      <c r="M58" s="6"/>
      <c r="N58" s="6"/>
      <c r="O58" s="6"/>
      <c r="P58" s="6"/>
      <c r="Q58" s="35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21"/>
      <c r="AD58" s="21"/>
      <c r="AE58" s="21"/>
      <c r="AF58" s="9"/>
      <c r="AG58" s="9"/>
      <c r="AH58" s="9"/>
      <c r="AI58" s="9"/>
      <c r="AJ58" s="9"/>
      <c r="AK58" s="9"/>
    </row>
    <row r="59" spans="5:37" ht="14.25" customHeight="1" x14ac:dyDescent="0.2">
      <c r="E59" s="6"/>
      <c r="F59" s="6"/>
      <c r="G59" s="6"/>
      <c r="H59" s="6"/>
      <c r="I59" s="25"/>
      <c r="J59" s="6"/>
      <c r="K59" s="6"/>
      <c r="L59" s="6"/>
      <c r="M59" s="6"/>
      <c r="N59" s="6"/>
      <c r="O59" s="6"/>
      <c r="P59" s="6"/>
      <c r="Q59" s="35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21"/>
      <c r="AD59" s="21"/>
      <c r="AE59" s="21"/>
      <c r="AF59" s="9"/>
      <c r="AG59" s="9"/>
      <c r="AH59" s="9"/>
      <c r="AI59" s="9"/>
      <c r="AJ59" s="9"/>
      <c r="AK59" s="9"/>
    </row>
    <row r="60" spans="5:37" ht="14.25" customHeight="1" x14ac:dyDescent="0.2">
      <c r="E60" s="6"/>
      <c r="F60" s="6"/>
      <c r="G60" s="6"/>
      <c r="H60" s="6"/>
      <c r="I60" s="25"/>
      <c r="J60" s="6"/>
      <c r="K60" s="6"/>
      <c r="L60" s="6"/>
      <c r="M60" s="6"/>
      <c r="N60" s="6"/>
      <c r="O60" s="6"/>
      <c r="P60" s="6"/>
      <c r="Q60" s="35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21"/>
      <c r="AD60" s="21"/>
      <c r="AE60" s="21"/>
      <c r="AF60" s="9"/>
      <c r="AG60" s="9"/>
      <c r="AH60" s="9"/>
      <c r="AI60" s="9"/>
      <c r="AJ60" s="9"/>
      <c r="AK60" s="9"/>
    </row>
    <row r="61" spans="5:37" ht="14.25" customHeight="1" x14ac:dyDescent="0.2">
      <c r="E61" s="6"/>
      <c r="F61" s="6"/>
      <c r="G61" s="6"/>
      <c r="H61" s="6"/>
      <c r="I61" s="25"/>
      <c r="J61" s="6"/>
      <c r="K61" s="6"/>
      <c r="L61" s="6"/>
      <c r="M61" s="6"/>
      <c r="N61" s="6"/>
      <c r="O61" s="6"/>
      <c r="P61" s="6"/>
      <c r="Q61" s="35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21"/>
      <c r="AD61" s="21"/>
      <c r="AE61" s="21"/>
      <c r="AF61" s="9"/>
      <c r="AG61" s="9"/>
      <c r="AH61" s="9"/>
      <c r="AI61" s="9"/>
      <c r="AJ61" s="9"/>
      <c r="AK61" s="9"/>
    </row>
    <row r="62" spans="5:37" ht="14.25" customHeight="1" x14ac:dyDescent="0.2">
      <c r="E62" s="6"/>
      <c r="F62" s="6"/>
      <c r="G62" s="6"/>
      <c r="H62" s="6"/>
      <c r="I62" s="25"/>
      <c r="J62" s="6"/>
      <c r="K62" s="6"/>
      <c r="L62" s="6"/>
      <c r="M62" s="6"/>
      <c r="N62" s="6"/>
      <c r="O62" s="6"/>
      <c r="P62" s="6"/>
      <c r="Q62" s="35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21"/>
      <c r="AD62" s="21"/>
      <c r="AE62" s="21"/>
      <c r="AF62" s="9"/>
      <c r="AG62" s="9"/>
      <c r="AH62" s="9"/>
      <c r="AI62" s="9"/>
      <c r="AJ62" s="9"/>
      <c r="AK62" s="9"/>
    </row>
    <row r="63" spans="5:37" ht="14.25" customHeight="1" x14ac:dyDescent="0.2">
      <c r="E63" s="6"/>
      <c r="F63" s="6"/>
      <c r="G63" s="6"/>
      <c r="H63" s="6"/>
      <c r="I63" s="25"/>
      <c r="J63" s="6"/>
      <c r="K63" s="6"/>
      <c r="L63" s="6"/>
      <c r="M63" s="6"/>
      <c r="N63" s="6"/>
      <c r="O63" s="6"/>
      <c r="P63" s="6"/>
      <c r="Q63" s="35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21"/>
      <c r="AD63" s="21"/>
      <c r="AE63" s="21"/>
      <c r="AF63" s="9"/>
      <c r="AG63" s="9"/>
      <c r="AH63" s="9"/>
      <c r="AI63" s="9"/>
      <c r="AJ63" s="9"/>
      <c r="AK63" s="9"/>
    </row>
    <row r="64" spans="5:37" ht="14.25" customHeight="1" x14ac:dyDescent="0.2">
      <c r="E64" s="6"/>
      <c r="F64" s="6"/>
      <c r="G64" s="6"/>
      <c r="H64" s="6"/>
      <c r="I64" s="25"/>
      <c r="J64" s="6"/>
      <c r="K64" s="6"/>
      <c r="L64" s="6"/>
      <c r="M64" s="6"/>
      <c r="N64" s="6"/>
      <c r="O64" s="6"/>
      <c r="P64" s="6"/>
      <c r="Q64" s="35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21"/>
      <c r="AD64" s="21"/>
      <c r="AE64" s="21"/>
      <c r="AF64" s="9"/>
      <c r="AG64" s="9"/>
      <c r="AH64" s="9"/>
      <c r="AI64" s="9"/>
      <c r="AJ64" s="9"/>
      <c r="AK64" s="9"/>
    </row>
    <row r="65" spans="5:37" ht="14.25" customHeight="1" x14ac:dyDescent="0.2">
      <c r="E65" s="6"/>
      <c r="F65" s="6"/>
      <c r="G65" s="6"/>
      <c r="H65" s="6"/>
      <c r="I65" s="25"/>
      <c r="J65" s="6"/>
      <c r="K65" s="6"/>
      <c r="L65" s="6"/>
      <c r="M65" s="6"/>
      <c r="N65" s="6"/>
      <c r="O65" s="6"/>
      <c r="P65" s="6"/>
      <c r="Q65" s="35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21"/>
      <c r="AD65" s="21"/>
      <c r="AE65" s="21"/>
      <c r="AF65" s="9"/>
      <c r="AG65" s="9"/>
      <c r="AH65" s="9"/>
      <c r="AI65" s="9"/>
      <c r="AJ65" s="9"/>
      <c r="AK65" s="9"/>
    </row>
    <row r="66" spans="5:37" ht="14.25" customHeight="1" x14ac:dyDescent="0.2">
      <c r="E66" s="6"/>
      <c r="F66" s="6"/>
      <c r="G66" s="6"/>
      <c r="H66" s="6"/>
      <c r="I66" s="25"/>
      <c r="J66" s="6"/>
      <c r="K66" s="6"/>
      <c r="L66" s="6"/>
      <c r="M66" s="6"/>
      <c r="N66" s="6"/>
      <c r="O66" s="6"/>
      <c r="P66" s="6"/>
      <c r="Q66" s="35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21"/>
      <c r="AD66" s="21"/>
      <c r="AE66" s="21"/>
      <c r="AF66" s="9"/>
      <c r="AG66" s="9"/>
      <c r="AH66" s="9"/>
      <c r="AI66" s="9"/>
      <c r="AJ66" s="9"/>
      <c r="AK66" s="9"/>
    </row>
    <row r="67" spans="5:37" ht="14.25" customHeight="1" x14ac:dyDescent="0.2">
      <c r="E67" s="6"/>
      <c r="F67" s="6"/>
      <c r="G67" s="6"/>
      <c r="H67" s="6"/>
      <c r="I67" s="25"/>
      <c r="J67" s="6"/>
      <c r="K67" s="6"/>
      <c r="L67" s="6"/>
      <c r="M67" s="6"/>
      <c r="N67" s="6"/>
      <c r="O67" s="6"/>
      <c r="P67" s="6"/>
      <c r="Q67" s="35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21"/>
      <c r="AD67" s="21"/>
      <c r="AE67" s="21"/>
      <c r="AF67" s="9"/>
      <c r="AG67" s="9"/>
      <c r="AH67" s="9"/>
      <c r="AI67" s="9"/>
      <c r="AJ67" s="9"/>
      <c r="AK67" s="9"/>
    </row>
    <row r="68" spans="5:37" ht="14.25" customHeight="1" x14ac:dyDescent="0.2">
      <c r="E68" s="6"/>
      <c r="F68" s="6"/>
      <c r="G68" s="6"/>
      <c r="H68" s="6"/>
      <c r="I68" s="25"/>
      <c r="J68" s="6"/>
      <c r="K68" s="6"/>
      <c r="L68" s="6"/>
      <c r="M68" s="6"/>
      <c r="N68" s="6"/>
      <c r="O68" s="6"/>
      <c r="P68" s="6"/>
      <c r="Q68" s="35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21"/>
      <c r="AD68" s="21"/>
      <c r="AE68" s="21"/>
      <c r="AF68" s="9"/>
      <c r="AG68" s="9"/>
      <c r="AH68" s="9"/>
      <c r="AI68" s="9"/>
      <c r="AJ68" s="9"/>
      <c r="AK68" s="9"/>
    </row>
    <row r="69" spans="5:37" ht="14.25" customHeight="1" x14ac:dyDescent="0.2">
      <c r="E69" s="6"/>
      <c r="F69" s="6"/>
      <c r="G69" s="6"/>
      <c r="H69" s="6"/>
      <c r="I69" s="25"/>
      <c r="J69" s="6"/>
      <c r="K69" s="6"/>
      <c r="L69" s="6"/>
      <c r="M69" s="6"/>
      <c r="N69" s="6"/>
      <c r="O69" s="6"/>
      <c r="P69" s="6"/>
      <c r="Q69" s="35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21"/>
      <c r="AD69" s="21"/>
      <c r="AE69" s="21"/>
      <c r="AF69" s="9"/>
      <c r="AG69" s="9"/>
      <c r="AH69" s="9"/>
      <c r="AI69" s="9"/>
      <c r="AJ69" s="9"/>
      <c r="AK69" s="9"/>
    </row>
    <row r="70" spans="5:37" ht="14.25" customHeight="1" x14ac:dyDescent="0.2">
      <c r="E70" s="6"/>
      <c r="F70" s="6"/>
      <c r="G70" s="6"/>
      <c r="H70" s="6"/>
      <c r="I70" s="25"/>
      <c r="J70" s="6"/>
      <c r="K70" s="6"/>
      <c r="L70" s="6"/>
      <c r="M70" s="6"/>
      <c r="N70" s="6"/>
      <c r="O70" s="6"/>
      <c r="P70" s="6"/>
      <c r="Q70" s="35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21"/>
      <c r="AD70" s="21"/>
      <c r="AE70" s="21"/>
      <c r="AF70" s="9"/>
      <c r="AG70" s="9"/>
      <c r="AH70" s="9"/>
      <c r="AI70" s="9"/>
      <c r="AJ70" s="9"/>
      <c r="AK70" s="9"/>
    </row>
    <row r="71" spans="5:37" ht="14.25" customHeight="1" x14ac:dyDescent="0.2">
      <c r="E71" s="6"/>
      <c r="F71" s="6"/>
      <c r="G71" s="6"/>
      <c r="H71" s="6"/>
      <c r="I71" s="25"/>
      <c r="J71" s="6"/>
      <c r="K71" s="6"/>
      <c r="L71" s="6"/>
      <c r="M71" s="6"/>
      <c r="N71" s="6"/>
      <c r="O71" s="6"/>
      <c r="P71" s="6"/>
      <c r="Q71" s="35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21"/>
      <c r="AD71" s="21"/>
      <c r="AE71" s="21"/>
      <c r="AF71" s="9"/>
      <c r="AG71" s="9"/>
      <c r="AH71" s="9"/>
      <c r="AI71" s="9"/>
      <c r="AJ71" s="9"/>
      <c r="AK71" s="9"/>
    </row>
    <row r="72" spans="5:37" ht="14.25" customHeight="1" x14ac:dyDescent="0.2">
      <c r="E72" s="6"/>
      <c r="F72" s="6"/>
      <c r="G72" s="6"/>
      <c r="H72" s="6"/>
      <c r="I72" s="25"/>
      <c r="J72" s="6"/>
      <c r="K72" s="6"/>
      <c r="L72" s="6"/>
      <c r="M72" s="6"/>
      <c r="N72" s="6"/>
      <c r="O72" s="6"/>
      <c r="P72" s="6"/>
      <c r="Q72" s="35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21"/>
      <c r="AD72" s="21"/>
      <c r="AE72" s="21"/>
      <c r="AF72" s="9"/>
      <c r="AG72" s="9"/>
      <c r="AH72" s="9"/>
      <c r="AI72" s="9"/>
      <c r="AJ72" s="9"/>
      <c r="AK72" s="9"/>
    </row>
    <row r="73" spans="5:37" ht="14.25" customHeight="1" x14ac:dyDescent="0.2">
      <c r="E73" s="6"/>
      <c r="F73" s="6"/>
      <c r="G73" s="6"/>
      <c r="H73" s="6"/>
      <c r="I73" s="25"/>
      <c r="J73" s="6"/>
      <c r="K73" s="6"/>
      <c r="L73" s="6"/>
      <c r="M73" s="6"/>
      <c r="N73" s="6"/>
      <c r="O73" s="6"/>
      <c r="P73" s="6"/>
      <c r="Q73" s="35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21"/>
      <c r="AD73" s="21"/>
      <c r="AE73" s="21"/>
      <c r="AF73" s="9"/>
      <c r="AG73" s="9"/>
      <c r="AH73" s="9"/>
      <c r="AI73" s="9"/>
      <c r="AJ73" s="9"/>
      <c r="AK73" s="9"/>
    </row>
    <row r="74" spans="5:37" ht="14.25" customHeight="1" x14ac:dyDescent="0.2">
      <c r="E74" s="6"/>
      <c r="F74" s="6"/>
      <c r="G74" s="6"/>
      <c r="H74" s="6"/>
      <c r="I74" s="25"/>
      <c r="J74" s="6"/>
      <c r="K74" s="6"/>
      <c r="L74" s="6"/>
      <c r="M74" s="6"/>
      <c r="N74" s="6"/>
      <c r="O74" s="6"/>
      <c r="P74" s="6"/>
      <c r="Q74" s="35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21"/>
      <c r="AD74" s="21"/>
      <c r="AE74" s="21"/>
      <c r="AF74" s="9"/>
      <c r="AG74" s="9"/>
      <c r="AH74" s="9"/>
      <c r="AI74" s="9"/>
      <c r="AJ74" s="9"/>
      <c r="AK74" s="9"/>
    </row>
    <row r="75" spans="5:37" ht="14.25" customHeight="1" x14ac:dyDescent="0.2">
      <c r="E75" s="6"/>
      <c r="F75" s="6"/>
      <c r="G75" s="6"/>
      <c r="H75" s="6"/>
      <c r="I75" s="25"/>
      <c r="J75" s="6"/>
      <c r="K75" s="6"/>
      <c r="L75" s="6"/>
      <c r="M75" s="6"/>
      <c r="N75" s="6"/>
      <c r="O75" s="6"/>
      <c r="P75" s="6"/>
      <c r="Q75" s="35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21"/>
      <c r="AD75" s="21"/>
      <c r="AE75" s="21"/>
      <c r="AF75" s="9"/>
      <c r="AG75" s="9"/>
      <c r="AH75" s="9"/>
      <c r="AI75" s="9"/>
      <c r="AJ75" s="9"/>
      <c r="AK75" s="9"/>
    </row>
    <row r="76" spans="5:37" ht="14.25" customHeight="1" x14ac:dyDescent="0.2">
      <c r="E76" s="6"/>
      <c r="F76" s="6"/>
      <c r="G76" s="6"/>
      <c r="H76" s="6"/>
      <c r="I76" s="25"/>
      <c r="J76" s="6"/>
      <c r="K76" s="6"/>
      <c r="L76" s="6"/>
      <c r="M76" s="6"/>
      <c r="N76" s="6"/>
      <c r="O76" s="6"/>
      <c r="P76" s="6"/>
      <c r="Q76" s="35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21"/>
      <c r="AD76" s="21"/>
      <c r="AE76" s="21"/>
      <c r="AF76" s="9"/>
      <c r="AG76" s="9"/>
      <c r="AH76" s="9"/>
      <c r="AI76" s="9"/>
      <c r="AJ76" s="9"/>
      <c r="AK76" s="9"/>
    </row>
    <row r="77" spans="5:37" ht="14.25" customHeight="1" x14ac:dyDescent="0.2">
      <c r="E77" s="6"/>
      <c r="F77" s="6"/>
      <c r="G77" s="6"/>
      <c r="H77" s="6"/>
      <c r="I77" s="25"/>
      <c r="J77" s="6"/>
      <c r="K77" s="6"/>
      <c r="L77" s="6"/>
      <c r="M77" s="6"/>
      <c r="N77" s="6"/>
      <c r="O77" s="6"/>
      <c r="P77" s="6"/>
      <c r="Q77" s="35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21"/>
      <c r="AD77" s="21"/>
      <c r="AE77" s="21"/>
      <c r="AF77" s="9"/>
      <c r="AG77" s="9"/>
      <c r="AH77" s="9"/>
      <c r="AI77" s="9"/>
      <c r="AJ77" s="9"/>
      <c r="AK77" s="9"/>
    </row>
    <row r="78" spans="5:37" ht="14.25" customHeight="1" x14ac:dyDescent="0.2">
      <c r="E78" s="6"/>
      <c r="F78" s="6"/>
      <c r="G78" s="6"/>
      <c r="H78" s="6"/>
      <c r="I78" s="25"/>
      <c r="J78" s="6"/>
      <c r="K78" s="6"/>
      <c r="L78" s="6"/>
      <c r="M78" s="6"/>
      <c r="N78" s="6"/>
      <c r="O78" s="6"/>
      <c r="P78" s="6"/>
      <c r="Q78" s="35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21"/>
      <c r="AD78" s="21"/>
      <c r="AE78" s="21"/>
      <c r="AF78" s="9"/>
      <c r="AG78" s="9"/>
      <c r="AH78" s="9"/>
      <c r="AI78" s="9"/>
      <c r="AJ78" s="9"/>
      <c r="AK78" s="9"/>
    </row>
    <row r="79" spans="5:37" ht="14.25" customHeight="1" x14ac:dyDescent="0.2">
      <c r="E79" s="6"/>
      <c r="F79" s="6"/>
      <c r="G79" s="6"/>
      <c r="H79" s="6"/>
      <c r="I79" s="25"/>
      <c r="J79" s="6"/>
      <c r="K79" s="6"/>
      <c r="L79" s="6"/>
      <c r="M79" s="6"/>
      <c r="N79" s="6"/>
      <c r="O79" s="6"/>
      <c r="P79" s="6"/>
      <c r="Q79" s="35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21"/>
      <c r="AD79" s="21"/>
      <c r="AE79" s="21"/>
      <c r="AF79" s="9"/>
      <c r="AG79" s="9"/>
      <c r="AH79" s="9"/>
      <c r="AI79" s="9"/>
      <c r="AJ79" s="9"/>
      <c r="AK79" s="9"/>
    </row>
    <row r="80" spans="5:37" ht="14.25" customHeight="1" x14ac:dyDescent="0.2">
      <c r="E80" s="6"/>
      <c r="F80" s="6"/>
      <c r="G80" s="6"/>
      <c r="H80" s="6"/>
      <c r="I80" s="25"/>
      <c r="J80" s="6"/>
      <c r="K80" s="6"/>
      <c r="L80" s="6"/>
      <c r="M80" s="6"/>
      <c r="N80" s="6"/>
      <c r="O80" s="6"/>
      <c r="P80" s="6"/>
      <c r="Q80" s="35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21"/>
      <c r="AD80" s="21"/>
      <c r="AE80" s="21"/>
      <c r="AF80" s="9"/>
      <c r="AG80" s="9"/>
      <c r="AH80" s="9"/>
      <c r="AI80" s="9"/>
      <c r="AJ80" s="9"/>
      <c r="AK80" s="9"/>
    </row>
    <row r="81" spans="5:37" ht="14.25" customHeight="1" x14ac:dyDescent="0.2">
      <c r="E81" s="6"/>
      <c r="F81" s="6"/>
      <c r="G81" s="6"/>
      <c r="H81" s="6"/>
      <c r="I81" s="25"/>
      <c r="J81" s="6"/>
      <c r="K81" s="6"/>
      <c r="L81" s="6"/>
      <c r="M81" s="6"/>
      <c r="N81" s="6"/>
      <c r="O81" s="6"/>
      <c r="P81" s="6"/>
      <c r="Q81" s="35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21"/>
      <c r="AD81" s="21"/>
      <c r="AE81" s="21"/>
      <c r="AF81" s="9"/>
      <c r="AG81" s="9"/>
      <c r="AH81" s="9"/>
      <c r="AI81" s="9"/>
      <c r="AJ81" s="9"/>
      <c r="AK81" s="9"/>
    </row>
    <row r="82" spans="5:37" ht="14.25" customHeight="1" x14ac:dyDescent="0.2">
      <c r="E82" s="6"/>
      <c r="F82" s="6"/>
      <c r="G82" s="6"/>
      <c r="H82" s="6"/>
      <c r="I82" s="25"/>
      <c r="J82" s="6"/>
      <c r="K82" s="6"/>
      <c r="L82" s="6"/>
      <c r="M82" s="6"/>
      <c r="N82" s="6"/>
      <c r="O82" s="6"/>
      <c r="P82" s="6"/>
      <c r="Q82" s="35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21"/>
      <c r="AD82" s="21"/>
      <c r="AE82" s="21"/>
      <c r="AF82" s="9"/>
      <c r="AG82" s="9"/>
      <c r="AH82" s="9"/>
      <c r="AI82" s="9"/>
      <c r="AJ82" s="9"/>
      <c r="AK82" s="9"/>
    </row>
    <row r="83" spans="5:37" ht="14.25" customHeight="1" x14ac:dyDescent="0.2">
      <c r="E83" s="6"/>
      <c r="F83" s="6"/>
      <c r="G83" s="6"/>
      <c r="H83" s="6"/>
      <c r="I83" s="25"/>
      <c r="J83" s="6"/>
      <c r="K83" s="6"/>
      <c r="L83" s="6"/>
      <c r="M83" s="6"/>
      <c r="N83" s="6"/>
      <c r="O83" s="6"/>
      <c r="P83" s="6"/>
      <c r="Q83" s="35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21"/>
      <c r="AD83" s="21"/>
      <c r="AE83" s="21"/>
      <c r="AF83" s="9"/>
      <c r="AG83" s="9"/>
      <c r="AH83" s="9"/>
      <c r="AI83" s="9"/>
      <c r="AJ83" s="9"/>
      <c r="AK83" s="9"/>
    </row>
    <row r="84" spans="5:37" ht="14.25" customHeight="1" x14ac:dyDescent="0.2">
      <c r="E84" s="6"/>
      <c r="F84" s="6"/>
      <c r="G84" s="6"/>
      <c r="H84" s="6"/>
      <c r="I84" s="25"/>
      <c r="J84" s="6"/>
      <c r="K84" s="6"/>
      <c r="L84" s="6"/>
      <c r="M84" s="6"/>
      <c r="N84" s="6"/>
      <c r="O84" s="6"/>
      <c r="P84" s="6"/>
      <c r="Q84" s="35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21"/>
      <c r="AD84" s="21"/>
      <c r="AE84" s="21"/>
      <c r="AF84" s="9"/>
      <c r="AG84" s="9"/>
      <c r="AH84" s="9"/>
      <c r="AI84" s="9"/>
      <c r="AJ84" s="9"/>
      <c r="AK84" s="9"/>
    </row>
    <row r="85" spans="5:37" ht="14.25" customHeight="1" x14ac:dyDescent="0.2">
      <c r="E85" s="6"/>
      <c r="F85" s="6"/>
      <c r="G85" s="6"/>
      <c r="H85" s="6"/>
      <c r="I85" s="25"/>
      <c r="J85" s="6"/>
      <c r="K85" s="6"/>
      <c r="L85" s="6"/>
      <c r="M85" s="6"/>
      <c r="N85" s="6"/>
      <c r="O85" s="6"/>
      <c r="P85" s="6"/>
      <c r="Q85" s="35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21"/>
      <c r="AD85" s="21"/>
      <c r="AE85" s="21"/>
      <c r="AF85" s="9"/>
      <c r="AG85" s="9"/>
      <c r="AH85" s="9"/>
      <c r="AI85" s="9"/>
      <c r="AJ85" s="9"/>
      <c r="AK85" s="9"/>
    </row>
    <row r="86" spans="5:37" ht="14.25" customHeight="1" x14ac:dyDescent="0.2">
      <c r="E86" s="6"/>
      <c r="F86" s="6"/>
      <c r="G86" s="6"/>
      <c r="H86" s="6"/>
      <c r="I86" s="25"/>
      <c r="J86" s="6"/>
      <c r="K86" s="6"/>
      <c r="L86" s="6"/>
      <c r="M86" s="6"/>
      <c r="N86" s="6"/>
      <c r="O86" s="6"/>
      <c r="P86" s="6"/>
      <c r="Q86" s="35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21"/>
      <c r="AD86" s="21"/>
      <c r="AE86" s="21"/>
      <c r="AF86" s="9"/>
      <c r="AG86" s="9"/>
      <c r="AH86" s="9"/>
      <c r="AI86" s="9"/>
      <c r="AJ86" s="9"/>
      <c r="AK86" s="9"/>
    </row>
    <row r="87" spans="5:37" ht="14.25" customHeight="1" x14ac:dyDescent="0.2">
      <c r="E87" s="6"/>
      <c r="F87" s="6"/>
      <c r="G87" s="6"/>
      <c r="H87" s="6"/>
      <c r="I87" s="25"/>
      <c r="J87" s="6"/>
      <c r="K87" s="6"/>
      <c r="L87" s="6"/>
      <c r="M87" s="6"/>
      <c r="N87" s="6"/>
      <c r="O87" s="6"/>
      <c r="P87" s="6"/>
      <c r="Q87" s="35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21"/>
      <c r="AD87" s="21"/>
      <c r="AE87" s="21"/>
      <c r="AF87" s="9"/>
      <c r="AG87" s="9"/>
      <c r="AH87" s="9"/>
      <c r="AI87" s="9"/>
      <c r="AJ87" s="9"/>
      <c r="AK87" s="9"/>
    </row>
    <row r="88" spans="5:37" ht="14.25" customHeight="1" x14ac:dyDescent="0.2">
      <c r="E88" s="6"/>
      <c r="F88" s="6"/>
      <c r="G88" s="6"/>
      <c r="H88" s="6"/>
      <c r="I88" s="25"/>
      <c r="J88" s="6"/>
      <c r="K88" s="6"/>
      <c r="L88" s="6"/>
      <c r="M88" s="6"/>
      <c r="N88" s="6"/>
      <c r="O88" s="6"/>
      <c r="P88" s="6"/>
      <c r="Q88" s="35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21"/>
      <c r="AD88" s="21"/>
      <c r="AE88" s="21"/>
      <c r="AF88" s="9"/>
      <c r="AG88" s="9"/>
      <c r="AH88" s="9"/>
      <c r="AI88" s="9"/>
      <c r="AJ88" s="9"/>
      <c r="AK88" s="9"/>
    </row>
    <row r="89" spans="5:37" ht="14.25" customHeight="1" x14ac:dyDescent="0.2">
      <c r="E89" s="6"/>
      <c r="F89" s="6"/>
      <c r="G89" s="6"/>
      <c r="H89" s="6"/>
      <c r="I89" s="25"/>
      <c r="J89" s="6"/>
      <c r="K89" s="6"/>
      <c r="L89" s="6"/>
      <c r="M89" s="6"/>
      <c r="N89" s="6"/>
      <c r="O89" s="6"/>
      <c r="P89" s="6"/>
      <c r="Q89" s="35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21"/>
      <c r="AD89" s="21"/>
      <c r="AE89" s="21"/>
      <c r="AF89" s="9"/>
      <c r="AG89" s="9"/>
      <c r="AH89" s="9"/>
      <c r="AI89" s="9"/>
      <c r="AJ89" s="9"/>
      <c r="AK89" s="9"/>
    </row>
    <row r="90" spans="5:37" ht="14.25" customHeight="1" x14ac:dyDescent="0.2">
      <c r="E90" s="6"/>
      <c r="F90" s="6"/>
      <c r="G90" s="6"/>
      <c r="H90" s="6"/>
      <c r="I90" s="25"/>
      <c r="J90" s="6"/>
      <c r="K90" s="6"/>
      <c r="L90" s="6"/>
      <c r="M90" s="6"/>
      <c r="N90" s="6"/>
      <c r="O90" s="6"/>
      <c r="P90" s="6"/>
      <c r="Q90" s="35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21"/>
      <c r="AD90" s="21"/>
      <c r="AE90" s="21"/>
      <c r="AF90" s="9"/>
      <c r="AG90" s="9"/>
      <c r="AH90" s="9"/>
      <c r="AI90" s="9"/>
      <c r="AJ90" s="9"/>
      <c r="AK90" s="9"/>
    </row>
    <row r="91" spans="5:37" ht="14.25" customHeight="1" x14ac:dyDescent="0.2">
      <c r="E91" s="6"/>
      <c r="F91" s="6"/>
      <c r="G91" s="6"/>
      <c r="H91" s="6"/>
      <c r="I91" s="25"/>
      <c r="J91" s="6"/>
      <c r="K91" s="6"/>
      <c r="L91" s="6"/>
      <c r="M91" s="6"/>
      <c r="N91" s="6"/>
      <c r="O91" s="6"/>
      <c r="P91" s="6"/>
      <c r="Q91" s="35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21"/>
      <c r="AD91" s="21"/>
      <c r="AE91" s="21"/>
      <c r="AF91" s="9"/>
      <c r="AG91" s="9"/>
      <c r="AH91" s="9"/>
      <c r="AI91" s="9"/>
      <c r="AJ91" s="9"/>
      <c r="AK91" s="9"/>
    </row>
    <row r="92" spans="5:37" ht="14.25" customHeight="1" x14ac:dyDescent="0.2">
      <c r="E92" s="6"/>
      <c r="F92" s="6"/>
      <c r="G92" s="6"/>
      <c r="H92" s="6"/>
      <c r="I92" s="25"/>
      <c r="J92" s="6"/>
      <c r="K92" s="6"/>
      <c r="L92" s="6"/>
      <c r="M92" s="6"/>
      <c r="N92" s="6"/>
      <c r="O92" s="6"/>
      <c r="P92" s="6"/>
      <c r="Q92" s="35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21"/>
      <c r="AD92" s="21"/>
      <c r="AE92" s="21"/>
      <c r="AF92" s="9"/>
      <c r="AG92" s="9"/>
      <c r="AH92" s="9"/>
      <c r="AI92" s="9"/>
      <c r="AJ92" s="9"/>
      <c r="AK92" s="9"/>
    </row>
    <row r="93" spans="5:37" ht="14.25" customHeight="1" x14ac:dyDescent="0.2">
      <c r="E93" s="6"/>
      <c r="F93" s="6"/>
      <c r="G93" s="6"/>
      <c r="H93" s="6"/>
      <c r="I93" s="25"/>
      <c r="J93" s="6"/>
      <c r="K93" s="6"/>
      <c r="L93" s="6"/>
      <c r="M93" s="6"/>
      <c r="N93" s="6"/>
      <c r="O93" s="6"/>
      <c r="P93" s="6"/>
      <c r="Q93" s="35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21"/>
      <c r="AD93" s="21"/>
      <c r="AE93" s="21"/>
      <c r="AF93" s="9"/>
      <c r="AG93" s="9"/>
      <c r="AH93" s="9"/>
      <c r="AI93" s="9"/>
      <c r="AJ93" s="9"/>
      <c r="AK93" s="9"/>
    </row>
    <row r="94" spans="5:37" ht="14.25" customHeight="1" x14ac:dyDescent="0.2">
      <c r="E94" s="6"/>
      <c r="F94" s="6"/>
      <c r="G94" s="6"/>
      <c r="H94" s="6"/>
      <c r="I94" s="25"/>
      <c r="J94" s="6"/>
      <c r="K94" s="6"/>
      <c r="L94" s="6"/>
      <c r="M94" s="6"/>
      <c r="N94" s="6"/>
      <c r="O94" s="6"/>
      <c r="P94" s="6"/>
      <c r="Q94" s="35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21"/>
      <c r="AD94" s="21"/>
      <c r="AE94" s="21"/>
      <c r="AF94" s="9"/>
      <c r="AG94" s="9"/>
      <c r="AH94" s="9"/>
      <c r="AI94" s="9"/>
      <c r="AJ94" s="9"/>
      <c r="AK94" s="9"/>
    </row>
    <row r="95" spans="5:37" ht="14.25" customHeight="1" x14ac:dyDescent="0.2">
      <c r="E95" s="6"/>
      <c r="F95" s="6"/>
      <c r="G95" s="6"/>
      <c r="H95" s="6"/>
      <c r="I95" s="25"/>
      <c r="J95" s="6"/>
      <c r="K95" s="6"/>
      <c r="L95" s="6"/>
      <c r="M95" s="6"/>
      <c r="N95" s="6"/>
      <c r="O95" s="6"/>
      <c r="P95" s="6"/>
      <c r="Q95" s="35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21"/>
      <c r="AD95" s="21"/>
      <c r="AE95" s="21"/>
      <c r="AF95" s="9"/>
      <c r="AG95" s="9"/>
      <c r="AH95" s="9"/>
      <c r="AI95" s="9"/>
      <c r="AJ95" s="9"/>
      <c r="AK95" s="9"/>
    </row>
    <row r="96" spans="5:37" ht="14.25" customHeight="1" x14ac:dyDescent="0.2">
      <c r="E96" s="6"/>
      <c r="F96" s="6"/>
      <c r="G96" s="6"/>
      <c r="H96" s="6"/>
      <c r="I96" s="25"/>
      <c r="J96" s="6"/>
      <c r="K96" s="6"/>
      <c r="L96" s="6"/>
      <c r="M96" s="6"/>
      <c r="N96" s="6"/>
      <c r="O96" s="6"/>
      <c r="P96" s="6"/>
      <c r="Q96" s="35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21"/>
      <c r="AD96" s="21"/>
      <c r="AE96" s="21"/>
      <c r="AF96" s="9"/>
      <c r="AG96" s="9"/>
      <c r="AH96" s="9"/>
      <c r="AI96" s="9"/>
      <c r="AJ96" s="9"/>
      <c r="AK96" s="9"/>
    </row>
    <row r="97" spans="5:37" ht="14.25" customHeight="1" x14ac:dyDescent="0.2">
      <c r="E97" s="6"/>
      <c r="F97" s="6"/>
      <c r="G97" s="6"/>
      <c r="H97" s="6"/>
      <c r="I97" s="25"/>
      <c r="J97" s="6"/>
      <c r="K97" s="6"/>
      <c r="L97" s="6"/>
      <c r="M97" s="6"/>
      <c r="N97" s="6"/>
      <c r="O97" s="6"/>
      <c r="P97" s="6"/>
      <c r="Q97" s="35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21"/>
      <c r="AD97" s="21"/>
      <c r="AE97" s="21"/>
      <c r="AF97" s="9"/>
      <c r="AG97" s="9"/>
      <c r="AH97" s="9"/>
      <c r="AI97" s="9"/>
      <c r="AJ97" s="9"/>
      <c r="AK97" s="9"/>
    </row>
    <row r="98" spans="5:37" ht="14.25" customHeight="1" x14ac:dyDescent="0.2">
      <c r="E98" s="6"/>
      <c r="F98" s="6"/>
      <c r="G98" s="6"/>
      <c r="H98" s="6"/>
      <c r="I98" s="25"/>
      <c r="J98" s="6"/>
      <c r="K98" s="6"/>
      <c r="L98" s="6"/>
      <c r="M98" s="6"/>
      <c r="N98" s="6"/>
      <c r="O98" s="6"/>
      <c r="P98" s="6"/>
      <c r="Q98" s="35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21"/>
      <c r="AD98" s="21"/>
      <c r="AE98" s="21"/>
      <c r="AF98" s="9"/>
      <c r="AG98" s="9"/>
      <c r="AH98" s="9"/>
      <c r="AI98" s="9"/>
      <c r="AJ98" s="9"/>
      <c r="AK98" s="9"/>
    </row>
    <row r="99" spans="5:37" ht="14.25" customHeight="1" x14ac:dyDescent="0.2">
      <c r="E99" s="6"/>
      <c r="F99" s="6"/>
      <c r="G99" s="6"/>
      <c r="H99" s="6"/>
      <c r="I99" s="25"/>
      <c r="J99" s="6"/>
      <c r="K99" s="6"/>
      <c r="L99" s="6"/>
      <c r="M99" s="6"/>
      <c r="N99" s="6"/>
      <c r="O99" s="6"/>
      <c r="P99" s="6"/>
      <c r="Q99" s="35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21"/>
      <c r="AD99" s="21"/>
      <c r="AE99" s="21"/>
      <c r="AF99" s="9"/>
      <c r="AG99" s="9"/>
      <c r="AH99" s="9"/>
      <c r="AI99" s="9"/>
      <c r="AJ99" s="9"/>
      <c r="AK99" s="9"/>
    </row>
    <row r="100" spans="5:37" ht="14.25" customHeight="1" x14ac:dyDescent="0.2">
      <c r="E100" s="6"/>
      <c r="F100" s="6"/>
      <c r="G100" s="6"/>
      <c r="H100" s="6"/>
      <c r="I100" s="25"/>
      <c r="J100" s="6"/>
      <c r="K100" s="6"/>
      <c r="L100" s="6"/>
      <c r="M100" s="6"/>
      <c r="N100" s="6"/>
      <c r="O100" s="6"/>
      <c r="P100" s="6"/>
      <c r="Q100" s="35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21"/>
      <c r="AD100" s="21"/>
      <c r="AE100" s="21"/>
      <c r="AF100" s="9"/>
      <c r="AG100" s="9"/>
      <c r="AH100" s="9"/>
      <c r="AI100" s="9"/>
      <c r="AJ100" s="9"/>
      <c r="AK100" s="9"/>
    </row>
    <row r="101" spans="5:37" ht="14.25" customHeight="1" x14ac:dyDescent="0.2">
      <c r="E101" s="6"/>
      <c r="F101" s="6"/>
      <c r="G101" s="6"/>
      <c r="H101" s="6"/>
      <c r="I101" s="25"/>
      <c r="J101" s="6"/>
      <c r="K101" s="6"/>
      <c r="L101" s="6"/>
      <c r="M101" s="6"/>
      <c r="N101" s="6"/>
      <c r="O101" s="6"/>
      <c r="P101" s="6"/>
      <c r="Q101" s="35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21"/>
      <c r="AD101" s="21"/>
      <c r="AE101" s="21"/>
      <c r="AF101" s="9"/>
      <c r="AG101" s="9"/>
      <c r="AH101" s="9"/>
      <c r="AI101" s="9"/>
      <c r="AJ101" s="9"/>
      <c r="AK101" s="9"/>
    </row>
    <row r="102" spans="5:37" ht="14.25" customHeight="1" x14ac:dyDescent="0.2">
      <c r="E102" s="6"/>
      <c r="F102" s="6"/>
      <c r="G102" s="6"/>
      <c r="H102" s="6"/>
      <c r="I102" s="25"/>
      <c r="J102" s="6"/>
      <c r="K102" s="6"/>
      <c r="L102" s="6"/>
      <c r="M102" s="6"/>
      <c r="N102" s="6"/>
      <c r="O102" s="6"/>
      <c r="P102" s="6"/>
      <c r="Q102" s="35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21"/>
      <c r="AD102" s="21"/>
      <c r="AE102" s="21"/>
      <c r="AF102" s="9"/>
      <c r="AG102" s="9"/>
      <c r="AH102" s="9"/>
      <c r="AI102" s="9"/>
      <c r="AJ102" s="9"/>
      <c r="AK102" s="9"/>
    </row>
    <row r="103" spans="5:37" ht="14.25" customHeight="1" x14ac:dyDescent="0.2">
      <c r="E103" s="6"/>
      <c r="F103" s="6"/>
      <c r="G103" s="6"/>
      <c r="H103" s="6"/>
      <c r="I103" s="25"/>
      <c r="J103" s="6"/>
      <c r="K103" s="6"/>
      <c r="L103" s="6"/>
      <c r="M103" s="6"/>
      <c r="N103" s="6"/>
      <c r="O103" s="6"/>
      <c r="P103" s="6"/>
      <c r="Q103" s="35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21"/>
      <c r="AD103" s="21"/>
      <c r="AE103" s="21"/>
      <c r="AF103" s="9"/>
      <c r="AG103" s="9"/>
      <c r="AH103" s="9"/>
      <c r="AI103" s="9"/>
      <c r="AJ103" s="9"/>
      <c r="AK103" s="9"/>
    </row>
    <row r="104" spans="5:37" ht="14.25" customHeight="1" x14ac:dyDescent="0.2">
      <c r="E104" s="6"/>
      <c r="F104" s="6"/>
      <c r="G104" s="6"/>
      <c r="H104" s="6"/>
      <c r="I104" s="25"/>
      <c r="J104" s="6"/>
      <c r="K104" s="6"/>
      <c r="L104" s="6"/>
      <c r="M104" s="6"/>
      <c r="N104" s="6"/>
      <c r="O104" s="6"/>
      <c r="P104" s="6"/>
      <c r="Q104" s="35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21"/>
      <c r="AD104" s="21"/>
      <c r="AE104" s="21"/>
      <c r="AF104" s="9"/>
      <c r="AG104" s="9"/>
      <c r="AH104" s="9"/>
      <c r="AI104" s="9"/>
      <c r="AJ104" s="9"/>
      <c r="AK104" s="9"/>
    </row>
    <row r="105" spans="5:37" ht="14.25" customHeight="1" x14ac:dyDescent="0.2">
      <c r="E105" s="6"/>
      <c r="F105" s="6"/>
      <c r="G105" s="6"/>
      <c r="H105" s="6"/>
      <c r="I105" s="25"/>
      <c r="J105" s="6"/>
      <c r="K105" s="6"/>
      <c r="L105" s="6"/>
      <c r="M105" s="6"/>
      <c r="N105" s="6"/>
      <c r="O105" s="6"/>
      <c r="P105" s="6"/>
      <c r="Q105" s="35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21"/>
      <c r="AD105" s="21"/>
      <c r="AE105" s="21"/>
      <c r="AF105" s="9"/>
      <c r="AG105" s="9"/>
      <c r="AH105" s="9"/>
      <c r="AI105" s="9"/>
      <c r="AJ105" s="9"/>
      <c r="AK105" s="9"/>
    </row>
    <row r="106" spans="5:37" ht="14.25" customHeight="1" x14ac:dyDescent="0.2">
      <c r="E106" s="6"/>
      <c r="F106" s="6"/>
      <c r="G106" s="6"/>
      <c r="H106" s="6"/>
      <c r="I106" s="25"/>
      <c r="J106" s="6"/>
      <c r="K106" s="6"/>
      <c r="L106" s="6"/>
      <c r="M106" s="6"/>
      <c r="N106" s="6"/>
      <c r="O106" s="6"/>
      <c r="P106" s="6"/>
      <c r="Q106" s="35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21"/>
      <c r="AD106" s="21"/>
      <c r="AE106" s="21"/>
      <c r="AF106" s="9"/>
      <c r="AG106" s="9"/>
      <c r="AH106" s="9"/>
      <c r="AI106" s="9"/>
      <c r="AJ106" s="9"/>
      <c r="AK106" s="9"/>
    </row>
    <row r="107" spans="5:37" ht="14.25" customHeight="1" x14ac:dyDescent="0.2">
      <c r="E107" s="6"/>
      <c r="F107" s="6"/>
      <c r="G107" s="6"/>
      <c r="H107" s="6"/>
      <c r="I107" s="25"/>
      <c r="J107" s="6"/>
      <c r="K107" s="6"/>
      <c r="L107" s="6"/>
      <c r="M107" s="6"/>
      <c r="N107" s="6"/>
      <c r="O107" s="6"/>
      <c r="P107" s="6"/>
      <c r="Q107" s="35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21"/>
      <c r="AD107" s="21"/>
      <c r="AE107" s="21"/>
      <c r="AF107" s="9"/>
      <c r="AG107" s="9"/>
      <c r="AH107" s="9"/>
      <c r="AI107" s="9"/>
      <c r="AJ107" s="9"/>
      <c r="AK107" s="9"/>
    </row>
    <row r="108" spans="5:37" ht="14.25" customHeight="1" x14ac:dyDescent="0.2">
      <c r="E108" s="6"/>
      <c r="F108" s="6"/>
      <c r="G108" s="6"/>
      <c r="H108" s="6"/>
      <c r="I108" s="25"/>
      <c r="J108" s="6"/>
      <c r="K108" s="6"/>
      <c r="L108" s="6"/>
      <c r="M108" s="6"/>
      <c r="N108" s="6"/>
      <c r="O108" s="6"/>
      <c r="P108" s="6"/>
      <c r="Q108" s="35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21"/>
      <c r="AD108" s="21"/>
      <c r="AE108" s="21"/>
      <c r="AF108" s="9"/>
      <c r="AG108" s="9"/>
      <c r="AH108" s="9"/>
      <c r="AI108" s="9"/>
      <c r="AJ108" s="9"/>
      <c r="AK108" s="9"/>
    </row>
    <row r="109" spans="5:37" ht="14.25" customHeight="1" x14ac:dyDescent="0.2">
      <c r="E109" s="6"/>
      <c r="F109" s="6"/>
      <c r="G109" s="6"/>
      <c r="H109" s="6"/>
      <c r="I109" s="25"/>
      <c r="J109" s="6"/>
      <c r="K109" s="6"/>
      <c r="L109" s="6"/>
      <c r="M109" s="6"/>
      <c r="N109" s="6"/>
      <c r="O109" s="6"/>
      <c r="P109" s="6"/>
      <c r="Q109" s="35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21"/>
      <c r="AD109" s="21"/>
      <c r="AE109" s="21"/>
      <c r="AF109" s="9"/>
      <c r="AG109" s="9"/>
      <c r="AH109" s="9"/>
      <c r="AI109" s="9"/>
      <c r="AJ109" s="9"/>
      <c r="AK109" s="9"/>
    </row>
    <row r="110" spans="5:37" ht="14.25" customHeight="1" x14ac:dyDescent="0.2">
      <c r="E110" s="6"/>
      <c r="F110" s="6"/>
      <c r="G110" s="6"/>
      <c r="H110" s="6"/>
      <c r="I110" s="25"/>
      <c r="J110" s="6"/>
      <c r="K110" s="6"/>
      <c r="L110" s="6"/>
      <c r="M110" s="6"/>
      <c r="N110" s="6"/>
      <c r="O110" s="6"/>
      <c r="P110" s="6"/>
      <c r="Q110" s="35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21"/>
      <c r="AD110" s="21"/>
      <c r="AE110" s="21"/>
      <c r="AF110" s="9"/>
      <c r="AG110" s="9"/>
      <c r="AH110" s="9"/>
      <c r="AI110" s="9"/>
      <c r="AJ110" s="9"/>
      <c r="AK110" s="9"/>
    </row>
    <row r="111" spans="5:37" ht="14.25" customHeight="1" x14ac:dyDescent="0.2">
      <c r="E111" s="6"/>
      <c r="F111" s="6"/>
      <c r="G111" s="6"/>
      <c r="H111" s="6"/>
      <c r="I111" s="25"/>
      <c r="J111" s="6"/>
      <c r="K111" s="6"/>
      <c r="L111" s="6"/>
      <c r="M111" s="6"/>
      <c r="N111" s="6"/>
      <c r="O111" s="6"/>
      <c r="P111" s="6"/>
      <c r="Q111" s="35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21"/>
      <c r="AD111" s="21"/>
      <c r="AE111" s="21"/>
      <c r="AF111" s="9"/>
      <c r="AG111" s="9"/>
      <c r="AH111" s="9"/>
      <c r="AI111" s="9"/>
      <c r="AJ111" s="9"/>
      <c r="AK111" s="9"/>
    </row>
    <row r="112" spans="5:37" ht="14.25" customHeight="1" x14ac:dyDescent="0.2">
      <c r="E112" s="6"/>
      <c r="F112" s="6"/>
      <c r="G112" s="6"/>
      <c r="H112" s="6"/>
      <c r="I112" s="25"/>
      <c r="J112" s="6"/>
      <c r="K112" s="6"/>
      <c r="L112" s="6"/>
      <c r="M112" s="6"/>
      <c r="N112" s="6"/>
      <c r="O112" s="6"/>
      <c r="P112" s="6"/>
      <c r="Q112" s="35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21"/>
      <c r="AD112" s="21"/>
      <c r="AE112" s="21"/>
      <c r="AF112" s="9"/>
      <c r="AG112" s="9"/>
      <c r="AH112" s="9"/>
      <c r="AI112" s="9"/>
      <c r="AJ112" s="9"/>
      <c r="AK112" s="9"/>
    </row>
    <row r="113" spans="5:37" ht="14.25" customHeight="1" x14ac:dyDescent="0.2">
      <c r="E113" s="6"/>
      <c r="F113" s="6"/>
      <c r="G113" s="6"/>
      <c r="H113" s="6"/>
      <c r="I113" s="25"/>
      <c r="J113" s="6"/>
      <c r="K113" s="6"/>
      <c r="L113" s="6"/>
      <c r="M113" s="6"/>
      <c r="N113" s="6"/>
      <c r="O113" s="6"/>
      <c r="P113" s="6"/>
      <c r="Q113" s="35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21"/>
      <c r="AD113" s="21"/>
      <c r="AE113" s="21"/>
      <c r="AF113" s="9"/>
      <c r="AG113" s="9"/>
      <c r="AH113" s="9"/>
      <c r="AI113" s="9"/>
      <c r="AJ113" s="9"/>
      <c r="AK113" s="9"/>
    </row>
    <row r="114" spans="5:37" ht="14.25" customHeight="1" x14ac:dyDescent="0.2">
      <c r="E114" s="6"/>
      <c r="F114" s="6"/>
      <c r="G114" s="6"/>
      <c r="H114" s="6"/>
      <c r="I114" s="25"/>
      <c r="J114" s="6"/>
      <c r="K114" s="6"/>
      <c r="L114" s="6"/>
      <c r="M114" s="6"/>
      <c r="N114" s="6"/>
      <c r="O114" s="6"/>
      <c r="P114" s="6"/>
      <c r="Q114" s="35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21"/>
      <c r="AD114" s="21"/>
      <c r="AE114" s="21"/>
      <c r="AF114" s="9"/>
      <c r="AG114" s="9"/>
      <c r="AH114" s="9"/>
      <c r="AI114" s="9"/>
      <c r="AJ114" s="9"/>
      <c r="AK114" s="9"/>
    </row>
    <row r="115" spans="5:37" ht="14.25" customHeight="1" x14ac:dyDescent="0.2">
      <c r="E115" s="6"/>
      <c r="F115" s="6"/>
      <c r="G115" s="6"/>
      <c r="H115" s="6"/>
      <c r="I115" s="25"/>
      <c r="J115" s="6"/>
      <c r="K115" s="6"/>
      <c r="L115" s="6"/>
      <c r="M115" s="6"/>
      <c r="N115" s="6"/>
      <c r="O115" s="6"/>
      <c r="P115" s="6"/>
      <c r="Q115" s="35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21"/>
      <c r="AD115" s="21"/>
      <c r="AE115" s="21"/>
      <c r="AF115" s="9"/>
      <c r="AG115" s="9"/>
      <c r="AH115" s="9"/>
      <c r="AI115" s="9"/>
      <c r="AJ115" s="9"/>
      <c r="AK115" s="9"/>
    </row>
    <row r="116" spans="5:37" ht="14.25" customHeight="1" x14ac:dyDescent="0.2">
      <c r="E116" s="6"/>
      <c r="F116" s="6"/>
      <c r="G116" s="6"/>
      <c r="H116" s="6"/>
      <c r="I116" s="25"/>
      <c r="J116" s="6"/>
      <c r="K116" s="6"/>
      <c r="L116" s="6"/>
      <c r="M116" s="6"/>
      <c r="N116" s="6"/>
      <c r="O116" s="6"/>
      <c r="P116" s="6"/>
      <c r="Q116" s="35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21"/>
      <c r="AD116" s="21"/>
      <c r="AE116" s="21"/>
      <c r="AF116" s="9"/>
      <c r="AG116" s="9"/>
      <c r="AH116" s="9"/>
      <c r="AI116" s="9"/>
      <c r="AJ116" s="9"/>
      <c r="AK116" s="9"/>
    </row>
    <row r="117" spans="5:37" ht="14.25" customHeight="1" x14ac:dyDescent="0.2">
      <c r="E117" s="6"/>
      <c r="F117" s="6"/>
      <c r="G117" s="6"/>
      <c r="H117" s="6"/>
      <c r="I117" s="25"/>
      <c r="J117" s="6"/>
      <c r="K117" s="6"/>
      <c r="L117" s="6"/>
      <c r="M117" s="6"/>
      <c r="N117" s="6"/>
      <c r="O117" s="6"/>
      <c r="P117" s="6"/>
      <c r="Q117" s="35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21"/>
      <c r="AD117" s="21"/>
      <c r="AE117" s="21"/>
      <c r="AF117" s="9"/>
      <c r="AG117" s="9"/>
      <c r="AH117" s="9"/>
      <c r="AI117" s="9"/>
      <c r="AJ117" s="9"/>
      <c r="AK117" s="9"/>
    </row>
    <row r="118" spans="5:37" ht="14.25" customHeight="1" x14ac:dyDescent="0.2">
      <c r="E118" s="6"/>
      <c r="F118" s="6"/>
      <c r="G118" s="6"/>
      <c r="H118" s="6"/>
      <c r="I118" s="25"/>
      <c r="J118" s="6"/>
      <c r="K118" s="6"/>
      <c r="L118" s="6"/>
      <c r="M118" s="6"/>
      <c r="N118" s="6"/>
      <c r="O118" s="6"/>
      <c r="P118" s="6"/>
      <c r="Q118" s="35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21"/>
      <c r="AD118" s="21"/>
      <c r="AE118" s="21"/>
      <c r="AF118" s="9"/>
      <c r="AG118" s="9"/>
      <c r="AH118" s="9"/>
      <c r="AI118" s="9"/>
      <c r="AJ118" s="9"/>
      <c r="AK118" s="9"/>
    </row>
    <row r="119" spans="5:37" ht="14.25" customHeight="1" x14ac:dyDescent="0.2">
      <c r="K119" s="6"/>
      <c r="L119" s="6"/>
      <c r="S119" s="6"/>
      <c r="T119" s="6"/>
      <c r="AI119" s="9"/>
      <c r="AJ119" s="9"/>
      <c r="AK119" s="9"/>
    </row>
    <row r="120" spans="5:37" ht="14.25" customHeight="1" x14ac:dyDescent="0.2">
      <c r="J120" s="6"/>
      <c r="K120" s="6"/>
      <c r="L120" s="6"/>
    </row>
    <row r="122" spans="5:37" ht="14.25" customHeight="1" x14ac:dyDescent="0.2">
      <c r="J122" s="8"/>
      <c r="K122" s="8"/>
      <c r="L122" s="8"/>
    </row>
  </sheetData>
  <mergeCells count="1">
    <mergeCell ref="A1:B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F3326-E073-4513-9274-014D6B3A96E0}">
  <sheetPr codeName="Sheet7"/>
  <dimension ref="A1:AL121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P2" sqref="P2"/>
    </sheetView>
  </sheetViews>
  <sheetFormatPr defaultRowHeight="14.25" x14ac:dyDescent="0.2"/>
  <cols>
    <col min="1" max="20" width="9" style="1"/>
    <col min="21" max="21" width="5.625" style="1" customWidth="1"/>
    <col min="22" max="16384" width="9" style="1"/>
  </cols>
  <sheetData>
    <row r="1" spans="1:34" ht="14.25" customHeight="1" x14ac:dyDescent="0.2">
      <c r="A1" s="108" t="s">
        <v>174</v>
      </c>
      <c r="B1" s="109"/>
      <c r="M1" s="3" t="s">
        <v>150</v>
      </c>
      <c r="N1" s="1" t="s">
        <v>246</v>
      </c>
      <c r="AC1" s="9"/>
    </row>
    <row r="2" spans="1:34" ht="14.25" customHeight="1" x14ac:dyDescent="0.2">
      <c r="A2" s="110"/>
      <c r="B2" s="111"/>
      <c r="M2" s="3" t="s">
        <v>179</v>
      </c>
      <c r="N2" s="1" t="s">
        <v>187</v>
      </c>
      <c r="O2" s="2" t="s">
        <v>192</v>
      </c>
      <c r="Y2" s="19">
        <f>角色设定!J26</f>
        <v>0.4</v>
      </c>
      <c r="Z2" s="19">
        <f>角色设定!K26</f>
        <v>1.5</v>
      </c>
      <c r="AC2" s="9"/>
    </row>
    <row r="3" spans="1:34" ht="14.25" customHeight="1" x14ac:dyDescent="0.2">
      <c r="C3" s="3" t="s">
        <v>184</v>
      </c>
      <c r="D3" s="2" t="s">
        <v>190</v>
      </c>
      <c r="L3" s="3" t="s">
        <v>185</v>
      </c>
      <c r="M3" s="3" t="s">
        <v>176</v>
      </c>
      <c r="N3" s="1">
        <v>1</v>
      </c>
      <c r="O3" s="127" t="str">
        <f>N2</f>
        <v>SSR</v>
      </c>
      <c r="P3" s="128"/>
      <c r="Q3" s="128"/>
      <c r="R3" s="128"/>
      <c r="S3" s="128"/>
      <c r="T3" s="34"/>
      <c r="U3" s="34"/>
      <c r="V3" s="127" t="s">
        <v>188</v>
      </c>
      <c r="W3" s="128"/>
      <c r="X3" s="128"/>
      <c r="Y3" s="128"/>
      <c r="Z3" s="128"/>
      <c r="AA3" s="128"/>
      <c r="AB3" s="129"/>
      <c r="AC3" s="9"/>
    </row>
    <row r="4" spans="1:34" s="3" customFormat="1" ht="14.25" customHeight="1" x14ac:dyDescent="0.2">
      <c r="D4" s="3" t="s">
        <v>150</v>
      </c>
      <c r="E4" s="3" t="s">
        <v>144</v>
      </c>
      <c r="F4" s="3" t="s">
        <v>146</v>
      </c>
      <c r="G4" s="3" t="s">
        <v>147</v>
      </c>
      <c r="H4" s="3" t="s">
        <v>139</v>
      </c>
      <c r="I4" s="3" t="s">
        <v>142</v>
      </c>
      <c r="J4" s="3" t="s">
        <v>167</v>
      </c>
      <c r="K4" s="1"/>
      <c r="L4" s="6">
        <f>MIN(L5:L104)</f>
        <v>1.4903929811649099</v>
      </c>
      <c r="M4" s="3" t="s">
        <v>186</v>
      </c>
      <c r="N4" s="3" t="s">
        <v>165</v>
      </c>
      <c r="O4" s="3" t="s">
        <v>166</v>
      </c>
      <c r="P4" s="3" t="s">
        <v>139</v>
      </c>
      <c r="Q4" s="3" t="s">
        <v>140</v>
      </c>
      <c r="R4" s="3" t="s">
        <v>141</v>
      </c>
      <c r="S4" s="3" t="s">
        <v>142</v>
      </c>
      <c r="T4" s="3" t="s">
        <v>83</v>
      </c>
      <c r="U4" s="3" t="s">
        <v>189</v>
      </c>
      <c r="V4" s="3" t="s">
        <v>165</v>
      </c>
      <c r="W4" s="3" t="s">
        <v>166</v>
      </c>
      <c r="X4" s="3" t="s">
        <v>139</v>
      </c>
      <c r="Y4" s="24" t="s">
        <v>140</v>
      </c>
      <c r="Z4" s="24" t="s">
        <v>141</v>
      </c>
      <c r="AA4" s="3" t="s">
        <v>142</v>
      </c>
      <c r="AB4" s="3" t="s">
        <v>167</v>
      </c>
      <c r="AC4" s="9"/>
    </row>
    <row r="5" spans="1:34" ht="14.25" customHeight="1" x14ac:dyDescent="0.2">
      <c r="D5" s="30" t="s">
        <v>246</v>
      </c>
      <c r="E5" s="1" t="str">
        <f>VLOOKUP($D5,角色设定!$AB:$AJ,MATCH(E$4,角色设定!$AB$9:$AJ$9,0),0)</f>
        <v>承伤</v>
      </c>
      <c r="F5" s="6">
        <f>VLOOKUP($D5,角色设定!$AB:$AJ,MATCH(F$4,角色设定!$AB$9:$AJ$9,0),0)*IF($E5=F$4,角色成长!$F$5,角色成长!$H$5)</f>
        <v>0.15882352941176472</v>
      </c>
      <c r="G5" s="6">
        <f>VLOOKUP($D5,角色设定!$AB:$AJ,MATCH(G$4,角色设定!$AB$9:$AJ$9,0),0)*IF($E5=G$4,角色成长!$F$5,角色成长!$H$5)</f>
        <v>0.33333333333333331</v>
      </c>
      <c r="H5" s="6">
        <f>VLOOKUP($D5,角色设定!$AB:$AJ,MATCH(H$4,角色设定!$AB$9:$AJ$9,0),0)</f>
        <v>1</v>
      </c>
      <c r="I5" s="1">
        <f>VLOOKUP($D5,角色设定!$AB:$AJ,MATCH(I$4,角色设定!$AB$9:$AJ$9,0),0)</f>
        <v>0.9</v>
      </c>
      <c r="J5" s="1">
        <f>VLOOKUP($D5,角色设定!$AB:$AJ,MATCH(J$4,角色设定!$AB$9:$AJ$9,0),0)</f>
        <v>0.75</v>
      </c>
      <c r="L5" s="6">
        <f>O5/P5</f>
        <v>3.0055075926635553</v>
      </c>
      <c r="M5" s="1">
        <v>1</v>
      </c>
      <c r="N5" s="6">
        <f>VLOOKUP($N$2,角色品星!$C$16:$D$20,2,0)*VLOOKUP($N$3,角色品星!$C$3:$E$14,3,0)*V5</f>
        <v>45.496323529411768</v>
      </c>
      <c r="O5" s="6">
        <f>VLOOKUP($N$2,角色品星!$C$16:$D$20,2,0)*VLOOKUP($N$3,角色品星!$C$3:$E$14,3,0)*W5</f>
        <v>1363.7490701710883</v>
      </c>
      <c r="P5" s="6">
        <f>VLOOKUP($N$2,角色品星!$C$16:$D$20,2,0)*VLOOKUP($N$3,角色品星!$C$3:$E$14,3,0)*X5</f>
        <v>453.75000000000006</v>
      </c>
      <c r="Q5" s="23">
        <f>Y5</f>
        <v>0.05</v>
      </c>
      <c r="R5" s="23">
        <f t="shared" ref="R5:S5" si="0">Z5</f>
        <v>1.5</v>
      </c>
      <c r="S5" s="23">
        <f t="shared" si="0"/>
        <v>0.9</v>
      </c>
      <c r="T5" s="38">
        <f>N5*(1+Q5*(R5-1))*S5*战斗公式!$E$38+(P5*战斗公式!$E$39+1)*O5*战斗公式!$E$40</f>
        <v>2419.1960429740484</v>
      </c>
      <c r="U5" s="38">
        <f>T6-T5</f>
        <v>120.69628167757583</v>
      </c>
      <c r="V5" s="6">
        <f>VLOOKUP($N$1,$D$4:$J$15,MATCH(F$4,$D$4:$J$4,0),0)*角色成长!E18*角色成长!$L$15*AB5/AA5/(1+$Y$2*($Z$2-1))</f>
        <v>82.720588235294116</v>
      </c>
      <c r="W5" s="6">
        <f>VLOOKUP($N$1,$D$4:$J$15,MATCH(G$4,$D$4:$J$4,0),0)*角色成长!F18*角色成长!$L$15/(1+X5/角色成长!$N$16)</f>
        <v>2479.543763947433</v>
      </c>
      <c r="X5" s="6">
        <f>VLOOKUP($N$1,$D$4:$J$15,MATCH(H$4,$D$4:$J$4,0),0)*角色成长!G18*角色成长!$L$15</f>
        <v>825</v>
      </c>
      <c r="Y5" s="1">
        <v>0.05</v>
      </c>
      <c r="Z5" s="1">
        <v>1.5</v>
      </c>
      <c r="AA5" s="1">
        <f>VLOOKUP($N$1,$D$4:$J$15,MATCH(I$4,$D$4:$J$4,0),0)*角色成长!J18</f>
        <v>0.9</v>
      </c>
      <c r="AB5" s="1">
        <f t="shared" ref="AB5:AB36" si="1">VLOOKUP($N$1,$D$4:$J$15,MATCH(J$4,$D$4:$J$4,0),0)</f>
        <v>0.75</v>
      </c>
    </row>
    <row r="6" spans="1:34" ht="14.25" customHeight="1" x14ac:dyDescent="0.2">
      <c r="D6" s="30" t="s">
        <v>247</v>
      </c>
      <c r="E6" s="1" t="str">
        <f>VLOOKUP($D6,角色设定!$AB:$AJ,MATCH(E$4,角色设定!$AB$9:$AJ$9,0),0)</f>
        <v>承伤</v>
      </c>
      <c r="F6" s="6">
        <f>VLOOKUP($D6,角色设定!$AB:$AJ,MATCH(F$4,角色设定!$AB$9:$AJ$9,0),0)*IF($E6=F$4,角色成长!$F$5,角色成长!$H$5)</f>
        <v>0.17647058823529413</v>
      </c>
      <c r="G6" s="6">
        <f>VLOOKUP($D6,角色设定!$AB:$AJ,MATCH(G$4,角色设定!$AB$9:$AJ$9,0),0)*IF($E6=G$4,角色成长!$F$5,角色成长!$H$5)</f>
        <v>0.3</v>
      </c>
      <c r="H6" s="6">
        <f>VLOOKUP($D6,角色设定!$AB:$AJ,MATCH(H$4,角色设定!$AB$9:$AJ$9,0),0)</f>
        <v>1</v>
      </c>
      <c r="I6" s="1">
        <f>VLOOKUP($D6,角色设定!$AB:$AJ,MATCH(I$4,角色设定!$AB$9:$AJ$9,0),0)</f>
        <v>0.9</v>
      </c>
      <c r="J6" s="1">
        <f>VLOOKUP($D6,角色设定!$AB:$AJ,MATCH(J$4,角色设定!$AB$9:$AJ$9,0),0)</f>
        <v>0.75</v>
      </c>
      <c r="L6" s="6">
        <f t="shared" ref="L6:L69" si="2">O6/P6</f>
        <v>3.0042784680733443</v>
      </c>
      <c r="M6" s="1">
        <v>2</v>
      </c>
      <c r="N6" s="6">
        <f>VLOOKUP($N$2,角色品星!$C$16:$D$20,2,0)*VLOOKUP($N$3,角色品星!$C$3:$E$14,3,0)*V6</f>
        <v>47.771139705882355</v>
      </c>
      <c r="O6" s="6">
        <f>VLOOKUP($N$2,角色品星!$C$16:$D$20,2,0)*VLOOKUP($N$3,角色品星!$C$3:$E$14,3,0)*W6</f>
        <v>1431.3509226326942</v>
      </c>
      <c r="P6" s="6">
        <f>VLOOKUP($N$2,角色品星!$C$16:$D$20,2,0)*VLOOKUP($N$3,角色品星!$C$3:$E$14,3,0)*X6</f>
        <v>476.43750000000006</v>
      </c>
      <c r="Q6" s="23">
        <f t="shared" ref="Q6:Q69" si="3">Y6</f>
        <v>0.05</v>
      </c>
      <c r="R6" s="23">
        <f t="shared" ref="R6:R69" si="4">Z6</f>
        <v>1.5</v>
      </c>
      <c r="S6" s="23">
        <f t="shared" ref="S6:S69" si="5">AA6</f>
        <v>0.9</v>
      </c>
      <c r="T6" s="38">
        <f>N6*(1+Q6*(R6-1))*S6*战斗公式!$E$38+(P6*战斗公式!$E$39+1)*O6*战斗公式!$E$40</f>
        <v>2539.8923246516242</v>
      </c>
      <c r="U6" s="38">
        <f t="shared" ref="U6:U69" si="6">T7-T6</f>
        <v>126.70432837923499</v>
      </c>
      <c r="V6" s="6">
        <f>VLOOKUP($N$1,$D$4:$J$15,MATCH(F$4,$D$4:$J$4,0),0)*角色成长!E19*角色成长!$L$15*AB6/AA6/(1+$Y$2*($Z$2-1))</f>
        <v>86.856617647058826</v>
      </c>
      <c r="W6" s="6">
        <f>VLOOKUP($N$1,$D$4:$J$15,MATCH(G$4,$D$4:$J$4,0),0)*角色成长!F19*角色成长!$L$15/(1+X6/角色成长!$N$16)</f>
        <v>2602.4562229685348</v>
      </c>
      <c r="X6" s="6">
        <f>VLOOKUP($N$1,$D$4:$J$15,MATCH(H$4,$D$4:$J$4,0),0)*角色成长!G19*角色成长!$L$15</f>
        <v>866.25</v>
      </c>
      <c r="Y6" s="1">
        <v>0.05</v>
      </c>
      <c r="Z6" s="1">
        <v>1.5</v>
      </c>
      <c r="AA6" s="1">
        <f>VLOOKUP($N$1,$D$4:$J$15,MATCH(I$4,$D$4:$J$4,0),0)*角色成长!J19</f>
        <v>0.9</v>
      </c>
      <c r="AB6" s="1">
        <f t="shared" si="1"/>
        <v>0.75</v>
      </c>
    </row>
    <row r="7" spans="1:34" ht="14.25" customHeight="1" x14ac:dyDescent="0.2">
      <c r="D7" s="30" t="s">
        <v>248</v>
      </c>
      <c r="E7" s="1" t="str">
        <f>VLOOKUP($D7,角色设定!$AB:$AJ,MATCH(E$4,角色设定!$AB$9:$AJ$9,0),0)</f>
        <v>伤害</v>
      </c>
      <c r="F7" s="6">
        <f>VLOOKUP($D7,角色设定!$AB:$AJ,MATCH(F$4,角色设定!$AB$9:$AJ$9,0),0)*IF($E7=F$4,角色成长!$F$5,角色成长!$H$5)</f>
        <v>0.18</v>
      </c>
      <c r="G7" s="6">
        <f>VLOOKUP($D7,角色设定!$AB:$AJ,MATCH(G$4,角色设定!$AB$9:$AJ$9,0),0)*IF($E7=G$4,角色成长!$F$5,角色成长!$H$5)</f>
        <v>0.29411764705882354</v>
      </c>
      <c r="H7" s="6">
        <f>VLOOKUP($D7,角色设定!$AB:$AJ,MATCH(H$4,角色设定!$AB$9:$AJ$9,0),0)</f>
        <v>0.81818181818181823</v>
      </c>
      <c r="I7" s="1">
        <f>VLOOKUP($D7,角色设定!$AB:$AJ,MATCH(I$4,角色设定!$AB$9:$AJ$9,0),0)</f>
        <v>0.95</v>
      </c>
      <c r="J7" s="1">
        <f>VLOOKUP($D7,角色设定!$AB:$AJ,MATCH(J$4,角色设定!$AB$9:$AJ$9,0),0)</f>
        <v>0.751</v>
      </c>
      <c r="L7" s="6">
        <f t="shared" si="2"/>
        <v>3.0029889687640154</v>
      </c>
      <c r="M7" s="1">
        <v>3</v>
      </c>
      <c r="N7" s="6">
        <f>VLOOKUP($N$2,角色品星!$C$16:$D$20,2,0)*VLOOKUP($N$3,角色品星!$C$3:$E$14,3,0)*V7</f>
        <v>50.159696691176485</v>
      </c>
      <c r="O7" s="6">
        <f>VLOOKUP($N$2,角色品星!$C$16:$D$20,2,0)*VLOOKUP($N$3,角色品星!$C$3:$E$14,3,0)*W7</f>
        <v>1502.2733846457811</v>
      </c>
      <c r="P7" s="6">
        <f>VLOOKUP($N$2,角色品星!$C$16:$D$20,2,0)*VLOOKUP($N$3,角色品星!$C$3:$E$14,3,0)*X7</f>
        <v>500.25937500000009</v>
      </c>
      <c r="Q7" s="23">
        <f t="shared" si="3"/>
        <v>0.05</v>
      </c>
      <c r="R7" s="23">
        <f t="shared" si="4"/>
        <v>1.5</v>
      </c>
      <c r="S7" s="23">
        <f t="shared" si="5"/>
        <v>0.9</v>
      </c>
      <c r="T7" s="38">
        <f>N7*(1+Q7*(R7-1))*S7*战斗公式!$E$38+(P7*战斗公式!$E$39+1)*O7*战斗公式!$E$40</f>
        <v>2666.5966530308592</v>
      </c>
      <c r="U7" s="38">
        <f t="shared" si="6"/>
        <v>133.0100717725968</v>
      </c>
      <c r="V7" s="6">
        <f>VLOOKUP($N$1,$D$4:$J$15,MATCH(F$4,$D$4:$J$4,0),0)*角色成长!E20*角色成长!$L$15*AB7/AA7/(1+$Y$2*($Z$2-1))</f>
        <v>91.199448529411782</v>
      </c>
      <c r="W7" s="6">
        <f>VLOOKUP($N$1,$D$4:$J$15,MATCH(G$4,$D$4:$J$4,0),0)*角色成长!F20*角色成长!$L$15/(1+X7/角色成长!$N$16)</f>
        <v>2731.4061539014201</v>
      </c>
      <c r="X7" s="6">
        <f>VLOOKUP($N$1,$D$4:$J$15,MATCH(H$4,$D$4:$J$4,0),0)*角色成长!G20*角色成长!$L$15</f>
        <v>909.56250000000011</v>
      </c>
      <c r="Y7" s="1">
        <v>0.05</v>
      </c>
      <c r="Z7" s="1">
        <v>1.5</v>
      </c>
      <c r="AA7" s="1">
        <f>VLOOKUP($N$1,$D$4:$J$15,MATCH(I$4,$D$4:$J$4,0),0)*角色成长!J20</f>
        <v>0.9</v>
      </c>
      <c r="AB7" s="1">
        <f t="shared" si="1"/>
        <v>0.75</v>
      </c>
    </row>
    <row r="8" spans="1:34" ht="14.25" customHeight="1" x14ac:dyDescent="0.2">
      <c r="D8" s="30" t="s">
        <v>249</v>
      </c>
      <c r="E8" s="1" t="str">
        <f>VLOOKUP($D8,角色设定!$AB:$AJ,MATCH(E$4,角色设定!$AB$9:$AJ$9,0),0)</f>
        <v>伤害</v>
      </c>
      <c r="F8" s="6">
        <f>VLOOKUP($D8,角色设定!$AB:$AJ,MATCH(F$4,角色设定!$AB$9:$AJ$9,0),0)*IF($E8=F$4,角色成长!$F$5,角色成长!$H$5)</f>
        <v>0.17249999999999999</v>
      </c>
      <c r="G8" s="6">
        <f>VLOOKUP($D8,角色设定!$AB:$AJ,MATCH(G$4,角色设定!$AB$9:$AJ$9,0),0)*IF($E8=G$4,角色成长!$F$5,角色成长!$H$5)</f>
        <v>0.30690537084398978</v>
      </c>
      <c r="H8" s="6">
        <f>VLOOKUP($D8,角色设定!$AB:$AJ,MATCH(H$4,角色设定!$AB$9:$AJ$9,0),0)</f>
        <v>0.81818181818181823</v>
      </c>
      <c r="I8" s="1">
        <f>VLOOKUP($D8,角色设定!$AB:$AJ,MATCH(I$4,角色设定!$AB$9:$AJ$9,0),0)</f>
        <v>0.95</v>
      </c>
      <c r="J8" s="1">
        <f>VLOOKUP($D8,角色设定!$AB:$AJ,MATCH(J$4,角色设定!$AB$9:$AJ$9,0),0)</f>
        <v>0.751</v>
      </c>
      <c r="K8" s="6"/>
      <c r="L8" s="6">
        <f t="shared" si="2"/>
        <v>3.0016361853185378</v>
      </c>
      <c r="M8" s="1">
        <v>4</v>
      </c>
      <c r="N8" s="6">
        <f>VLOOKUP($N$2,角色品星!$C$16:$D$20,2,0)*VLOOKUP($N$3,角色品星!$C$3:$E$14,3,0)*V8</f>
        <v>52.667681525735311</v>
      </c>
      <c r="O8" s="6">
        <f>VLOOKUP($N$2,角色品星!$C$16:$D$20,2,0)*VLOOKUP($N$3,角色品星!$C$3:$E$14,3,0)*W8</f>
        <v>1576.6764741470781</v>
      </c>
      <c r="P8" s="6">
        <f>VLOOKUP($N$2,角色品星!$C$16:$D$20,2,0)*VLOOKUP($N$3,角色品星!$C$3:$E$14,3,0)*X8</f>
        <v>525.27234375000012</v>
      </c>
      <c r="Q8" s="23">
        <f t="shared" si="3"/>
        <v>0.05</v>
      </c>
      <c r="R8" s="23">
        <f t="shared" si="4"/>
        <v>1.5</v>
      </c>
      <c r="S8" s="23">
        <f t="shared" si="5"/>
        <v>0.9</v>
      </c>
      <c r="T8" s="38">
        <f>N8*(1+Q8*(R8-1))*S8*战斗公式!$E$38+(P8*战斗公式!$E$39+1)*O8*战斗公式!$E$40</f>
        <v>2799.606724803456</v>
      </c>
      <c r="U8" s="38">
        <f t="shared" si="6"/>
        <v>139.62812527818369</v>
      </c>
      <c r="V8" s="6">
        <f>VLOOKUP($N$1,$D$4:$J$15,MATCH(F$4,$D$4:$J$4,0),0)*角色成长!E21*角色成长!$L$15*AB8/AA8/(1+$Y$2*($Z$2-1))</f>
        <v>95.759420955882376</v>
      </c>
      <c r="W8" s="6">
        <f>VLOOKUP($N$1,$D$4:$J$15,MATCH(G$4,$D$4:$J$4,0),0)*角色成长!F21*角色成长!$L$15/(1+X8/角色成长!$N$16)</f>
        <v>2866.6844984492327</v>
      </c>
      <c r="X8" s="6">
        <f>VLOOKUP($N$1,$D$4:$J$15,MATCH(H$4,$D$4:$J$4,0),0)*角色成长!G21*角色成长!$L$15</f>
        <v>955.04062500000009</v>
      </c>
      <c r="Y8" s="1">
        <v>0.05</v>
      </c>
      <c r="Z8" s="1">
        <v>1.5</v>
      </c>
      <c r="AA8" s="1">
        <f>VLOOKUP($N$1,$D$4:$J$15,MATCH(I$4,$D$4:$J$4,0),0)*角色成长!J21</f>
        <v>0.9</v>
      </c>
      <c r="AB8" s="1">
        <f t="shared" si="1"/>
        <v>0.75</v>
      </c>
    </row>
    <row r="9" spans="1:34" ht="14.25" customHeight="1" x14ac:dyDescent="0.2">
      <c r="D9" s="30" t="s">
        <v>250</v>
      </c>
      <c r="E9" s="1" t="str">
        <f>VLOOKUP($D9,角色设定!$AB:$AJ,MATCH(E$4,角色设定!$AB$9:$AJ$9,0),0)</f>
        <v>伤害</v>
      </c>
      <c r="F9" s="6">
        <f>VLOOKUP($D9,角色设定!$AB:$AJ,MATCH(F$4,角色设定!$AB$9:$AJ$9,0),0)*IF($E9=F$4,角色成长!$F$5,角色成长!$H$5)</f>
        <v>0.35399999999999998</v>
      </c>
      <c r="G9" s="6">
        <f>VLOOKUP($D9,角色设定!$AB:$AJ,MATCH(G$4,角色设定!$AB$9:$AJ$9,0),0)*IF($E9=G$4,角色成长!$F$5,角色成长!$H$5)</f>
        <v>0.11964107676969095</v>
      </c>
      <c r="H9" s="6">
        <f>VLOOKUP($D9,角色设定!$AB:$AJ,MATCH(H$4,角色设定!$AB$9:$AJ$9,0),0)</f>
        <v>0.45454545454545453</v>
      </c>
      <c r="I9" s="1">
        <f>VLOOKUP($D9,角色设定!$AB:$AJ,MATCH(I$4,角色设定!$AB$9:$AJ$9,0),0)</f>
        <v>1</v>
      </c>
      <c r="J9" s="1">
        <f>VLOOKUP($D9,角色设定!$AB:$AJ,MATCH(J$4,角色设定!$AB$9:$AJ$9,0),0)</f>
        <v>0.8</v>
      </c>
      <c r="L9" s="6">
        <f t="shared" si="2"/>
        <v>3.0002170738152523</v>
      </c>
      <c r="M9" s="1">
        <v>5</v>
      </c>
      <c r="N9" s="6">
        <f>VLOOKUP($N$2,角色品星!$C$16:$D$20,2,0)*VLOOKUP($N$3,角色品星!$C$3:$E$14,3,0)*V9</f>
        <v>55.301065602022071</v>
      </c>
      <c r="O9" s="6">
        <f>VLOOKUP($N$2,角色品星!$C$16:$D$20,2,0)*VLOOKUP($N$3,角色品星!$C$3:$E$14,3,0)*W9</f>
        <v>1654.7276068277895</v>
      </c>
      <c r="P9" s="6">
        <f>VLOOKUP($N$2,角色品星!$C$16:$D$20,2,0)*VLOOKUP($N$3,角色品星!$C$3:$E$14,3,0)*X9</f>
        <v>551.53596093750002</v>
      </c>
      <c r="Q9" s="23">
        <f t="shared" si="3"/>
        <v>0.05</v>
      </c>
      <c r="R9" s="23">
        <f t="shared" si="4"/>
        <v>1.5</v>
      </c>
      <c r="S9" s="23">
        <f t="shared" si="5"/>
        <v>0.9</v>
      </c>
      <c r="T9" s="38">
        <f>N9*(1+Q9*(R9-1))*S9*战斗公式!$E$38+(P9*战斗公式!$E$39+1)*O9*战斗公式!$E$40</f>
        <v>2939.2348500816397</v>
      </c>
      <c r="U9" s="38">
        <f t="shared" si="6"/>
        <v>146.57380608337917</v>
      </c>
      <c r="V9" s="6">
        <f>VLOOKUP($N$1,$D$4:$J$15,MATCH(F$4,$D$4:$J$4,0),0)*角色成长!E22*角色成长!$L$15*AB9/AA9/(1+$Y$2*($Z$2-1))</f>
        <v>100.54739200367648</v>
      </c>
      <c r="W9" s="6">
        <f>VLOOKUP($N$1,$D$4:$J$15,MATCH(G$4,$D$4:$J$4,0),0)*角色成长!F22*角色成长!$L$15/(1+X9/角色成长!$N$16)</f>
        <v>3008.5956487777989</v>
      </c>
      <c r="X9" s="6">
        <f>VLOOKUP($N$1,$D$4:$J$15,MATCH(H$4,$D$4:$J$4,0),0)*角色成长!G22*角色成长!$L$15</f>
        <v>1002.7926562500001</v>
      </c>
      <c r="Y9" s="1">
        <v>0.05</v>
      </c>
      <c r="Z9" s="1">
        <v>1.5</v>
      </c>
      <c r="AA9" s="1">
        <f>VLOOKUP($N$1,$D$4:$J$15,MATCH(I$4,$D$4:$J$4,0),0)*角色成长!J22</f>
        <v>0.9</v>
      </c>
      <c r="AB9" s="1">
        <f t="shared" si="1"/>
        <v>0.75</v>
      </c>
    </row>
    <row r="10" spans="1:34" ht="14.25" customHeight="1" x14ac:dyDescent="0.2">
      <c r="D10" s="30" t="s">
        <v>251</v>
      </c>
      <c r="E10" s="1" t="str">
        <f>VLOOKUP($D10,角色设定!$AB:$AJ,MATCH(E$4,角色设定!$AB$9:$AJ$9,0),0)</f>
        <v>伤害</v>
      </c>
      <c r="F10" s="6">
        <f>VLOOKUP($D10,角色设定!$AB:$AJ,MATCH(F$4,角色设定!$AB$9:$AJ$9,0),0)*IF($E10=F$4,角色成长!$F$5,角色成长!$H$5)</f>
        <v>0.36</v>
      </c>
      <c r="G10" s="6">
        <f>VLOOKUP($D10,角色设定!$AB:$AJ,MATCH(G$4,角色设定!$AB$9:$AJ$9,0),0)*IF($E10=G$4,角色成长!$F$5,角色成长!$H$5)</f>
        <v>0.11764705882352944</v>
      </c>
      <c r="H10" s="6">
        <f>VLOOKUP($D10,角色设定!$AB:$AJ,MATCH(H$4,角色设定!$AB$9:$AJ$9,0),0)</f>
        <v>0.45454545454545453</v>
      </c>
      <c r="I10" s="1">
        <f>VLOOKUP($D10,角色设定!$AB:$AJ,MATCH(I$4,角色设定!$AB$9:$AJ$9,0),0)</f>
        <v>1</v>
      </c>
      <c r="J10" s="1">
        <f>VLOOKUP($D10,角色设定!$AB:$AJ,MATCH(J$4,角色设定!$AB$9:$AJ$9,0),0)</f>
        <v>0.8</v>
      </c>
      <c r="L10" s="6">
        <f t="shared" si="2"/>
        <v>2.99872845018968</v>
      </c>
      <c r="M10" s="1">
        <v>6</v>
      </c>
      <c r="N10" s="6">
        <f>VLOOKUP($N$2,角色品星!$C$16:$D$20,2,0)*VLOOKUP($N$3,角色品星!$C$3:$E$14,3,0)*V10</f>
        <v>58.066118882123185</v>
      </c>
      <c r="O10" s="6">
        <f>VLOOKUP($N$2,角色品星!$C$16:$D$20,2,0)*VLOOKUP($N$3,角色品星!$C$3:$E$14,3,0)*W10</f>
        <v>1736.6019062342848</v>
      </c>
      <c r="P10" s="6">
        <f>VLOOKUP($N$2,角色品星!$C$16:$D$20,2,0)*VLOOKUP($N$3,角色品星!$C$3:$E$14,3,0)*X10</f>
        <v>579.11275898437509</v>
      </c>
      <c r="Q10" s="23">
        <f t="shared" si="3"/>
        <v>0.05</v>
      </c>
      <c r="R10" s="23">
        <f t="shared" si="4"/>
        <v>1.5</v>
      </c>
      <c r="S10" s="23">
        <f t="shared" si="5"/>
        <v>0.9</v>
      </c>
      <c r="T10" s="38">
        <f>N10*(1+Q10*(R10-1))*S10*战斗公式!$E$38+(P10*战斗公式!$E$39+1)*O10*战斗公式!$E$40</f>
        <v>3085.8086561650189</v>
      </c>
      <c r="U10" s="38">
        <f t="shared" si="6"/>
        <v>153.86316771394468</v>
      </c>
      <c r="V10" s="6">
        <f>VLOOKUP($N$1,$D$4:$J$15,MATCH(F$4,$D$4:$J$4,0),0)*角色成长!E23*角色成长!$L$15*AB10/AA10/(1+$Y$2*($Z$2-1))</f>
        <v>105.57476160386032</v>
      </c>
      <c r="W10" s="6">
        <f>VLOOKUP($N$1,$D$4:$J$15,MATCH(G$4,$D$4:$J$4,0),0)*角色成长!F23*角色成长!$L$15/(1+X10/角色成长!$N$16)</f>
        <v>3157.458011335063</v>
      </c>
      <c r="X10" s="6">
        <f>VLOOKUP($N$1,$D$4:$J$15,MATCH(H$4,$D$4:$J$4,0),0)*角色成长!G23*角色成长!$L$15</f>
        <v>1052.9322890625001</v>
      </c>
      <c r="Y10" s="1">
        <v>0.05</v>
      </c>
      <c r="Z10" s="1">
        <v>1.5</v>
      </c>
      <c r="AA10" s="1">
        <f>VLOOKUP($N$1,$D$4:$J$15,MATCH(I$4,$D$4:$J$4,0),0)*角色成长!J23</f>
        <v>0.9</v>
      </c>
      <c r="AB10" s="1">
        <f t="shared" si="1"/>
        <v>0.75</v>
      </c>
    </row>
    <row r="11" spans="1:34" ht="14.25" customHeight="1" x14ac:dyDescent="0.2">
      <c r="D11" s="30" t="s">
        <v>252</v>
      </c>
      <c r="E11" s="1" t="str">
        <f>VLOOKUP($D11,角色设定!$AB:$AJ,MATCH(E$4,角色设定!$AB$9:$AJ$9,0),0)</f>
        <v>伤害</v>
      </c>
      <c r="F11" s="6">
        <f>VLOOKUP($D11,角色设定!$AB:$AJ,MATCH(F$4,角色设定!$AB$9:$AJ$9,0),0)*IF($E11=F$4,角色成长!$F$5,角色成长!$H$5)</f>
        <v>0.34199999999999997</v>
      </c>
      <c r="G11" s="6">
        <f>VLOOKUP($D11,角色设定!$AB:$AJ,MATCH(G$4,角色设定!$AB$9:$AJ$9,0),0)*IF($E11=G$4,角色成长!$F$5,角色成长!$H$5)</f>
        <v>0.12383900928792571</v>
      </c>
      <c r="H11" s="6">
        <f>VLOOKUP($D11,角色设定!$AB:$AJ,MATCH(H$4,角色设定!$AB$9:$AJ$9,0),0)</f>
        <v>0.40909090909090912</v>
      </c>
      <c r="I11" s="1">
        <f>VLOOKUP($D11,角色设定!$AB:$AJ,MATCH(I$4,角色设定!$AB$9:$AJ$9,0),0)</f>
        <v>1.1000000000000001</v>
      </c>
      <c r="J11" s="1">
        <f>VLOOKUP($D11,角色设定!$AB:$AJ,MATCH(J$4,角色设定!$AB$9:$AJ$9,0),0)</f>
        <v>0.80500000000000005</v>
      </c>
      <c r="L11" s="6">
        <f t="shared" si="2"/>
        <v>2.9971669844201463</v>
      </c>
      <c r="M11" s="1">
        <v>7</v>
      </c>
      <c r="N11" s="6">
        <f>VLOOKUP($N$2,角色品星!$C$16:$D$20,2,0)*VLOOKUP($N$3,角色品星!$C$3:$E$14,3,0)*V11</f>
        <v>60.969424826229329</v>
      </c>
      <c r="O11" s="6">
        <f>VLOOKUP($N$2,角色品星!$C$16:$D$20,2,0)*VLOOKUP($N$3,角色品星!$C$3:$E$14,3,0)*W11</f>
        <v>1822.4825235586516</v>
      </c>
      <c r="P11" s="6">
        <f>VLOOKUP($N$2,角色品星!$C$16:$D$20,2,0)*VLOOKUP($N$3,角色品星!$C$3:$E$14,3,0)*X11</f>
        <v>608.0683969335937</v>
      </c>
      <c r="Q11" s="23">
        <f t="shared" si="3"/>
        <v>0.05</v>
      </c>
      <c r="R11" s="23">
        <f t="shared" si="4"/>
        <v>1.5</v>
      </c>
      <c r="S11" s="23">
        <f t="shared" si="5"/>
        <v>0.9</v>
      </c>
      <c r="T11" s="38">
        <f>N11*(1+Q11*(R11-1))*S11*战斗公式!$E$38+(P11*战斗公式!$E$39+1)*O11*战斗公式!$E$40</f>
        <v>3239.6718238789636</v>
      </c>
      <c r="U11" s="38">
        <f t="shared" si="6"/>
        <v>161.51303398735945</v>
      </c>
      <c r="V11" s="6">
        <f>VLOOKUP($N$1,$D$4:$J$15,MATCH(F$4,$D$4:$J$4,0),0)*角色成长!E24*角色成长!$L$15*AB11/AA11/(1+$Y$2*($Z$2-1))</f>
        <v>110.85349968405332</v>
      </c>
      <c r="W11" s="6">
        <f>VLOOKUP($N$1,$D$4:$J$15,MATCH(G$4,$D$4:$J$4,0),0)*角色成长!F24*角色成长!$L$15/(1+X11/角色成长!$N$16)</f>
        <v>3313.6045882884573</v>
      </c>
      <c r="X11" s="6">
        <f>VLOOKUP($N$1,$D$4:$J$15,MATCH(H$4,$D$4:$J$4,0),0)*角色成长!G24*角色成长!$L$15</f>
        <v>1105.5789035156249</v>
      </c>
      <c r="Y11" s="1">
        <v>0.05</v>
      </c>
      <c r="Z11" s="1">
        <v>1.5</v>
      </c>
      <c r="AA11" s="1">
        <f>VLOOKUP($N$1,$D$4:$J$15,MATCH(I$4,$D$4:$J$4,0),0)*角色成长!J24</f>
        <v>0.9</v>
      </c>
      <c r="AB11" s="1">
        <f t="shared" si="1"/>
        <v>0.75</v>
      </c>
      <c r="AC11" s="9"/>
    </row>
    <row r="12" spans="1:34" ht="14.25" customHeight="1" x14ac:dyDescent="0.2">
      <c r="D12" s="30" t="s">
        <v>253</v>
      </c>
      <c r="E12" s="1" t="str">
        <f>VLOOKUP($D12,角色设定!$AB:$AJ,MATCH(E$4,角色设定!$AB$9:$AJ$9,0),0)</f>
        <v>伤害</v>
      </c>
      <c r="F12" s="6">
        <f>VLOOKUP($D12,角色设定!$AB:$AJ,MATCH(F$4,角色设定!$AB$9:$AJ$9,0),0)*IF($E12=F$4,角色成长!$F$5,角色成长!$H$5)</f>
        <v>0.33600000000000002</v>
      </c>
      <c r="G12" s="6">
        <f>VLOOKUP($D12,角色设定!$AB:$AJ,MATCH(G$4,角色设定!$AB$9:$AJ$9,0),0)*IF($E12=G$4,角色成长!$F$5,角色成长!$H$5)</f>
        <v>0.12605042016806722</v>
      </c>
      <c r="H12" s="6">
        <f>VLOOKUP($D12,角色设定!$AB:$AJ,MATCH(H$4,角色设定!$AB$9:$AJ$9,0),0)</f>
        <v>0.40909090909090912</v>
      </c>
      <c r="I12" s="1">
        <f>VLOOKUP($D12,角色设定!$AB:$AJ,MATCH(I$4,角色设定!$AB$9:$AJ$9,0),0)</f>
        <v>1.1000000000000001</v>
      </c>
      <c r="J12" s="1">
        <f>VLOOKUP($D12,角色设定!$AB:$AJ,MATCH(J$4,角色设定!$AB$9:$AJ$9,0),0)</f>
        <v>0.80500000000000005</v>
      </c>
      <c r="L12" s="6">
        <f t="shared" si="2"/>
        <v>2.9955291945383888</v>
      </c>
      <c r="M12" s="1">
        <v>8</v>
      </c>
      <c r="N12" s="6">
        <f>VLOOKUP($N$2,角色品星!$C$16:$D$20,2,0)*VLOOKUP($N$3,角色品星!$C$3:$E$14,3,0)*V12</f>
        <v>64.017896067540832</v>
      </c>
      <c r="O12" s="6">
        <f>VLOOKUP($N$2,角色品星!$C$16:$D$20,2,0)*VLOOKUP($N$3,角色品星!$C$3:$E$14,3,0)*W12</f>
        <v>1912.5609670552749</v>
      </c>
      <c r="P12" s="6">
        <f>VLOOKUP($N$2,角色品星!$C$16:$D$20,2,0)*VLOOKUP($N$3,角色品星!$C$3:$E$14,3,0)*X12</f>
        <v>638.47181678027368</v>
      </c>
      <c r="Q12" s="23">
        <f t="shared" si="3"/>
        <v>0.05</v>
      </c>
      <c r="R12" s="23">
        <f t="shared" si="4"/>
        <v>1.5</v>
      </c>
      <c r="S12" s="23">
        <f t="shared" si="5"/>
        <v>0.9</v>
      </c>
      <c r="T12" s="38">
        <f>N12*(1+Q12*(R12-1))*S12*战斗公式!$E$38+(P12*战斗公式!$E$39+1)*O12*战斗公式!$E$40</f>
        <v>3401.184857866323</v>
      </c>
      <c r="U12" s="38">
        <f t="shared" si="6"/>
        <v>169.54103439499886</v>
      </c>
      <c r="V12" s="6">
        <f>VLOOKUP($N$1,$D$4:$J$15,MATCH(F$4,$D$4:$J$4,0),0)*角色成长!E25*角色成长!$L$15*AB12/AA12/(1+$Y$2*($Z$2-1))</f>
        <v>116.39617466825604</v>
      </c>
      <c r="W12" s="6">
        <f>VLOOKUP($N$1,$D$4:$J$15,MATCH(G$4,$D$4:$J$4,0),0)*角色成长!F25*角色成长!$L$15/(1+X12/角色成长!$N$16)</f>
        <v>3477.3835764641358</v>
      </c>
      <c r="X12" s="6">
        <f>VLOOKUP($N$1,$D$4:$J$15,MATCH(H$4,$D$4:$J$4,0),0)*角色成长!G25*角色成长!$L$15</f>
        <v>1160.8578486914066</v>
      </c>
      <c r="Y12" s="1">
        <v>0.05</v>
      </c>
      <c r="Z12" s="1">
        <v>1.5</v>
      </c>
      <c r="AA12" s="1">
        <f>VLOOKUP($N$1,$D$4:$J$15,MATCH(I$4,$D$4:$J$4,0),0)*角色成长!J25</f>
        <v>0.9</v>
      </c>
      <c r="AB12" s="1">
        <f t="shared" si="1"/>
        <v>0.75</v>
      </c>
      <c r="AC12" s="9"/>
    </row>
    <row r="13" spans="1:34" ht="14.25" customHeight="1" x14ac:dyDescent="0.2">
      <c r="C13" s="3"/>
      <c r="D13" s="30" t="s">
        <v>254</v>
      </c>
      <c r="E13" s="1" t="str">
        <f>VLOOKUP($D13,角色设定!$AB:$AJ,MATCH(E$4,角色设定!$AB$9:$AJ$9,0),0)</f>
        <v>伤害</v>
      </c>
      <c r="F13" s="6">
        <f>VLOOKUP($D13,角色设定!$AB:$AJ,MATCH(F$4,角色设定!$AB$9:$AJ$9,0),0)*IF($E13=F$4,角色成长!$F$5,角色成长!$H$5)</f>
        <v>0.315</v>
      </c>
      <c r="G13" s="6">
        <f>VLOOKUP($D13,角色设定!$AB:$AJ,MATCH(G$4,角色设定!$AB$9:$AJ$9,0),0)*IF($E13=G$4,角色成长!$F$5,角色成长!$H$5)</f>
        <v>0.13445378151260504</v>
      </c>
      <c r="H13" s="6">
        <f>VLOOKUP($D13,角色设定!$AB:$AJ,MATCH(H$4,角色设定!$AB$9:$AJ$9,0),0)</f>
        <v>0.63636363636363635</v>
      </c>
      <c r="I13" s="1">
        <f>VLOOKUP($D13,角色设定!$AB:$AJ,MATCH(I$4,角色设定!$AB$9:$AJ$9,0),0)</f>
        <v>1.2</v>
      </c>
      <c r="J13" s="1">
        <f>VLOOKUP($D13,角色设定!$AB:$AJ,MATCH(J$4,角色设定!$AB$9:$AJ$9,0),0)</f>
        <v>0.77400000000000002</v>
      </c>
      <c r="L13" s="6">
        <f t="shared" si="2"/>
        <v>2.9938114404672604</v>
      </c>
      <c r="M13" s="1">
        <v>9</v>
      </c>
      <c r="N13" s="6">
        <f>VLOOKUP($N$2,角色品星!$C$16:$D$20,2,0)*VLOOKUP($N$3,角色品星!$C$3:$E$14,3,0)*V13</f>
        <v>67.218790870917843</v>
      </c>
      <c r="O13" s="6">
        <f>VLOOKUP($N$2,角色品星!$C$16:$D$20,2,0)*VLOOKUP($N$3,角色品星!$C$3:$E$14,3,0)*W13</f>
        <v>2007.0374409673345</v>
      </c>
      <c r="P13" s="6">
        <f>VLOOKUP($N$2,角色品星!$C$16:$D$20,2,0)*VLOOKUP($N$3,角色品星!$C$3:$E$14,3,0)*X13</f>
        <v>670.3954076192872</v>
      </c>
      <c r="Q13" s="23">
        <f t="shared" si="3"/>
        <v>0.05</v>
      </c>
      <c r="R13" s="23">
        <f t="shared" si="4"/>
        <v>1.5</v>
      </c>
      <c r="S13" s="23">
        <f t="shared" si="5"/>
        <v>0.9</v>
      </c>
      <c r="T13" s="38">
        <f>N13*(1+Q13*(R13-1))*S13*战斗公式!$E$38+(P13*战斗公式!$E$39+1)*O13*战斗公式!$E$40</f>
        <v>3570.7258922613219</v>
      </c>
      <c r="U13" s="38">
        <f t="shared" si="6"/>
        <v>177.96564096076145</v>
      </c>
      <c r="V13" s="6">
        <f>VLOOKUP($N$1,$D$4:$J$15,MATCH(F$4,$D$4:$J$4,0),0)*角色成长!E26*角色成长!$L$15*AB13/AA13/(1+$Y$2*($Z$2-1))</f>
        <v>122.21598340166881</v>
      </c>
      <c r="W13" s="6">
        <f>VLOOKUP($N$1,$D$4:$J$15,MATCH(G$4,$D$4:$J$4,0),0)*角色成长!F26*角色成长!$L$15/(1+X13/角色成长!$N$16)</f>
        <v>3649.1589835769714</v>
      </c>
      <c r="X13" s="6">
        <f>VLOOKUP($N$1,$D$4:$J$15,MATCH(H$4,$D$4:$J$4,0),0)*角色成长!G26*角色成长!$L$15</f>
        <v>1218.9007411259765</v>
      </c>
      <c r="Y13" s="1">
        <v>0.05</v>
      </c>
      <c r="Z13" s="1">
        <v>1.5</v>
      </c>
      <c r="AA13" s="1">
        <f>VLOOKUP($N$1,$D$4:$J$15,MATCH(I$4,$D$4:$J$4,0),0)*角色成长!J26</f>
        <v>0.9</v>
      </c>
      <c r="AB13" s="1">
        <f t="shared" si="1"/>
        <v>0.75</v>
      </c>
      <c r="AC13" s="4"/>
    </row>
    <row r="14" spans="1:34" ht="14.25" customHeight="1" x14ac:dyDescent="0.2">
      <c r="D14" s="30" t="s">
        <v>255</v>
      </c>
      <c r="E14" s="1" t="str">
        <f>VLOOKUP($D14,角色设定!$AB:$AJ,MATCH(E$4,角色设定!$AB$9:$AJ$9,0),0)</f>
        <v>伤害</v>
      </c>
      <c r="F14" s="6">
        <f>VLOOKUP($D14,角色设定!$AB:$AJ,MATCH(F$4,角色设定!$AB$9:$AJ$9,0),0)*IF($E14=F$4,角色成长!$F$5,角色成长!$H$5)</f>
        <v>0.315</v>
      </c>
      <c r="G14" s="6">
        <f>VLOOKUP($D14,角色设定!$AB:$AJ,MATCH(G$4,角色设定!$AB$9:$AJ$9,0),0)*IF($E14=G$4,角色成长!$F$5,角色成长!$H$5)</f>
        <v>0.13445378151260504</v>
      </c>
      <c r="H14" s="6">
        <f>VLOOKUP($D14,角色设定!$AB:$AJ,MATCH(H$4,角色设定!$AB$9:$AJ$9,0),0)</f>
        <v>0.63636363636363635</v>
      </c>
      <c r="I14" s="1">
        <f>VLOOKUP($D14,角色设定!$AB:$AJ,MATCH(I$4,角色设定!$AB$9:$AJ$9,0),0)</f>
        <v>1.2</v>
      </c>
      <c r="J14" s="1">
        <f>VLOOKUP($D14,角色设定!$AB:$AJ,MATCH(J$4,角色设定!$AB$9:$AJ$9,0),0)</f>
        <v>0.77400000000000002</v>
      </c>
      <c r="L14" s="6">
        <f t="shared" si="2"/>
        <v>2.9920099176886961</v>
      </c>
      <c r="M14" s="1">
        <v>10</v>
      </c>
      <c r="N14" s="6">
        <f>VLOOKUP($N$2,角色品星!$C$16:$D$20,2,0)*VLOOKUP($N$3,角色品星!$C$3:$E$14,3,0)*V14</f>
        <v>70.579730414463754</v>
      </c>
      <c r="O14" s="6">
        <f>VLOOKUP($N$2,角色品星!$C$16:$D$20,2,0)*VLOOKUP($N$3,角色品星!$C$3:$E$14,3,0)*W14</f>
        <v>2106.1211937883568</v>
      </c>
      <c r="P14" s="6">
        <f>VLOOKUP($N$2,角色品星!$C$16:$D$20,2,0)*VLOOKUP($N$3,角色品星!$C$3:$E$14,3,0)*X14</f>
        <v>703.91517800025167</v>
      </c>
      <c r="Q14" s="23">
        <f t="shared" si="3"/>
        <v>0.05</v>
      </c>
      <c r="R14" s="23">
        <f t="shared" si="4"/>
        <v>1.5</v>
      </c>
      <c r="S14" s="23">
        <f t="shared" si="5"/>
        <v>0.9</v>
      </c>
      <c r="T14" s="38">
        <f>N14*(1+Q14*(R14-1))*S14*战斗公式!$E$38+(P14*战斗公式!$E$39+1)*O14*战斗公式!$E$40</f>
        <v>3748.6915332220833</v>
      </c>
      <c r="U14" s="38">
        <f t="shared" si="6"/>
        <v>186.80620662418551</v>
      </c>
      <c r="V14" s="6">
        <f>VLOOKUP($N$1,$D$4:$J$15,MATCH(F$4,$D$4:$J$4,0),0)*角色成长!E27*角色成长!$L$15*AB14/AA14/(1+$Y$2*($Z$2-1))</f>
        <v>128.32678257175226</v>
      </c>
      <c r="W14" s="6">
        <f>VLOOKUP($N$1,$D$4:$J$15,MATCH(G$4,$D$4:$J$4,0),0)*角色成长!F27*角色成长!$L$15/(1+X14/角色成长!$N$16)</f>
        <v>3829.3112614333754</v>
      </c>
      <c r="X14" s="6">
        <f>VLOOKUP($N$1,$D$4:$J$15,MATCH(H$4,$D$4:$J$4,0),0)*角色成长!G27*角色成长!$L$15</f>
        <v>1279.8457781822756</v>
      </c>
      <c r="Y14" s="1">
        <v>0.05</v>
      </c>
      <c r="Z14" s="1">
        <v>1.5</v>
      </c>
      <c r="AA14" s="1">
        <f>VLOOKUP($N$1,$D$4:$J$15,MATCH(I$4,$D$4:$J$4,0),0)*角色成长!J27</f>
        <v>0.9</v>
      </c>
      <c r="AB14" s="1">
        <f t="shared" si="1"/>
        <v>0.75</v>
      </c>
      <c r="AG14" s="9"/>
      <c r="AH14" s="9"/>
    </row>
    <row r="15" spans="1:34" ht="14.25" customHeight="1" x14ac:dyDescent="0.2">
      <c r="C15" s="6"/>
      <c r="D15" s="30" t="s">
        <v>256</v>
      </c>
      <c r="E15" s="1" t="str">
        <f>VLOOKUP($D15,角色设定!$AB:$AJ,MATCH(E$4,角色设定!$AB$9:$AJ$9,0),0)</f>
        <v>无</v>
      </c>
      <c r="F15" s="6">
        <f>VLOOKUP($D15,角色设定!$AB:$AJ,MATCH(F$4,角色设定!$AB$9:$AJ$9,0),0)*IF($E15=F$4,角色成长!$F$5,角色成长!$H$5)</f>
        <v>0.14117647058823532</v>
      </c>
      <c r="G15" s="6">
        <f>VLOOKUP($D15,角色设定!$AB:$AJ,MATCH(G$4,角色设定!$AB$9:$AJ$9,0),0)*IF($E15=G$4,角色成长!$F$5,角色成长!$H$5)</f>
        <v>0.17647058823529413</v>
      </c>
      <c r="H15" s="6">
        <f>VLOOKUP($D15,角色设定!$AB:$AJ,MATCH(H$4,角色设定!$AB$9:$AJ$9,0),0)</f>
        <v>0.25454545454545452</v>
      </c>
      <c r="I15" s="1">
        <f>VLOOKUP($D15,角色设定!$AB:$AJ,MATCH(I$4,角色设定!$AB$9:$AJ$9,0),0)</f>
        <v>0.9</v>
      </c>
      <c r="J15" s="1">
        <f>VLOOKUP($D15,角色设定!$AB:$AJ,MATCH(J$4,角色设定!$AB$9:$AJ$9,0),0)</f>
        <v>0.79800000000000004</v>
      </c>
      <c r="L15" s="6">
        <f t="shared" si="2"/>
        <v>2.9901206507463396</v>
      </c>
      <c r="M15" s="1">
        <v>11</v>
      </c>
      <c r="N15" s="6">
        <f>VLOOKUP($N$2,角色品星!$C$16:$D$20,2,0)*VLOOKUP($N$3,角色品星!$C$3:$E$14,3,0)*V15</f>
        <v>74.108716935186948</v>
      </c>
      <c r="O15" s="6">
        <f>VLOOKUP($N$2,角色品星!$C$16:$D$20,2,0)*VLOOKUP($N$3,角色品星!$C$3:$E$14,3,0)*W15</f>
        <v>2210.0308756179547</v>
      </c>
      <c r="P15" s="6">
        <f>VLOOKUP($N$2,角色品星!$C$16:$D$20,2,0)*VLOOKUP($N$3,角色品星!$C$3:$E$14,3,0)*X15</f>
        <v>739.11093690026416</v>
      </c>
      <c r="Q15" s="23">
        <f t="shared" si="3"/>
        <v>0.05</v>
      </c>
      <c r="R15" s="23">
        <f t="shared" si="4"/>
        <v>1.5</v>
      </c>
      <c r="S15" s="23">
        <f t="shared" si="5"/>
        <v>0.9</v>
      </c>
      <c r="T15" s="38">
        <f>N15*(1+Q15*(R15-1))*S15*战斗公式!$E$38+(P15*战斗公式!$E$39+1)*O15*战斗公式!$E$40</f>
        <v>3935.4977398462688</v>
      </c>
      <c r="U15" s="38">
        <f t="shared" si="6"/>
        <v>196.08300519656405</v>
      </c>
      <c r="V15" s="6">
        <f>VLOOKUP($N$1,$D$4:$J$15,MATCH(F$4,$D$4:$J$4,0),0)*角色成长!E28*角色成长!$L$15*AB15/AA15/(1+$Y$2*($Z$2-1))</f>
        <v>134.74312170033988</v>
      </c>
      <c r="W15" s="6">
        <f>VLOOKUP($N$1,$D$4:$J$15,MATCH(G$4,$D$4:$J$4,0),0)*角色成长!F28*角色成长!$L$15/(1+X15/角色成长!$N$16)</f>
        <v>4018.2379556690084</v>
      </c>
      <c r="X15" s="6">
        <f>VLOOKUP($N$1,$D$4:$J$15,MATCH(H$4,$D$4:$J$4,0),0)*角色成长!G28*角色成长!$L$15</f>
        <v>1343.8380670913893</v>
      </c>
      <c r="Y15" s="1">
        <v>0.05</v>
      </c>
      <c r="Z15" s="1">
        <v>1.5</v>
      </c>
      <c r="AA15" s="1">
        <f>VLOOKUP($N$1,$D$4:$J$15,MATCH(I$4,$D$4:$J$4,0),0)*角色成长!J28</f>
        <v>0.9</v>
      </c>
      <c r="AB15" s="1">
        <f t="shared" si="1"/>
        <v>0.75</v>
      </c>
    </row>
    <row r="16" spans="1:34" ht="14.25" customHeight="1" x14ac:dyDescent="0.2">
      <c r="C16" s="6"/>
      <c r="E16" s="25"/>
      <c r="F16" s="25"/>
      <c r="G16" s="25"/>
      <c r="L16" s="6">
        <f t="shared" si="2"/>
        <v>2.9881394865885373</v>
      </c>
      <c r="M16" s="1">
        <v>12</v>
      </c>
      <c r="N16" s="6">
        <f>VLOOKUP($N$2,角色品星!$C$16:$D$20,2,0)*VLOOKUP($N$3,角色品星!$C$3:$E$14,3,0)*V16</f>
        <v>77.814152781946291</v>
      </c>
      <c r="O16" s="6">
        <f>VLOOKUP($N$2,角色品星!$C$16:$D$20,2,0)*VLOOKUP($N$3,角色品星!$C$3:$E$14,3,0)*W16</f>
        <v>2318.9949042971843</v>
      </c>
      <c r="P16" s="6">
        <f>VLOOKUP($N$2,角色品星!$C$16:$D$20,2,0)*VLOOKUP($N$3,角色品星!$C$3:$E$14,3,0)*X16</f>
        <v>776.06648374527731</v>
      </c>
      <c r="Q16" s="23">
        <f t="shared" si="3"/>
        <v>0.05</v>
      </c>
      <c r="R16" s="23">
        <f t="shared" si="4"/>
        <v>1.5</v>
      </c>
      <c r="S16" s="23">
        <f t="shared" si="5"/>
        <v>0.9</v>
      </c>
      <c r="T16" s="38">
        <f>N16*(1+Q16*(R16-1))*S16*战斗公式!$E$38+(P16*战斗公式!$E$39+1)*O16*战斗公式!$E$40</f>
        <v>4131.5807450428329</v>
      </c>
      <c r="U16" s="38">
        <f t="shared" si="6"/>
        <v>205.8172729387552</v>
      </c>
      <c r="V16" s="6">
        <f>VLOOKUP($N$1,$D$4:$J$15,MATCH(F$4,$D$4:$J$4,0),0)*角色成长!E29*角色成长!$L$15*AB16/AA16/(1+$Y$2*($Z$2-1))</f>
        <v>141.48027778535689</v>
      </c>
      <c r="W16" s="6">
        <f>VLOOKUP($N$1,$D$4:$J$15,MATCH(G$4,$D$4:$J$4,0),0)*角色成长!F29*角色成长!$L$15/(1+X16/角色成长!$N$16)</f>
        <v>4216.3543714494253</v>
      </c>
      <c r="X16" s="6">
        <f>VLOOKUP($N$1,$D$4:$J$15,MATCH(H$4,$D$4:$J$4,0),0)*角色成长!G29*角色成长!$L$15</f>
        <v>1411.0299704459587</v>
      </c>
      <c r="Y16" s="1">
        <v>0.05</v>
      </c>
      <c r="Z16" s="1">
        <v>1.5</v>
      </c>
      <c r="AA16" s="1">
        <f>VLOOKUP($N$1,$D$4:$J$15,MATCH(I$4,$D$4:$J$4,0),0)*角色成长!J29</f>
        <v>0.9</v>
      </c>
      <c r="AB16" s="1">
        <f t="shared" si="1"/>
        <v>0.75</v>
      </c>
      <c r="AD16" s="21"/>
    </row>
    <row r="17" spans="2:38" ht="14.25" customHeight="1" x14ac:dyDescent="0.2">
      <c r="C17" s="6"/>
      <c r="L17" s="6">
        <f t="shared" si="2"/>
        <v>2.9860620877589072</v>
      </c>
      <c r="M17" s="1">
        <v>13</v>
      </c>
      <c r="N17" s="6">
        <f>VLOOKUP($N$2,角色品星!$C$16:$D$20,2,0)*VLOOKUP($N$3,角色品星!$C$3:$E$14,3,0)*V17</f>
        <v>81.704860421043605</v>
      </c>
      <c r="O17" s="6">
        <f>VLOOKUP($N$2,角色品星!$C$16:$D$20,2,0)*VLOOKUP($N$3,角色品星!$C$3:$E$14,3,0)*W17</f>
        <v>2433.2518399267437</v>
      </c>
      <c r="P17" s="6">
        <f>VLOOKUP($N$2,角色品星!$C$16:$D$20,2,0)*VLOOKUP($N$3,角色品星!$C$3:$E$14,3,0)*X17</f>
        <v>814.86980793254122</v>
      </c>
      <c r="Q17" s="23">
        <f t="shared" si="3"/>
        <v>0.05</v>
      </c>
      <c r="R17" s="23">
        <f t="shared" si="4"/>
        <v>1.5</v>
      </c>
      <c r="S17" s="23">
        <f t="shared" si="5"/>
        <v>0.9</v>
      </c>
      <c r="T17" s="38">
        <f>N17*(1+Q17*(R17-1))*S17*战斗公式!$E$38+(P17*战斗公式!$E$39+1)*O17*战斗公式!$E$40</f>
        <v>4337.3980179815881</v>
      </c>
      <c r="U17" s="38">
        <f t="shared" si="6"/>
        <v>216.03125180969619</v>
      </c>
      <c r="V17" s="6">
        <f>VLOOKUP($N$1,$D$4:$J$15,MATCH(F$4,$D$4:$J$4,0),0)*角色成长!E30*角色成长!$L$15*AB17/AA17/(1+$Y$2*($Z$2-1))</f>
        <v>148.55429167462472</v>
      </c>
      <c r="W17" s="6">
        <f>VLOOKUP($N$1,$D$4:$J$15,MATCH(G$4,$D$4:$J$4,0),0)*角色成长!F30*角色成长!$L$15/(1+X17/角色成长!$N$16)</f>
        <v>4424.0942544122609</v>
      </c>
      <c r="X17" s="6">
        <f>VLOOKUP($N$1,$D$4:$J$15,MATCH(H$4,$D$4:$J$4,0),0)*角色成长!G30*角色成长!$L$15</f>
        <v>1481.5814689682566</v>
      </c>
      <c r="Y17" s="1">
        <v>0.05</v>
      </c>
      <c r="Z17" s="1">
        <v>1.5</v>
      </c>
      <c r="AA17" s="1">
        <f>VLOOKUP($N$1,$D$4:$J$15,MATCH(I$4,$D$4:$J$4,0),0)*角色成长!J30</f>
        <v>0.9</v>
      </c>
      <c r="AB17" s="1">
        <f t="shared" si="1"/>
        <v>0.75</v>
      </c>
    </row>
    <row r="18" spans="2:38" ht="14.25" customHeight="1" x14ac:dyDescent="0.2">
      <c r="C18" s="6"/>
      <c r="E18" s="6"/>
      <c r="F18" s="6"/>
      <c r="G18" s="6"/>
      <c r="H18" s="6"/>
      <c r="I18" s="25"/>
      <c r="J18" s="6"/>
      <c r="K18" s="6"/>
      <c r="L18" s="6">
        <f t="shared" si="2"/>
        <v>2.9838839254433931</v>
      </c>
      <c r="M18" s="1">
        <v>14</v>
      </c>
      <c r="N18" s="6">
        <f>VLOOKUP($N$2,角色品星!$C$16:$D$20,2,0)*VLOOKUP($N$3,角色品星!$C$3:$E$14,3,0)*V18</f>
        <v>85.79010344209577</v>
      </c>
      <c r="O18" s="6">
        <f>VLOOKUP($N$2,角色品星!$C$16:$D$20,2,0)*VLOOKUP($N$3,角色品星!$C$3:$E$14,3,0)*W18</f>
        <v>2553.0507672800081</v>
      </c>
      <c r="P18" s="6">
        <f>VLOOKUP($N$2,角色品星!$C$16:$D$20,2,0)*VLOOKUP($N$3,角色品星!$C$3:$E$14,3,0)*X18</f>
        <v>855.6132983291684</v>
      </c>
      <c r="Q18" s="23">
        <f t="shared" si="3"/>
        <v>0.05</v>
      </c>
      <c r="R18" s="23">
        <f t="shared" si="4"/>
        <v>1.5</v>
      </c>
      <c r="S18" s="23">
        <f t="shared" si="5"/>
        <v>0.9</v>
      </c>
      <c r="T18" s="38">
        <f>N18*(1+Q18*(R18-1))*S18*战斗公式!$E$38+(P18*战斗公式!$E$39+1)*O18*战斗公式!$E$40</f>
        <v>4553.4292697912842</v>
      </c>
      <c r="U18" s="38">
        <f t="shared" si="6"/>
        <v>226.74823443452897</v>
      </c>
      <c r="V18" s="6">
        <f>VLOOKUP($N$1,$D$4:$J$15,MATCH(F$4,$D$4:$J$4,0),0)*角色成长!E31*角色成长!$L$15*AB18/AA18/(1+$Y$2*($Z$2-1))</f>
        <v>155.98200625835594</v>
      </c>
      <c r="W18" s="6">
        <f>VLOOKUP($N$1,$D$4:$J$15,MATCH(G$4,$D$4:$J$4,0),0)*角色成长!F31*角色成长!$L$15/(1+X18/角色成长!$N$16)</f>
        <v>4641.9104859636509</v>
      </c>
      <c r="X18" s="6">
        <f>VLOOKUP($N$1,$D$4:$J$15,MATCH(H$4,$D$4:$J$4,0),0)*角色成长!G31*角色成长!$L$15</f>
        <v>1555.6605424166696</v>
      </c>
      <c r="Y18" s="1">
        <v>0.05</v>
      </c>
      <c r="Z18" s="1">
        <v>1.5</v>
      </c>
      <c r="AA18" s="1">
        <f>VLOOKUP($N$1,$D$4:$J$15,MATCH(I$4,$D$4:$J$4,0),0)*角色成长!J31</f>
        <v>0.9</v>
      </c>
      <c r="AB18" s="1">
        <f t="shared" si="1"/>
        <v>0.75</v>
      </c>
      <c r="AC18" s="6"/>
      <c r="AD18" s="21"/>
      <c r="AG18" s="9"/>
      <c r="AH18" s="9"/>
      <c r="AI18" s="9"/>
    </row>
    <row r="19" spans="2:38" ht="14.25" customHeight="1" x14ac:dyDescent="0.2">
      <c r="C19" s="6"/>
      <c r="E19" s="6"/>
      <c r="F19" s="6"/>
      <c r="G19" s="6"/>
      <c r="H19" s="6"/>
      <c r="I19" s="25"/>
      <c r="J19" s="6"/>
      <c r="K19" s="6"/>
      <c r="L19" s="6">
        <f t="shared" si="2"/>
        <v>2.981600272384453</v>
      </c>
      <c r="M19" s="1">
        <v>15</v>
      </c>
      <c r="N19" s="6">
        <f>VLOOKUP($N$2,角色品星!$C$16:$D$20,2,0)*VLOOKUP($N$3,角色品星!$C$3:$E$14,3,0)*V19</f>
        <v>90.079608614200538</v>
      </c>
      <c r="O19" s="6">
        <f>VLOOKUP($N$2,角色品星!$C$16:$D$20,2,0)*VLOOKUP($N$3,角色品星!$C$3:$E$14,3,0)*W19</f>
        <v>2678.6516855217092</v>
      </c>
      <c r="P19" s="6">
        <f>VLOOKUP($N$2,角色品星!$C$16:$D$20,2,0)*VLOOKUP($N$3,角色品星!$C$3:$E$14,3,0)*X19</f>
        <v>898.39396324562676</v>
      </c>
      <c r="Q19" s="23">
        <f t="shared" si="3"/>
        <v>0.05</v>
      </c>
      <c r="R19" s="23">
        <f t="shared" si="4"/>
        <v>1.5</v>
      </c>
      <c r="S19" s="23">
        <f t="shared" si="5"/>
        <v>0.9</v>
      </c>
      <c r="T19" s="38">
        <f>N19*(1+Q19*(R19-1))*S19*战斗公式!$E$38+(P19*战斗公式!$E$39+1)*O19*战斗公式!$E$40</f>
        <v>4780.1775042258132</v>
      </c>
      <c r="U19" s="38">
        <f t="shared" si="6"/>
        <v>237.99261084145201</v>
      </c>
      <c r="V19" s="6">
        <f>VLOOKUP($N$1,$D$4:$J$15,MATCH(F$4,$D$4:$J$4,0),0)*角色成长!E32*角色成长!$L$15*AB19/AA19/(1+$Y$2*($Z$2-1))</f>
        <v>163.78110657127368</v>
      </c>
      <c r="W19" s="6">
        <f>VLOOKUP($N$1,$D$4:$J$15,MATCH(G$4,$D$4:$J$4,0),0)*角色成长!F32*角色成长!$L$15/(1+X19/角色成长!$N$16)</f>
        <v>4870.2757918576526</v>
      </c>
      <c r="X19" s="6">
        <f>VLOOKUP($N$1,$D$4:$J$15,MATCH(H$4,$D$4:$J$4,0),0)*角色成长!G32*角色成长!$L$15</f>
        <v>1633.443569537503</v>
      </c>
      <c r="Y19" s="1">
        <v>0.05</v>
      </c>
      <c r="Z19" s="1">
        <v>1.5</v>
      </c>
      <c r="AA19" s="1">
        <f>VLOOKUP($N$1,$D$4:$J$15,MATCH(I$4,$D$4:$J$4,0),0)*角色成长!J32</f>
        <v>0.9</v>
      </c>
      <c r="AB19" s="1">
        <f t="shared" si="1"/>
        <v>0.75</v>
      </c>
      <c r="AC19" s="6"/>
      <c r="AD19" s="21"/>
      <c r="AE19" s="21"/>
      <c r="AF19" s="21"/>
      <c r="AG19" s="9"/>
      <c r="AH19" s="9"/>
      <c r="AI19" s="9"/>
      <c r="AJ19" s="9"/>
      <c r="AK19" s="9"/>
      <c r="AL19" s="9"/>
    </row>
    <row r="20" spans="2:38" ht="14.25" customHeight="1" x14ac:dyDescent="0.2">
      <c r="C20" s="6"/>
      <c r="E20" s="6"/>
      <c r="F20" s="6"/>
      <c r="G20" s="6"/>
      <c r="H20" s="6"/>
      <c r="I20" s="25"/>
      <c r="J20" s="6"/>
      <c r="K20" s="6"/>
      <c r="L20" s="6">
        <f t="shared" si="2"/>
        <v>2.9792061956751854</v>
      </c>
      <c r="M20" s="1">
        <v>16</v>
      </c>
      <c r="N20" s="6">
        <f>VLOOKUP($N$2,角色品星!$C$16:$D$20,2,0)*VLOOKUP($N$3,角色品星!$C$3:$E$14,3,0)*V20</f>
        <v>94.583589044910568</v>
      </c>
      <c r="O20" s="6">
        <f>VLOOKUP($N$2,角色品星!$C$16:$D$20,2,0)*VLOOKUP($N$3,角色品星!$C$3:$E$14,3,0)*W20</f>
        <v>2810.3259045314844</v>
      </c>
      <c r="P20" s="6">
        <f>VLOOKUP($N$2,角色品星!$C$16:$D$20,2,0)*VLOOKUP($N$3,角色品星!$C$3:$E$14,3,0)*X20</f>
        <v>943.31366140790828</v>
      </c>
      <c r="Q20" s="23">
        <f t="shared" si="3"/>
        <v>0.05</v>
      </c>
      <c r="R20" s="23">
        <f t="shared" si="4"/>
        <v>1.5</v>
      </c>
      <c r="S20" s="23">
        <f t="shared" si="5"/>
        <v>0.9</v>
      </c>
      <c r="T20" s="38">
        <f>N20*(1+Q20*(R20-1))*S20*战斗公式!$E$38+(P20*战斗公式!$E$39+1)*O20*战斗公式!$E$40</f>
        <v>5018.1701150672652</v>
      </c>
      <c r="U20" s="38">
        <f t="shared" si="6"/>
        <v>249.78991701602172</v>
      </c>
      <c r="V20" s="6">
        <f>VLOOKUP($N$1,$D$4:$J$15,MATCH(F$4,$D$4:$J$4,0),0)*角色成长!E33*角色成长!$L$15*AB20/AA20/(1+$Y$2*($Z$2-1))</f>
        <v>171.97016189983739</v>
      </c>
      <c r="W20" s="6">
        <f>VLOOKUP($N$1,$D$4:$J$15,MATCH(G$4,$D$4:$J$4,0),0)*角色成长!F33*角色成长!$L$15/(1+X20/角色成长!$N$16)</f>
        <v>5109.6834627845165</v>
      </c>
      <c r="X20" s="6">
        <f>VLOOKUP($N$1,$D$4:$J$15,MATCH(H$4,$D$4:$J$4,0),0)*角色成长!G33*角色成长!$L$15</f>
        <v>1715.1157480143786</v>
      </c>
      <c r="Y20" s="1">
        <v>0.05</v>
      </c>
      <c r="Z20" s="1">
        <v>1.5</v>
      </c>
      <c r="AA20" s="1">
        <f>VLOOKUP($N$1,$D$4:$J$15,MATCH(I$4,$D$4:$J$4,0),0)*角色成长!J33</f>
        <v>0.9</v>
      </c>
      <c r="AB20" s="1">
        <f t="shared" si="1"/>
        <v>0.75</v>
      </c>
      <c r="AC20" s="6"/>
      <c r="AD20" s="21"/>
      <c r="AE20" s="21"/>
      <c r="AF20" s="21"/>
      <c r="AG20" s="9"/>
      <c r="AH20" s="9"/>
      <c r="AI20" s="9"/>
      <c r="AJ20" s="9"/>
      <c r="AK20" s="9"/>
      <c r="AL20" s="9"/>
    </row>
    <row r="21" spans="2:38" ht="14.25" customHeight="1" x14ac:dyDescent="0.2">
      <c r="B21" s="6"/>
      <c r="E21" s="6"/>
      <c r="F21" s="6"/>
      <c r="G21" s="6"/>
      <c r="H21" s="6"/>
      <c r="I21" s="25"/>
      <c r="J21" s="6"/>
      <c r="K21" s="6"/>
      <c r="L21" s="6">
        <f t="shared" si="2"/>
        <v>2.9766965494483317</v>
      </c>
      <c r="M21" s="1">
        <v>17</v>
      </c>
      <c r="N21" s="6">
        <f>VLOOKUP($N$2,角色品星!$C$16:$D$20,2,0)*VLOOKUP($N$3,角色品星!$C$3:$E$14,3,0)*V21</f>
        <v>99.3127684971561</v>
      </c>
      <c r="O21" s="6">
        <f>VLOOKUP($N$2,角色品星!$C$16:$D$20,2,0)*VLOOKUP($N$3,角色品星!$C$3:$E$14,3,0)*W21</f>
        <v>2948.3564470084116</v>
      </c>
      <c r="P21" s="6">
        <f>VLOOKUP($N$2,角色品星!$C$16:$D$20,2,0)*VLOOKUP($N$3,角色品星!$C$3:$E$14,3,0)*X21</f>
        <v>990.47934447830357</v>
      </c>
      <c r="Q21" s="23">
        <f t="shared" si="3"/>
        <v>0.05</v>
      </c>
      <c r="R21" s="23">
        <f t="shared" si="4"/>
        <v>1.5</v>
      </c>
      <c r="S21" s="23">
        <f t="shared" si="5"/>
        <v>0.9</v>
      </c>
      <c r="T21" s="38">
        <f>N21*(1+Q21*(R21-1))*S21*战斗公式!$E$38+(P21*战斗公式!$E$39+1)*O21*战斗公式!$E$40</f>
        <v>5267.9600320832869</v>
      </c>
      <c r="U21" s="38">
        <f t="shared" si="6"/>
        <v>262.16688532160515</v>
      </c>
      <c r="V21" s="6">
        <f>VLOOKUP($N$1,$D$4:$J$15,MATCH(F$4,$D$4:$J$4,0),0)*角色成长!E34*角色成长!$L$15*AB21/AA21/(1+$Y$2*($Z$2-1))</f>
        <v>180.56866999482926</v>
      </c>
      <c r="W21" s="6">
        <f>VLOOKUP($N$1,$D$4:$J$15,MATCH(G$4,$D$4:$J$4,0),0)*角色成长!F34*角色成长!$L$15/(1+X21/角色成长!$N$16)</f>
        <v>5360.6480854698384</v>
      </c>
      <c r="X21" s="6">
        <f>VLOOKUP($N$1,$D$4:$J$15,MATCH(H$4,$D$4:$J$4,0),0)*角色成长!G34*角色成长!$L$15</f>
        <v>1800.8715354150972</v>
      </c>
      <c r="Y21" s="1">
        <v>0.05</v>
      </c>
      <c r="Z21" s="1">
        <v>1.5</v>
      </c>
      <c r="AA21" s="1">
        <f>VLOOKUP($N$1,$D$4:$J$15,MATCH(I$4,$D$4:$J$4,0),0)*角色成长!J34</f>
        <v>0.9</v>
      </c>
      <c r="AB21" s="1">
        <f t="shared" si="1"/>
        <v>0.75</v>
      </c>
      <c r="AC21" s="6"/>
      <c r="AD21" s="21"/>
      <c r="AE21" s="21"/>
      <c r="AF21" s="21"/>
      <c r="AG21" s="9"/>
      <c r="AH21" s="9"/>
      <c r="AI21" s="9"/>
      <c r="AJ21" s="9"/>
      <c r="AK21" s="9"/>
      <c r="AL21" s="9"/>
    </row>
    <row r="22" spans="2:38" ht="14.25" customHeight="1" x14ac:dyDescent="0.2">
      <c r="B22" s="6"/>
      <c r="C22" s="6"/>
      <c r="E22" s="6"/>
      <c r="F22" s="6"/>
      <c r="G22" s="6"/>
      <c r="H22" s="6"/>
      <c r="I22" s="25"/>
      <c r="J22" s="6"/>
      <c r="K22" s="6"/>
      <c r="L22" s="6">
        <f t="shared" si="2"/>
        <v>2.9740659674776198</v>
      </c>
      <c r="M22" s="1">
        <v>18</v>
      </c>
      <c r="N22" s="6">
        <f>VLOOKUP($N$2,角色品星!$C$16:$D$20,2,0)*VLOOKUP($N$3,角色品星!$C$3:$E$14,3,0)*V22</f>
        <v>104.27840692201394</v>
      </c>
      <c r="O22" s="6">
        <f>VLOOKUP($N$2,角色品星!$C$16:$D$20,2,0)*VLOOKUP($N$3,角色品星!$C$3:$E$14,3,0)*W22</f>
        <v>3093.0384553975878</v>
      </c>
      <c r="P22" s="6">
        <f>VLOOKUP($N$2,角色品星!$C$16:$D$20,2,0)*VLOOKUP($N$3,角色品星!$C$3:$E$14,3,0)*X22</f>
        <v>1040.0033117022188</v>
      </c>
      <c r="Q22" s="23">
        <f t="shared" si="3"/>
        <v>0.05</v>
      </c>
      <c r="R22" s="23">
        <f t="shared" si="4"/>
        <v>1.5</v>
      </c>
      <c r="S22" s="23">
        <f t="shared" si="5"/>
        <v>0.9</v>
      </c>
      <c r="T22" s="38">
        <f>N22*(1+Q22*(R22-1))*S22*战斗公式!$E$38+(P22*战斗公式!$E$39+1)*O22*战斗公式!$E$40</f>
        <v>5530.1269174048921</v>
      </c>
      <c r="U22" s="38">
        <f t="shared" si="6"/>
        <v>275.15149683412528</v>
      </c>
      <c r="V22" s="6">
        <f>VLOOKUP($N$1,$D$4:$J$15,MATCH(F$4,$D$4:$J$4,0),0)*角色成长!E35*角色成长!$L$15*AB22/AA22/(1+$Y$2*($Z$2-1))</f>
        <v>189.5971034945708</v>
      </c>
      <c r="W22" s="6">
        <f>VLOOKUP($N$1,$D$4:$J$15,MATCH(G$4,$D$4:$J$4,0),0)*角色成长!F35*角色成长!$L$15/(1+X22/角色成长!$N$16)</f>
        <v>5623.7062825410685</v>
      </c>
      <c r="X22" s="6">
        <f>VLOOKUP($N$1,$D$4:$J$15,MATCH(H$4,$D$4:$J$4,0),0)*角色成长!G35*角色成长!$L$15</f>
        <v>1890.9151121858522</v>
      </c>
      <c r="Y22" s="1">
        <v>0.05</v>
      </c>
      <c r="Z22" s="1">
        <v>1.5</v>
      </c>
      <c r="AA22" s="1">
        <f>VLOOKUP($N$1,$D$4:$J$15,MATCH(I$4,$D$4:$J$4,0),0)*角色成长!J35</f>
        <v>0.9</v>
      </c>
      <c r="AB22" s="1">
        <f t="shared" si="1"/>
        <v>0.75</v>
      </c>
      <c r="AC22" s="6"/>
      <c r="AD22" s="21"/>
      <c r="AE22" s="21"/>
      <c r="AF22" s="21"/>
      <c r="AG22" s="9"/>
      <c r="AH22" s="9"/>
      <c r="AI22" s="9"/>
      <c r="AJ22" s="9"/>
      <c r="AK22" s="9"/>
      <c r="AL22" s="9"/>
    </row>
    <row r="23" spans="2:38" ht="14.25" customHeight="1" x14ac:dyDescent="0.2">
      <c r="C23" s="6"/>
      <c r="E23" s="6"/>
      <c r="F23" s="6"/>
      <c r="G23" s="6"/>
      <c r="H23" s="6"/>
      <c r="I23" s="25"/>
      <c r="J23" s="6"/>
      <c r="K23" s="6"/>
      <c r="L23" s="6">
        <f t="shared" si="2"/>
        <v>2.9713088557115461</v>
      </c>
      <c r="M23" s="1">
        <v>19</v>
      </c>
      <c r="N23" s="6">
        <f>VLOOKUP($N$2,角色品星!$C$16:$D$20,2,0)*VLOOKUP($N$3,角色品星!$C$3:$E$14,3,0)*V23</f>
        <v>109.49232726811465</v>
      </c>
      <c r="O23" s="6">
        <f>VLOOKUP($N$2,角色品星!$C$16:$D$20,2,0)*VLOOKUP($N$3,角色品星!$C$3:$E$14,3,0)*W23</f>
        <v>3244.6796025316453</v>
      </c>
      <c r="P23" s="6">
        <f>VLOOKUP($N$2,角色品星!$C$16:$D$20,2,0)*VLOOKUP($N$3,角色品星!$C$3:$E$14,3,0)*X23</f>
        <v>1092.0034772873298</v>
      </c>
      <c r="Q23" s="23">
        <f t="shared" si="3"/>
        <v>0.05</v>
      </c>
      <c r="R23" s="23">
        <f t="shared" si="4"/>
        <v>1.5</v>
      </c>
      <c r="S23" s="23">
        <f t="shared" si="5"/>
        <v>0.9</v>
      </c>
      <c r="T23" s="38">
        <f>N23*(1+Q23*(R23-1))*S23*战斗公式!$E$38+(P23*战斗公式!$E$39+1)*O23*战斗公式!$E$40</f>
        <v>5805.2784142390174</v>
      </c>
      <c r="U23" s="38">
        <f t="shared" si="6"/>
        <v>288.77303563901842</v>
      </c>
      <c r="V23" s="6">
        <f>VLOOKUP($N$1,$D$4:$J$15,MATCH(F$4,$D$4:$J$4,0),0)*角色成长!E36*角色成长!$L$15*AB23/AA23/(1+$Y$2*($Z$2-1))</f>
        <v>199.07695866929936</v>
      </c>
      <c r="W23" s="6">
        <f>VLOOKUP($N$1,$D$4:$J$15,MATCH(G$4,$D$4:$J$4,0),0)*角色成长!F36*角色成长!$L$15/(1+X23/角色成长!$N$16)</f>
        <v>5899.4174591484452</v>
      </c>
      <c r="X23" s="6">
        <f>VLOOKUP($N$1,$D$4:$J$15,MATCH(H$4,$D$4:$J$4,0),0)*角色成长!G36*角色成长!$L$15</f>
        <v>1985.4608677951451</v>
      </c>
      <c r="Y23" s="1">
        <v>0.05</v>
      </c>
      <c r="Z23" s="1">
        <v>1.5</v>
      </c>
      <c r="AA23" s="1">
        <f>VLOOKUP($N$1,$D$4:$J$15,MATCH(I$4,$D$4:$J$4,0),0)*角色成长!J36</f>
        <v>0.9</v>
      </c>
      <c r="AB23" s="1">
        <f t="shared" si="1"/>
        <v>0.75</v>
      </c>
      <c r="AC23" s="6"/>
      <c r="AD23" s="21"/>
      <c r="AE23" s="21"/>
      <c r="AF23" s="21"/>
      <c r="AG23" s="9"/>
      <c r="AH23" s="9"/>
      <c r="AI23" s="9"/>
      <c r="AJ23" s="9"/>
      <c r="AK23" s="9"/>
      <c r="AL23" s="9"/>
    </row>
    <row r="24" spans="2:38" ht="14.25" customHeight="1" x14ac:dyDescent="0.2">
      <c r="E24" s="6"/>
      <c r="F24" s="6"/>
      <c r="G24" s="6"/>
      <c r="H24" s="6"/>
      <c r="I24" s="25"/>
      <c r="J24" s="6"/>
      <c r="K24" s="6"/>
      <c r="L24" s="6">
        <f t="shared" si="2"/>
        <v>2.9684193847626958</v>
      </c>
      <c r="M24" s="1">
        <v>20</v>
      </c>
      <c r="N24" s="6">
        <f>VLOOKUP($N$2,角色品星!$C$16:$D$20,2,0)*VLOOKUP($N$3,角色品星!$C$3:$E$14,3,0)*V24</f>
        <v>114.96694363152037</v>
      </c>
      <c r="O24" s="6">
        <f>VLOOKUP($N$2,角色品星!$C$16:$D$20,2,0)*VLOOKUP($N$3,角色品星!$C$3:$E$14,3,0)*W24</f>
        <v>3403.6005047183789</v>
      </c>
      <c r="P24" s="6">
        <f>VLOOKUP($N$2,角色品星!$C$16:$D$20,2,0)*VLOOKUP($N$3,角色品星!$C$3:$E$14,3,0)*X24</f>
        <v>1146.6036511516963</v>
      </c>
      <c r="Q24" s="23">
        <f t="shared" si="3"/>
        <v>0.05</v>
      </c>
      <c r="R24" s="23">
        <f t="shared" si="4"/>
        <v>1.5</v>
      </c>
      <c r="S24" s="23">
        <f t="shared" si="5"/>
        <v>0.9</v>
      </c>
      <c r="T24" s="38">
        <f>N24*(1+Q24*(R24-1))*S24*战斗公式!$E$38+(P24*战斗公式!$E$39+1)*O24*战斗公式!$E$40</f>
        <v>6094.0514498780358</v>
      </c>
      <c r="U24" s="38">
        <f t="shared" si="6"/>
        <v>303.06214513762279</v>
      </c>
      <c r="V24" s="6">
        <f>VLOOKUP($N$1,$D$4:$J$15,MATCH(F$4,$D$4:$J$4,0),0)*角色成长!E37*角色成长!$L$15*AB24/AA24/(1+$Y$2*($Z$2-1))</f>
        <v>209.03080660276427</v>
      </c>
      <c r="W24" s="6">
        <f>VLOOKUP($N$1,$D$4:$J$15,MATCH(G$4,$D$4:$J$4,0),0)*角色成长!F37*角色成长!$L$15/(1+X24/角色成长!$N$16)</f>
        <v>6188.3645540334155</v>
      </c>
      <c r="X24" s="6">
        <f>VLOOKUP($N$1,$D$4:$J$15,MATCH(H$4,$D$4:$J$4,0),0)*角色成长!G37*角色成长!$L$15</f>
        <v>2084.7339111849024</v>
      </c>
      <c r="Y24" s="1">
        <v>0.05</v>
      </c>
      <c r="Z24" s="1">
        <v>1.5</v>
      </c>
      <c r="AA24" s="1">
        <f>VLOOKUP($N$1,$D$4:$J$15,MATCH(I$4,$D$4:$J$4,0),0)*角色成长!J37</f>
        <v>0.9</v>
      </c>
      <c r="AB24" s="1">
        <f t="shared" si="1"/>
        <v>0.75</v>
      </c>
      <c r="AC24" s="6"/>
      <c r="AD24" s="21"/>
      <c r="AE24" s="21"/>
      <c r="AF24" s="21"/>
      <c r="AG24" s="9"/>
      <c r="AH24" s="9"/>
      <c r="AI24" s="9"/>
      <c r="AJ24" s="9"/>
      <c r="AK24" s="9"/>
      <c r="AL24" s="9"/>
    </row>
    <row r="25" spans="2:38" ht="14.25" customHeight="1" x14ac:dyDescent="0.2">
      <c r="B25" s="31"/>
      <c r="C25" s="6"/>
      <c r="E25" s="6"/>
      <c r="F25" s="6"/>
      <c r="G25" s="6"/>
      <c r="H25" s="6"/>
      <c r="I25" s="25"/>
      <c r="J25" s="6"/>
      <c r="K25" s="6"/>
      <c r="L25" s="6">
        <f t="shared" si="2"/>
        <v>2.9653914823788621</v>
      </c>
      <c r="M25" s="1">
        <v>21</v>
      </c>
      <c r="N25" s="6">
        <f>VLOOKUP($N$2,角色品星!$C$16:$D$20,2,0)*VLOOKUP($N$3,角色品星!$C$3:$E$14,3,0)*V25</f>
        <v>120.71529081309639</v>
      </c>
      <c r="O25" s="6">
        <f>VLOOKUP($N$2,角色品星!$C$16:$D$20,2,0)*VLOOKUP($N$3,角色品星!$C$3:$E$14,3,0)*W25</f>
        <v>3570.1351358292322</v>
      </c>
      <c r="P25" s="6">
        <f>VLOOKUP($N$2,角色品星!$C$16:$D$20,2,0)*VLOOKUP($N$3,角色品星!$C$3:$E$14,3,0)*X25</f>
        <v>1203.9338337092813</v>
      </c>
      <c r="Q25" s="23">
        <f t="shared" si="3"/>
        <v>0.05</v>
      </c>
      <c r="R25" s="23">
        <f t="shared" si="4"/>
        <v>1.5</v>
      </c>
      <c r="S25" s="23">
        <f t="shared" si="5"/>
        <v>0.9</v>
      </c>
      <c r="T25" s="38">
        <f>N25*(1+Q25*(R25-1))*S25*战斗公式!$E$38+(P25*战斗公式!$E$39+1)*O25*战斗公式!$E$40</f>
        <v>6397.1135950156586</v>
      </c>
      <c r="U25" s="38">
        <f t="shared" si="6"/>
        <v>318.0508864097319</v>
      </c>
      <c r="V25" s="6">
        <f>VLOOKUP($N$1,$D$4:$J$15,MATCH(F$4,$D$4:$J$4,0),0)*角色成长!E38*角色成长!$L$15*AB25/AA25/(1+$Y$2*($Z$2-1))</f>
        <v>219.48234693290252</v>
      </c>
      <c r="W25" s="6">
        <f>VLOOKUP($N$1,$D$4:$J$15,MATCH(G$4,$D$4:$J$4,0),0)*角色成长!F38*角色成长!$L$15/(1+X25/角色成长!$N$16)</f>
        <v>6491.1547924167853</v>
      </c>
      <c r="X25" s="6">
        <f>VLOOKUP($N$1,$D$4:$J$15,MATCH(H$4,$D$4:$J$4,0),0)*角色成长!G38*角色成长!$L$15</f>
        <v>2188.9706067441475</v>
      </c>
      <c r="Y25" s="1">
        <v>0.05</v>
      </c>
      <c r="Z25" s="1">
        <v>1.5</v>
      </c>
      <c r="AA25" s="1">
        <f>VLOOKUP($N$1,$D$4:$J$15,MATCH(I$4,$D$4:$J$4,0),0)*角色成长!J38</f>
        <v>0.9</v>
      </c>
      <c r="AB25" s="1">
        <f t="shared" si="1"/>
        <v>0.75</v>
      </c>
      <c r="AC25" s="6"/>
      <c r="AD25" s="21"/>
      <c r="AE25" s="21"/>
      <c r="AF25" s="21"/>
      <c r="AG25" s="9"/>
      <c r="AH25" s="9"/>
      <c r="AI25" s="9"/>
      <c r="AJ25" s="9"/>
      <c r="AK25" s="9"/>
      <c r="AL25" s="9"/>
    </row>
    <row r="26" spans="2:38" ht="14.25" customHeight="1" x14ac:dyDescent="0.2">
      <c r="B26" s="31"/>
      <c r="C26" s="6"/>
      <c r="E26" s="6"/>
      <c r="F26" s="6"/>
      <c r="G26" s="6"/>
      <c r="H26" s="6"/>
      <c r="I26" s="25"/>
      <c r="J26" s="6"/>
      <c r="K26" s="6"/>
      <c r="L26" s="6">
        <f t="shared" si="2"/>
        <v>2.9622188259257265</v>
      </c>
      <c r="M26" s="1">
        <v>22</v>
      </c>
      <c r="N26" s="6">
        <f>VLOOKUP($N$2,角色品星!$C$16:$D$20,2,0)*VLOOKUP($N$3,角色品星!$C$3:$E$14,3,0)*V26</f>
        <v>126.7510553537512</v>
      </c>
      <c r="O26" s="6">
        <f>VLOOKUP($N$2,角色品星!$C$16:$D$20,2,0)*VLOOKUP($N$3,角色品星!$C$3:$E$14,3,0)*W26</f>
        <v>3744.6312407516934</v>
      </c>
      <c r="P26" s="6">
        <f>VLOOKUP($N$2,角色品星!$C$16:$D$20,2,0)*VLOOKUP($N$3,角色品星!$C$3:$E$14,3,0)*X26</f>
        <v>1264.1305253947451</v>
      </c>
      <c r="Q26" s="23">
        <f t="shared" si="3"/>
        <v>0.05</v>
      </c>
      <c r="R26" s="23">
        <f t="shared" si="4"/>
        <v>1.5</v>
      </c>
      <c r="S26" s="23">
        <f t="shared" si="5"/>
        <v>0.9</v>
      </c>
      <c r="T26" s="38">
        <f>N26*(1+Q26*(R26-1))*S26*战斗公式!$E$38+(P26*战斗公式!$E$39+1)*O26*战斗公式!$E$40</f>
        <v>6715.1644814253905</v>
      </c>
      <c r="U26" s="38">
        <f t="shared" si="6"/>
        <v>333.77279867848847</v>
      </c>
      <c r="V26" s="6">
        <f>VLOOKUP($N$1,$D$4:$J$15,MATCH(F$4,$D$4:$J$4,0),0)*角色成长!E39*角色成长!$L$15*AB26/AA26/(1+$Y$2*($Z$2-1))</f>
        <v>230.45646427954762</v>
      </c>
      <c r="W26" s="6">
        <f>VLOOKUP($N$1,$D$4:$J$15,MATCH(G$4,$D$4:$J$4,0),0)*角色成长!F39*角色成长!$L$15/(1+X26/角色成长!$N$16)</f>
        <v>6808.4204377303513</v>
      </c>
      <c r="X26" s="6">
        <f>VLOOKUP($N$1,$D$4:$J$15,MATCH(H$4,$D$4:$J$4,0),0)*角色成长!G39*角色成长!$L$15</f>
        <v>2298.4191370813546</v>
      </c>
      <c r="Y26" s="1">
        <v>0.05</v>
      </c>
      <c r="Z26" s="1">
        <v>1.5</v>
      </c>
      <c r="AA26" s="1">
        <f>VLOOKUP($N$1,$D$4:$J$15,MATCH(I$4,$D$4:$J$4,0),0)*角色成长!J39</f>
        <v>0.9</v>
      </c>
      <c r="AB26" s="1">
        <f t="shared" si="1"/>
        <v>0.75</v>
      </c>
      <c r="AC26" s="6"/>
      <c r="AD26" s="21"/>
      <c r="AE26" s="21"/>
      <c r="AF26" s="21"/>
      <c r="AG26" s="9"/>
      <c r="AH26" s="9"/>
      <c r="AI26" s="9"/>
      <c r="AJ26" s="9"/>
      <c r="AK26" s="9"/>
      <c r="AL26" s="9"/>
    </row>
    <row r="27" spans="2:38" ht="14.25" customHeight="1" x14ac:dyDescent="0.2">
      <c r="B27" s="31"/>
      <c r="C27" s="6"/>
      <c r="E27" s="6"/>
      <c r="F27" s="6"/>
      <c r="G27" s="6"/>
      <c r="H27" s="6"/>
      <c r="I27" s="25"/>
      <c r="J27" s="6"/>
      <c r="K27" s="6"/>
      <c r="L27" s="6">
        <f t="shared" si="2"/>
        <v>2.9588948349146511</v>
      </c>
      <c r="M27" s="1">
        <v>23</v>
      </c>
      <c r="N27" s="6">
        <f>VLOOKUP($N$2,角色品星!$C$16:$D$20,2,0)*VLOOKUP($N$3,角色品星!$C$3:$E$14,3,0)*V27</f>
        <v>133.08860812143874</v>
      </c>
      <c r="O27" s="6">
        <f>VLOOKUP($N$2,角色品星!$C$16:$D$20,2,0)*VLOOKUP($N$3,角色品星!$C$3:$E$14,3,0)*W27</f>
        <v>3927.4507463608779</v>
      </c>
      <c r="P27" s="6">
        <f>VLOOKUP($N$2,角色品星!$C$16:$D$20,2,0)*VLOOKUP($N$3,角色品星!$C$3:$E$14,3,0)*X27</f>
        <v>1327.3370516644823</v>
      </c>
      <c r="Q27" s="23">
        <f t="shared" si="3"/>
        <v>0.05</v>
      </c>
      <c r="R27" s="23">
        <f t="shared" si="4"/>
        <v>1.5</v>
      </c>
      <c r="S27" s="23">
        <f t="shared" si="5"/>
        <v>0.9</v>
      </c>
      <c r="T27" s="38">
        <f>N27*(1+Q27*(R27-1))*S27*战斗公式!$E$38+(P27*战斗公式!$E$39+1)*O27*战斗公式!$E$40</f>
        <v>7048.9372801038789</v>
      </c>
      <c r="U27" s="38">
        <f t="shared" si="6"/>
        <v>350.26296192305381</v>
      </c>
      <c r="V27" s="6">
        <f>VLOOKUP($N$1,$D$4:$J$15,MATCH(F$4,$D$4:$J$4,0),0)*角色成长!E40*角色成长!$L$15*AB27/AA27/(1+$Y$2*($Z$2-1))</f>
        <v>241.97928749352496</v>
      </c>
      <c r="W27" s="6">
        <f>VLOOKUP($N$1,$D$4:$J$15,MATCH(G$4,$D$4:$J$4,0),0)*角色成长!F40*角色成长!$L$15/(1+X27/角色成长!$N$16)</f>
        <v>7140.819538837959</v>
      </c>
      <c r="X27" s="6">
        <f>VLOOKUP($N$1,$D$4:$J$15,MATCH(H$4,$D$4:$J$4,0),0)*角色成长!G40*角色成长!$L$15</f>
        <v>2413.3400939354219</v>
      </c>
      <c r="Y27" s="1">
        <v>0.05</v>
      </c>
      <c r="Z27" s="1">
        <v>1.5</v>
      </c>
      <c r="AA27" s="1">
        <f>VLOOKUP($N$1,$D$4:$J$15,MATCH(I$4,$D$4:$J$4,0),0)*角色成长!J40</f>
        <v>0.9</v>
      </c>
      <c r="AB27" s="1">
        <f t="shared" si="1"/>
        <v>0.75</v>
      </c>
      <c r="AC27" s="6"/>
      <c r="AD27" s="21"/>
      <c r="AE27" s="21"/>
      <c r="AF27" s="21"/>
      <c r="AG27" s="9"/>
      <c r="AH27" s="9"/>
      <c r="AI27" s="9"/>
      <c r="AJ27" s="9"/>
      <c r="AK27" s="9"/>
      <c r="AL27" s="9"/>
    </row>
    <row r="28" spans="2:38" ht="14.25" customHeight="1" x14ac:dyDescent="0.2">
      <c r="B28" s="31"/>
      <c r="C28" s="6"/>
      <c r="E28" s="6"/>
      <c r="F28" s="6"/>
      <c r="G28" s="6"/>
      <c r="H28" s="6"/>
      <c r="I28" s="25"/>
      <c r="J28" s="6"/>
      <c r="K28" s="6"/>
      <c r="L28" s="6">
        <f t="shared" si="2"/>
        <v>2.9554126636131972</v>
      </c>
      <c r="M28" s="1">
        <v>24</v>
      </c>
      <c r="N28" s="6">
        <f>VLOOKUP($N$2,角色品星!$C$16:$D$20,2,0)*VLOOKUP($N$3,角色品星!$C$3:$E$14,3,0)*V28</f>
        <v>139.74303852751072</v>
      </c>
      <c r="O28" s="6">
        <f>VLOOKUP($N$2,角色品星!$C$16:$D$20,2,0)*VLOOKUP($N$3,角色品星!$C$3:$E$14,3,0)*W28</f>
        <v>4118.9701679408272</v>
      </c>
      <c r="P28" s="6">
        <f>VLOOKUP($N$2,角色品星!$C$16:$D$20,2,0)*VLOOKUP($N$3,角色品星!$C$3:$E$14,3,0)*X28</f>
        <v>1393.7039042477068</v>
      </c>
      <c r="Q28" s="23">
        <f t="shared" si="3"/>
        <v>0.05</v>
      </c>
      <c r="R28" s="23">
        <f t="shared" si="4"/>
        <v>1.5</v>
      </c>
      <c r="S28" s="23">
        <f t="shared" si="5"/>
        <v>0.9</v>
      </c>
      <c r="T28" s="38">
        <f>N28*(1+Q28*(R28-1))*S28*战斗公式!$E$38+(P28*战斗公式!$E$39+1)*O28*战斗公式!$E$40</f>
        <v>7399.2002420269328</v>
      </c>
      <c r="U28" s="38">
        <f t="shared" si="6"/>
        <v>367.55806168408799</v>
      </c>
      <c r="V28" s="6">
        <f>VLOOKUP($N$1,$D$4:$J$15,MATCH(F$4,$D$4:$J$4,0),0)*角色成长!E41*角色成长!$L$15*AB28/AA28/(1+$Y$2*($Z$2-1))</f>
        <v>254.07825186820131</v>
      </c>
      <c r="W28" s="6">
        <f>VLOOKUP($N$1,$D$4:$J$15,MATCH(G$4,$D$4:$J$4,0),0)*角色成长!F41*角色成长!$L$15/(1+X28/角色成长!$N$16)</f>
        <v>7489.0366689833209</v>
      </c>
      <c r="X28" s="6">
        <f>VLOOKUP($N$1,$D$4:$J$15,MATCH(H$4,$D$4:$J$4,0),0)*角色成长!G41*角色成长!$L$15</f>
        <v>2534.0070986321939</v>
      </c>
      <c r="Y28" s="1">
        <v>0.05</v>
      </c>
      <c r="Z28" s="1">
        <v>1.5</v>
      </c>
      <c r="AA28" s="1">
        <f>VLOOKUP($N$1,$D$4:$J$15,MATCH(I$4,$D$4:$J$4,0),0)*角色成长!J41</f>
        <v>0.9</v>
      </c>
      <c r="AB28" s="1">
        <f t="shared" si="1"/>
        <v>0.75</v>
      </c>
      <c r="AC28" s="6"/>
      <c r="AD28" s="21"/>
      <c r="AE28" s="21"/>
      <c r="AF28" s="21"/>
      <c r="AG28" s="9"/>
      <c r="AH28" s="9"/>
      <c r="AI28" s="9"/>
      <c r="AJ28" s="9"/>
      <c r="AK28" s="9"/>
      <c r="AL28" s="9"/>
    </row>
    <row r="29" spans="2:38" ht="14.25" customHeight="1" x14ac:dyDescent="0.2">
      <c r="B29" s="31"/>
      <c r="C29" s="6"/>
      <c r="E29" s="6"/>
      <c r="F29" s="6"/>
      <c r="G29" s="6"/>
      <c r="H29" s="6"/>
      <c r="I29" s="25"/>
      <c r="J29" s="6"/>
      <c r="K29" s="6"/>
      <c r="L29" s="6">
        <f t="shared" si="2"/>
        <v>2.9517651937804135</v>
      </c>
      <c r="M29" s="1">
        <v>25</v>
      </c>
      <c r="N29" s="6">
        <f>VLOOKUP($N$2,角色品星!$C$16:$D$20,2,0)*VLOOKUP($N$3,角色品星!$C$3:$E$14,3,0)*V29</f>
        <v>146.73019045388622</v>
      </c>
      <c r="O29" s="6">
        <f>VLOOKUP($N$2,角色品星!$C$16:$D$20,2,0)*VLOOKUP($N$3,角色品星!$C$3:$E$14,3,0)*W29</f>
        <v>4319.5810087439622</v>
      </c>
      <c r="P29" s="6">
        <f>VLOOKUP($N$2,角色品星!$C$16:$D$20,2,0)*VLOOKUP($N$3,角色品星!$C$3:$E$14,3,0)*X29</f>
        <v>1463.3890994600918</v>
      </c>
      <c r="Q29" s="23">
        <f t="shared" si="3"/>
        <v>0.05</v>
      </c>
      <c r="R29" s="23">
        <f t="shared" si="4"/>
        <v>1.5</v>
      </c>
      <c r="S29" s="23">
        <f t="shared" si="5"/>
        <v>0.9</v>
      </c>
      <c r="T29" s="38">
        <f>N29*(1+Q29*(R29-1))*S29*战斗公式!$E$38+(P29*战斗公式!$E$39+1)*O29*战斗公式!$E$40</f>
        <v>7766.7583037110207</v>
      </c>
      <c r="U29" s="38">
        <f t="shared" si="6"/>
        <v>385.6964561065779</v>
      </c>
      <c r="V29" s="6">
        <f>VLOOKUP($N$1,$D$4:$J$15,MATCH(F$4,$D$4:$J$4,0),0)*角色成长!E42*角色成长!$L$15*AB29/AA29/(1+$Y$2*($Z$2-1))</f>
        <v>266.78216446161127</v>
      </c>
      <c r="W29" s="6">
        <f>VLOOKUP($N$1,$D$4:$J$15,MATCH(G$4,$D$4:$J$4,0),0)*角色成长!F42*角色成长!$L$15/(1+X29/角色成长!$N$16)</f>
        <v>7853.7836522617481</v>
      </c>
      <c r="X29" s="6">
        <f>VLOOKUP($N$1,$D$4:$J$15,MATCH(H$4,$D$4:$J$4,0),0)*角色成长!G42*角色成长!$L$15</f>
        <v>2660.707453563803</v>
      </c>
      <c r="Y29" s="1">
        <v>0.05</v>
      </c>
      <c r="Z29" s="1">
        <v>1.5</v>
      </c>
      <c r="AA29" s="1">
        <f>VLOOKUP($N$1,$D$4:$J$15,MATCH(I$4,$D$4:$J$4,0),0)*角色成长!J42</f>
        <v>0.9</v>
      </c>
      <c r="AB29" s="1">
        <f t="shared" si="1"/>
        <v>0.75</v>
      </c>
      <c r="AC29" s="6"/>
      <c r="AD29" s="21"/>
      <c r="AE29" s="21"/>
      <c r="AF29" s="21"/>
      <c r="AG29" s="9"/>
      <c r="AH29" s="9"/>
      <c r="AI29" s="9"/>
      <c r="AJ29" s="9"/>
      <c r="AK29" s="9"/>
      <c r="AL29" s="9"/>
    </row>
    <row r="30" spans="2:38" ht="14.25" customHeight="1" x14ac:dyDescent="0.2">
      <c r="B30" s="31"/>
      <c r="C30" s="6"/>
      <c r="E30" s="6"/>
      <c r="F30" s="6"/>
      <c r="G30" s="6"/>
      <c r="H30" s="6"/>
      <c r="I30" s="25"/>
      <c r="J30" s="6"/>
      <c r="K30" s="6"/>
      <c r="L30" s="6">
        <f t="shared" si="2"/>
        <v>2.9479450275736343</v>
      </c>
      <c r="M30" s="1">
        <v>26</v>
      </c>
      <c r="N30" s="6">
        <f>VLOOKUP($N$2,角色品星!$C$16:$D$20,2,0)*VLOOKUP($N$3,角色品星!$C$3:$E$14,3,0)*V30</f>
        <v>154.06669997658054</v>
      </c>
      <c r="O30" s="6">
        <f>VLOOKUP($N$2,角色品星!$C$16:$D$20,2,0)*VLOOKUP($N$3,角色品星!$C$3:$E$14,3,0)*W30</f>
        <v>4529.6901501167777</v>
      </c>
      <c r="P30" s="6">
        <f>VLOOKUP($N$2,角色品星!$C$16:$D$20,2,0)*VLOOKUP($N$3,角色品星!$C$3:$E$14,3,0)*X30</f>
        <v>1536.5585544330963</v>
      </c>
      <c r="Q30" s="23">
        <f t="shared" si="3"/>
        <v>0.05</v>
      </c>
      <c r="R30" s="23">
        <f t="shared" si="4"/>
        <v>1.5</v>
      </c>
      <c r="S30" s="23">
        <f t="shared" si="5"/>
        <v>0.9</v>
      </c>
      <c r="T30" s="38">
        <f>N30*(1+Q30*(R30-1))*S30*战斗公式!$E$38+(P30*战斗公式!$E$39+1)*O30*战斗公式!$E$40</f>
        <v>8152.4547598175986</v>
      </c>
      <c r="U30" s="38">
        <f t="shared" si="6"/>
        <v>404.71824526416185</v>
      </c>
      <c r="V30" s="6">
        <f>VLOOKUP($N$1,$D$4:$J$15,MATCH(F$4,$D$4:$J$4,0),0)*角色成长!E43*角色成长!$L$15*AB30/AA30/(1+$Y$2*($Z$2-1))</f>
        <v>280.12127268469186</v>
      </c>
      <c r="W30" s="6">
        <f>VLOOKUP($N$1,$D$4:$J$15,MATCH(G$4,$D$4:$J$4,0),0)*角色成长!F43*角色成长!$L$15/(1+X30/角色成长!$N$16)</f>
        <v>8235.8002729395957</v>
      </c>
      <c r="X30" s="6">
        <f>VLOOKUP($N$1,$D$4:$J$15,MATCH(H$4,$D$4:$J$4,0),0)*角色成长!G43*角色成长!$L$15</f>
        <v>2793.742826241993</v>
      </c>
      <c r="Y30" s="1">
        <v>0.05</v>
      </c>
      <c r="Z30" s="1">
        <v>1.5</v>
      </c>
      <c r="AA30" s="1">
        <f>VLOOKUP($N$1,$D$4:$J$15,MATCH(I$4,$D$4:$J$4,0),0)*角色成长!J43</f>
        <v>0.9</v>
      </c>
      <c r="AB30" s="1">
        <f t="shared" si="1"/>
        <v>0.75</v>
      </c>
      <c r="AC30" s="6"/>
      <c r="AD30" s="21"/>
      <c r="AE30" s="21"/>
      <c r="AF30" s="21"/>
      <c r="AG30" s="9"/>
      <c r="AH30" s="9"/>
      <c r="AI30" s="9"/>
      <c r="AJ30" s="9"/>
      <c r="AK30" s="9"/>
      <c r="AL30" s="9"/>
    </row>
    <row r="31" spans="2:38" ht="14.25" customHeight="1" x14ac:dyDescent="0.2">
      <c r="B31" s="6"/>
      <c r="E31" s="6"/>
      <c r="F31" s="6"/>
      <c r="G31" s="6"/>
      <c r="H31" s="6"/>
      <c r="I31" s="25"/>
      <c r="J31" s="6"/>
      <c r="K31" s="6"/>
      <c r="L31" s="6">
        <f t="shared" si="2"/>
        <v>2.9439444806786477</v>
      </c>
      <c r="M31" s="1">
        <v>27</v>
      </c>
      <c r="N31" s="6">
        <f>VLOOKUP($N$2,角色品星!$C$16:$D$20,2,0)*VLOOKUP($N$3,角色品星!$C$3:$E$14,3,0)*V31</f>
        <v>161.77003497540954</v>
      </c>
      <c r="O31" s="6">
        <f>VLOOKUP($N$2,角色品星!$C$16:$D$20,2,0)*VLOOKUP($N$3,角色品星!$C$3:$E$14,3,0)*W31</f>
        <v>4749.7202293410201</v>
      </c>
      <c r="P31" s="6">
        <f>VLOOKUP($N$2,角色品星!$C$16:$D$20,2,0)*VLOOKUP($N$3,角色品星!$C$3:$E$14,3,0)*X31</f>
        <v>1613.3864821547515</v>
      </c>
      <c r="Q31" s="23">
        <f t="shared" si="3"/>
        <v>0.05</v>
      </c>
      <c r="R31" s="23">
        <f t="shared" si="4"/>
        <v>1.5</v>
      </c>
      <c r="S31" s="23">
        <f t="shared" si="5"/>
        <v>0.9</v>
      </c>
      <c r="T31" s="38">
        <f>N31*(1+Q31*(R31-1))*S31*战斗公式!$E$38+(P31*战斗公式!$E$39+1)*O31*战斗公式!$E$40</f>
        <v>8557.1730050817605</v>
      </c>
      <c r="U31" s="38">
        <f t="shared" si="6"/>
        <v>424.66534280924861</v>
      </c>
      <c r="V31" s="6">
        <f>VLOOKUP($N$1,$D$4:$J$15,MATCH(F$4,$D$4:$J$4,0),0)*角色成长!E44*角色成长!$L$15*AB31/AA31/(1+$Y$2*($Z$2-1))</f>
        <v>294.12733631892644</v>
      </c>
      <c r="W31" s="6">
        <f>VLOOKUP($N$1,$D$4:$J$15,MATCH(G$4,$D$4:$J$4,0),0)*角色成长!F44*角色成长!$L$15/(1+X31/角色成长!$N$16)</f>
        <v>8635.8549624382176</v>
      </c>
      <c r="X31" s="6">
        <f>VLOOKUP($N$1,$D$4:$J$15,MATCH(H$4,$D$4:$J$4,0),0)*角色成长!G44*角色成长!$L$15</f>
        <v>2933.4299675540933</v>
      </c>
      <c r="Y31" s="1">
        <v>0.05</v>
      </c>
      <c r="Z31" s="1">
        <v>1.5</v>
      </c>
      <c r="AA31" s="1">
        <f>VLOOKUP($N$1,$D$4:$J$15,MATCH(I$4,$D$4:$J$4,0),0)*角色成长!J44</f>
        <v>0.9</v>
      </c>
      <c r="AB31" s="1">
        <f t="shared" si="1"/>
        <v>0.75</v>
      </c>
      <c r="AC31" s="6"/>
      <c r="AD31" s="21"/>
      <c r="AE31" s="21"/>
      <c r="AF31" s="21"/>
      <c r="AG31" s="9"/>
      <c r="AH31" s="9"/>
      <c r="AI31" s="9"/>
      <c r="AJ31" s="9"/>
      <c r="AK31" s="9"/>
      <c r="AL31" s="9"/>
    </row>
    <row r="32" spans="2:38" ht="14.25" customHeight="1" x14ac:dyDescent="0.2">
      <c r="B32" s="6"/>
      <c r="E32" s="6"/>
      <c r="F32" s="6"/>
      <c r="G32" s="6"/>
      <c r="H32" s="6"/>
      <c r="I32" s="25"/>
      <c r="J32" s="6"/>
      <c r="K32" s="6"/>
      <c r="L32" s="6">
        <f t="shared" si="2"/>
        <v>2.9397555757204525</v>
      </c>
      <c r="M32" s="1">
        <v>28</v>
      </c>
      <c r="N32" s="6">
        <f>VLOOKUP($N$2,角色品星!$C$16:$D$20,2,0)*VLOOKUP($N$3,角色品星!$C$3:$E$14,3,0)*V32</f>
        <v>169.85853672418008</v>
      </c>
      <c r="O32" s="6">
        <f>VLOOKUP($N$2,角色品星!$C$16:$D$20,2,0)*VLOOKUP($N$3,角色品星!$C$3:$E$14,3,0)*W32</f>
        <v>4980.1100020417589</v>
      </c>
      <c r="P32" s="6">
        <f>VLOOKUP($N$2,角色品星!$C$16:$D$20,2,0)*VLOOKUP($N$3,角色品星!$C$3:$E$14,3,0)*X32</f>
        <v>1694.0558062624891</v>
      </c>
      <c r="Q32" s="23">
        <f t="shared" si="3"/>
        <v>0.05</v>
      </c>
      <c r="R32" s="23">
        <f t="shared" si="4"/>
        <v>1.5</v>
      </c>
      <c r="S32" s="23">
        <f t="shared" si="5"/>
        <v>0.9</v>
      </c>
      <c r="T32" s="38">
        <f>N32*(1+Q32*(R32-1))*S32*战斗公式!$E$38+(P32*战斗公式!$E$39+1)*O32*战斗公式!$E$40</f>
        <v>8981.8383478910091</v>
      </c>
      <c r="U32" s="38">
        <f t="shared" si="6"/>
        <v>445.58154999339422</v>
      </c>
      <c r="V32" s="6">
        <f>VLOOKUP($N$1,$D$4:$J$15,MATCH(F$4,$D$4:$J$4,0),0)*角色成长!E45*角色成长!$L$15*AB32/AA32/(1+$Y$2*($Z$2-1))</f>
        <v>308.83370313487285</v>
      </c>
      <c r="W32" s="6">
        <f>VLOOKUP($N$1,$D$4:$J$15,MATCH(G$4,$D$4:$J$4,0),0)*角色成长!F45*角色成长!$L$15/(1+X32/角色成长!$N$16)</f>
        <v>9054.7454582577429</v>
      </c>
      <c r="X32" s="6">
        <f>VLOOKUP($N$1,$D$4:$J$15,MATCH(H$4,$D$4:$J$4,0),0)*角色成长!G45*角色成长!$L$15</f>
        <v>3080.101465931798</v>
      </c>
      <c r="Y32" s="1">
        <v>0.05</v>
      </c>
      <c r="Z32" s="1">
        <v>1.5</v>
      </c>
      <c r="AA32" s="1">
        <f>VLOOKUP($N$1,$D$4:$J$15,MATCH(I$4,$D$4:$J$4,0),0)*角色成长!J45</f>
        <v>0.9</v>
      </c>
      <c r="AB32" s="1">
        <f t="shared" si="1"/>
        <v>0.75</v>
      </c>
      <c r="AC32" s="6"/>
      <c r="AD32" s="21"/>
      <c r="AE32" s="21"/>
      <c r="AF32" s="21"/>
      <c r="AG32" s="9"/>
      <c r="AH32" s="9"/>
      <c r="AI32" s="9"/>
      <c r="AJ32" s="9"/>
      <c r="AK32" s="9"/>
      <c r="AL32" s="9"/>
    </row>
    <row r="33" spans="5:38" ht="14.25" customHeight="1" x14ac:dyDescent="0.2">
      <c r="E33" s="6"/>
      <c r="F33" s="6"/>
      <c r="G33" s="6"/>
      <c r="H33" s="6"/>
      <c r="I33" s="25"/>
      <c r="J33" s="6"/>
      <c r="K33" s="6"/>
      <c r="L33" s="6">
        <f t="shared" si="2"/>
        <v>2.9353700360176327</v>
      </c>
      <c r="M33" s="1">
        <v>29</v>
      </c>
      <c r="N33" s="6">
        <f>VLOOKUP($N$2,角色品星!$C$16:$D$20,2,0)*VLOOKUP($N$3,角色品星!$C$3:$E$14,3,0)*V33</f>
        <v>178.35146356038905</v>
      </c>
      <c r="O33" s="6">
        <f>VLOOKUP($N$2,角色品星!$C$16:$D$20,2,0)*VLOOKUP($N$3,角色品星!$C$3:$E$14,3,0)*W33</f>
        <v>5221.3146856968324</v>
      </c>
      <c r="P33" s="6">
        <f>VLOOKUP($N$2,角色品星!$C$16:$D$20,2,0)*VLOOKUP($N$3,角色品星!$C$3:$E$14,3,0)*X33</f>
        <v>1778.7585965756134</v>
      </c>
      <c r="Q33" s="23">
        <f t="shared" si="3"/>
        <v>0.05</v>
      </c>
      <c r="R33" s="23">
        <f t="shared" si="4"/>
        <v>1.5</v>
      </c>
      <c r="S33" s="23">
        <f t="shared" si="5"/>
        <v>0.9</v>
      </c>
      <c r="T33" s="38">
        <f>N33*(1+Q33*(R33-1))*S33*战斗公式!$E$38+(P33*战斗公式!$E$39+1)*O33*战斗公式!$E$40</f>
        <v>9427.4198978844033</v>
      </c>
      <c r="U33" s="38">
        <f t="shared" si="6"/>
        <v>467.51263210318939</v>
      </c>
      <c r="V33" s="6">
        <f>VLOOKUP($N$1,$D$4:$J$15,MATCH(F$4,$D$4:$J$4,0),0)*角色成长!E46*角色成长!$L$15*AB33/AA33/(1+$Y$2*($Z$2-1))</f>
        <v>324.27538829161642</v>
      </c>
      <c r="W33" s="6">
        <f>VLOOKUP($N$1,$D$4:$J$15,MATCH(G$4,$D$4:$J$4,0),0)*角色成长!F46*角色成长!$L$15/(1+X33/角色成长!$N$16)</f>
        <v>9493.2994285396944</v>
      </c>
      <c r="X33" s="6">
        <f>VLOOKUP($N$1,$D$4:$J$15,MATCH(H$4,$D$4:$J$4,0),0)*角色成长!G46*角色成长!$L$15</f>
        <v>3234.1065392283876</v>
      </c>
      <c r="Y33" s="1">
        <v>0.05</v>
      </c>
      <c r="Z33" s="1">
        <v>1.5</v>
      </c>
      <c r="AA33" s="1">
        <f>VLOOKUP($N$1,$D$4:$J$15,MATCH(I$4,$D$4:$J$4,0),0)*角色成长!J46</f>
        <v>0.9</v>
      </c>
      <c r="AB33" s="1">
        <f t="shared" si="1"/>
        <v>0.75</v>
      </c>
      <c r="AC33" s="6"/>
      <c r="AD33" s="21"/>
      <c r="AE33" s="21"/>
      <c r="AF33" s="21"/>
      <c r="AG33" s="9"/>
      <c r="AH33" s="9"/>
      <c r="AI33" s="9"/>
      <c r="AJ33" s="9"/>
      <c r="AK33" s="9"/>
      <c r="AL33" s="9"/>
    </row>
    <row r="34" spans="5:38" ht="14.25" customHeight="1" x14ac:dyDescent="0.2">
      <c r="E34" s="6"/>
      <c r="F34" s="6"/>
      <c r="G34" s="6"/>
      <c r="H34" s="6"/>
      <c r="I34" s="25"/>
      <c r="J34" s="6"/>
      <c r="K34" s="6"/>
      <c r="L34" s="6">
        <f t="shared" si="2"/>
        <v>2.9307792797494656</v>
      </c>
      <c r="M34" s="1">
        <v>30</v>
      </c>
      <c r="N34" s="6">
        <f>VLOOKUP($N$2,角色品星!$C$16:$D$20,2,0)*VLOOKUP($N$3,角色品星!$C$3:$E$14,3,0)*V34</f>
        <v>187.26903673840857</v>
      </c>
      <c r="O34" s="6">
        <f>VLOOKUP($N$2,角色品星!$C$16:$D$20,2,0)*VLOOKUP($N$3,角色品星!$C$3:$E$14,3,0)*W34</f>
        <v>5473.8062804460496</v>
      </c>
      <c r="P34" s="6">
        <f>VLOOKUP($N$2,角色品星!$C$16:$D$20,2,0)*VLOOKUP($N$3,角色品星!$C$3:$E$14,3,0)*X34</f>
        <v>1867.6965264043943</v>
      </c>
      <c r="Q34" s="23">
        <f t="shared" si="3"/>
        <v>0.05</v>
      </c>
      <c r="R34" s="23">
        <f t="shared" si="4"/>
        <v>1.5</v>
      </c>
      <c r="S34" s="23">
        <f t="shared" si="5"/>
        <v>0.9</v>
      </c>
      <c r="T34" s="38">
        <f>N34*(1+Q34*(R34-1))*S34*战斗公式!$E$38+(P34*战斗公式!$E$39+1)*O34*战斗公式!$E$40</f>
        <v>9894.9325299875927</v>
      </c>
      <c r="U34" s="38">
        <f t="shared" si="6"/>
        <v>490.50639735823461</v>
      </c>
      <c r="V34" s="6">
        <f>VLOOKUP($N$1,$D$4:$J$15,MATCH(F$4,$D$4:$J$4,0),0)*角色成长!E47*角色成长!$L$15*AB34/AA34/(1+$Y$2*($Z$2-1))</f>
        <v>340.48915770619737</v>
      </c>
      <c r="W34" s="6">
        <f>VLOOKUP($N$1,$D$4:$J$15,MATCH(G$4,$D$4:$J$4,0),0)*角色成长!F47*角色成长!$L$15/(1+X34/角色成长!$N$16)</f>
        <v>9952.3750553564532</v>
      </c>
      <c r="X34" s="6">
        <f>VLOOKUP($N$1,$D$4:$J$15,MATCH(H$4,$D$4:$J$4,0),0)*角色成长!G47*角色成长!$L$15</f>
        <v>3395.8118661898075</v>
      </c>
      <c r="Y34" s="1">
        <v>0.05</v>
      </c>
      <c r="Z34" s="1">
        <v>1.5</v>
      </c>
      <c r="AA34" s="1">
        <f>VLOOKUP($N$1,$D$4:$J$15,MATCH(I$4,$D$4:$J$4,0),0)*角色成长!J47</f>
        <v>0.9</v>
      </c>
      <c r="AB34" s="1">
        <f t="shared" si="1"/>
        <v>0.75</v>
      </c>
      <c r="AC34" s="6"/>
      <c r="AD34" s="21"/>
      <c r="AE34" s="21"/>
      <c r="AF34" s="21"/>
      <c r="AG34" s="9"/>
      <c r="AH34" s="9"/>
      <c r="AI34" s="9"/>
      <c r="AJ34" s="9"/>
      <c r="AK34" s="9"/>
      <c r="AL34" s="9"/>
    </row>
    <row r="35" spans="5:38" ht="14.25" customHeight="1" x14ac:dyDescent="0.2">
      <c r="E35" s="6"/>
      <c r="F35" s="6"/>
      <c r="G35" s="6"/>
      <c r="H35" s="6"/>
      <c r="I35" s="25"/>
      <c r="J35" s="6"/>
      <c r="K35" s="6"/>
      <c r="L35" s="6">
        <f t="shared" si="2"/>
        <v>2.925974414611328</v>
      </c>
      <c r="M35" s="1">
        <v>31</v>
      </c>
      <c r="N35" s="6">
        <f>VLOOKUP($N$2,角色品星!$C$16:$D$20,2,0)*VLOOKUP($N$3,角色品星!$C$3:$E$14,3,0)*V35</f>
        <v>196.63248857532889</v>
      </c>
      <c r="O35" s="6">
        <f>VLOOKUP($N$2,角色品星!$C$16:$D$20,2,0)*VLOOKUP($N$3,角色品星!$C$3:$E$14,3,0)*W35</f>
        <v>5738.0738630435917</v>
      </c>
      <c r="P35" s="6">
        <f>VLOOKUP($N$2,角色品星!$C$16:$D$20,2,0)*VLOOKUP($N$3,角色品星!$C$3:$E$14,3,0)*X35</f>
        <v>1961.0813527246132</v>
      </c>
      <c r="Q35" s="23">
        <f t="shared" si="3"/>
        <v>0.05</v>
      </c>
      <c r="R35" s="23">
        <f t="shared" si="4"/>
        <v>1.5</v>
      </c>
      <c r="S35" s="23">
        <f t="shared" si="5"/>
        <v>0.9</v>
      </c>
      <c r="T35" s="38">
        <f>N35*(1+Q35*(R35-1))*S35*战斗公式!$E$38+(P35*战斗公式!$E$39+1)*O35*战斗公式!$E$40</f>
        <v>10385.438927345827</v>
      </c>
      <c r="U35" s="38">
        <f t="shared" si="6"/>
        <v>514.61277831992993</v>
      </c>
      <c r="V35" s="6">
        <f>VLOOKUP($N$1,$D$4:$J$15,MATCH(F$4,$D$4:$J$4,0),0)*角色成长!E48*角色成长!$L$15*AB35/AA35/(1+$Y$2*($Z$2-1))</f>
        <v>357.51361559150706</v>
      </c>
      <c r="W35" s="6">
        <f>VLOOKUP($N$1,$D$4:$J$15,MATCH(G$4,$D$4:$J$4,0),0)*角色成长!F48*角色成长!$L$15/(1+X35/角色成长!$N$16)</f>
        <v>10432.861569170165</v>
      </c>
      <c r="X35" s="6">
        <f>VLOOKUP($N$1,$D$4:$J$15,MATCH(H$4,$D$4:$J$4,0),0)*角色成长!G48*角色成长!$L$15</f>
        <v>3565.6024594992964</v>
      </c>
      <c r="Y35" s="1">
        <v>0.05</v>
      </c>
      <c r="Z35" s="1">
        <v>1.5</v>
      </c>
      <c r="AA35" s="1">
        <f>VLOOKUP($N$1,$D$4:$J$15,MATCH(I$4,$D$4:$J$4,0),0)*角色成长!J48</f>
        <v>0.9</v>
      </c>
      <c r="AB35" s="1">
        <f t="shared" si="1"/>
        <v>0.75</v>
      </c>
      <c r="AC35" s="6"/>
      <c r="AD35" s="21"/>
      <c r="AE35" s="21"/>
      <c r="AF35" s="21"/>
      <c r="AG35" s="9"/>
      <c r="AH35" s="9"/>
      <c r="AI35" s="9"/>
      <c r="AJ35" s="9"/>
      <c r="AK35" s="9"/>
      <c r="AL35" s="9"/>
    </row>
    <row r="36" spans="5:38" ht="14.25" customHeight="1" x14ac:dyDescent="0.2">
      <c r="E36" s="6"/>
      <c r="F36" s="6"/>
      <c r="G36" s="6"/>
      <c r="H36" s="6"/>
      <c r="I36" s="25"/>
      <c r="J36" s="6"/>
      <c r="K36" s="6"/>
      <c r="L36" s="6">
        <f t="shared" si="2"/>
        <v>2.9209462330407789</v>
      </c>
      <c r="M36" s="1">
        <v>32</v>
      </c>
      <c r="N36" s="6">
        <f>VLOOKUP($N$2,角色品星!$C$16:$D$20,2,0)*VLOOKUP($N$3,角色品星!$C$3:$E$14,3,0)*V36</f>
        <v>206.46411300409542</v>
      </c>
      <c r="O36" s="6">
        <f>VLOOKUP($N$2,角色品星!$C$16:$D$20,2,0)*VLOOKUP($N$3,角色品星!$C$3:$E$14,3,0)*W36</f>
        <v>6014.6238494238496</v>
      </c>
      <c r="P36" s="6">
        <f>VLOOKUP($N$2,角色品星!$C$16:$D$20,2,0)*VLOOKUP($N$3,角色品星!$C$3:$E$14,3,0)*X36</f>
        <v>2059.1354203608444</v>
      </c>
      <c r="Q36" s="23">
        <f t="shared" si="3"/>
        <v>0.05</v>
      </c>
      <c r="R36" s="23">
        <f t="shared" si="4"/>
        <v>1.5</v>
      </c>
      <c r="S36" s="23">
        <f t="shared" si="5"/>
        <v>0.9</v>
      </c>
      <c r="T36" s="38">
        <f>N36*(1+Q36*(R36-1))*S36*战斗公式!$E$38+(P36*战斗公式!$E$39+1)*O36*战斗公式!$E$40</f>
        <v>10900.051705665757</v>
      </c>
      <c r="U36" s="38">
        <f t="shared" si="6"/>
        <v>539.88391586254329</v>
      </c>
      <c r="V36" s="6">
        <f>VLOOKUP($N$1,$D$4:$J$15,MATCH(F$4,$D$4:$J$4,0),0)*角色成长!E49*角色成长!$L$15*AB36/AA36/(1+$Y$2*($Z$2-1))</f>
        <v>375.38929637108254</v>
      </c>
      <c r="W36" s="6">
        <f>VLOOKUP($N$1,$D$4:$J$15,MATCH(G$4,$D$4:$J$4,0),0)*角色成长!F49*角色成长!$L$15/(1+X36/角色成长!$N$16)</f>
        <v>10935.67972622518</v>
      </c>
      <c r="X36" s="6">
        <f>VLOOKUP($N$1,$D$4:$J$15,MATCH(H$4,$D$4:$J$4,0),0)*角色成长!G49*角色成长!$L$15</f>
        <v>3743.8825824742626</v>
      </c>
      <c r="Y36" s="1">
        <v>0.05</v>
      </c>
      <c r="Z36" s="1">
        <v>1.5</v>
      </c>
      <c r="AA36" s="1">
        <f>VLOOKUP($N$1,$D$4:$J$15,MATCH(I$4,$D$4:$J$4,0),0)*角色成长!J49</f>
        <v>0.9</v>
      </c>
      <c r="AB36" s="1">
        <f t="shared" si="1"/>
        <v>0.75</v>
      </c>
      <c r="AC36" s="6"/>
      <c r="AD36" s="21"/>
      <c r="AE36" s="21"/>
      <c r="AF36" s="21"/>
      <c r="AG36" s="9"/>
      <c r="AH36" s="9"/>
      <c r="AI36" s="9"/>
      <c r="AJ36" s="9"/>
      <c r="AK36" s="9"/>
      <c r="AL36" s="9"/>
    </row>
    <row r="37" spans="5:38" ht="14.25" customHeight="1" x14ac:dyDescent="0.2">
      <c r="E37" s="6"/>
      <c r="F37" s="6"/>
      <c r="G37" s="6"/>
      <c r="H37" s="6"/>
      <c r="I37" s="25"/>
      <c r="J37" s="6"/>
      <c r="K37" s="6"/>
      <c r="L37" s="6">
        <f t="shared" si="2"/>
        <v>2.9156852081037568</v>
      </c>
      <c r="M37" s="1">
        <v>33</v>
      </c>
      <c r="N37" s="6">
        <f>VLOOKUP($N$2,角色品星!$C$16:$D$20,2,0)*VLOOKUP($N$3,角色品星!$C$3:$E$14,3,0)*V37</f>
        <v>216.78731865430018</v>
      </c>
      <c r="O37" s="6">
        <f>VLOOKUP($N$2,角色品星!$C$16:$D$20,2,0)*VLOOKUP($N$3,角色品星!$C$3:$E$14,3,0)*W37</f>
        <v>6303.9802209600566</v>
      </c>
      <c r="P37" s="6">
        <f>VLOOKUP($N$2,角色品星!$C$16:$D$20,2,0)*VLOOKUP($N$3,角色品星!$C$3:$E$14,3,0)*X37</f>
        <v>2162.0921913788866</v>
      </c>
      <c r="Q37" s="23">
        <f t="shared" si="3"/>
        <v>0.05</v>
      </c>
      <c r="R37" s="23">
        <f t="shared" si="4"/>
        <v>1.5</v>
      </c>
      <c r="S37" s="23">
        <f t="shared" si="5"/>
        <v>0.9</v>
      </c>
      <c r="T37" s="38">
        <f>N37*(1+Q37*(R37-1))*S37*战斗公式!$E$38+(P37*战斗公式!$E$39+1)*O37*战斗公式!$E$40</f>
        <v>11439.935621528301</v>
      </c>
      <c r="U37" s="38">
        <f t="shared" si="6"/>
        <v>566.37424576256308</v>
      </c>
      <c r="V37" s="6">
        <f>VLOOKUP($N$1,$D$4:$J$15,MATCH(F$4,$D$4:$J$4,0),0)*角色成长!E50*角色成长!$L$15*AB37/AA37/(1+$Y$2*($Z$2-1))</f>
        <v>394.15876118963666</v>
      </c>
      <c r="W37" s="6">
        <f>VLOOKUP($N$1,$D$4:$J$15,MATCH(G$4,$D$4:$J$4,0),0)*角色成长!F50*角色成长!$L$15/(1+X37/角色成长!$N$16)</f>
        <v>11461.782219927374</v>
      </c>
      <c r="X37" s="6">
        <f>VLOOKUP($N$1,$D$4:$J$15,MATCH(H$4,$D$4:$J$4,0),0)*角色成长!G50*角色成长!$L$15</f>
        <v>3931.0767115979756</v>
      </c>
      <c r="Y37" s="1">
        <v>0.05</v>
      </c>
      <c r="Z37" s="1">
        <v>1.5</v>
      </c>
      <c r="AA37" s="1">
        <f>VLOOKUP($N$1,$D$4:$J$15,MATCH(I$4,$D$4:$J$4,0),0)*角色成长!J50</f>
        <v>0.9</v>
      </c>
      <c r="AB37" s="1">
        <f t="shared" ref="AB37:AB68" si="7">VLOOKUP($N$1,$D$4:$J$15,MATCH(J$4,$D$4:$J$4,0),0)</f>
        <v>0.75</v>
      </c>
      <c r="AC37" s="6"/>
      <c r="AD37" s="21"/>
      <c r="AE37" s="21"/>
      <c r="AF37" s="21"/>
      <c r="AG37" s="9"/>
      <c r="AH37" s="9"/>
      <c r="AI37" s="9"/>
      <c r="AJ37" s="9"/>
      <c r="AK37" s="9"/>
      <c r="AL37" s="9"/>
    </row>
    <row r="38" spans="5:38" ht="14.25" customHeight="1" x14ac:dyDescent="0.2">
      <c r="E38" s="6"/>
      <c r="F38" s="6"/>
      <c r="G38" s="6"/>
      <c r="H38" s="6"/>
      <c r="I38" s="25"/>
      <c r="J38" s="6"/>
      <c r="K38" s="6"/>
      <c r="L38" s="6">
        <f t="shared" si="2"/>
        <v>2.910181490137786</v>
      </c>
      <c r="M38" s="1">
        <v>34</v>
      </c>
      <c r="N38" s="6">
        <f>VLOOKUP($N$2,角色品星!$C$16:$D$20,2,0)*VLOOKUP($N$3,角色品星!$C$3:$E$14,3,0)*V38</f>
        <v>227.62668458701515</v>
      </c>
      <c r="O38" s="6">
        <f>VLOOKUP($N$2,角色品星!$C$16:$D$20,2,0)*VLOOKUP($N$3,角色品星!$C$3:$E$14,3,0)*W38</f>
        <v>6606.6847090883948</v>
      </c>
      <c r="P38" s="6">
        <f>VLOOKUP($N$2,角色品星!$C$16:$D$20,2,0)*VLOOKUP($N$3,角色品星!$C$3:$E$14,3,0)*X38</f>
        <v>2270.1968009478314</v>
      </c>
      <c r="Q38" s="23">
        <f t="shared" si="3"/>
        <v>0.05</v>
      </c>
      <c r="R38" s="23">
        <f t="shared" si="4"/>
        <v>1.5</v>
      </c>
      <c r="S38" s="23">
        <f t="shared" si="5"/>
        <v>0.9</v>
      </c>
      <c r="T38" s="38">
        <f>N38*(1+Q38*(R38-1))*S38*战斗公式!$E$38+(P38*战斗公式!$E$39+1)*O38*战斗公式!$E$40</f>
        <v>12006.309867290864</v>
      </c>
      <c r="U38" s="38">
        <f t="shared" si="6"/>
        <v>594.14058796714562</v>
      </c>
      <c r="V38" s="6">
        <f>VLOOKUP($N$1,$D$4:$J$15,MATCH(F$4,$D$4:$J$4,0),0)*角色成长!E51*角色成长!$L$15*AB38/AA38/(1+$Y$2*($Z$2-1))</f>
        <v>413.86669924911843</v>
      </c>
      <c r="W38" s="6">
        <f>VLOOKUP($N$1,$D$4:$J$15,MATCH(G$4,$D$4:$J$4,0),0)*角色成长!F51*角色成长!$L$15/(1+X38/角色成长!$N$16)</f>
        <v>12012.154016524353</v>
      </c>
      <c r="X38" s="6">
        <f>VLOOKUP($N$1,$D$4:$J$15,MATCH(H$4,$D$4:$J$4,0),0)*角色成长!G51*角色成长!$L$15</f>
        <v>4127.6305471778751</v>
      </c>
      <c r="Y38" s="1">
        <v>0.05</v>
      </c>
      <c r="Z38" s="1">
        <v>1.5</v>
      </c>
      <c r="AA38" s="1">
        <f>VLOOKUP($N$1,$D$4:$J$15,MATCH(I$4,$D$4:$J$4,0),0)*角色成长!J51</f>
        <v>0.9</v>
      </c>
      <c r="AB38" s="1">
        <f t="shared" si="7"/>
        <v>0.75</v>
      </c>
      <c r="AC38" s="6"/>
      <c r="AD38" s="21"/>
      <c r="AE38" s="21"/>
      <c r="AF38" s="21"/>
      <c r="AG38" s="9"/>
      <c r="AH38" s="9"/>
      <c r="AI38" s="9"/>
      <c r="AJ38" s="9"/>
      <c r="AK38" s="9"/>
      <c r="AL38" s="9"/>
    </row>
    <row r="39" spans="5:38" ht="14.25" customHeight="1" x14ac:dyDescent="0.2">
      <c r="E39" s="6"/>
      <c r="F39" s="6"/>
      <c r="G39" s="6"/>
      <c r="H39" s="6"/>
      <c r="I39" s="25"/>
      <c r="J39" s="6"/>
      <c r="K39" s="6"/>
      <c r="L39" s="6">
        <f t="shared" si="2"/>
        <v>2.9044249042566928</v>
      </c>
      <c r="M39" s="1">
        <v>35</v>
      </c>
      <c r="N39" s="6">
        <f>VLOOKUP($N$2,角色品星!$C$16:$D$20,2,0)*VLOOKUP($N$3,角色品星!$C$3:$E$14,3,0)*V39</f>
        <v>239.00801881636588</v>
      </c>
      <c r="O39" s="6">
        <f>VLOOKUP($N$2,角色品星!$C$16:$D$20,2,0)*VLOOKUP($N$3,角色品星!$C$3:$E$14,3,0)*W39</f>
        <v>6923.296932548591</v>
      </c>
      <c r="P39" s="6">
        <f>VLOOKUP($N$2,角色品星!$C$16:$D$20,2,0)*VLOOKUP($N$3,角色品星!$C$3:$E$14,3,0)*X39</f>
        <v>2383.7066409952222</v>
      </c>
      <c r="Q39" s="23">
        <f t="shared" si="3"/>
        <v>0.05</v>
      </c>
      <c r="R39" s="23">
        <f t="shared" si="4"/>
        <v>1.5</v>
      </c>
      <c r="S39" s="23">
        <f t="shared" si="5"/>
        <v>0.9</v>
      </c>
      <c r="T39" s="38">
        <f>N39*(1+Q39*(R39-1))*S39*战斗公式!$E$38+(P39*战斗公式!$E$39+1)*O39*战斗公式!$E$40</f>
        <v>12600.450455258009</v>
      </c>
      <c r="U39" s="38">
        <f t="shared" si="6"/>
        <v>623.24223861004248</v>
      </c>
      <c r="V39" s="6">
        <f>VLOOKUP($N$1,$D$4:$J$15,MATCH(F$4,$D$4:$J$4,0),0)*角色成长!E52*角色成长!$L$15*AB39/AA39/(1+$Y$2*($Z$2-1))</f>
        <v>434.5600342115743</v>
      </c>
      <c r="W39" s="6">
        <f>VLOOKUP($N$1,$D$4:$J$15,MATCH(G$4,$D$4:$J$4,0),0)*角色成长!F52*角色成长!$L$15/(1+X39/角色成长!$N$16)</f>
        <v>12587.8126046338</v>
      </c>
      <c r="X39" s="6">
        <f>VLOOKUP($N$1,$D$4:$J$15,MATCH(H$4,$D$4:$J$4,0),0)*角色成长!G52*角色成长!$L$15</f>
        <v>4334.0120745367676</v>
      </c>
      <c r="Y39" s="1">
        <v>0.05</v>
      </c>
      <c r="Z39" s="1">
        <v>1.5</v>
      </c>
      <c r="AA39" s="1">
        <f>VLOOKUP($N$1,$D$4:$J$15,MATCH(I$4,$D$4:$J$4,0),0)*角色成长!J52</f>
        <v>0.9</v>
      </c>
      <c r="AB39" s="1">
        <f t="shared" si="7"/>
        <v>0.75</v>
      </c>
      <c r="AC39" s="6"/>
      <c r="AD39" s="21"/>
      <c r="AE39" s="21"/>
      <c r="AF39" s="21"/>
      <c r="AG39" s="9"/>
      <c r="AH39" s="9"/>
      <c r="AI39" s="9"/>
      <c r="AJ39" s="9"/>
      <c r="AK39" s="9"/>
      <c r="AL39" s="9"/>
    </row>
    <row r="40" spans="5:38" ht="14.25" customHeight="1" x14ac:dyDescent="0.2">
      <c r="E40" s="6"/>
      <c r="F40" s="6"/>
      <c r="G40" s="6"/>
      <c r="H40" s="6"/>
      <c r="I40" s="25"/>
      <c r="J40" s="6"/>
      <c r="K40" s="6"/>
      <c r="L40" s="6">
        <f t="shared" si="2"/>
        <v>2.8984049488292385</v>
      </c>
      <c r="M40" s="1">
        <v>36</v>
      </c>
      <c r="N40" s="6">
        <f>VLOOKUP($N$2,角色品星!$C$16:$D$20,2,0)*VLOOKUP($N$3,角色品星!$C$3:$E$14,3,0)*V40</f>
        <v>250.95841975718429</v>
      </c>
      <c r="O40" s="6">
        <f>VLOOKUP($N$2,角色品星!$C$16:$D$20,2,0)*VLOOKUP($N$3,角色品星!$C$3:$E$14,3,0)*W40</f>
        <v>7254.3944810585581</v>
      </c>
      <c r="P40" s="6">
        <f>VLOOKUP($N$2,角色品星!$C$16:$D$20,2,0)*VLOOKUP($N$3,角色品星!$C$3:$E$14,3,0)*X40</f>
        <v>2502.8919730449838</v>
      </c>
      <c r="Q40" s="23">
        <f t="shared" si="3"/>
        <v>0.05</v>
      </c>
      <c r="R40" s="23">
        <f t="shared" si="4"/>
        <v>1.5</v>
      </c>
      <c r="S40" s="23">
        <f t="shared" si="5"/>
        <v>0.9</v>
      </c>
      <c r="T40" s="38">
        <f>N40*(1+Q40*(R40-1))*S40*战斗公式!$E$38+(P40*战斗公式!$E$39+1)*O40*战斗公式!$E$40</f>
        <v>13223.692693868052</v>
      </c>
      <c r="U40" s="38">
        <f t="shared" si="6"/>
        <v>653.74106485208904</v>
      </c>
      <c r="V40" s="6">
        <f>VLOOKUP($N$1,$D$4:$J$15,MATCH(F$4,$D$4:$J$4,0),0)*角色成长!E53*角色成长!$L$15*AB40/AA40/(1+$Y$2*($Z$2-1))</f>
        <v>456.2880359221532</v>
      </c>
      <c r="W40" s="6">
        <f>VLOOKUP($N$1,$D$4:$J$15,MATCH(G$4,$D$4:$J$4,0),0)*角色成长!F53*角色成长!$L$15/(1+X40/角色成长!$N$16)</f>
        <v>13189.808147379195</v>
      </c>
      <c r="X40" s="6">
        <f>VLOOKUP($N$1,$D$4:$J$15,MATCH(H$4,$D$4:$J$4,0),0)*角色成长!G53*角色成长!$L$15</f>
        <v>4550.7126782636069</v>
      </c>
      <c r="Y40" s="1">
        <v>0.05</v>
      </c>
      <c r="Z40" s="1">
        <v>1.5</v>
      </c>
      <c r="AA40" s="1">
        <f>VLOOKUP($N$1,$D$4:$J$15,MATCH(I$4,$D$4:$J$4,0),0)*角色成长!J53</f>
        <v>0.9</v>
      </c>
      <c r="AB40" s="1">
        <f t="shared" si="7"/>
        <v>0.75</v>
      </c>
      <c r="AC40" s="6"/>
      <c r="AD40" s="21"/>
      <c r="AE40" s="21"/>
      <c r="AF40" s="21"/>
      <c r="AG40" s="9"/>
      <c r="AH40" s="9"/>
      <c r="AI40" s="9"/>
      <c r="AJ40" s="9"/>
      <c r="AK40" s="9"/>
      <c r="AL40" s="9"/>
    </row>
    <row r="41" spans="5:38" ht="14.25" customHeight="1" x14ac:dyDescent="0.2">
      <c r="E41" s="6"/>
      <c r="F41" s="6"/>
      <c r="G41" s="6"/>
      <c r="H41" s="6"/>
      <c r="I41" s="25"/>
      <c r="J41" s="6"/>
      <c r="K41" s="6"/>
      <c r="L41" s="6">
        <f t="shared" si="2"/>
        <v>2.8921107950521665</v>
      </c>
      <c r="M41" s="1">
        <v>37</v>
      </c>
      <c r="N41" s="6">
        <f>VLOOKUP($N$2,角色品星!$C$16:$D$20,2,0)*VLOOKUP($N$3,角色品星!$C$3:$E$14,3,0)*V41</f>
        <v>263.50634074504342</v>
      </c>
      <c r="O41" s="6">
        <f>VLOOKUP($N$2,角色品星!$C$16:$D$20,2,0)*VLOOKUP($N$3,角色品星!$C$3:$E$14,3,0)*W41</f>
        <v>7600.5729387974552</v>
      </c>
      <c r="P41" s="6">
        <f>VLOOKUP($N$2,角色品星!$C$16:$D$20,2,0)*VLOOKUP($N$3,角色品星!$C$3:$E$14,3,0)*X41</f>
        <v>2628.0365716972333</v>
      </c>
      <c r="Q41" s="23">
        <f t="shared" si="3"/>
        <v>0.05</v>
      </c>
      <c r="R41" s="23">
        <f t="shared" si="4"/>
        <v>1.5</v>
      </c>
      <c r="S41" s="23">
        <f t="shared" si="5"/>
        <v>0.9</v>
      </c>
      <c r="T41" s="38">
        <f>N41*(1+Q41*(R41-1))*S41*战斗公式!$E$38+(P41*战斗公式!$E$39+1)*O41*战斗公式!$E$40</f>
        <v>13877.433758720141</v>
      </c>
      <c r="U41" s="38">
        <f t="shared" si="6"/>
        <v>685.70160263432081</v>
      </c>
      <c r="V41" s="6">
        <f>VLOOKUP($N$1,$D$4:$J$15,MATCH(F$4,$D$4:$J$4,0),0)*角色成长!E54*角色成长!$L$15*AB41/AA41/(1+$Y$2*($Z$2-1))</f>
        <v>479.10243771826072</v>
      </c>
      <c r="W41" s="6">
        <f>VLOOKUP($N$1,$D$4:$J$15,MATCH(G$4,$D$4:$J$4,0),0)*角色成长!F54*角色成长!$L$15/(1+X41/角色成长!$N$16)</f>
        <v>13819.223525086281</v>
      </c>
      <c r="X41" s="6">
        <f>VLOOKUP($N$1,$D$4:$J$15,MATCH(H$4,$D$4:$J$4,0),0)*角色成长!G54*角色成长!$L$15</f>
        <v>4778.2483121767873</v>
      </c>
      <c r="Y41" s="1">
        <v>0.05</v>
      </c>
      <c r="Z41" s="1">
        <v>1.5</v>
      </c>
      <c r="AA41" s="1">
        <f>VLOOKUP($N$1,$D$4:$J$15,MATCH(I$4,$D$4:$J$4,0),0)*角色成长!J54</f>
        <v>0.9</v>
      </c>
      <c r="AB41" s="1">
        <f t="shared" si="7"/>
        <v>0.75</v>
      </c>
      <c r="AC41" s="6"/>
      <c r="AD41" s="21"/>
      <c r="AE41" s="21"/>
      <c r="AF41" s="21"/>
      <c r="AG41" s="9"/>
      <c r="AH41" s="9"/>
      <c r="AI41" s="9"/>
      <c r="AJ41" s="9"/>
      <c r="AK41" s="9"/>
      <c r="AL41" s="9"/>
    </row>
    <row r="42" spans="5:38" ht="14.25" customHeight="1" x14ac:dyDescent="0.2">
      <c r="E42" s="6"/>
      <c r="F42" s="6"/>
      <c r="G42" s="6"/>
      <c r="H42" s="6"/>
      <c r="I42" s="25"/>
      <c r="J42" s="6"/>
      <c r="K42" s="6"/>
      <c r="L42" s="6">
        <f t="shared" si="2"/>
        <v>2.8855312877462582</v>
      </c>
      <c r="M42" s="1">
        <v>38</v>
      </c>
      <c r="N42" s="6">
        <f>VLOOKUP($N$2,角色品星!$C$16:$D$20,2,0)*VLOOKUP($N$3,角色品星!$C$3:$E$14,3,0)*V42</f>
        <v>276.68165778229564</v>
      </c>
      <c r="O42" s="6">
        <f>VLOOKUP($N$2,角色品星!$C$16:$D$20,2,0)*VLOOKUP($N$3,角色品星!$C$3:$E$14,3,0)*W42</f>
        <v>7962.4458406224676</v>
      </c>
      <c r="P42" s="6">
        <f>VLOOKUP($N$2,角色品星!$C$16:$D$20,2,0)*VLOOKUP($N$3,角色品星!$C$3:$E$14,3,0)*X42</f>
        <v>2759.4384002820948</v>
      </c>
      <c r="Q42" s="23">
        <f t="shared" si="3"/>
        <v>0.05</v>
      </c>
      <c r="R42" s="23">
        <f t="shared" si="4"/>
        <v>1.5</v>
      </c>
      <c r="S42" s="23">
        <f t="shared" si="5"/>
        <v>0.9</v>
      </c>
      <c r="T42" s="38">
        <f>N42*(1+Q42*(R42-1))*S42*战斗公式!$E$38+(P42*战斗公式!$E$39+1)*O42*战斗公式!$E$40</f>
        <v>14563.135361354462</v>
      </c>
      <c r="U42" s="38">
        <f t="shared" si="6"/>
        <v>719.19115744575356</v>
      </c>
      <c r="V42" s="6">
        <f>VLOOKUP($N$1,$D$4:$J$15,MATCH(F$4,$D$4:$J$4,0),0)*角色成长!E55*角色成长!$L$15*AB42/AA42/(1+$Y$2*($Z$2-1))</f>
        <v>503.05755960417383</v>
      </c>
      <c r="W42" s="6">
        <f>VLOOKUP($N$1,$D$4:$J$15,MATCH(G$4,$D$4:$J$4,0),0)*角色成长!F55*角色成长!$L$15/(1+X42/角色成长!$N$16)</f>
        <v>14477.174255677213</v>
      </c>
      <c r="X42" s="6">
        <f>VLOOKUP($N$1,$D$4:$J$15,MATCH(H$4,$D$4:$J$4,0),0)*角色成长!G55*角色成长!$L$15</f>
        <v>5017.1607277856265</v>
      </c>
      <c r="Y42" s="1">
        <v>0.05</v>
      </c>
      <c r="Z42" s="1">
        <v>1.5</v>
      </c>
      <c r="AA42" s="1">
        <f>VLOOKUP($N$1,$D$4:$J$15,MATCH(I$4,$D$4:$J$4,0),0)*角色成长!J55</f>
        <v>0.9</v>
      </c>
      <c r="AB42" s="1">
        <f t="shared" si="7"/>
        <v>0.75</v>
      </c>
      <c r="AC42" s="6"/>
      <c r="AD42" s="21"/>
      <c r="AE42" s="21"/>
      <c r="AF42" s="21"/>
      <c r="AG42" s="9"/>
      <c r="AH42" s="9"/>
      <c r="AI42" s="9"/>
      <c r="AJ42" s="9"/>
      <c r="AK42" s="9"/>
      <c r="AL42" s="9"/>
    </row>
    <row r="43" spans="5:38" ht="14.25" customHeight="1" x14ac:dyDescent="0.2">
      <c r="E43" s="6"/>
      <c r="F43" s="6"/>
      <c r="G43" s="6"/>
      <c r="H43" s="6"/>
      <c r="I43" s="25"/>
      <c r="J43" s="6"/>
      <c r="K43" s="6"/>
      <c r="L43" s="6">
        <f t="shared" si="2"/>
        <v>2.8786549475122367</v>
      </c>
      <c r="M43" s="1">
        <v>39</v>
      </c>
      <c r="N43" s="6">
        <f>VLOOKUP($N$2,角色品星!$C$16:$D$20,2,0)*VLOOKUP($N$3,角色品星!$C$3:$E$14,3,0)*V43</f>
        <v>290.5157406714103</v>
      </c>
      <c r="O43" s="6">
        <f>VLOOKUP($N$2,角色品星!$C$16:$D$20,2,0)*VLOOKUP($N$3,角色品星!$C$3:$E$14,3,0)*W43</f>
        <v>8340.6445534936684</v>
      </c>
      <c r="P43" s="6">
        <f>VLOOKUP($N$2,角色品星!$C$16:$D$20,2,0)*VLOOKUP($N$3,角色品星!$C$3:$E$14,3,0)*X43</f>
        <v>2897.4103202961992</v>
      </c>
      <c r="Q43" s="23">
        <f t="shared" si="3"/>
        <v>0.05</v>
      </c>
      <c r="R43" s="23">
        <f t="shared" si="4"/>
        <v>1.5</v>
      </c>
      <c r="S43" s="23">
        <f t="shared" si="5"/>
        <v>0.9</v>
      </c>
      <c r="T43" s="38">
        <f>N43*(1+Q43*(R43-1))*S43*战斗公式!$E$38+(P43*战斗公式!$E$39+1)*O43*战斗公式!$E$40</f>
        <v>15282.326518800215</v>
      </c>
      <c r="U43" s="38">
        <f t="shared" si="6"/>
        <v>754.27990822444917</v>
      </c>
      <c r="V43" s="6">
        <f>VLOOKUP($N$1,$D$4:$J$15,MATCH(F$4,$D$4:$J$4,0),0)*角色成长!E56*角色成长!$L$15*AB43/AA43/(1+$Y$2*($Z$2-1))</f>
        <v>528.21043758438236</v>
      </c>
      <c r="W43" s="6">
        <f>VLOOKUP($N$1,$D$4:$J$15,MATCH(G$4,$D$4:$J$4,0),0)*角色成长!F56*角色成长!$L$15/(1+X43/角色成长!$N$16)</f>
        <v>15164.808279079394</v>
      </c>
      <c r="X43" s="6">
        <f>VLOOKUP($N$1,$D$4:$J$15,MATCH(H$4,$D$4:$J$4,0),0)*角色成长!G56*角色成长!$L$15</f>
        <v>5268.0187641749071</v>
      </c>
      <c r="Y43" s="1">
        <v>0.05</v>
      </c>
      <c r="Z43" s="1">
        <v>1.5</v>
      </c>
      <c r="AA43" s="1">
        <f>VLOOKUP($N$1,$D$4:$J$15,MATCH(I$4,$D$4:$J$4,0),0)*角色成长!J56</f>
        <v>0.9</v>
      </c>
      <c r="AB43" s="1">
        <f t="shared" si="7"/>
        <v>0.75</v>
      </c>
      <c r="AC43" s="6"/>
      <c r="AD43" s="21"/>
      <c r="AE43" s="21"/>
      <c r="AF43" s="21"/>
      <c r="AG43" s="9"/>
      <c r="AH43" s="9"/>
      <c r="AI43" s="9"/>
      <c r="AJ43" s="9"/>
      <c r="AK43" s="9"/>
      <c r="AL43" s="9"/>
    </row>
    <row r="44" spans="5:38" ht="14.25" customHeight="1" x14ac:dyDescent="0.2">
      <c r="E44" s="6"/>
      <c r="F44" s="6"/>
      <c r="G44" s="6"/>
      <c r="H44" s="6"/>
      <c r="I44" s="25"/>
      <c r="J44" s="6"/>
      <c r="K44" s="6"/>
      <c r="L44" s="6">
        <f t="shared" si="2"/>
        <v>2.8714699743915082</v>
      </c>
      <c r="M44" s="1">
        <v>40</v>
      </c>
      <c r="N44" s="6">
        <f>VLOOKUP($N$2,角色品星!$C$16:$D$20,2,0)*VLOOKUP($N$3,角色品星!$C$3:$E$14,3,0)*V44</f>
        <v>305.04152770498098</v>
      </c>
      <c r="O44" s="6">
        <f>VLOOKUP($N$2,角色品星!$C$16:$D$20,2,0)*VLOOKUP($N$3,角色品星!$C$3:$E$14,3,0)*W44</f>
        <v>8735.8180751337513</v>
      </c>
      <c r="P44" s="6">
        <f>VLOOKUP($N$2,角色品星!$C$16:$D$20,2,0)*VLOOKUP($N$3,角色品星!$C$3:$E$14,3,0)*X44</f>
        <v>3042.2808363110098</v>
      </c>
      <c r="Q44" s="23">
        <f t="shared" si="3"/>
        <v>0.05</v>
      </c>
      <c r="R44" s="23">
        <f t="shared" si="4"/>
        <v>1.5</v>
      </c>
      <c r="S44" s="23">
        <f t="shared" si="5"/>
        <v>0.9</v>
      </c>
      <c r="T44" s="38">
        <f>N44*(1+Q44*(R44-1))*S44*战斗公式!$E$38+(P44*战斗公式!$E$39+1)*O44*战斗公式!$E$40</f>
        <v>16036.606427024664</v>
      </c>
      <c r="U44" s="38">
        <f t="shared" si="6"/>
        <v>791.04101453031035</v>
      </c>
      <c r="V44" s="6">
        <f>VLOOKUP($N$1,$D$4:$J$15,MATCH(F$4,$D$4:$J$4,0),0)*角色成长!E57*角色成长!$L$15*AB44/AA44/(1+$Y$2*($Z$2-1))</f>
        <v>554.62095946360171</v>
      </c>
      <c r="W44" s="6">
        <f>VLOOKUP($N$1,$D$4:$J$15,MATCH(G$4,$D$4:$J$4,0),0)*角色成长!F57*角色成长!$L$15/(1+X44/角色成长!$N$16)</f>
        <v>15883.305591152273</v>
      </c>
      <c r="X44" s="6">
        <f>VLOOKUP($N$1,$D$4:$J$15,MATCH(H$4,$D$4:$J$4,0),0)*角色成长!G57*角色成长!$L$15</f>
        <v>5531.4197023836541</v>
      </c>
      <c r="Y44" s="1">
        <v>0.05</v>
      </c>
      <c r="Z44" s="1">
        <v>1.5</v>
      </c>
      <c r="AA44" s="1">
        <f>VLOOKUP($N$1,$D$4:$J$15,MATCH(I$4,$D$4:$J$4,0),0)*角色成长!J57</f>
        <v>0.9</v>
      </c>
      <c r="AB44" s="1">
        <f t="shared" si="7"/>
        <v>0.75</v>
      </c>
      <c r="AC44" s="6"/>
      <c r="AD44" s="21"/>
      <c r="AE44" s="21"/>
      <c r="AF44" s="21"/>
      <c r="AG44" s="9"/>
      <c r="AH44" s="9"/>
      <c r="AI44" s="9"/>
      <c r="AJ44" s="9"/>
      <c r="AK44" s="9"/>
      <c r="AL44" s="9"/>
    </row>
    <row r="45" spans="5:38" ht="14.25" customHeight="1" x14ac:dyDescent="0.2">
      <c r="E45" s="6"/>
      <c r="F45" s="6"/>
      <c r="G45" s="6"/>
      <c r="H45" s="6"/>
      <c r="I45" s="25"/>
      <c r="J45" s="6"/>
      <c r="K45" s="6"/>
      <c r="L45" s="6">
        <f t="shared" si="2"/>
        <v>2.8639642531846548</v>
      </c>
      <c r="M45" s="1">
        <v>41</v>
      </c>
      <c r="N45" s="6">
        <f>VLOOKUP($N$2,角色品星!$C$16:$D$20,2,0)*VLOOKUP($N$3,角色品星!$C$3:$E$14,3,0)*V45</f>
        <v>320.29360409023002</v>
      </c>
      <c r="O45" s="6">
        <f>VLOOKUP($N$2,角色品星!$C$16:$D$20,2,0)*VLOOKUP($N$3,角色品星!$C$3:$E$14,3,0)*W45</f>
        <v>9148.6327415106207</v>
      </c>
      <c r="P45" s="6">
        <f>VLOOKUP($N$2,角色品星!$C$16:$D$20,2,0)*VLOOKUP($N$3,角色品星!$C$3:$E$14,3,0)*X45</f>
        <v>3194.3948781265603</v>
      </c>
      <c r="Q45" s="23">
        <f t="shared" si="3"/>
        <v>0.05</v>
      </c>
      <c r="R45" s="23">
        <f t="shared" si="4"/>
        <v>1.5</v>
      </c>
      <c r="S45" s="23">
        <f t="shared" si="5"/>
        <v>0.9</v>
      </c>
      <c r="T45" s="38">
        <f>N45*(1+Q45*(R45-1))*S45*战斗公式!$E$38+(P45*战斗公式!$E$39+1)*O45*战斗公式!$E$40</f>
        <v>16827.647441554975</v>
      </c>
      <c r="U45" s="38">
        <f t="shared" si="6"/>
        <v>829.55072715270944</v>
      </c>
      <c r="V45" s="6">
        <f>VLOOKUP($N$1,$D$4:$J$15,MATCH(F$4,$D$4:$J$4,0),0)*角色成长!E58*角色成长!$L$15*AB45/AA45/(1+$Y$2*($Z$2-1))</f>
        <v>582.35200743678183</v>
      </c>
      <c r="W45" s="6">
        <f>VLOOKUP($N$1,$D$4:$J$15,MATCH(G$4,$D$4:$J$4,0),0)*角色成长!F58*角色成长!$L$15/(1+X45/角色成长!$N$16)</f>
        <v>16633.877711837489</v>
      </c>
      <c r="X45" s="6">
        <f>VLOOKUP($N$1,$D$4:$J$15,MATCH(H$4,$D$4:$J$4,0),0)*角色成长!G58*角色成长!$L$15</f>
        <v>5807.9906875028364</v>
      </c>
      <c r="Y45" s="1">
        <v>0.05</v>
      </c>
      <c r="Z45" s="1">
        <v>1.5</v>
      </c>
      <c r="AA45" s="1">
        <f>VLOOKUP($N$1,$D$4:$J$15,MATCH(I$4,$D$4:$J$4,0),0)*角色成长!J58</f>
        <v>0.9</v>
      </c>
      <c r="AB45" s="1">
        <f t="shared" si="7"/>
        <v>0.75</v>
      </c>
      <c r="AC45" s="6"/>
      <c r="AD45" s="21"/>
      <c r="AE45" s="21"/>
      <c r="AF45" s="21"/>
      <c r="AG45" s="9"/>
      <c r="AH45" s="9"/>
      <c r="AI45" s="9"/>
      <c r="AJ45" s="9"/>
      <c r="AK45" s="9"/>
      <c r="AL45" s="9"/>
    </row>
    <row r="46" spans="5:38" ht="14.25" customHeight="1" x14ac:dyDescent="0.2">
      <c r="E46" s="6"/>
      <c r="F46" s="6"/>
      <c r="G46" s="6"/>
      <c r="H46" s="6"/>
      <c r="I46" s="25"/>
      <c r="J46" s="6"/>
      <c r="K46" s="6"/>
      <c r="L46" s="6">
        <f t="shared" si="2"/>
        <v>2.8561253605883352</v>
      </c>
      <c r="M46" s="1">
        <v>42</v>
      </c>
      <c r="N46" s="6">
        <f>VLOOKUP($N$2,角色品星!$C$16:$D$20,2,0)*VLOOKUP($N$3,角色品星!$C$3:$E$14,3,0)*V46</f>
        <v>336.30828429474144</v>
      </c>
      <c r="O46" s="6">
        <f>VLOOKUP($N$2,角色品星!$C$16:$D$20,2,0)*VLOOKUP($N$3,角色品星!$C$3:$E$14,3,0)*W46</f>
        <v>9579.7718343082888</v>
      </c>
      <c r="P46" s="6">
        <f>VLOOKUP($N$2,角色品星!$C$16:$D$20,2,0)*VLOOKUP($N$3,角色品星!$C$3:$E$14,3,0)*X46</f>
        <v>3354.1146220328878</v>
      </c>
      <c r="Q46" s="23">
        <f t="shared" si="3"/>
        <v>0.05</v>
      </c>
      <c r="R46" s="23">
        <f t="shared" si="4"/>
        <v>1.5</v>
      </c>
      <c r="S46" s="23">
        <f t="shared" si="5"/>
        <v>0.9</v>
      </c>
      <c r="T46" s="38">
        <f>N46*(1+Q46*(R46-1))*S46*战斗公式!$E$38+(P46*战斗公式!$E$39+1)*O46*战斗公式!$E$40</f>
        <v>17657.198168707684</v>
      </c>
      <c r="U46" s="38">
        <f t="shared" si="6"/>
        <v>869.88850234327037</v>
      </c>
      <c r="V46" s="6">
        <f>VLOOKUP($N$1,$D$4:$J$15,MATCH(F$4,$D$4:$J$4,0),0)*角色成长!E59*角色成长!$L$15*AB46/AA46/(1+$Y$2*($Z$2-1))</f>
        <v>611.46960780862071</v>
      </c>
      <c r="W46" s="6">
        <f>VLOOKUP($N$1,$D$4:$J$15,MATCH(G$4,$D$4:$J$4,0),0)*角色成长!F59*角色成长!$L$15/(1+X46/角色成长!$N$16)</f>
        <v>17417.766971469613</v>
      </c>
      <c r="X46" s="6">
        <f>VLOOKUP($N$1,$D$4:$J$15,MATCH(H$4,$D$4:$J$4,0),0)*角色成长!G59*角色成长!$L$15</f>
        <v>6098.3902218779776</v>
      </c>
      <c r="Y46" s="1">
        <v>0.05</v>
      </c>
      <c r="Z46" s="1">
        <v>1.5</v>
      </c>
      <c r="AA46" s="1">
        <f>VLOOKUP($N$1,$D$4:$J$15,MATCH(I$4,$D$4:$J$4,0),0)*角色成长!J59</f>
        <v>0.9</v>
      </c>
      <c r="AB46" s="1">
        <f t="shared" si="7"/>
        <v>0.75</v>
      </c>
      <c r="AC46" s="6"/>
      <c r="AD46" s="21"/>
      <c r="AE46" s="21"/>
      <c r="AF46" s="21"/>
      <c r="AG46" s="9"/>
      <c r="AH46" s="9"/>
      <c r="AI46" s="9"/>
      <c r="AJ46" s="9"/>
      <c r="AK46" s="9"/>
      <c r="AL46" s="9"/>
    </row>
    <row r="47" spans="5:38" ht="14.25" customHeight="1" x14ac:dyDescent="0.2">
      <c r="E47" s="6"/>
      <c r="F47" s="6"/>
      <c r="G47" s="6"/>
      <c r="H47" s="6"/>
      <c r="I47" s="25"/>
      <c r="J47" s="6"/>
      <c r="K47" s="6"/>
      <c r="L47" s="6">
        <f t="shared" si="2"/>
        <v>2.8479405743184416</v>
      </c>
      <c r="M47" s="1">
        <v>43</v>
      </c>
      <c r="N47" s="6">
        <f>VLOOKUP($N$2,角色品星!$C$16:$D$20,2,0)*VLOOKUP($N$3,角色品星!$C$3:$E$14,3,0)*V47</f>
        <v>353.12369850947863</v>
      </c>
      <c r="O47" s="6">
        <f>VLOOKUP($N$2,角色品星!$C$16:$D$20,2,0)*VLOOKUP($N$3,角色品星!$C$3:$E$14,3,0)*W47</f>
        <v>10029.935079152337</v>
      </c>
      <c r="P47" s="6">
        <f>VLOOKUP($N$2,角色品星!$C$16:$D$20,2,0)*VLOOKUP($N$3,角色品星!$C$3:$E$14,3,0)*X47</f>
        <v>3521.8203531345325</v>
      </c>
      <c r="Q47" s="23">
        <f t="shared" si="3"/>
        <v>0.05</v>
      </c>
      <c r="R47" s="23">
        <f t="shared" si="4"/>
        <v>1.5</v>
      </c>
      <c r="S47" s="23">
        <f t="shared" si="5"/>
        <v>0.9</v>
      </c>
      <c r="T47" s="38">
        <f>N47*(1+Q47*(R47-1))*S47*战斗公式!$E$38+(P47*战斗公式!$E$39+1)*O47*战斗公式!$E$40</f>
        <v>18527.086671050954</v>
      </c>
      <c r="U47" s="38">
        <f t="shared" si="6"/>
        <v>912.13711989869262</v>
      </c>
      <c r="V47" s="6">
        <f>VLOOKUP($N$1,$D$4:$J$15,MATCH(F$4,$D$4:$J$4,0),0)*角色成长!E60*角色成长!$L$15*AB47/AA47/(1+$Y$2*($Z$2-1))</f>
        <v>642.04308819905202</v>
      </c>
      <c r="W47" s="6">
        <f>VLOOKUP($N$1,$D$4:$J$15,MATCH(G$4,$D$4:$J$4,0),0)*角色成长!F60*角色成长!$L$15/(1+X47/角色成长!$N$16)</f>
        <v>18236.245598458794</v>
      </c>
      <c r="X47" s="6">
        <f>VLOOKUP($N$1,$D$4:$J$15,MATCH(H$4,$D$4:$J$4,0),0)*角色成长!G60*角色成长!$L$15</f>
        <v>6403.3097329718767</v>
      </c>
      <c r="Y47" s="1">
        <v>0.05</v>
      </c>
      <c r="Z47" s="1">
        <v>1.5</v>
      </c>
      <c r="AA47" s="1">
        <f>VLOOKUP($N$1,$D$4:$J$15,MATCH(I$4,$D$4:$J$4,0),0)*角色成长!J60</f>
        <v>0.9</v>
      </c>
      <c r="AB47" s="1">
        <f t="shared" si="7"/>
        <v>0.75</v>
      </c>
      <c r="AC47" s="6"/>
      <c r="AD47" s="21"/>
      <c r="AE47" s="21"/>
      <c r="AF47" s="21"/>
      <c r="AG47" s="9"/>
      <c r="AH47" s="9"/>
      <c r="AI47" s="9"/>
      <c r="AJ47" s="9"/>
      <c r="AK47" s="9"/>
      <c r="AL47" s="9"/>
    </row>
    <row r="48" spans="5:38" ht="14.25" customHeight="1" x14ac:dyDescent="0.2">
      <c r="E48" s="6"/>
      <c r="F48" s="6"/>
      <c r="G48" s="6"/>
      <c r="H48" s="6"/>
      <c r="I48" s="25"/>
      <c r="J48" s="6"/>
      <c r="K48" s="6"/>
      <c r="L48" s="6">
        <f t="shared" si="2"/>
        <v>2.8393968843941155</v>
      </c>
      <c r="M48" s="1">
        <v>44</v>
      </c>
      <c r="N48" s="6">
        <f>VLOOKUP($N$2,角色品星!$C$16:$D$20,2,0)*VLOOKUP($N$3,角色品星!$C$3:$E$14,3,0)*V48</f>
        <v>370.77988343495258</v>
      </c>
      <c r="O48" s="6">
        <f>VLOOKUP($N$2,角色品星!$C$16:$D$20,2,0)*VLOOKUP($N$3,角色品星!$C$3:$E$14,3,0)*W48</f>
        <v>10499.838024990275</v>
      </c>
      <c r="P48" s="6">
        <f>VLOOKUP($N$2,角色品星!$C$16:$D$20,2,0)*VLOOKUP($N$3,角色品星!$C$3:$E$14,3,0)*X48</f>
        <v>3697.9113707912593</v>
      </c>
      <c r="Q48" s="23">
        <f t="shared" si="3"/>
        <v>0.05</v>
      </c>
      <c r="R48" s="23">
        <f t="shared" si="4"/>
        <v>1.5</v>
      </c>
      <c r="S48" s="23">
        <f t="shared" si="5"/>
        <v>0.9</v>
      </c>
      <c r="T48" s="38">
        <f>N48*(1+Q48*(R48-1))*S48*战斗公式!$E$38+(P48*战斗公式!$E$39+1)*O48*战斗公式!$E$40</f>
        <v>19439.223790949647</v>
      </c>
      <c r="U48" s="38">
        <f t="shared" si="6"/>
        <v>956.38280535608646</v>
      </c>
      <c r="V48" s="6">
        <f>VLOOKUP($N$1,$D$4:$J$15,MATCH(F$4,$D$4:$J$4,0),0)*角色成长!E61*角色成长!$L$15*AB48/AA48/(1+$Y$2*($Z$2-1))</f>
        <v>674.14524260900464</v>
      </c>
      <c r="W48" s="6">
        <f>VLOOKUP($N$1,$D$4:$J$15,MATCH(G$4,$D$4:$J$4,0),0)*角色成长!F61*角色成长!$L$15/(1+X48/角色成长!$N$16)</f>
        <v>19090.614590891408</v>
      </c>
      <c r="X48" s="6">
        <f>VLOOKUP($N$1,$D$4:$J$15,MATCH(H$4,$D$4:$J$4,0),0)*角色成长!G61*角色成长!$L$15</f>
        <v>6723.4752196204709</v>
      </c>
      <c r="Y48" s="1">
        <v>0.05</v>
      </c>
      <c r="Z48" s="1">
        <v>1.5</v>
      </c>
      <c r="AA48" s="1">
        <f>VLOOKUP($N$1,$D$4:$J$15,MATCH(I$4,$D$4:$J$4,0),0)*角色成长!J61</f>
        <v>0.9</v>
      </c>
      <c r="AB48" s="1">
        <f t="shared" si="7"/>
        <v>0.75</v>
      </c>
      <c r="AC48" s="6"/>
      <c r="AD48" s="21"/>
      <c r="AE48" s="21"/>
      <c r="AF48" s="21"/>
      <c r="AG48" s="9"/>
      <c r="AH48" s="9"/>
      <c r="AI48" s="9"/>
      <c r="AJ48" s="9"/>
      <c r="AK48" s="9"/>
      <c r="AL48" s="9"/>
    </row>
    <row r="49" spans="5:38" ht="14.25" customHeight="1" x14ac:dyDescent="0.2">
      <c r="E49" s="6"/>
      <c r="F49" s="6"/>
      <c r="G49" s="6"/>
      <c r="H49" s="6"/>
      <c r="I49" s="25"/>
      <c r="J49" s="6"/>
      <c r="K49" s="6"/>
      <c r="L49" s="6">
        <f t="shared" si="2"/>
        <v>2.83048100676297</v>
      </c>
      <c r="M49" s="1">
        <v>45</v>
      </c>
      <c r="N49" s="6">
        <f>VLOOKUP($N$2,角色品星!$C$16:$D$20,2,0)*VLOOKUP($N$3,角色品星!$C$3:$E$14,3,0)*V49</f>
        <v>389.3188776067002</v>
      </c>
      <c r="O49" s="6">
        <f>VLOOKUP($N$2,角色品星!$C$16:$D$20,2,0)*VLOOKUP($N$3,角色品星!$C$3:$E$14,3,0)*W49</f>
        <v>10990.211294703349</v>
      </c>
      <c r="P49" s="6">
        <f>VLOOKUP($N$2,角色品星!$C$16:$D$20,2,0)*VLOOKUP($N$3,角色品星!$C$3:$E$14,3,0)*X49</f>
        <v>3882.8069393308215</v>
      </c>
      <c r="Q49" s="23">
        <f t="shared" si="3"/>
        <v>0.05</v>
      </c>
      <c r="R49" s="23">
        <f t="shared" si="4"/>
        <v>1.5</v>
      </c>
      <c r="S49" s="23">
        <f t="shared" si="5"/>
        <v>0.9</v>
      </c>
      <c r="T49" s="38">
        <f>N49*(1+Q49*(R49-1))*S49*战斗公式!$E$38+(P49*战斗公式!$E$39+1)*O49*战斗公式!$E$40</f>
        <v>20395.606596305734</v>
      </c>
      <c r="U49" s="38">
        <f t="shared" si="6"/>
        <v>1002.7153566088273</v>
      </c>
      <c r="V49" s="6">
        <f>VLOOKUP($N$1,$D$4:$J$15,MATCH(F$4,$D$4:$J$4,0),0)*角色成长!E62*角色成长!$L$15*AB49/AA49/(1+$Y$2*($Z$2-1))</f>
        <v>707.85250473945484</v>
      </c>
      <c r="W49" s="6">
        <f>VLOOKUP($N$1,$D$4:$J$15,MATCH(G$4,$D$4:$J$4,0),0)*角色成长!F62*角色成长!$L$15/(1+X49/角色成长!$N$16)</f>
        <v>19982.202354006087</v>
      </c>
      <c r="X49" s="6">
        <f>VLOOKUP($N$1,$D$4:$J$15,MATCH(H$4,$D$4:$J$4,0),0)*角色成长!G62*角色成长!$L$15</f>
        <v>7059.6489806014933</v>
      </c>
      <c r="Y49" s="1">
        <v>0.05</v>
      </c>
      <c r="Z49" s="1">
        <v>1.5</v>
      </c>
      <c r="AA49" s="1">
        <f>VLOOKUP($N$1,$D$4:$J$15,MATCH(I$4,$D$4:$J$4,0),0)*角色成长!J62</f>
        <v>0.9</v>
      </c>
      <c r="AB49" s="1">
        <f t="shared" si="7"/>
        <v>0.75</v>
      </c>
      <c r="AC49" s="6"/>
      <c r="AD49" s="21"/>
      <c r="AE49" s="21"/>
      <c r="AF49" s="21"/>
      <c r="AG49" s="9"/>
      <c r="AH49" s="9"/>
      <c r="AI49" s="9"/>
      <c r="AJ49" s="9"/>
      <c r="AK49" s="9"/>
      <c r="AL49" s="9"/>
    </row>
    <row r="50" spans="5:38" ht="14.25" customHeight="1" x14ac:dyDescent="0.2">
      <c r="E50" s="6"/>
      <c r="F50" s="6"/>
      <c r="G50" s="6"/>
      <c r="H50" s="6"/>
      <c r="I50" s="25"/>
      <c r="J50" s="6"/>
      <c r="K50" s="6"/>
      <c r="L50" s="6">
        <f t="shared" si="2"/>
        <v>2.8211793994528933</v>
      </c>
      <c r="M50" s="1">
        <v>46</v>
      </c>
      <c r="N50" s="6">
        <f>VLOOKUP($N$2,角色品星!$C$16:$D$20,2,0)*VLOOKUP($N$3,角色品星!$C$3:$E$14,3,0)*V50</f>
        <v>408.78482148703517</v>
      </c>
      <c r="O50" s="6">
        <f>VLOOKUP($N$2,角色品星!$C$16:$D$20,2,0)*VLOOKUP($N$3,角色品星!$C$3:$E$14,3,0)*W50</f>
        <v>11501.7996967575</v>
      </c>
      <c r="P50" s="6">
        <f>VLOOKUP($N$2,角色品星!$C$16:$D$20,2,0)*VLOOKUP($N$3,角色品星!$C$3:$E$14,3,0)*X50</f>
        <v>4076.9472862973639</v>
      </c>
      <c r="Q50" s="23">
        <f t="shared" si="3"/>
        <v>0.05</v>
      </c>
      <c r="R50" s="23">
        <f t="shared" si="4"/>
        <v>1.5</v>
      </c>
      <c r="S50" s="23">
        <f t="shared" si="5"/>
        <v>0.9</v>
      </c>
      <c r="T50" s="38">
        <f>N50*(1+Q50*(R50-1))*S50*战斗公式!$E$38+(P50*战斗公式!$E$39+1)*O50*战斗公式!$E$40</f>
        <v>21398.321952914561</v>
      </c>
      <c r="U50" s="38">
        <f t="shared" si="6"/>
        <v>1051.2282753020736</v>
      </c>
      <c r="V50" s="6">
        <f>VLOOKUP($N$1,$D$4:$J$15,MATCH(F$4,$D$4:$J$4,0),0)*角色成长!E63*角色成长!$L$15*AB50/AA50/(1+$Y$2*($Z$2-1))</f>
        <v>743.24512997642751</v>
      </c>
      <c r="W50" s="6">
        <f>VLOOKUP($N$1,$D$4:$J$15,MATCH(G$4,$D$4:$J$4,0),0)*角色成长!F63*角色成长!$L$15/(1+X50/角色成长!$N$16)</f>
        <v>20912.363085013636</v>
      </c>
      <c r="X50" s="6">
        <f>VLOOKUP($N$1,$D$4:$J$15,MATCH(H$4,$D$4:$J$4,0),0)*角色成长!G63*角色成长!$L$15</f>
        <v>7412.6314296315704</v>
      </c>
      <c r="Y50" s="1">
        <v>0.05</v>
      </c>
      <c r="Z50" s="1">
        <v>1.5</v>
      </c>
      <c r="AA50" s="1">
        <f>VLOOKUP($N$1,$D$4:$J$15,MATCH(I$4,$D$4:$J$4,0),0)*角色成长!J63</f>
        <v>0.9</v>
      </c>
      <c r="AB50" s="1">
        <f t="shared" si="7"/>
        <v>0.75</v>
      </c>
      <c r="AC50" s="6"/>
      <c r="AD50" s="21"/>
      <c r="AE50" s="21"/>
      <c r="AF50" s="21"/>
      <c r="AG50" s="9"/>
      <c r="AH50" s="9"/>
      <c r="AI50" s="9"/>
      <c r="AJ50" s="9"/>
      <c r="AK50" s="9"/>
      <c r="AL50" s="9"/>
    </row>
    <row r="51" spans="5:38" ht="14.25" customHeight="1" x14ac:dyDescent="0.2">
      <c r="E51" s="6"/>
      <c r="F51" s="6"/>
      <c r="G51" s="6"/>
      <c r="H51" s="6"/>
      <c r="I51" s="25"/>
      <c r="J51" s="6"/>
      <c r="K51" s="6"/>
      <c r="L51" s="6">
        <f t="shared" si="2"/>
        <v>2.8114782814394239</v>
      </c>
      <c r="M51" s="1">
        <v>47</v>
      </c>
      <c r="N51" s="6">
        <f>VLOOKUP($N$2,角色品星!$C$16:$D$20,2,0)*VLOOKUP($N$3,角色品星!$C$3:$E$14,3,0)*V51</f>
        <v>429.22406256138697</v>
      </c>
      <c r="O51" s="6">
        <f>VLOOKUP($N$2,角色品星!$C$16:$D$20,2,0)*VLOOKUP($N$3,角色品星!$C$3:$E$14,3,0)*W51</f>
        <v>12035.361187498354</v>
      </c>
      <c r="P51" s="6">
        <f>VLOOKUP($N$2,角色品星!$C$16:$D$20,2,0)*VLOOKUP($N$3,角色品星!$C$3:$E$14,3,0)*X51</f>
        <v>4280.7946506122307</v>
      </c>
      <c r="Q51" s="23">
        <f t="shared" si="3"/>
        <v>0.05</v>
      </c>
      <c r="R51" s="23">
        <f t="shared" si="4"/>
        <v>1.5</v>
      </c>
      <c r="S51" s="23">
        <f t="shared" si="5"/>
        <v>0.9</v>
      </c>
      <c r="T51" s="38">
        <f>N51*(1+Q51*(R51-1))*S51*战斗公式!$E$38+(P51*战斗公式!$E$39+1)*O51*战斗公式!$E$40</f>
        <v>22449.550228216634</v>
      </c>
      <c r="U51" s="38">
        <f t="shared" si="6"/>
        <v>1102.0189034257855</v>
      </c>
      <c r="V51" s="6">
        <f>VLOOKUP($N$1,$D$4:$J$15,MATCH(F$4,$D$4:$J$4,0),0)*角色成长!E64*角色成长!$L$15*AB51/AA51/(1+$Y$2*($Z$2-1))</f>
        <v>780.40738647524893</v>
      </c>
      <c r="W51" s="6">
        <f>VLOOKUP($N$1,$D$4:$J$15,MATCH(G$4,$D$4:$J$4,0),0)*角色成长!F64*角色成长!$L$15/(1+X51/角色成长!$N$16)</f>
        <v>21882.474886360644</v>
      </c>
      <c r="X51" s="6">
        <f>VLOOKUP($N$1,$D$4:$J$15,MATCH(H$4,$D$4:$J$4,0),0)*角色成长!G64*角色成长!$L$15</f>
        <v>7783.2630011131459</v>
      </c>
      <c r="Y51" s="1">
        <v>0.05</v>
      </c>
      <c r="Z51" s="1">
        <v>1.5</v>
      </c>
      <c r="AA51" s="1">
        <f>VLOOKUP($N$1,$D$4:$J$15,MATCH(I$4,$D$4:$J$4,0),0)*角色成长!J64</f>
        <v>0.9</v>
      </c>
      <c r="AB51" s="1">
        <f t="shared" si="7"/>
        <v>0.75</v>
      </c>
      <c r="AC51" s="6"/>
      <c r="AD51" s="21"/>
      <c r="AE51" s="21"/>
      <c r="AF51" s="21"/>
      <c r="AG51" s="9"/>
      <c r="AH51" s="9"/>
      <c r="AI51" s="9"/>
      <c r="AJ51" s="9"/>
      <c r="AK51" s="9"/>
      <c r="AL51" s="9"/>
    </row>
    <row r="52" spans="5:38" ht="14.25" customHeight="1" x14ac:dyDescent="0.2">
      <c r="E52" s="6"/>
      <c r="F52" s="6"/>
      <c r="G52" s="6"/>
      <c r="H52" s="6"/>
      <c r="I52" s="25"/>
      <c r="J52" s="6"/>
      <c r="K52" s="6"/>
      <c r="L52" s="6">
        <f t="shared" si="2"/>
        <v>2.8013636544198812</v>
      </c>
      <c r="M52" s="1">
        <v>48</v>
      </c>
      <c r="N52" s="6">
        <f>VLOOKUP($N$2,角色品星!$C$16:$D$20,2,0)*VLOOKUP($N$3,角色品星!$C$3:$E$14,3,0)*V52</f>
        <v>450.68526568945634</v>
      </c>
      <c r="O52" s="6">
        <f>VLOOKUP($N$2,角色品星!$C$16:$D$20,2,0)*VLOOKUP($N$3,角色品星!$C$3:$E$14,3,0)*W52</f>
        <v>12591.665673573172</v>
      </c>
      <c r="P52" s="6">
        <f>VLOOKUP($N$2,角色品星!$C$16:$D$20,2,0)*VLOOKUP($N$3,角色品星!$C$3:$E$14,3,0)*X52</f>
        <v>4494.8343831428447</v>
      </c>
      <c r="Q52" s="23">
        <f t="shared" si="3"/>
        <v>0.05</v>
      </c>
      <c r="R52" s="23">
        <f t="shared" si="4"/>
        <v>1.5</v>
      </c>
      <c r="S52" s="23">
        <f t="shared" si="5"/>
        <v>0.9</v>
      </c>
      <c r="T52" s="38">
        <f>N52*(1+Q52*(R52-1))*S52*战斗公式!$E$38+(P52*战斗公式!$E$39+1)*O52*战斗公式!$E$40</f>
        <v>23551.56913164242</v>
      </c>
      <c r="U52" s="38">
        <f t="shared" si="6"/>
        <v>1155.1885655900041</v>
      </c>
      <c r="V52" s="6">
        <f>VLOOKUP($N$1,$D$4:$J$15,MATCH(F$4,$D$4:$J$4,0),0)*角色成长!E65*角色成长!$L$15*AB52/AA52/(1+$Y$2*($Z$2-1))</f>
        <v>819.42775579901149</v>
      </c>
      <c r="W52" s="6">
        <f>VLOOKUP($N$1,$D$4:$J$15,MATCH(G$4,$D$4:$J$4,0),0)*角色成长!F65*角色成长!$L$15/(1+X52/角色成长!$N$16)</f>
        <v>22893.937588314857</v>
      </c>
      <c r="X52" s="6">
        <f>VLOOKUP($N$1,$D$4:$J$15,MATCH(H$4,$D$4:$J$4,0),0)*角色成长!G65*角色成长!$L$15</f>
        <v>8172.4261511688073</v>
      </c>
      <c r="Y52" s="1">
        <v>0.05</v>
      </c>
      <c r="Z52" s="1">
        <v>1.5</v>
      </c>
      <c r="AA52" s="1">
        <f>VLOOKUP($N$1,$D$4:$J$15,MATCH(I$4,$D$4:$J$4,0),0)*角色成长!J65</f>
        <v>0.9</v>
      </c>
      <c r="AB52" s="1">
        <f t="shared" si="7"/>
        <v>0.75</v>
      </c>
      <c r="AC52" s="6"/>
      <c r="AD52" s="21"/>
      <c r="AE52" s="21"/>
      <c r="AF52" s="21"/>
      <c r="AG52" s="9"/>
      <c r="AH52" s="9"/>
      <c r="AI52" s="9"/>
      <c r="AJ52" s="9"/>
      <c r="AK52" s="9"/>
      <c r="AL52" s="9"/>
    </row>
    <row r="53" spans="5:38" ht="14.25" customHeight="1" x14ac:dyDescent="0.2">
      <c r="E53" s="6"/>
      <c r="F53" s="6"/>
      <c r="G53" s="6"/>
      <c r="H53" s="6"/>
      <c r="I53" s="25"/>
      <c r="J53" s="6"/>
      <c r="K53" s="6"/>
      <c r="L53" s="6">
        <f t="shared" si="2"/>
        <v>2.790821327686011</v>
      </c>
      <c r="M53" s="1">
        <v>49</v>
      </c>
      <c r="N53" s="6">
        <f>VLOOKUP($N$2,角色品星!$C$16:$D$20,2,0)*VLOOKUP($N$3,角色品星!$C$3:$E$14,3,0)*V53</f>
        <v>473.21952897392924</v>
      </c>
      <c r="O53" s="6">
        <f>VLOOKUP($N$2,角色品星!$C$16:$D$20,2,0)*VLOOKUP($N$3,角色品星!$C$3:$E$14,3,0)*W53</f>
        <v>13171.493643936015</v>
      </c>
      <c r="P53" s="6">
        <f>VLOOKUP($N$2,角色品星!$C$16:$D$20,2,0)*VLOOKUP($N$3,角色品星!$C$3:$E$14,3,0)*X53</f>
        <v>4719.5761022999859</v>
      </c>
      <c r="Q53" s="23">
        <f t="shared" si="3"/>
        <v>0.05</v>
      </c>
      <c r="R53" s="23">
        <f t="shared" si="4"/>
        <v>1.5</v>
      </c>
      <c r="S53" s="23">
        <f t="shared" si="5"/>
        <v>0.9</v>
      </c>
      <c r="T53" s="38">
        <f>N53*(1+Q53*(R53-1))*S53*战斗公式!$E$38+(P53*战斗公式!$E$39+1)*O53*战斗公式!$E$40</f>
        <v>24706.757697232424</v>
      </c>
      <c r="U53" s="38">
        <f t="shared" si="6"/>
        <v>1210.8427175416873</v>
      </c>
      <c r="V53" s="6">
        <f>VLOOKUP($N$1,$D$4:$J$15,MATCH(F$4,$D$4:$J$4,0),0)*角色成长!E66*角色成长!$L$15*AB53/AA53/(1+$Y$2*($Z$2-1))</f>
        <v>860.39914358896215</v>
      </c>
      <c r="W53" s="6">
        <f>VLOOKUP($N$1,$D$4:$J$15,MATCH(G$4,$D$4:$J$4,0),0)*角色成长!F66*角色成长!$L$15/(1+X53/角色成长!$N$16)</f>
        <v>23948.170261701845</v>
      </c>
      <c r="X53" s="6">
        <f>VLOOKUP($N$1,$D$4:$J$15,MATCH(H$4,$D$4:$J$4,0),0)*角色成长!G66*角色成长!$L$15</f>
        <v>8581.0474587272456</v>
      </c>
      <c r="Y53" s="1">
        <v>0.05</v>
      </c>
      <c r="Z53" s="1">
        <v>1.5</v>
      </c>
      <c r="AA53" s="1">
        <f>VLOOKUP($N$1,$D$4:$J$15,MATCH(I$4,$D$4:$J$4,0),0)*角色成长!J66</f>
        <v>0.9</v>
      </c>
      <c r="AB53" s="1">
        <f t="shared" si="7"/>
        <v>0.75</v>
      </c>
      <c r="AC53" s="6"/>
      <c r="AD53" s="21"/>
      <c r="AE53" s="21"/>
      <c r="AF53" s="21"/>
      <c r="AG53" s="9"/>
      <c r="AH53" s="9"/>
      <c r="AI53" s="9"/>
      <c r="AJ53" s="9"/>
      <c r="AK53" s="9"/>
      <c r="AL53" s="9"/>
    </row>
    <row r="54" spans="5:38" ht="14.25" customHeight="1" x14ac:dyDescent="0.2">
      <c r="E54" s="6"/>
      <c r="F54" s="6"/>
      <c r="G54" s="6"/>
      <c r="H54" s="6"/>
      <c r="I54" s="25"/>
      <c r="J54" s="6"/>
      <c r="K54" s="6"/>
      <c r="L54" s="6">
        <f t="shared" si="2"/>
        <v>2.7798369462852599</v>
      </c>
      <c r="M54" s="1">
        <v>50</v>
      </c>
      <c r="N54" s="6">
        <f>VLOOKUP($N$2,角色品星!$C$16:$D$20,2,0)*VLOOKUP($N$3,角色品星!$C$3:$E$14,3,0)*V54</f>
        <v>496.88050542262567</v>
      </c>
      <c r="O54" s="6">
        <f>VLOOKUP($N$2,角色品星!$C$16:$D$20,2,0)*VLOOKUP($N$3,角色品星!$C$3:$E$14,3,0)*W54</f>
        <v>13775.634620977406</v>
      </c>
      <c r="P54" s="6">
        <f>VLOOKUP($N$2,角色品星!$C$16:$D$20,2,0)*VLOOKUP($N$3,角色品星!$C$3:$E$14,3,0)*X54</f>
        <v>4955.5549074149849</v>
      </c>
      <c r="Q54" s="23">
        <f t="shared" si="3"/>
        <v>0.05</v>
      </c>
      <c r="R54" s="23">
        <f t="shared" si="4"/>
        <v>1.5</v>
      </c>
      <c r="S54" s="23">
        <f t="shared" si="5"/>
        <v>0.9</v>
      </c>
      <c r="T54" s="38">
        <f>N54*(1+Q54*(R54-1))*S54*战斗公式!$E$38+(P54*战斗公式!$E$39+1)*O54*战斗公式!$E$40</f>
        <v>25917.600414774111</v>
      </c>
      <c r="U54" s="38">
        <f t="shared" si="6"/>
        <v>1269.0911015668098</v>
      </c>
      <c r="V54" s="6">
        <f>VLOOKUP($N$1,$D$4:$J$15,MATCH(F$4,$D$4:$J$4,0),0)*角色成长!E67*角色成长!$L$15*AB54/AA54/(1+$Y$2*($Z$2-1))</f>
        <v>903.4191007684102</v>
      </c>
      <c r="W54" s="6">
        <f>VLOOKUP($N$1,$D$4:$J$15,MATCH(G$4,$D$4:$J$4,0),0)*角色成长!F67*角色成长!$L$15/(1+X54/角色成长!$N$16)</f>
        <v>25046.608401777099</v>
      </c>
      <c r="X54" s="6">
        <f>VLOOKUP($N$1,$D$4:$J$15,MATCH(H$4,$D$4:$J$4,0),0)*角色成长!G67*角色成长!$L$15</f>
        <v>9010.0998316636087</v>
      </c>
      <c r="Y54" s="1">
        <v>0.05</v>
      </c>
      <c r="Z54" s="1">
        <v>1.5</v>
      </c>
      <c r="AA54" s="1">
        <f>VLOOKUP($N$1,$D$4:$J$15,MATCH(I$4,$D$4:$J$4,0),0)*角色成长!J67</f>
        <v>0.9</v>
      </c>
      <c r="AB54" s="1">
        <f t="shared" si="7"/>
        <v>0.75</v>
      </c>
      <c r="AC54" s="6"/>
      <c r="AD54" s="21"/>
      <c r="AE54" s="21"/>
      <c r="AF54" s="21"/>
      <c r="AG54" s="9"/>
      <c r="AH54" s="9"/>
      <c r="AI54" s="9"/>
      <c r="AJ54" s="9"/>
      <c r="AK54" s="9"/>
      <c r="AL54" s="9"/>
    </row>
    <row r="55" spans="5:38" ht="14.25" customHeight="1" x14ac:dyDescent="0.2">
      <c r="E55" s="6"/>
      <c r="F55" s="6"/>
      <c r="G55" s="6"/>
      <c r="H55" s="6"/>
      <c r="I55" s="25"/>
      <c r="J55" s="6"/>
      <c r="K55" s="6"/>
      <c r="L55" s="6">
        <f t="shared" si="2"/>
        <v>2.7683960226569724</v>
      </c>
      <c r="M55" s="1">
        <v>51</v>
      </c>
      <c r="N55" s="6">
        <f>VLOOKUP($N$2,角色品星!$C$16:$D$20,2,0)*VLOOKUP($N$3,角色品星!$C$3:$E$14,3,0)*V55</f>
        <v>521.72453069375695</v>
      </c>
      <c r="O55" s="6">
        <f>VLOOKUP($N$2,角色品星!$C$16:$D$20,2,0)*VLOOKUP($N$3,角色品星!$C$3:$E$14,3,0)*W55</f>
        <v>14404.885420533179</v>
      </c>
      <c r="P55" s="6">
        <f>VLOOKUP($N$2,角色品星!$C$16:$D$20,2,0)*VLOOKUP($N$3,角色品星!$C$3:$E$14,3,0)*X55</f>
        <v>5203.3326527857344</v>
      </c>
      <c r="Q55" s="23">
        <f t="shared" si="3"/>
        <v>0.05</v>
      </c>
      <c r="R55" s="23">
        <f t="shared" si="4"/>
        <v>1.5</v>
      </c>
      <c r="S55" s="23">
        <f t="shared" si="5"/>
        <v>0.9</v>
      </c>
      <c r="T55" s="38">
        <f>N55*(1+Q55*(R55-1))*S55*战斗公式!$E$38+(P55*战斗公式!$E$39+1)*O55*战斗公式!$E$40</f>
        <v>27186.691516340921</v>
      </c>
      <c r="U55" s="38">
        <f t="shared" si="6"/>
        <v>1330.0479095148039</v>
      </c>
      <c r="V55" s="6">
        <f>VLOOKUP($N$1,$D$4:$J$15,MATCH(F$4,$D$4:$J$4,0),0)*角色成长!E68*角色成长!$L$15*AB55/AA55/(1+$Y$2*($Z$2-1))</f>
        <v>948.59005580683083</v>
      </c>
      <c r="W55" s="6">
        <f>VLOOKUP($N$1,$D$4:$J$15,MATCH(G$4,$D$4:$J$4,0),0)*角色成长!F68*角色成长!$L$15/(1+X55/角色成长!$N$16)</f>
        <v>26190.700764605779</v>
      </c>
      <c r="X55" s="6">
        <f>VLOOKUP($N$1,$D$4:$J$15,MATCH(H$4,$D$4:$J$4,0),0)*角色成长!G68*角色成长!$L$15</f>
        <v>9460.6048232467892</v>
      </c>
      <c r="Y55" s="1">
        <v>0.05</v>
      </c>
      <c r="Z55" s="1">
        <v>1.5</v>
      </c>
      <c r="AA55" s="1">
        <f>VLOOKUP($N$1,$D$4:$J$15,MATCH(I$4,$D$4:$J$4,0),0)*角色成长!J68</f>
        <v>0.9</v>
      </c>
      <c r="AB55" s="1">
        <f t="shared" si="7"/>
        <v>0.75</v>
      </c>
      <c r="AC55" s="6"/>
      <c r="AD55" s="21"/>
      <c r="AE55" s="21"/>
      <c r="AF55" s="21"/>
      <c r="AG55" s="9"/>
      <c r="AH55" s="9"/>
      <c r="AI55" s="9"/>
      <c r="AJ55" s="9"/>
      <c r="AK55" s="9"/>
      <c r="AL55" s="9"/>
    </row>
    <row r="56" spans="5:38" ht="14.25" customHeight="1" x14ac:dyDescent="0.2">
      <c r="E56" s="6"/>
      <c r="F56" s="6"/>
      <c r="G56" s="6"/>
      <c r="H56" s="6"/>
      <c r="I56" s="25"/>
      <c r="J56" s="6"/>
      <c r="K56" s="6"/>
      <c r="L56" s="6">
        <f t="shared" si="2"/>
        <v>2.7564839719232457</v>
      </c>
      <c r="M56" s="1">
        <v>52</v>
      </c>
      <c r="N56" s="6">
        <f>VLOOKUP($N$2,角色品星!$C$16:$D$20,2,0)*VLOOKUP($N$3,角色品星!$C$3:$E$14,3,0)*V56</f>
        <v>547.8107572284448</v>
      </c>
      <c r="O56" s="6">
        <f>VLOOKUP($N$2,角色品星!$C$16:$D$20,2,0)*VLOOKUP($N$3,角色品星!$C$3:$E$14,3,0)*W56</f>
        <v>15060.048210888177</v>
      </c>
      <c r="P56" s="6">
        <f>VLOOKUP($N$2,角色品星!$C$16:$D$20,2,0)*VLOOKUP($N$3,角色品星!$C$3:$E$14,3,0)*X56</f>
        <v>5463.4992854250213</v>
      </c>
      <c r="Q56" s="23">
        <f t="shared" si="3"/>
        <v>0.05</v>
      </c>
      <c r="R56" s="23">
        <f t="shared" si="4"/>
        <v>1.5</v>
      </c>
      <c r="S56" s="23">
        <f t="shared" si="5"/>
        <v>0.9</v>
      </c>
      <c r="T56" s="38">
        <f>N56*(1+Q56*(R56-1))*S56*战斗公式!$E$38+(P56*战斗公式!$E$39+1)*O56*战斗公式!$E$40</f>
        <v>28516.739425855725</v>
      </c>
      <c r="U56" s="38">
        <f t="shared" si="6"/>
        <v>1393.8319542853205</v>
      </c>
      <c r="V56" s="6">
        <f>VLOOKUP($N$1,$D$4:$J$15,MATCH(F$4,$D$4:$J$4,0),0)*角色成长!E69*角色成长!$L$15*AB56/AA56/(1+$Y$2*($Z$2-1))</f>
        <v>996.01955859717236</v>
      </c>
      <c r="W56" s="6">
        <f>VLOOKUP($N$1,$D$4:$J$15,MATCH(G$4,$D$4:$J$4,0),0)*角色成长!F69*角色成长!$L$15/(1+X56/角色成长!$N$16)</f>
        <v>27381.905837978502</v>
      </c>
      <c r="X56" s="6">
        <f>VLOOKUP($N$1,$D$4:$J$15,MATCH(H$4,$D$4:$J$4,0),0)*角色成长!G69*角色成长!$L$15</f>
        <v>9933.635064409129</v>
      </c>
      <c r="Y56" s="1">
        <v>0.05</v>
      </c>
      <c r="Z56" s="1">
        <v>1.5</v>
      </c>
      <c r="AA56" s="1">
        <f>VLOOKUP($N$1,$D$4:$J$15,MATCH(I$4,$D$4:$J$4,0),0)*角色成长!J69</f>
        <v>0.9</v>
      </c>
      <c r="AB56" s="1">
        <f t="shared" si="7"/>
        <v>0.75</v>
      </c>
      <c r="AC56" s="6"/>
      <c r="AD56" s="21"/>
      <c r="AE56" s="21"/>
      <c r="AF56" s="21"/>
      <c r="AG56" s="9"/>
      <c r="AH56" s="9"/>
      <c r="AI56" s="9"/>
      <c r="AJ56" s="9"/>
      <c r="AK56" s="9"/>
      <c r="AL56" s="9"/>
    </row>
    <row r="57" spans="5:38" ht="14.25" customHeight="1" x14ac:dyDescent="0.2">
      <c r="E57" s="6"/>
      <c r="F57" s="6"/>
      <c r="G57" s="6"/>
      <c r="H57" s="6"/>
      <c r="I57" s="25"/>
      <c r="J57" s="6"/>
      <c r="K57" s="6"/>
      <c r="L57" s="6">
        <f t="shared" si="2"/>
        <v>2.7440861510045575</v>
      </c>
      <c r="M57" s="1">
        <v>53</v>
      </c>
      <c r="N57" s="6">
        <f>VLOOKUP($N$2,角色品星!$C$16:$D$20,2,0)*VLOOKUP($N$3,角色品星!$C$3:$E$14,3,0)*V57</f>
        <v>575.20129508986702</v>
      </c>
      <c r="O57" s="6">
        <f>VLOOKUP($N$2,角色品星!$C$16:$D$20,2,0)*VLOOKUP($N$3,角色品星!$C$3:$E$14,3,0)*W57</f>
        <v>15741.928361416001</v>
      </c>
      <c r="P57" s="6">
        <f>VLOOKUP($N$2,角色品星!$C$16:$D$20,2,0)*VLOOKUP($N$3,角色品星!$C$3:$E$14,3,0)*X57</f>
        <v>5736.6742496962725</v>
      </c>
      <c r="Q57" s="23">
        <f t="shared" si="3"/>
        <v>0.05</v>
      </c>
      <c r="R57" s="23">
        <f t="shared" si="4"/>
        <v>1.5</v>
      </c>
      <c r="S57" s="23">
        <f t="shared" si="5"/>
        <v>0.9</v>
      </c>
      <c r="T57" s="38">
        <f>N57*(1+Q57*(R57-1))*S57*战斗公式!$E$38+(P57*战斗公式!$E$39+1)*O57*战斗公式!$E$40</f>
        <v>29910.571380141046</v>
      </c>
      <c r="U57" s="38">
        <f t="shared" si="6"/>
        <v>1460.5668507314258</v>
      </c>
      <c r="V57" s="6">
        <f>VLOOKUP($N$1,$D$4:$J$15,MATCH(F$4,$D$4:$J$4,0),0)*角色成长!E70*角色成长!$L$15*AB57/AA57/(1+$Y$2*($Z$2-1))</f>
        <v>1045.8205365270308</v>
      </c>
      <c r="W57" s="6">
        <f>VLOOKUP($N$1,$D$4:$J$15,MATCH(G$4,$D$4:$J$4,0),0)*角色成长!F70*角色成长!$L$15/(1+X57/角色成长!$N$16)</f>
        <v>28621.687929847274</v>
      </c>
      <c r="X57" s="6">
        <f>VLOOKUP($N$1,$D$4:$J$15,MATCH(H$4,$D$4:$J$4,0),0)*角色成长!G70*角色成长!$L$15</f>
        <v>10430.316817629586</v>
      </c>
      <c r="Y57" s="1">
        <v>0.05</v>
      </c>
      <c r="Z57" s="1">
        <v>1.5</v>
      </c>
      <c r="AA57" s="1">
        <f>VLOOKUP($N$1,$D$4:$J$15,MATCH(I$4,$D$4:$J$4,0),0)*角色成长!J70</f>
        <v>0.9</v>
      </c>
      <c r="AB57" s="1">
        <f t="shared" si="7"/>
        <v>0.75</v>
      </c>
      <c r="AC57" s="6"/>
      <c r="AD57" s="21"/>
      <c r="AE57" s="21"/>
      <c r="AF57" s="21"/>
      <c r="AG57" s="9"/>
      <c r="AH57" s="9"/>
      <c r="AI57" s="9"/>
      <c r="AJ57" s="9"/>
      <c r="AK57" s="9"/>
      <c r="AL57" s="9"/>
    </row>
    <row r="58" spans="5:38" ht="14.25" customHeight="1" x14ac:dyDescent="0.2">
      <c r="E58" s="6"/>
      <c r="F58" s="6"/>
      <c r="G58" s="6"/>
      <c r="H58" s="6"/>
      <c r="I58" s="25"/>
      <c r="J58" s="6"/>
      <c r="K58" s="6"/>
      <c r="L58" s="6">
        <f t="shared" si="2"/>
        <v>2.7311879017174365</v>
      </c>
      <c r="M58" s="1">
        <v>54</v>
      </c>
      <c r="N58" s="6">
        <f>VLOOKUP($N$2,角色品星!$C$16:$D$20,2,0)*VLOOKUP($N$3,角色品星!$C$3:$E$14,3,0)*V58</f>
        <v>603.96135984436046</v>
      </c>
      <c r="O58" s="6">
        <f>VLOOKUP($N$2,角色品星!$C$16:$D$20,2,0)*VLOOKUP($N$3,角色品星!$C$3:$E$14,3,0)*W58</f>
        <v>16451.332072207631</v>
      </c>
      <c r="P58" s="6">
        <f>VLOOKUP($N$2,角色品星!$C$16:$D$20,2,0)*VLOOKUP($N$3,角色品星!$C$3:$E$14,3,0)*X58</f>
        <v>6023.5079621810855</v>
      </c>
      <c r="Q58" s="23">
        <f t="shared" si="3"/>
        <v>0.05</v>
      </c>
      <c r="R58" s="23">
        <f t="shared" si="4"/>
        <v>1.5</v>
      </c>
      <c r="S58" s="23">
        <f t="shared" si="5"/>
        <v>0.9</v>
      </c>
      <c r="T58" s="38">
        <f>N58*(1+Q58*(R58-1))*S58*战斗公式!$E$38+(P58*战斗公式!$E$39+1)*O58*战斗公式!$E$40</f>
        <v>31371.138230872471</v>
      </c>
      <c r="U58" s="38">
        <f t="shared" si="6"/>
        <v>1530.3812070559361</v>
      </c>
      <c r="V58" s="6">
        <f>VLOOKUP($N$1,$D$4:$J$15,MATCH(F$4,$D$4:$J$4,0),0)*角色成长!E71*角色成长!$L$15*AB58/AA58/(1+$Y$2*($Z$2-1))</f>
        <v>1098.1115633533825</v>
      </c>
      <c r="W58" s="6">
        <f>VLOOKUP($N$1,$D$4:$J$15,MATCH(G$4,$D$4:$J$4,0),0)*角色成长!F71*角色成长!$L$15/(1+X58/角色成长!$N$16)</f>
        <v>29911.512858559327</v>
      </c>
      <c r="X58" s="6">
        <f>VLOOKUP($N$1,$D$4:$J$15,MATCH(H$4,$D$4:$J$4,0),0)*角色成长!G71*角色成长!$L$15</f>
        <v>10951.832658511064</v>
      </c>
      <c r="Y58" s="1">
        <v>0.05</v>
      </c>
      <c r="Z58" s="1">
        <v>1.5</v>
      </c>
      <c r="AA58" s="1">
        <f>VLOOKUP($N$1,$D$4:$J$15,MATCH(I$4,$D$4:$J$4,0),0)*角色成长!J71</f>
        <v>0.9</v>
      </c>
      <c r="AB58" s="1">
        <f t="shared" si="7"/>
        <v>0.75</v>
      </c>
      <c r="AC58" s="6"/>
      <c r="AD58" s="21"/>
      <c r="AE58" s="21"/>
      <c r="AF58" s="21"/>
      <c r="AG58" s="9"/>
      <c r="AH58" s="9"/>
      <c r="AI58" s="9"/>
      <c r="AJ58" s="9"/>
      <c r="AK58" s="9"/>
      <c r="AL58" s="9"/>
    </row>
    <row r="59" spans="5:38" ht="14.25" customHeight="1" x14ac:dyDescent="0.2">
      <c r="E59" s="6"/>
      <c r="F59" s="6"/>
      <c r="G59" s="6"/>
      <c r="H59" s="6"/>
      <c r="I59" s="25"/>
      <c r="J59" s="6"/>
      <c r="K59" s="6"/>
      <c r="L59" s="6">
        <f t="shared" si="2"/>
        <v>2.7177745979947305</v>
      </c>
      <c r="M59" s="1">
        <v>55</v>
      </c>
      <c r="N59" s="6">
        <f>VLOOKUP($N$2,角色品星!$C$16:$D$20,2,0)*VLOOKUP($N$3,角色品星!$C$3:$E$14,3,0)*V59</f>
        <v>634.15942783657829</v>
      </c>
      <c r="O59" s="6">
        <f>VLOOKUP($N$2,角色品星!$C$16:$D$20,2,0)*VLOOKUP($N$3,角色品星!$C$3:$E$14,3,0)*W59</f>
        <v>17189.063776956496</v>
      </c>
      <c r="P59" s="6">
        <f>VLOOKUP($N$2,角色品星!$C$16:$D$20,2,0)*VLOOKUP($N$3,角色品星!$C$3:$E$14,3,0)*X59</f>
        <v>6324.6833602901397</v>
      </c>
      <c r="Q59" s="23">
        <f t="shared" si="3"/>
        <v>0.05</v>
      </c>
      <c r="R59" s="23">
        <f t="shared" si="4"/>
        <v>1.5</v>
      </c>
      <c r="S59" s="23">
        <f t="shared" si="5"/>
        <v>0.9</v>
      </c>
      <c r="T59" s="38">
        <f>N59*(1+Q59*(R59-1))*S59*战斗公式!$E$38+(P59*战斗公式!$E$39+1)*O59*战斗公式!$E$40</f>
        <v>32901.519437928408</v>
      </c>
      <c r="U59" s="38">
        <f t="shared" si="6"/>
        <v>1603.4088279123971</v>
      </c>
      <c r="V59" s="6">
        <f>VLOOKUP($N$1,$D$4:$J$15,MATCH(F$4,$D$4:$J$4,0),0)*角色成长!E72*角色成长!$L$15*AB59/AA59/(1+$Y$2*($Z$2-1))</f>
        <v>1153.0171415210514</v>
      </c>
      <c r="W59" s="6">
        <f>VLOOKUP($N$1,$D$4:$J$15,MATCH(G$4,$D$4:$J$4,0),0)*角色成长!F72*角色成长!$L$15/(1+X59/角色成长!$N$16)</f>
        <v>31252.843230829989</v>
      </c>
      <c r="X59" s="6">
        <f>VLOOKUP($N$1,$D$4:$J$15,MATCH(H$4,$D$4:$J$4,0),0)*角色成长!G72*角色成长!$L$15</f>
        <v>11499.424291436617</v>
      </c>
      <c r="Y59" s="1">
        <v>0.05</v>
      </c>
      <c r="Z59" s="1">
        <v>1.5</v>
      </c>
      <c r="AA59" s="1">
        <f>VLOOKUP($N$1,$D$4:$J$15,MATCH(I$4,$D$4:$J$4,0),0)*角色成长!J72</f>
        <v>0.9</v>
      </c>
      <c r="AB59" s="1">
        <f t="shared" si="7"/>
        <v>0.75</v>
      </c>
      <c r="AC59" s="6"/>
      <c r="AD59" s="21"/>
      <c r="AE59" s="21"/>
      <c r="AF59" s="21"/>
      <c r="AG59" s="9"/>
      <c r="AH59" s="9"/>
      <c r="AI59" s="9"/>
      <c r="AJ59" s="9"/>
      <c r="AK59" s="9"/>
      <c r="AL59" s="9"/>
    </row>
    <row r="60" spans="5:38" ht="14.25" customHeight="1" x14ac:dyDescent="0.2">
      <c r="E60" s="6"/>
      <c r="F60" s="6"/>
      <c r="G60" s="6"/>
      <c r="H60" s="6"/>
      <c r="I60" s="25"/>
      <c r="J60" s="6"/>
      <c r="K60" s="6"/>
      <c r="L60" s="6">
        <f t="shared" si="2"/>
        <v>2.7038316973483676</v>
      </c>
      <c r="M60" s="1">
        <v>56</v>
      </c>
      <c r="N60" s="6">
        <f>VLOOKUP($N$2,角色品星!$C$16:$D$20,2,0)*VLOOKUP($N$3,角色品星!$C$3:$E$14,3,0)*V60</f>
        <v>665.86739922840729</v>
      </c>
      <c r="O60" s="6">
        <f>VLOOKUP($N$2,角色品星!$C$16:$D$20,2,0)*VLOOKUP($N$3,角色品星!$C$3:$E$14,3,0)*W60</f>
        <v>17955.923312506482</v>
      </c>
      <c r="P60" s="6">
        <f>VLOOKUP($N$2,角色品星!$C$16:$D$20,2,0)*VLOOKUP($N$3,角色品星!$C$3:$E$14,3,0)*X60</f>
        <v>6640.9175283046479</v>
      </c>
      <c r="Q60" s="23">
        <f t="shared" si="3"/>
        <v>0.05</v>
      </c>
      <c r="R60" s="23">
        <f t="shared" si="4"/>
        <v>1.5</v>
      </c>
      <c r="S60" s="23">
        <f t="shared" si="5"/>
        <v>0.9</v>
      </c>
      <c r="T60" s="38">
        <f>N60*(1+Q60*(R60-1))*S60*战斗公式!$E$38+(P60*战斗公式!$E$39+1)*O60*战斗公式!$E$40</f>
        <v>34504.928265840805</v>
      </c>
      <c r="U60" s="38">
        <f t="shared" si="6"/>
        <v>1679.7889305650242</v>
      </c>
      <c r="V60" s="6">
        <f>VLOOKUP($N$1,$D$4:$J$15,MATCH(F$4,$D$4:$J$4,0),0)*角色成长!E73*角色成长!$L$15*AB60/AA60/(1+$Y$2*($Z$2-1))</f>
        <v>1210.6679985971041</v>
      </c>
      <c r="W60" s="6">
        <f>VLOOKUP($N$1,$D$4:$J$15,MATCH(G$4,$D$4:$J$4,0),0)*角色成长!F73*角色成长!$L$15/(1+X60/角色成长!$N$16)</f>
        <v>32647.133295466327</v>
      </c>
      <c r="X60" s="6">
        <f>VLOOKUP($N$1,$D$4:$J$15,MATCH(H$4,$D$4:$J$4,0),0)*角色成长!G73*角色成长!$L$15</f>
        <v>12074.39550600845</v>
      </c>
      <c r="Y60" s="1">
        <v>0.05</v>
      </c>
      <c r="Z60" s="1">
        <v>1.5</v>
      </c>
      <c r="AA60" s="1">
        <f>VLOOKUP($N$1,$D$4:$J$15,MATCH(I$4,$D$4:$J$4,0),0)*角色成长!J73</f>
        <v>0.9</v>
      </c>
      <c r="AB60" s="1">
        <f t="shared" si="7"/>
        <v>0.75</v>
      </c>
      <c r="AC60" s="6"/>
      <c r="AD60" s="21"/>
      <c r="AE60" s="21"/>
      <c r="AF60" s="21"/>
      <c r="AG60" s="9"/>
      <c r="AH60" s="9"/>
      <c r="AI60" s="9"/>
      <c r="AJ60" s="9"/>
      <c r="AK60" s="9"/>
      <c r="AL60" s="9"/>
    </row>
    <row r="61" spans="5:38" ht="14.25" customHeight="1" x14ac:dyDescent="0.2">
      <c r="E61" s="6"/>
      <c r="F61" s="6"/>
      <c r="G61" s="6"/>
      <c r="H61" s="6"/>
      <c r="I61" s="25"/>
      <c r="J61" s="6"/>
      <c r="K61" s="6"/>
      <c r="L61" s="6">
        <f t="shared" si="2"/>
        <v>2.6893447966694017</v>
      </c>
      <c r="M61" s="1">
        <v>57</v>
      </c>
      <c r="N61" s="6">
        <f>VLOOKUP($N$2,角色品星!$C$16:$D$20,2,0)*VLOOKUP($N$3,角色品星!$C$3:$E$14,3,0)*V61</f>
        <v>699.16076918982753</v>
      </c>
      <c r="O61" s="6">
        <f>VLOOKUP($N$2,角色品星!$C$16:$D$20,2,0)*VLOOKUP($N$3,角色品星!$C$3:$E$14,3,0)*W61</f>
        <v>18752.70284984956</v>
      </c>
      <c r="P61" s="6">
        <f>VLOOKUP($N$2,角色品星!$C$16:$D$20,2,0)*VLOOKUP($N$3,角色品星!$C$3:$E$14,3,0)*X61</f>
        <v>6972.9634047198788</v>
      </c>
      <c r="Q61" s="23">
        <f t="shared" si="3"/>
        <v>0.05</v>
      </c>
      <c r="R61" s="23">
        <f t="shared" si="4"/>
        <v>1.5</v>
      </c>
      <c r="S61" s="23">
        <f t="shared" si="5"/>
        <v>0.9</v>
      </c>
      <c r="T61" s="38">
        <f>N61*(1+Q61*(R61-1))*S61*战斗公式!$E$38+(P61*战斗公式!$E$39+1)*O61*战斗公式!$E$40</f>
        <v>36184.717196405829</v>
      </c>
      <c r="U61" s="38">
        <f t="shared" si="6"/>
        <v>1759.6663756158378</v>
      </c>
      <c r="V61" s="6">
        <f>VLOOKUP($N$1,$D$4:$J$15,MATCH(F$4,$D$4:$J$4,0),0)*角色成长!E74*角色成长!$L$15*AB61/AA61/(1+$Y$2*($Z$2-1))</f>
        <v>1271.2013985269591</v>
      </c>
      <c r="W61" s="6">
        <f>VLOOKUP($N$1,$D$4:$J$15,MATCH(G$4,$D$4:$J$4,0),0)*角色成长!F74*角色成长!$L$15/(1+X61/角色成长!$N$16)</f>
        <v>34095.823363362833</v>
      </c>
      <c r="X61" s="6">
        <f>VLOOKUP($N$1,$D$4:$J$15,MATCH(H$4,$D$4:$J$4,0),0)*角色成长!G74*角色成长!$L$15</f>
        <v>12678.11528130887</v>
      </c>
      <c r="Y61" s="1">
        <v>0.05</v>
      </c>
      <c r="Z61" s="1">
        <v>1.5</v>
      </c>
      <c r="AA61" s="1">
        <f>VLOOKUP($N$1,$D$4:$J$15,MATCH(I$4,$D$4:$J$4,0),0)*角色成长!J74</f>
        <v>0.9</v>
      </c>
      <c r="AB61" s="1">
        <f t="shared" si="7"/>
        <v>0.75</v>
      </c>
      <c r="AC61" s="6"/>
      <c r="AD61" s="21"/>
      <c r="AE61" s="21"/>
      <c r="AF61" s="21"/>
      <c r="AG61" s="9"/>
      <c r="AH61" s="9"/>
      <c r="AI61" s="9"/>
      <c r="AJ61" s="9"/>
      <c r="AK61" s="9"/>
      <c r="AL61" s="9"/>
    </row>
    <row r="62" spans="5:38" ht="14.25" customHeight="1" x14ac:dyDescent="0.2">
      <c r="E62" s="6"/>
      <c r="F62" s="6"/>
      <c r="G62" s="6"/>
      <c r="H62" s="6"/>
      <c r="I62" s="25"/>
      <c r="J62" s="6"/>
      <c r="K62" s="6"/>
      <c r="L62" s="6">
        <f t="shared" si="2"/>
        <v>2.6742996924303242</v>
      </c>
      <c r="M62" s="1">
        <v>58</v>
      </c>
      <c r="N62" s="6">
        <f>VLOOKUP($N$2,角色品星!$C$16:$D$20,2,0)*VLOOKUP($N$3,角色品星!$C$3:$E$14,3,0)*V62</f>
        <v>734.11880764931891</v>
      </c>
      <c r="O62" s="6">
        <f>VLOOKUP($N$2,角色品星!$C$16:$D$20,2,0)*VLOOKUP($N$3,角色品星!$C$3:$E$14,3,0)*W62</f>
        <v>19580.183582998798</v>
      </c>
      <c r="P62" s="6">
        <f>VLOOKUP($N$2,角色品星!$C$16:$D$20,2,0)*VLOOKUP($N$3,角色品星!$C$3:$E$14,3,0)*X62</f>
        <v>7321.6115749558749</v>
      </c>
      <c r="Q62" s="23">
        <f t="shared" si="3"/>
        <v>0.05</v>
      </c>
      <c r="R62" s="23">
        <f t="shared" si="4"/>
        <v>1.5</v>
      </c>
      <c r="S62" s="23">
        <f t="shared" si="5"/>
        <v>0.9</v>
      </c>
      <c r="T62" s="38">
        <f>N62*(1+Q62*(R62-1))*S62*战斗公式!$E$38+(P62*战斗公式!$E$39+1)*O62*战斗公式!$E$40</f>
        <v>37944.383572021667</v>
      </c>
      <c r="U62" s="38">
        <f t="shared" si="6"/>
        <v>1843.1919139679303</v>
      </c>
      <c r="V62" s="6">
        <f>VLOOKUP($N$1,$D$4:$J$15,MATCH(F$4,$D$4:$J$4,0),0)*角色成长!E75*角色成长!$L$15*AB62/AA62/(1+$Y$2*($Z$2-1))</f>
        <v>1334.7614684533071</v>
      </c>
      <c r="W62" s="6">
        <f>VLOOKUP($N$1,$D$4:$J$15,MATCH(G$4,$D$4:$J$4,0),0)*角色成长!F75*角色成长!$L$15/(1+X62/角色成长!$N$16)</f>
        <v>35600.333787270538</v>
      </c>
      <c r="X62" s="6">
        <f>VLOOKUP($N$1,$D$4:$J$15,MATCH(H$4,$D$4:$J$4,0),0)*角色成长!G75*角色成长!$L$15</f>
        <v>13312.021045374317</v>
      </c>
      <c r="Y62" s="1">
        <v>0.05</v>
      </c>
      <c r="Z62" s="1">
        <v>1.5</v>
      </c>
      <c r="AA62" s="1">
        <f>VLOOKUP($N$1,$D$4:$J$15,MATCH(I$4,$D$4:$J$4,0),0)*角色成长!J75</f>
        <v>0.9</v>
      </c>
      <c r="AB62" s="1">
        <f t="shared" si="7"/>
        <v>0.75</v>
      </c>
      <c r="AC62" s="6"/>
      <c r="AD62" s="21"/>
      <c r="AE62" s="21"/>
      <c r="AF62" s="21"/>
      <c r="AG62" s="9"/>
      <c r="AH62" s="9"/>
      <c r="AI62" s="9"/>
      <c r="AJ62" s="9"/>
      <c r="AK62" s="9"/>
      <c r="AL62" s="9"/>
    </row>
    <row r="63" spans="5:38" ht="14.25" customHeight="1" x14ac:dyDescent="0.2">
      <c r="E63" s="6"/>
      <c r="F63" s="6"/>
      <c r="G63" s="6"/>
      <c r="H63" s="6"/>
      <c r="I63" s="25"/>
      <c r="J63" s="6"/>
      <c r="K63" s="6"/>
      <c r="L63" s="6">
        <f t="shared" si="2"/>
        <v>2.658682445319847</v>
      </c>
      <c r="M63" s="1">
        <v>59</v>
      </c>
      <c r="N63" s="6">
        <f>VLOOKUP($N$2,角色品星!$C$16:$D$20,2,0)*VLOOKUP($N$3,角色品星!$C$3:$E$14,3,0)*V63</f>
        <v>770.82474803178502</v>
      </c>
      <c r="O63" s="6">
        <f>VLOOKUP($N$2,角色品星!$C$16:$D$20,2,0)*VLOOKUP($N$3,角色品星!$C$3:$E$14,3,0)*W63</f>
        <v>20439.132174075072</v>
      </c>
      <c r="P63" s="6">
        <f>VLOOKUP($N$2,角色品星!$C$16:$D$20,2,0)*VLOOKUP($N$3,角色品星!$C$3:$E$14,3,0)*X63</f>
        <v>7687.6921537036687</v>
      </c>
      <c r="Q63" s="23">
        <f t="shared" si="3"/>
        <v>0.05</v>
      </c>
      <c r="R63" s="23">
        <f t="shared" si="4"/>
        <v>1.5</v>
      </c>
      <c r="S63" s="23">
        <f t="shared" si="5"/>
        <v>0.9</v>
      </c>
      <c r="T63" s="38">
        <f>N63*(1+Q63*(R63-1))*S63*战斗公式!$E$38+(P63*战斗公式!$E$39+1)*O63*战斗公式!$E$40</f>
        <v>39787.575485989597</v>
      </c>
      <c r="U63" s="38">
        <f t="shared" si="6"/>
        <v>1930.5224518643954</v>
      </c>
      <c r="V63" s="6">
        <f>VLOOKUP($N$1,$D$4:$J$15,MATCH(F$4,$D$4:$J$4,0),0)*角色成长!E76*角色成长!$L$15*AB63/AA63/(1+$Y$2*($Z$2-1))</f>
        <v>1401.4995418759727</v>
      </c>
      <c r="W63" s="6">
        <f>VLOOKUP($N$1,$D$4:$J$15,MATCH(G$4,$D$4:$J$4,0),0)*角色成长!F76*角色成长!$L$15/(1+X63/角色成长!$N$16)</f>
        <v>37162.058498318307</v>
      </c>
      <c r="X63" s="6">
        <f>VLOOKUP($N$1,$D$4:$J$15,MATCH(H$4,$D$4:$J$4,0),0)*角色成长!G76*角色成长!$L$15</f>
        <v>13977.622097643032</v>
      </c>
      <c r="Y63" s="1">
        <v>0.05</v>
      </c>
      <c r="Z63" s="1">
        <v>1.5</v>
      </c>
      <c r="AA63" s="1">
        <f>VLOOKUP($N$1,$D$4:$J$15,MATCH(I$4,$D$4:$J$4,0),0)*角色成长!J76</f>
        <v>0.9</v>
      </c>
      <c r="AB63" s="1">
        <f t="shared" si="7"/>
        <v>0.75</v>
      </c>
      <c r="AC63" s="6"/>
      <c r="AD63" s="21"/>
      <c r="AE63" s="21"/>
      <c r="AF63" s="21"/>
      <c r="AG63" s="9"/>
      <c r="AH63" s="9"/>
      <c r="AI63" s="9"/>
      <c r="AJ63" s="9"/>
      <c r="AK63" s="9"/>
      <c r="AL63" s="9"/>
    </row>
    <row r="64" spans="5:38" ht="14.25" customHeight="1" x14ac:dyDescent="0.2">
      <c r="E64" s="6"/>
      <c r="F64" s="6"/>
      <c r="G64" s="6"/>
      <c r="H64" s="6"/>
      <c r="I64" s="25"/>
      <c r="J64" s="6"/>
      <c r="K64" s="6"/>
      <c r="L64" s="6">
        <f t="shared" si="2"/>
        <v>2.6424794493003891</v>
      </c>
      <c r="M64" s="1">
        <v>60</v>
      </c>
      <c r="N64" s="6">
        <f>VLOOKUP($N$2,角色品星!$C$16:$D$20,2,0)*VLOOKUP($N$3,角色品星!$C$3:$E$14,3,0)*V64</f>
        <v>809.36598543337436</v>
      </c>
      <c r="O64" s="6">
        <f>VLOOKUP($N$2,角色品星!$C$16:$D$20,2,0)*VLOOKUP($N$3,角色品星!$C$3:$E$14,3,0)*W64</f>
        <v>21330.296955145281</v>
      </c>
      <c r="P64" s="6">
        <f>VLOOKUP($N$2,角色品星!$C$16:$D$20,2,0)*VLOOKUP($N$3,角色品星!$C$3:$E$14,3,0)*X64</f>
        <v>8072.076761388852</v>
      </c>
      <c r="Q64" s="23">
        <f t="shared" si="3"/>
        <v>0.05</v>
      </c>
      <c r="R64" s="23">
        <f t="shared" si="4"/>
        <v>1.5</v>
      </c>
      <c r="S64" s="23">
        <f t="shared" si="5"/>
        <v>0.9</v>
      </c>
      <c r="T64" s="38">
        <f>N64*(1+Q64*(R64-1))*S64*战斗公式!$E$38+(P64*战斗公式!$E$39+1)*O64*战斗公式!$E$40</f>
        <v>41718.097937853992</v>
      </c>
      <c r="U64" s="38">
        <f t="shared" si="6"/>
        <v>2021.8213360161171</v>
      </c>
      <c r="V64" s="6">
        <f>VLOOKUP($N$1,$D$4:$J$15,MATCH(F$4,$D$4:$J$4,0),0)*角色成长!E77*角色成长!$L$15*AB64/AA64/(1+$Y$2*($Z$2-1))</f>
        <v>1471.5745189697714</v>
      </c>
      <c r="W64" s="6">
        <f>VLOOKUP($N$1,$D$4:$J$15,MATCH(G$4,$D$4:$J$4,0),0)*角色成长!F77*角色成长!$L$15/(1+X64/角色成长!$N$16)</f>
        <v>38782.358100264144</v>
      </c>
      <c r="X64" s="6">
        <f>VLOOKUP($N$1,$D$4:$J$15,MATCH(H$4,$D$4:$J$4,0),0)*角色成长!G77*角色成长!$L$15</f>
        <v>14676.503202525184</v>
      </c>
      <c r="Y64" s="1">
        <v>0.05</v>
      </c>
      <c r="Z64" s="1">
        <v>1.5</v>
      </c>
      <c r="AA64" s="1">
        <f>VLOOKUP($N$1,$D$4:$J$15,MATCH(I$4,$D$4:$J$4,0),0)*角色成长!J77</f>
        <v>0.9</v>
      </c>
      <c r="AB64" s="1">
        <f t="shared" si="7"/>
        <v>0.75</v>
      </c>
      <c r="AC64" s="6"/>
      <c r="AD64" s="21"/>
      <c r="AE64" s="21"/>
      <c r="AF64" s="21"/>
      <c r="AG64" s="9"/>
      <c r="AH64" s="9"/>
      <c r="AI64" s="9"/>
      <c r="AJ64" s="9"/>
      <c r="AK64" s="9"/>
      <c r="AL64" s="9"/>
    </row>
    <row r="65" spans="5:38" ht="14.25" customHeight="1" x14ac:dyDescent="0.2">
      <c r="E65" s="6"/>
      <c r="F65" s="6"/>
      <c r="G65" s="6"/>
      <c r="H65" s="6"/>
      <c r="I65" s="25"/>
      <c r="J65" s="6"/>
      <c r="K65" s="6"/>
      <c r="L65" s="6">
        <f t="shared" si="2"/>
        <v>2.6256775050331482</v>
      </c>
      <c r="M65" s="1">
        <v>61</v>
      </c>
      <c r="N65" s="6">
        <f>VLOOKUP($N$2,角色品星!$C$16:$D$20,2,0)*VLOOKUP($N$3,角色品星!$C$3:$E$14,3,0)*V65</f>
        <v>849.83428470504282</v>
      </c>
      <c r="O65" s="6">
        <f>VLOOKUP($N$2,角色品星!$C$16:$D$20,2,0)*VLOOKUP($N$3,角色品星!$C$3:$E$14,3,0)*W65</f>
        <v>22254.40388984351</v>
      </c>
      <c r="P65" s="6">
        <f>VLOOKUP($N$2,角色品星!$C$16:$D$20,2,0)*VLOOKUP($N$3,角色品星!$C$3:$E$14,3,0)*X65</f>
        <v>8475.6805994582937</v>
      </c>
      <c r="Q65" s="23">
        <f t="shared" si="3"/>
        <v>0.05</v>
      </c>
      <c r="R65" s="23">
        <f t="shared" si="4"/>
        <v>1.5</v>
      </c>
      <c r="S65" s="23">
        <f t="shared" si="5"/>
        <v>0.9</v>
      </c>
      <c r="T65" s="38">
        <f>N65*(1+Q65*(R65-1))*S65*战斗公式!$E$38+(P65*战斗公式!$E$39+1)*O65*战斗公式!$E$40</f>
        <v>43739.919273870109</v>
      </c>
      <c r="U65" s="38">
        <f t="shared" si="6"/>
        <v>2117.2586610127619</v>
      </c>
      <c r="V65" s="6">
        <f>VLOOKUP($N$1,$D$4:$J$15,MATCH(F$4,$D$4:$J$4,0),0)*角色成长!E78*角色成长!$L$15*AB65/AA65/(1+$Y$2*($Z$2-1))</f>
        <v>1545.1532449182596</v>
      </c>
      <c r="W65" s="6">
        <f>VLOOKUP($N$1,$D$4:$J$15,MATCH(G$4,$D$4:$J$4,0),0)*角色成长!F78*角色成长!$L$15/(1+X65/角色成长!$N$16)</f>
        <v>40462.552526988198</v>
      </c>
      <c r="X65" s="6">
        <f>VLOOKUP($N$1,$D$4:$J$15,MATCH(H$4,$D$4:$J$4,0),0)*角色成长!G78*角色成长!$L$15</f>
        <v>15410.328362651442</v>
      </c>
      <c r="Y65" s="1">
        <v>0.05</v>
      </c>
      <c r="Z65" s="1">
        <v>1.5</v>
      </c>
      <c r="AA65" s="1">
        <f>VLOOKUP($N$1,$D$4:$J$15,MATCH(I$4,$D$4:$J$4,0),0)*角色成长!J78</f>
        <v>0.9</v>
      </c>
      <c r="AB65" s="1">
        <f t="shared" si="7"/>
        <v>0.75</v>
      </c>
      <c r="AC65" s="6"/>
      <c r="AD65" s="21"/>
      <c r="AE65" s="21"/>
      <c r="AF65" s="21"/>
      <c r="AG65" s="9"/>
      <c r="AH65" s="9"/>
      <c r="AI65" s="9"/>
      <c r="AJ65" s="9"/>
      <c r="AK65" s="9"/>
      <c r="AL65" s="9"/>
    </row>
    <row r="66" spans="5:38" ht="14.25" customHeight="1" x14ac:dyDescent="0.2">
      <c r="E66" s="6"/>
      <c r="F66" s="6"/>
      <c r="G66" s="6"/>
      <c r="H66" s="6"/>
      <c r="I66" s="25"/>
      <c r="J66" s="6"/>
      <c r="K66" s="6"/>
      <c r="L66" s="6">
        <f t="shared" si="2"/>
        <v>2.6082638975648367</v>
      </c>
      <c r="M66" s="1">
        <v>62</v>
      </c>
      <c r="N66" s="6">
        <f>VLOOKUP($N$2,角色品星!$C$16:$D$20,2,0)*VLOOKUP($N$3,角色品星!$C$3:$E$14,3,0)*V66</f>
        <v>892.32599894029522</v>
      </c>
      <c r="O66" s="6">
        <f>VLOOKUP($N$2,角色品星!$C$16:$D$20,2,0)*VLOOKUP($N$3,角色品星!$C$3:$E$14,3,0)*W66</f>
        <v>23212.152300600654</v>
      </c>
      <c r="P66" s="6">
        <f>VLOOKUP($N$2,角色品星!$C$16:$D$20,2,0)*VLOOKUP($N$3,角色品星!$C$3:$E$14,3,0)*X66</f>
        <v>8899.4646294312097</v>
      </c>
      <c r="Q66" s="23">
        <f t="shared" si="3"/>
        <v>0.05</v>
      </c>
      <c r="R66" s="23">
        <f t="shared" si="4"/>
        <v>1.5</v>
      </c>
      <c r="S66" s="23">
        <f t="shared" si="5"/>
        <v>0.9</v>
      </c>
      <c r="T66" s="38">
        <f>N66*(1+Q66*(R66-1))*S66*战斗公式!$E$38+(P66*战斗公式!$E$39+1)*O66*战斗公式!$E$40</f>
        <v>45857.177934882871</v>
      </c>
      <c r="U66" s="38">
        <f t="shared" si="6"/>
        <v>2217.0116013905936</v>
      </c>
      <c r="V66" s="6">
        <f>VLOOKUP($N$1,$D$4:$J$15,MATCH(F$4,$D$4:$J$4,0),0)*角色成长!E79*角色成长!$L$15*AB66/AA66/(1+$Y$2*($Z$2-1))</f>
        <v>1622.4109071641731</v>
      </c>
      <c r="W66" s="6">
        <f>VLOOKUP($N$1,$D$4:$J$15,MATCH(G$4,$D$4:$J$4,0),0)*角色成长!F79*角色成长!$L$15/(1+X66/角色成长!$N$16)</f>
        <v>42203.913273819366</v>
      </c>
      <c r="X66" s="6">
        <f>VLOOKUP($N$1,$D$4:$J$15,MATCH(H$4,$D$4:$J$4,0),0)*角色成长!G79*角色成长!$L$15</f>
        <v>16180.844780784017</v>
      </c>
      <c r="Y66" s="1">
        <v>0.05</v>
      </c>
      <c r="Z66" s="1">
        <v>1.5</v>
      </c>
      <c r="AA66" s="1">
        <f>VLOOKUP($N$1,$D$4:$J$15,MATCH(I$4,$D$4:$J$4,0),0)*角色成长!J79</f>
        <v>0.9</v>
      </c>
      <c r="AB66" s="1">
        <f t="shared" si="7"/>
        <v>0.75</v>
      </c>
      <c r="AC66" s="6"/>
      <c r="AD66" s="21"/>
      <c r="AE66" s="21"/>
      <c r="AF66" s="21"/>
      <c r="AG66" s="9"/>
      <c r="AH66" s="9"/>
      <c r="AI66" s="9"/>
      <c r="AJ66" s="9"/>
      <c r="AK66" s="9"/>
      <c r="AL66" s="9"/>
    </row>
    <row r="67" spans="5:38" ht="14.25" customHeight="1" x14ac:dyDescent="0.2">
      <c r="E67" s="6"/>
      <c r="F67" s="6"/>
      <c r="G67" s="6"/>
      <c r="H67" s="6"/>
      <c r="I67" s="25"/>
      <c r="J67" s="6"/>
      <c r="K67" s="6"/>
      <c r="L67" s="6">
        <f t="shared" si="2"/>
        <v>2.5902264781139279</v>
      </c>
      <c r="M67" s="1">
        <v>63</v>
      </c>
      <c r="N67" s="6">
        <f>VLOOKUP($N$2,角色品星!$C$16:$D$20,2,0)*VLOOKUP($N$3,角色品星!$C$3:$E$14,3,0)*V67</f>
        <v>936.94229888730956</v>
      </c>
      <c r="O67" s="6">
        <f>VLOOKUP($N$2,角色品星!$C$16:$D$20,2,0)*VLOOKUP($N$3,角色品星!$C$3:$E$14,3,0)*W67</f>
        <v>24204.210370400619</v>
      </c>
      <c r="P67" s="6">
        <f>VLOOKUP($N$2,角色品星!$C$16:$D$20,2,0)*VLOOKUP($N$3,角色品星!$C$3:$E$14,3,0)*X67</f>
        <v>9344.4378609027663</v>
      </c>
      <c r="Q67" s="23">
        <f t="shared" si="3"/>
        <v>0.05</v>
      </c>
      <c r="R67" s="23">
        <f t="shared" si="4"/>
        <v>1.5</v>
      </c>
      <c r="S67" s="23">
        <f t="shared" si="5"/>
        <v>0.9</v>
      </c>
      <c r="T67" s="38">
        <f>N67*(1+Q67*(R67-1))*S67*战斗公式!$E$38+(P67*战斗公式!$E$39+1)*O67*战斗公式!$E$40</f>
        <v>48074.189536273465</v>
      </c>
      <c r="U67" s="38">
        <f t="shared" si="6"/>
        <v>2321.264770914313</v>
      </c>
      <c r="V67" s="6">
        <f>VLOOKUP($N$1,$D$4:$J$15,MATCH(F$4,$D$4:$J$4,0),0)*角色成长!E80*角色成长!$L$15*AB67/AA67/(1+$Y$2*($Z$2-1))</f>
        <v>1703.531452522381</v>
      </c>
      <c r="W67" s="6">
        <f>VLOOKUP($N$1,$D$4:$J$15,MATCH(G$4,$D$4:$J$4,0),0)*角色成长!F80*角色成长!$L$15/(1+X67/角色成长!$N$16)</f>
        <v>44007.655218910215</v>
      </c>
      <c r="X67" s="6">
        <f>VLOOKUP($N$1,$D$4:$J$15,MATCH(H$4,$D$4:$J$4,0),0)*角色成长!G80*角色成长!$L$15</f>
        <v>16989.887019823211</v>
      </c>
      <c r="Y67" s="1">
        <v>0.05</v>
      </c>
      <c r="Z67" s="1">
        <v>1.5</v>
      </c>
      <c r="AA67" s="1">
        <f>VLOOKUP($N$1,$D$4:$J$15,MATCH(I$4,$D$4:$J$4,0),0)*角色成长!J80</f>
        <v>0.9</v>
      </c>
      <c r="AB67" s="1">
        <f t="shared" si="7"/>
        <v>0.75</v>
      </c>
      <c r="AC67" s="6"/>
      <c r="AD67" s="21"/>
      <c r="AE67" s="21"/>
      <c r="AF67" s="21"/>
      <c r="AG67" s="9"/>
      <c r="AH67" s="9"/>
      <c r="AI67" s="9"/>
      <c r="AJ67" s="9"/>
      <c r="AK67" s="9"/>
      <c r="AL67" s="9"/>
    </row>
    <row r="68" spans="5:38" ht="14.25" customHeight="1" x14ac:dyDescent="0.2">
      <c r="E68" s="6"/>
      <c r="F68" s="6"/>
      <c r="G68" s="6"/>
      <c r="H68" s="6"/>
      <c r="I68" s="25"/>
      <c r="J68" s="6"/>
      <c r="K68" s="6"/>
      <c r="L68" s="6">
        <f t="shared" si="2"/>
        <v>2.5715537497327308</v>
      </c>
      <c r="M68" s="1">
        <v>64</v>
      </c>
      <c r="N68" s="6">
        <f>VLOOKUP($N$2,角色品星!$C$16:$D$20,2,0)*VLOOKUP($N$3,角色品星!$C$3:$E$14,3,0)*V68</f>
        <v>983.78941383167546</v>
      </c>
      <c r="O68" s="6">
        <f>VLOOKUP($N$2,角色品星!$C$16:$D$20,2,0)*VLOOKUP($N$3,角色品星!$C$3:$E$14,3,0)*W68</f>
        <v>25231.210431366471</v>
      </c>
      <c r="P68" s="6">
        <f>VLOOKUP($N$2,角色品星!$C$16:$D$20,2,0)*VLOOKUP($N$3,角色品星!$C$3:$E$14,3,0)*X68</f>
        <v>9811.6597539479098</v>
      </c>
      <c r="Q68" s="23">
        <f t="shared" si="3"/>
        <v>0.05</v>
      </c>
      <c r="R68" s="23">
        <f t="shared" si="4"/>
        <v>1.5</v>
      </c>
      <c r="S68" s="23">
        <f t="shared" si="5"/>
        <v>0.9</v>
      </c>
      <c r="T68" s="38">
        <f>N68*(1+Q68*(R68-1))*S68*战斗公式!$E$38+(P68*战斗公式!$E$39+1)*O68*战斗公式!$E$40</f>
        <v>50395.454307187778</v>
      </c>
      <c r="U68" s="38">
        <f t="shared" si="6"/>
        <v>2430.2106118026713</v>
      </c>
      <c r="V68" s="6">
        <f>VLOOKUP($N$1,$D$4:$J$15,MATCH(F$4,$D$4:$J$4,0),0)*角色成长!E81*角色成长!$L$15*AB68/AA68/(1+$Y$2*($Z$2-1))</f>
        <v>1788.7080251485006</v>
      </c>
      <c r="W68" s="6">
        <f>VLOOKUP($N$1,$D$4:$J$15,MATCH(G$4,$D$4:$J$4,0),0)*角色成长!F81*角色成长!$L$15/(1+X68/角色成长!$N$16)</f>
        <v>45874.928057029945</v>
      </c>
      <c r="X68" s="6">
        <f>VLOOKUP($N$1,$D$4:$J$15,MATCH(H$4,$D$4:$J$4,0),0)*角色成长!G81*角色成长!$L$15</f>
        <v>17839.381370814379</v>
      </c>
      <c r="Y68" s="1">
        <v>0.05</v>
      </c>
      <c r="Z68" s="1">
        <v>1.5</v>
      </c>
      <c r="AA68" s="1">
        <f>VLOOKUP($N$1,$D$4:$J$15,MATCH(I$4,$D$4:$J$4,0),0)*角色成长!J81</f>
        <v>0.9</v>
      </c>
      <c r="AB68" s="1">
        <f t="shared" si="7"/>
        <v>0.75</v>
      </c>
      <c r="AC68" s="6"/>
      <c r="AD68" s="21"/>
      <c r="AE68" s="21"/>
      <c r="AF68" s="21"/>
      <c r="AG68" s="9"/>
      <c r="AH68" s="9"/>
      <c r="AI68" s="9"/>
      <c r="AJ68" s="9"/>
      <c r="AK68" s="9"/>
      <c r="AL68" s="9"/>
    </row>
    <row r="69" spans="5:38" ht="14.25" customHeight="1" x14ac:dyDescent="0.2">
      <c r="E69" s="6"/>
      <c r="F69" s="6"/>
      <c r="G69" s="6"/>
      <c r="H69" s="6"/>
      <c r="I69" s="25"/>
      <c r="J69" s="6"/>
      <c r="K69" s="6"/>
      <c r="L69" s="6">
        <f t="shared" si="2"/>
        <v>2.552234956554992</v>
      </c>
      <c r="M69" s="1">
        <v>65</v>
      </c>
      <c r="N69" s="6">
        <f>VLOOKUP($N$2,角色品星!$C$16:$D$20,2,0)*VLOOKUP($N$3,角色品星!$C$3:$E$14,3,0)*V69</f>
        <v>1032.9788845232595</v>
      </c>
      <c r="O69" s="6">
        <f>VLOOKUP($N$2,角色品星!$C$16:$D$20,2,0)*VLOOKUP($N$3,角色品星!$C$3:$E$14,3,0)*W69</f>
        <v>26293.744056142084</v>
      </c>
      <c r="P69" s="6">
        <f>VLOOKUP($N$2,角色品星!$C$16:$D$20,2,0)*VLOOKUP($N$3,角色品星!$C$3:$E$14,3,0)*X69</f>
        <v>10302.242741645305</v>
      </c>
      <c r="Q69" s="23">
        <f t="shared" si="3"/>
        <v>0.05</v>
      </c>
      <c r="R69" s="23">
        <f t="shared" si="4"/>
        <v>1.5</v>
      </c>
      <c r="S69" s="23">
        <f t="shared" si="5"/>
        <v>0.9</v>
      </c>
      <c r="T69" s="38">
        <f>N69*(1+Q69*(R69-1))*S69*战斗公式!$E$38+(P69*战斗公式!$E$39+1)*O69*战斗公式!$E$40</f>
        <v>52825.664918990449</v>
      </c>
      <c r="U69" s="38">
        <f t="shared" si="6"/>
        <v>2544.0498168019913</v>
      </c>
      <c r="V69" s="6">
        <f>VLOOKUP($N$1,$D$4:$J$15,MATCH(F$4,$D$4:$J$4,0),0)*角色成长!E82*角色成长!$L$15*AB69/AA69/(1+$Y$2*($Z$2-1))</f>
        <v>1878.143426405926</v>
      </c>
      <c r="W69" s="6">
        <f>VLOOKUP($N$1,$D$4:$J$15,MATCH(G$4,$D$4:$J$4,0),0)*角色成长!F82*角色成长!$L$15/(1+X69/角色成长!$N$16)</f>
        <v>47806.807374803786</v>
      </c>
      <c r="X69" s="6">
        <f>VLOOKUP($N$1,$D$4:$J$15,MATCH(H$4,$D$4:$J$4,0),0)*角色成长!G82*角色成长!$L$15</f>
        <v>18731.350439355097</v>
      </c>
      <c r="Y69" s="1">
        <v>0.05</v>
      </c>
      <c r="Z69" s="1">
        <v>1.5</v>
      </c>
      <c r="AA69" s="1">
        <f>VLOOKUP($N$1,$D$4:$J$15,MATCH(I$4,$D$4:$J$4,0),0)*角色成长!J82</f>
        <v>0.9</v>
      </c>
      <c r="AB69" s="1">
        <f t="shared" ref="AB69:AB104" si="8">VLOOKUP($N$1,$D$4:$J$15,MATCH(J$4,$D$4:$J$4,0),0)</f>
        <v>0.75</v>
      </c>
      <c r="AC69" s="6"/>
      <c r="AD69" s="21"/>
      <c r="AE69" s="21"/>
      <c r="AF69" s="21"/>
      <c r="AG69" s="9"/>
      <c r="AH69" s="9"/>
      <c r="AI69" s="9"/>
      <c r="AJ69" s="9"/>
      <c r="AK69" s="9"/>
      <c r="AL69" s="9"/>
    </row>
    <row r="70" spans="5:38" ht="14.25" customHeight="1" x14ac:dyDescent="0.2">
      <c r="E70" s="6"/>
      <c r="F70" s="6"/>
      <c r="G70" s="6"/>
      <c r="H70" s="6"/>
      <c r="I70" s="25"/>
      <c r="J70" s="6"/>
      <c r="K70" s="6"/>
      <c r="L70" s="6">
        <f t="shared" ref="L70:L104" si="9">O70/P70</f>
        <v>2.5322601762674908</v>
      </c>
      <c r="M70" s="1">
        <v>66</v>
      </c>
      <c r="N70" s="6">
        <f>VLOOKUP($N$2,角色品星!$C$16:$D$20,2,0)*VLOOKUP($N$3,角色品星!$C$3:$E$14,3,0)*V70</f>
        <v>1084.6278287494224</v>
      </c>
      <c r="O70" s="6">
        <f>VLOOKUP($N$2,角色品星!$C$16:$D$20,2,0)*VLOOKUP($N$3,角色品星!$C$3:$E$14,3,0)*W70</f>
        <v>27392.356971954679</v>
      </c>
      <c r="P70" s="6">
        <f>VLOOKUP($N$2,角色品星!$C$16:$D$20,2,0)*VLOOKUP($N$3,角色品星!$C$3:$E$14,3,0)*X70</f>
        <v>10817.35487872757</v>
      </c>
      <c r="Q70" s="23">
        <f t="shared" ref="Q70:Q104" si="10">Y70</f>
        <v>0.05</v>
      </c>
      <c r="R70" s="23">
        <f t="shared" ref="R70:R104" si="11">Z70</f>
        <v>1.5</v>
      </c>
      <c r="S70" s="23">
        <f t="shared" ref="S70:S104" si="12">AA70</f>
        <v>0.9</v>
      </c>
      <c r="T70" s="38">
        <f>N70*(1+Q70*(R70-1))*S70*战斗公式!$E$38+(P70*战斗公式!$E$39+1)*O70*战斗公式!$E$40</f>
        <v>55369.71473579244</v>
      </c>
      <c r="U70" s="38">
        <f t="shared" ref="U70:U104" si="13">T71-T70</f>
        <v>2662.9917871646758</v>
      </c>
      <c r="V70" s="6">
        <f>VLOOKUP($N$1,$D$4:$J$15,MATCH(F$4,$D$4:$J$4,0),0)*角色成长!E83*角色成长!$L$15*AB70/AA70/(1+$Y$2*($Z$2-1))</f>
        <v>1972.0505977262223</v>
      </c>
      <c r="W70" s="6">
        <f>VLOOKUP($N$1,$D$4:$J$15,MATCH(G$4,$D$4:$J$4,0),0)*角色成长!F83*角色成长!$L$15/(1+X70/角色成长!$N$16)</f>
        <v>49804.285403553957</v>
      </c>
      <c r="X70" s="6">
        <f>VLOOKUP($N$1,$D$4:$J$15,MATCH(H$4,$D$4:$J$4,0),0)*角色成长!G83*角色成长!$L$15</f>
        <v>19667.917961322855</v>
      </c>
      <c r="Y70" s="1">
        <v>0.05</v>
      </c>
      <c r="Z70" s="1">
        <v>1.5</v>
      </c>
      <c r="AA70" s="1">
        <f>VLOOKUP($N$1,$D$4:$J$15,MATCH(I$4,$D$4:$J$4,0),0)*角色成长!J83</f>
        <v>0.9</v>
      </c>
      <c r="AB70" s="1">
        <f t="shared" si="8"/>
        <v>0.75</v>
      </c>
      <c r="AC70" s="6"/>
      <c r="AD70" s="21"/>
      <c r="AE70" s="21"/>
      <c r="AF70" s="21"/>
      <c r="AG70" s="9"/>
      <c r="AH70" s="9"/>
      <c r="AI70" s="9"/>
      <c r="AJ70" s="9"/>
      <c r="AK70" s="9"/>
      <c r="AL70" s="9"/>
    </row>
    <row r="71" spans="5:38" ht="14.25" customHeight="1" x14ac:dyDescent="0.2">
      <c r="E71" s="6"/>
      <c r="F71" s="6"/>
      <c r="G71" s="6"/>
      <c r="H71" s="6"/>
      <c r="I71" s="25"/>
      <c r="J71" s="6"/>
      <c r="K71" s="6"/>
      <c r="L71" s="6">
        <f t="shared" si="9"/>
        <v>2.5116204153687423</v>
      </c>
      <c r="M71" s="1">
        <v>67</v>
      </c>
      <c r="N71" s="6">
        <f>VLOOKUP($N$2,角色品星!$C$16:$D$20,2,0)*VLOOKUP($N$3,角色品星!$C$3:$E$14,3,0)*V71</f>
        <v>1138.8592201868935</v>
      </c>
      <c r="O71" s="6">
        <f>VLOOKUP($N$2,角色品星!$C$16:$D$20,2,0)*VLOOKUP($N$3,角色品星!$C$3:$E$14,3,0)*W71</f>
        <v>28527.543821385872</v>
      </c>
      <c r="P71" s="6">
        <f>VLOOKUP($N$2,角色品星!$C$16:$D$20,2,0)*VLOOKUP($N$3,角色品星!$C$3:$E$14,3,0)*X71</f>
        <v>11358.222622663949</v>
      </c>
      <c r="Q71" s="23">
        <f t="shared" si="10"/>
        <v>0.05</v>
      </c>
      <c r="R71" s="23">
        <f t="shared" si="11"/>
        <v>1.5</v>
      </c>
      <c r="S71" s="23">
        <f t="shared" si="12"/>
        <v>0.9</v>
      </c>
      <c r="T71" s="38">
        <f>N71*(1+Q71*(R71-1))*S71*战斗公式!$E$38+(P71*战斗公式!$E$39+1)*O71*战斗公式!$E$40</f>
        <v>58032.706522957116</v>
      </c>
      <c r="U71" s="38">
        <f t="shared" si="13"/>
        <v>2787.2551297362807</v>
      </c>
      <c r="V71" s="6">
        <f>VLOOKUP($N$1,$D$4:$J$15,MATCH(F$4,$D$4:$J$4,0),0)*角色成长!E84*角色成长!$L$15*AB71/AA71/(1+$Y$2*($Z$2-1))</f>
        <v>2070.6531276125334</v>
      </c>
      <c r="W71" s="6">
        <f>VLOOKUP($N$1,$D$4:$J$15,MATCH(G$4,$D$4:$J$4,0),0)*角色成长!F84*角色成长!$L$15/(1+X71/角色成长!$N$16)</f>
        <v>51868.261493428858</v>
      </c>
      <c r="X71" s="6">
        <f>VLOOKUP($N$1,$D$4:$J$15,MATCH(H$4,$D$4:$J$4,0),0)*角色成长!G84*角色成长!$L$15</f>
        <v>20651.313859388996</v>
      </c>
      <c r="Y71" s="1">
        <v>0.05</v>
      </c>
      <c r="Z71" s="1">
        <v>1.5</v>
      </c>
      <c r="AA71" s="1">
        <f>VLOOKUP($N$1,$D$4:$J$15,MATCH(I$4,$D$4:$J$4,0),0)*角色成长!J84</f>
        <v>0.9</v>
      </c>
      <c r="AB71" s="1">
        <f t="shared" si="8"/>
        <v>0.75</v>
      </c>
      <c r="AC71" s="6"/>
      <c r="AD71" s="21"/>
      <c r="AE71" s="21"/>
      <c r="AF71" s="21"/>
      <c r="AG71" s="9"/>
      <c r="AH71" s="9"/>
      <c r="AI71" s="9"/>
      <c r="AJ71" s="9"/>
      <c r="AK71" s="9"/>
      <c r="AL71" s="9"/>
    </row>
    <row r="72" spans="5:38" ht="14.25" customHeight="1" x14ac:dyDescent="0.2">
      <c r="E72" s="6"/>
      <c r="F72" s="6"/>
      <c r="G72" s="6"/>
      <c r="H72" s="6"/>
      <c r="I72" s="25"/>
      <c r="J72" s="6"/>
      <c r="K72" s="6"/>
      <c r="L72" s="6">
        <f t="shared" si="9"/>
        <v>2.4903077066992618</v>
      </c>
      <c r="M72" s="1">
        <v>68</v>
      </c>
      <c r="N72" s="6">
        <f>VLOOKUP($N$2,角色品星!$C$16:$D$20,2,0)*VLOOKUP($N$3,角色品星!$C$3:$E$14,3,0)*V72</f>
        <v>1195.8021811962381</v>
      </c>
      <c r="O72" s="6">
        <f>VLOOKUP($N$2,角色品星!$C$16:$D$20,2,0)*VLOOKUP($N$3,角色品星!$C$3:$E$14,3,0)*W72</f>
        <v>29699.742798207237</v>
      </c>
      <c r="P72" s="6">
        <f>VLOOKUP($N$2,角色品星!$C$16:$D$20,2,0)*VLOOKUP($N$3,角色品星!$C$3:$E$14,3,0)*X72</f>
        <v>11926.133753797149</v>
      </c>
      <c r="Q72" s="23">
        <f t="shared" si="10"/>
        <v>0.05</v>
      </c>
      <c r="R72" s="23">
        <f t="shared" si="11"/>
        <v>1.5</v>
      </c>
      <c r="S72" s="23">
        <f t="shared" si="12"/>
        <v>0.9</v>
      </c>
      <c r="T72" s="38">
        <f>N72*(1+Q72*(R72-1))*S72*战斗公式!$E$38+(P72*战斗公式!$E$39+1)*O72*战斗公式!$E$40</f>
        <v>60819.961652693397</v>
      </c>
      <c r="U72" s="38">
        <f t="shared" si="13"/>
        <v>2917.0681964747273</v>
      </c>
      <c r="V72" s="6">
        <f>VLOOKUP($N$1,$D$4:$J$15,MATCH(F$4,$D$4:$J$4,0),0)*角色成长!E85*角色成长!$L$15*AB72/AA72/(1+$Y$2*($Z$2-1))</f>
        <v>2174.1857839931599</v>
      </c>
      <c r="W72" s="6">
        <f>VLOOKUP($N$1,$D$4:$J$15,MATCH(G$4,$D$4:$J$4,0),0)*角色成长!F85*角色成长!$L$15/(1+X72/角色成长!$N$16)</f>
        <v>53999.53236037679</v>
      </c>
      <c r="X72" s="6">
        <f>VLOOKUP($N$1,$D$4:$J$15,MATCH(H$4,$D$4:$J$4,0),0)*角色成长!G85*角色成长!$L$15</f>
        <v>21683.879552358449</v>
      </c>
      <c r="Y72" s="1">
        <v>0.05</v>
      </c>
      <c r="Z72" s="1">
        <v>1.5</v>
      </c>
      <c r="AA72" s="1">
        <f>VLOOKUP($N$1,$D$4:$J$15,MATCH(I$4,$D$4:$J$4,0),0)*角色成长!J85</f>
        <v>0.9</v>
      </c>
      <c r="AB72" s="1">
        <f t="shared" si="8"/>
        <v>0.75</v>
      </c>
      <c r="AC72" s="6"/>
      <c r="AD72" s="21"/>
      <c r="AE72" s="21"/>
      <c r="AF72" s="21"/>
      <c r="AG72" s="9"/>
      <c r="AH72" s="9"/>
      <c r="AI72" s="9"/>
      <c r="AJ72" s="9"/>
      <c r="AK72" s="9"/>
      <c r="AL72" s="9"/>
    </row>
    <row r="73" spans="5:38" ht="14.25" customHeight="1" x14ac:dyDescent="0.2">
      <c r="E73" s="6"/>
      <c r="F73" s="6"/>
      <c r="G73" s="6"/>
      <c r="H73" s="6"/>
      <c r="I73" s="25"/>
      <c r="J73" s="6"/>
      <c r="K73" s="6"/>
      <c r="L73" s="6">
        <f t="shared" si="9"/>
        <v>2.4683152086467484</v>
      </c>
      <c r="M73" s="1">
        <v>69</v>
      </c>
      <c r="N73" s="6">
        <f>VLOOKUP($N$2,角色品星!$C$16:$D$20,2,0)*VLOOKUP($N$3,角色品星!$C$3:$E$14,3,0)*V73</f>
        <v>1255.5922902560503</v>
      </c>
      <c r="O73" s="6">
        <f>VLOOKUP($N$2,角色品星!$C$16:$D$20,2,0)*VLOOKUP($N$3,角色品星!$C$3:$E$14,3,0)*W73</f>
        <v>30909.330191095472</v>
      </c>
      <c r="P73" s="6">
        <f>VLOOKUP($N$2,角色品星!$C$16:$D$20,2,0)*VLOOKUP($N$3,角色品星!$C$3:$E$14,3,0)*X73</f>
        <v>12522.440441487004</v>
      </c>
      <c r="Q73" s="23">
        <f t="shared" si="10"/>
        <v>0.05</v>
      </c>
      <c r="R73" s="23">
        <f t="shared" si="11"/>
        <v>1.5</v>
      </c>
      <c r="S73" s="23">
        <f t="shared" si="12"/>
        <v>0.9</v>
      </c>
      <c r="T73" s="38">
        <f>N73*(1+Q73*(R73-1))*S73*战斗公式!$E$38+(P73*战斗公式!$E$39+1)*O73*战斗公式!$E$40</f>
        <v>63737.029849168124</v>
      </c>
      <c r="U73" s="38">
        <f t="shared" si="13"/>
        <v>3052.6696698236119</v>
      </c>
      <c r="V73" s="6">
        <f>VLOOKUP($N$1,$D$4:$J$15,MATCH(F$4,$D$4:$J$4,0),0)*角色成长!E86*角色成长!$L$15*AB73/AA73/(1+$Y$2*($Z$2-1))</f>
        <v>2282.8950731928185</v>
      </c>
      <c r="W73" s="6">
        <f>VLOOKUP($N$1,$D$4:$J$15,MATCH(G$4,$D$4:$J$4,0),0)*角色成长!F86*角色成长!$L$15/(1+X73/角色成长!$N$16)</f>
        <v>56198.78216562813</v>
      </c>
      <c r="X73" s="6">
        <f>VLOOKUP($N$1,$D$4:$J$15,MATCH(H$4,$D$4:$J$4,0),0)*角色成长!G86*角色成长!$L$15</f>
        <v>22768.073529976369</v>
      </c>
      <c r="Y73" s="1">
        <v>0.05</v>
      </c>
      <c r="Z73" s="1">
        <v>1.5</v>
      </c>
      <c r="AA73" s="1">
        <f>VLOOKUP($N$1,$D$4:$J$15,MATCH(I$4,$D$4:$J$4,0),0)*角色成长!J86</f>
        <v>0.9</v>
      </c>
      <c r="AB73" s="1">
        <f t="shared" si="8"/>
        <v>0.75</v>
      </c>
      <c r="AC73" s="6"/>
      <c r="AD73" s="21"/>
      <c r="AE73" s="21"/>
      <c r="AF73" s="21"/>
      <c r="AG73" s="9"/>
      <c r="AH73" s="9"/>
      <c r="AI73" s="9"/>
      <c r="AJ73" s="9"/>
      <c r="AK73" s="9"/>
      <c r="AL73" s="9"/>
    </row>
    <row r="74" spans="5:38" ht="14.25" customHeight="1" x14ac:dyDescent="0.2">
      <c r="E74" s="6"/>
      <c r="F74" s="6"/>
      <c r="G74" s="6"/>
      <c r="H74" s="6"/>
      <c r="I74" s="25"/>
      <c r="J74" s="6"/>
      <c r="K74" s="6"/>
      <c r="L74" s="6">
        <f t="shared" si="9"/>
        <v>2.4456373053471578</v>
      </c>
      <c r="M74" s="1">
        <v>70</v>
      </c>
      <c r="N74" s="6">
        <f>VLOOKUP($N$2,角色品星!$C$16:$D$20,2,0)*VLOOKUP($N$3,角色品星!$C$3:$E$14,3,0)*V74</f>
        <v>1318.3719047688523</v>
      </c>
      <c r="O74" s="6">
        <f>VLOOKUP($N$2,角色品星!$C$16:$D$20,2,0)*VLOOKUP($N$3,角色品星!$C$3:$E$14,3,0)*W74</f>
        <v>32156.614872572973</v>
      </c>
      <c r="P74" s="6">
        <f>VLOOKUP($N$2,角色品星!$C$16:$D$20,2,0)*VLOOKUP($N$3,角色品星!$C$3:$E$14,3,0)*X74</f>
        <v>13148.562463561353</v>
      </c>
      <c r="Q74" s="23">
        <f t="shared" si="10"/>
        <v>0.05</v>
      </c>
      <c r="R74" s="23">
        <f t="shared" si="11"/>
        <v>1.5</v>
      </c>
      <c r="S74" s="23">
        <f t="shared" si="12"/>
        <v>0.9</v>
      </c>
      <c r="T74" s="38">
        <f>N74*(1+Q74*(R74-1))*S74*战斗公式!$E$38+(P74*战斗公式!$E$39+1)*O74*战斗公式!$E$40</f>
        <v>66789.699518991736</v>
      </c>
      <c r="U74" s="38">
        <f t="shared" si="13"/>
        <v>3194.3091974302806</v>
      </c>
      <c r="V74" s="6">
        <f>VLOOKUP($N$1,$D$4:$J$15,MATCH(F$4,$D$4:$J$4,0),0)*角色成长!E87*角色成长!$L$15*AB74/AA74/(1+$Y$2*($Z$2-1))</f>
        <v>2397.0398268524586</v>
      </c>
      <c r="W74" s="6">
        <f>VLOOKUP($N$1,$D$4:$J$15,MATCH(G$4,$D$4:$J$4,0),0)*角色成长!F87*角色成长!$L$15/(1+X74/角色成长!$N$16)</f>
        <v>58466.572495587221</v>
      </c>
      <c r="X74" s="6">
        <f>VLOOKUP($N$1,$D$4:$J$15,MATCH(H$4,$D$4:$J$4,0),0)*角色成长!G87*角色成长!$L$15</f>
        <v>23906.477206475185</v>
      </c>
      <c r="Y74" s="1">
        <v>0.05</v>
      </c>
      <c r="Z74" s="1">
        <v>1.5</v>
      </c>
      <c r="AA74" s="1">
        <f>VLOOKUP($N$1,$D$4:$J$15,MATCH(I$4,$D$4:$J$4,0),0)*角色成长!J87</f>
        <v>0.9</v>
      </c>
      <c r="AB74" s="1">
        <f t="shared" si="8"/>
        <v>0.75</v>
      </c>
      <c r="AC74" s="6"/>
      <c r="AD74" s="21"/>
      <c r="AE74" s="21"/>
      <c r="AF74" s="21"/>
      <c r="AG74" s="9"/>
      <c r="AH74" s="9"/>
      <c r="AI74" s="9"/>
      <c r="AJ74" s="9"/>
      <c r="AK74" s="9"/>
      <c r="AL74" s="9"/>
    </row>
    <row r="75" spans="5:38" ht="14.25" customHeight="1" x14ac:dyDescent="0.2">
      <c r="E75" s="6"/>
      <c r="F75" s="6"/>
      <c r="G75" s="6"/>
      <c r="H75" s="6"/>
      <c r="I75" s="25"/>
      <c r="J75" s="6"/>
      <c r="K75" s="6"/>
      <c r="L75" s="6">
        <f t="shared" si="9"/>
        <v>2.4222697071203476</v>
      </c>
      <c r="M75" s="1">
        <v>71</v>
      </c>
      <c r="N75" s="6">
        <f>VLOOKUP($N$2,角色品星!$C$16:$D$20,2,0)*VLOOKUP($N$3,角色品星!$C$3:$E$14,3,0)*V75</f>
        <v>1384.2905000072951</v>
      </c>
      <c r="O75" s="6">
        <f>VLOOKUP($N$2,角色品星!$C$16:$D$20,2,0)*VLOOKUP($N$3,角色品星!$C$3:$E$14,3,0)*W75</f>
        <v>33441.832775047573</v>
      </c>
      <c r="P75" s="6">
        <f>VLOOKUP($N$2,角色品星!$C$16:$D$20,2,0)*VLOOKUP($N$3,角色品星!$C$3:$E$14,3,0)*X75</f>
        <v>13805.990586739421</v>
      </c>
      <c r="Q75" s="23">
        <f t="shared" si="10"/>
        <v>0.05</v>
      </c>
      <c r="R75" s="23">
        <f t="shared" si="11"/>
        <v>1.5</v>
      </c>
      <c r="S75" s="23">
        <f t="shared" si="12"/>
        <v>0.9</v>
      </c>
      <c r="T75" s="38">
        <f>N75*(1+Q75*(R75-1))*S75*战斗公式!$E$38+(P75*战斗公式!$E$39+1)*O75*战斗公式!$E$40</f>
        <v>69984.008716422017</v>
      </c>
      <c r="U75" s="38">
        <f t="shared" si="13"/>
        <v>3342.2480797314493</v>
      </c>
      <c r="V75" s="6">
        <f>VLOOKUP($N$1,$D$4:$J$15,MATCH(F$4,$D$4:$J$4,0),0)*角色成长!E88*角色成长!$L$15*AB75/AA75/(1+$Y$2*($Z$2-1))</f>
        <v>2516.8918181950817</v>
      </c>
      <c r="W75" s="6">
        <f>VLOOKUP($N$1,$D$4:$J$15,MATCH(G$4,$D$4:$J$4,0),0)*角色成长!F88*角色成长!$L$15/(1+X75/角色成长!$N$16)</f>
        <v>60803.332318268309</v>
      </c>
      <c r="X75" s="6">
        <f>VLOOKUP($N$1,$D$4:$J$15,MATCH(H$4,$D$4:$J$4,0),0)*角色成长!G88*角色成长!$L$15</f>
        <v>25101.801066798944</v>
      </c>
      <c r="Y75" s="1">
        <v>0.05</v>
      </c>
      <c r="Z75" s="1">
        <v>1.5</v>
      </c>
      <c r="AA75" s="1">
        <f>VLOOKUP($N$1,$D$4:$J$15,MATCH(I$4,$D$4:$J$4,0),0)*角色成长!J88</f>
        <v>0.9</v>
      </c>
      <c r="AB75" s="1">
        <f t="shared" si="8"/>
        <v>0.75</v>
      </c>
      <c r="AC75" s="6"/>
      <c r="AD75" s="21"/>
      <c r="AE75" s="21"/>
      <c r="AF75" s="21"/>
      <c r="AG75" s="9"/>
      <c r="AH75" s="9"/>
      <c r="AI75" s="9"/>
      <c r="AJ75" s="9"/>
      <c r="AK75" s="9"/>
      <c r="AL75" s="9"/>
    </row>
    <row r="76" spans="5:38" ht="14.25" customHeight="1" x14ac:dyDescent="0.2">
      <c r="E76" s="6"/>
      <c r="F76" s="6"/>
      <c r="G76" s="6"/>
      <c r="H76" s="6"/>
      <c r="I76" s="25"/>
      <c r="J76" s="6"/>
      <c r="K76" s="6"/>
      <c r="L76" s="6">
        <f t="shared" si="9"/>
        <v>2.3982095502981693</v>
      </c>
      <c r="M76" s="1">
        <v>72</v>
      </c>
      <c r="N76" s="6">
        <f>VLOOKUP($N$2,角色品星!$C$16:$D$20,2,0)*VLOOKUP($N$3,角色品星!$C$3:$E$14,3,0)*V76</f>
        <v>1453.5050250076599</v>
      </c>
      <c r="O76" s="6">
        <f>VLOOKUP($N$2,角色品星!$C$16:$D$20,2,0)*VLOOKUP($N$3,角色品星!$C$3:$E$14,3,0)*W76</f>
        <v>34765.141400267363</v>
      </c>
      <c r="P76" s="6">
        <f>VLOOKUP($N$2,角色品星!$C$16:$D$20,2,0)*VLOOKUP($N$3,角色品星!$C$3:$E$14,3,0)*X76</f>
        <v>14496.290116076394</v>
      </c>
      <c r="Q76" s="23">
        <f t="shared" si="10"/>
        <v>0.05</v>
      </c>
      <c r="R76" s="23">
        <f t="shared" si="11"/>
        <v>1.5</v>
      </c>
      <c r="S76" s="23">
        <f t="shared" si="12"/>
        <v>0.9</v>
      </c>
      <c r="T76" s="38">
        <f>N76*(1+Q76*(R76-1))*S76*战斗公式!$E$38+(P76*战斗公式!$E$39+1)*O76*战斗公式!$E$40</f>
        <v>73326.256796153466</v>
      </c>
      <c r="U76" s="38">
        <f t="shared" si="13"/>
        <v>3496.7600139273272</v>
      </c>
      <c r="V76" s="6">
        <f>VLOOKUP($N$1,$D$4:$J$15,MATCH(F$4,$D$4:$J$4,0),0)*角色成长!E89*角色成长!$L$15*AB76/AA76/(1+$Y$2*($Z$2-1))</f>
        <v>2642.7364091048362</v>
      </c>
      <c r="W76" s="6">
        <f>VLOOKUP($N$1,$D$4:$J$15,MATCH(G$4,$D$4:$J$4,0),0)*角色成长!F89*角色成长!$L$15/(1+X76/角色成长!$N$16)</f>
        <v>63209.348000486112</v>
      </c>
      <c r="X76" s="6">
        <f>VLOOKUP($N$1,$D$4:$J$15,MATCH(H$4,$D$4:$J$4,0),0)*角色成长!G89*角色成长!$L$15</f>
        <v>26356.891120138895</v>
      </c>
      <c r="Y76" s="1">
        <v>0.05</v>
      </c>
      <c r="Z76" s="1">
        <v>1.5</v>
      </c>
      <c r="AA76" s="1">
        <f>VLOOKUP($N$1,$D$4:$J$15,MATCH(I$4,$D$4:$J$4,0),0)*角色成长!J89</f>
        <v>0.9</v>
      </c>
      <c r="AB76" s="1">
        <f t="shared" si="8"/>
        <v>0.75</v>
      </c>
      <c r="AC76" s="6"/>
      <c r="AD76" s="21"/>
      <c r="AE76" s="21"/>
      <c r="AF76" s="21"/>
      <c r="AG76" s="9"/>
      <c r="AH76" s="9"/>
      <c r="AI76" s="9"/>
      <c r="AJ76" s="9"/>
      <c r="AK76" s="9"/>
      <c r="AL76" s="9"/>
    </row>
    <row r="77" spans="5:38" ht="14.25" customHeight="1" x14ac:dyDescent="0.2">
      <c r="E77" s="6"/>
      <c r="F77" s="6"/>
      <c r="G77" s="6"/>
      <c r="H77" s="6"/>
      <c r="I77" s="25"/>
      <c r="J77" s="6"/>
      <c r="K77" s="6"/>
      <c r="L77" s="6">
        <f t="shared" si="9"/>
        <v>2.3734554955254148</v>
      </c>
      <c r="M77" s="1">
        <v>73</v>
      </c>
      <c r="N77" s="6">
        <f>VLOOKUP($N$2,角色品星!$C$16:$D$20,2,0)*VLOOKUP($N$3,角色品星!$C$3:$E$14,3,0)*V77</f>
        <v>1526.1802762580428</v>
      </c>
      <c r="O77" s="6">
        <f>VLOOKUP($N$2,角色品星!$C$16:$D$20,2,0)*VLOOKUP($N$3,角色品星!$C$3:$E$14,3,0)*W77</f>
        <v>36126.614412768875</v>
      </c>
      <c r="P77" s="6">
        <f>VLOOKUP($N$2,角色品星!$C$16:$D$20,2,0)*VLOOKUP($N$3,角色品星!$C$3:$E$14,3,0)*X77</f>
        <v>15221.104621880211</v>
      </c>
      <c r="Q77" s="23">
        <f t="shared" si="10"/>
        <v>0.05</v>
      </c>
      <c r="R77" s="23">
        <f t="shared" si="11"/>
        <v>1.5</v>
      </c>
      <c r="S77" s="23">
        <f t="shared" si="12"/>
        <v>0.9</v>
      </c>
      <c r="T77" s="38">
        <f>N77*(1+Q77*(R77-1))*S77*战斗公式!$E$38+(P77*战斗公式!$E$39+1)*O77*战斗公式!$E$40</f>
        <v>76823.016810080793</v>
      </c>
      <c r="U77" s="38">
        <f t="shared" si="13"/>
        <v>3658.131897815183</v>
      </c>
      <c r="V77" s="6">
        <f>VLOOKUP($N$1,$D$4:$J$15,MATCH(F$4,$D$4:$J$4,0),0)*角色成长!E90*角色成长!$L$15*AB77/AA77/(1+$Y$2*($Z$2-1))</f>
        <v>2774.8732295600776</v>
      </c>
      <c r="W77" s="6">
        <f>VLOOKUP($N$1,$D$4:$J$15,MATCH(G$4,$D$4:$J$4,0),0)*角色成长!F90*角色成长!$L$15/(1+X77/角色成长!$N$16)</f>
        <v>65684.75347776158</v>
      </c>
      <c r="X77" s="6">
        <f>VLOOKUP($N$1,$D$4:$J$15,MATCH(H$4,$D$4:$J$4,0),0)*角色成长!G90*角色成长!$L$15</f>
        <v>27674.735676145836</v>
      </c>
      <c r="Y77" s="1">
        <v>0.05</v>
      </c>
      <c r="Z77" s="1">
        <v>1.5</v>
      </c>
      <c r="AA77" s="1">
        <f>VLOOKUP($N$1,$D$4:$J$15,MATCH(I$4,$D$4:$J$4,0),0)*角色成长!J90</f>
        <v>0.9</v>
      </c>
      <c r="AB77" s="1">
        <f t="shared" si="8"/>
        <v>0.75</v>
      </c>
      <c r="AC77" s="6"/>
      <c r="AD77" s="21"/>
      <c r="AE77" s="21"/>
      <c r="AF77" s="21"/>
      <c r="AG77" s="9"/>
      <c r="AH77" s="9"/>
      <c r="AI77" s="9"/>
      <c r="AJ77" s="9"/>
      <c r="AK77" s="9"/>
      <c r="AL77" s="9"/>
    </row>
    <row r="78" spans="5:38" ht="14.25" customHeight="1" x14ac:dyDescent="0.2">
      <c r="E78" s="6"/>
      <c r="F78" s="6"/>
      <c r="G78" s="6"/>
      <c r="H78" s="6"/>
      <c r="I78" s="25"/>
      <c r="J78" s="6"/>
      <c r="K78" s="6"/>
      <c r="L78" s="6">
        <f t="shared" si="9"/>
        <v>2.3480078235416388</v>
      </c>
      <c r="M78" s="1">
        <v>74</v>
      </c>
      <c r="N78" s="6">
        <f>VLOOKUP($N$2,角色品星!$C$16:$D$20,2,0)*VLOOKUP($N$3,角色品星!$C$3:$E$14,3,0)*V78</f>
        <v>1602.4892900709449</v>
      </c>
      <c r="O78" s="6">
        <f>VLOOKUP($N$2,角色品星!$C$16:$D$20,2,0)*VLOOKUP($N$3,角色品星!$C$3:$E$14,3,0)*W78</f>
        <v>37526.236371876555</v>
      </c>
      <c r="P78" s="6">
        <f>VLOOKUP($N$2,角色品星!$C$16:$D$20,2,0)*VLOOKUP($N$3,角色品星!$C$3:$E$14,3,0)*X78</f>
        <v>15982.15985297422</v>
      </c>
      <c r="Q78" s="23">
        <f t="shared" si="10"/>
        <v>0.05</v>
      </c>
      <c r="R78" s="23">
        <f t="shared" si="11"/>
        <v>1.5</v>
      </c>
      <c r="S78" s="23">
        <f t="shared" si="12"/>
        <v>0.9</v>
      </c>
      <c r="T78" s="38">
        <f>N78*(1+Q78*(R78-1))*S78*战斗公式!$E$38+(P78*战斗公式!$E$39+1)*O78*战斗公式!$E$40</f>
        <v>80481.148707895976</v>
      </c>
      <c r="U78" s="38">
        <f t="shared" si="13"/>
        <v>3826.6646968623681</v>
      </c>
      <c r="V78" s="6">
        <f>VLOOKUP($N$1,$D$4:$J$15,MATCH(F$4,$D$4:$J$4,0),0)*角色成长!E91*角色成长!$L$15*AB78/AA78/(1+$Y$2*($Z$2-1))</f>
        <v>2913.6168910380816</v>
      </c>
      <c r="W78" s="6">
        <f>VLOOKUP($N$1,$D$4:$J$15,MATCH(G$4,$D$4:$J$4,0),0)*角色成长!F91*角色成长!$L$15/(1+X78/角色成长!$N$16)</f>
        <v>68229.520676139189</v>
      </c>
      <c r="X78" s="6">
        <f>VLOOKUP($N$1,$D$4:$J$15,MATCH(H$4,$D$4:$J$4,0),0)*角色成长!G91*角色成长!$L$15</f>
        <v>29058.472459953126</v>
      </c>
      <c r="Y78" s="1">
        <v>0.05</v>
      </c>
      <c r="Z78" s="1">
        <v>1.5</v>
      </c>
      <c r="AA78" s="1">
        <f>VLOOKUP($N$1,$D$4:$J$15,MATCH(I$4,$D$4:$J$4,0),0)*角色成长!J91</f>
        <v>0.9</v>
      </c>
      <c r="AB78" s="1">
        <f t="shared" si="8"/>
        <v>0.75</v>
      </c>
      <c r="AC78" s="6"/>
      <c r="AD78" s="21"/>
      <c r="AE78" s="21"/>
      <c r="AF78" s="21"/>
      <c r="AG78" s="9"/>
      <c r="AH78" s="9"/>
      <c r="AI78" s="9"/>
      <c r="AJ78" s="9"/>
      <c r="AK78" s="9"/>
      <c r="AL78" s="9"/>
    </row>
    <row r="79" spans="5:38" ht="14.25" customHeight="1" x14ac:dyDescent="0.2">
      <c r="E79" s="6"/>
      <c r="F79" s="6"/>
      <c r="G79" s="6"/>
      <c r="H79" s="6"/>
      <c r="I79" s="25"/>
      <c r="J79" s="6"/>
      <c r="K79" s="6"/>
      <c r="L79" s="6">
        <f t="shared" si="9"/>
        <v>2.321868527386699</v>
      </c>
      <c r="M79" s="1">
        <v>75</v>
      </c>
      <c r="N79" s="6">
        <f>VLOOKUP($N$2,角色品星!$C$16:$D$20,2,0)*VLOOKUP($N$3,角色品星!$C$3:$E$14,3,0)*V79</f>
        <v>1682.6137545744923</v>
      </c>
      <c r="O79" s="6">
        <f>VLOOKUP($N$2,角色品星!$C$16:$D$20,2,0)*VLOOKUP($N$3,角色品星!$C$3:$E$14,3,0)*W79</f>
        <v>38963.897660398274</v>
      </c>
      <c r="P79" s="6">
        <f>VLOOKUP($N$2,角色品星!$C$16:$D$20,2,0)*VLOOKUP($N$3,角色品星!$C$3:$E$14,3,0)*X79</f>
        <v>16781.26784562293</v>
      </c>
      <c r="Q79" s="23">
        <f t="shared" si="10"/>
        <v>0.05</v>
      </c>
      <c r="R79" s="23">
        <f t="shared" si="11"/>
        <v>1.5</v>
      </c>
      <c r="S79" s="23">
        <f t="shared" si="12"/>
        <v>0.9</v>
      </c>
      <c r="T79" s="38">
        <f>N79*(1+Q79*(R79-1))*S79*战斗公式!$E$38+(P79*战斗公式!$E$39+1)*O79*战斗公式!$E$40</f>
        <v>84307.813404758344</v>
      </c>
      <c r="U79" s="38">
        <f t="shared" si="13"/>
        <v>4002.6743777570373</v>
      </c>
      <c r="V79" s="6">
        <f>VLOOKUP($N$1,$D$4:$J$15,MATCH(F$4,$D$4:$J$4,0),0)*角色成长!E92*角色成长!$L$15*AB79/AA79/(1+$Y$2*($Z$2-1))</f>
        <v>3059.2977355899857</v>
      </c>
      <c r="W79" s="6">
        <f>VLOOKUP($N$1,$D$4:$J$15,MATCH(G$4,$D$4:$J$4,0),0)*角色成长!F92*角色成长!$L$15/(1+X79/角色成长!$N$16)</f>
        <v>70843.450291633213</v>
      </c>
      <c r="X79" s="6">
        <f>VLOOKUP($N$1,$D$4:$J$15,MATCH(H$4,$D$4:$J$4,0),0)*角色成长!G92*角色成长!$L$15</f>
        <v>30511.396082950781</v>
      </c>
      <c r="Y79" s="1">
        <v>0.05</v>
      </c>
      <c r="Z79" s="1">
        <v>1.5</v>
      </c>
      <c r="AA79" s="1">
        <f>VLOOKUP($N$1,$D$4:$J$15,MATCH(I$4,$D$4:$J$4,0),0)*角色成长!J92</f>
        <v>0.9</v>
      </c>
      <c r="AB79" s="1">
        <f t="shared" si="8"/>
        <v>0.75</v>
      </c>
      <c r="AC79" s="6"/>
      <c r="AD79" s="21"/>
      <c r="AE79" s="21"/>
      <c r="AF79" s="21"/>
      <c r="AG79" s="9"/>
      <c r="AH79" s="9"/>
      <c r="AI79" s="9"/>
      <c r="AJ79" s="9"/>
      <c r="AK79" s="9"/>
      <c r="AL79" s="9"/>
    </row>
    <row r="80" spans="5:38" ht="14.25" customHeight="1" x14ac:dyDescent="0.2">
      <c r="E80" s="6"/>
      <c r="F80" s="6"/>
      <c r="G80" s="6"/>
      <c r="H80" s="6"/>
      <c r="I80" s="25"/>
      <c r="J80" s="6"/>
      <c r="K80" s="6"/>
      <c r="L80" s="6">
        <f t="shared" si="9"/>
        <v>2.2950413999168768</v>
      </c>
      <c r="M80" s="1">
        <v>76</v>
      </c>
      <c r="N80" s="6">
        <f>VLOOKUP($N$2,角色品星!$C$16:$D$20,2,0)*VLOOKUP($N$3,角色品星!$C$3:$E$14,3,0)*V80</f>
        <v>1766.7444423032171</v>
      </c>
      <c r="O80" s="6">
        <f>VLOOKUP($N$2,角色品星!$C$16:$D$20,2,0)*VLOOKUP($N$3,角色品星!$C$3:$E$14,3,0)*W80</f>
        <v>40439.389671238452</v>
      </c>
      <c r="P80" s="6">
        <f>VLOOKUP($N$2,角色品星!$C$16:$D$20,2,0)*VLOOKUP($N$3,角色品星!$C$3:$E$14,3,0)*X80</f>
        <v>17620.33123790408</v>
      </c>
      <c r="Q80" s="23">
        <f t="shared" si="10"/>
        <v>0.05</v>
      </c>
      <c r="R80" s="23">
        <f t="shared" si="11"/>
        <v>1.5</v>
      </c>
      <c r="S80" s="23">
        <f t="shared" si="12"/>
        <v>0.9</v>
      </c>
      <c r="T80" s="38">
        <f>N80*(1+Q80*(R80-1))*S80*战斗公式!$E$38+(P80*战斗公式!$E$39+1)*O80*战斗公式!$E$40</f>
        <v>88310.487782515382</v>
      </c>
      <c r="U80" s="38">
        <f t="shared" si="13"/>
        <v>4186.4929114848928</v>
      </c>
      <c r="V80" s="6">
        <f>VLOOKUP($N$1,$D$4:$J$15,MATCH(F$4,$D$4:$J$4,0),0)*角色成长!E93*角色成长!$L$15*AB80/AA80/(1+$Y$2*($Z$2-1))</f>
        <v>3212.2626223694851</v>
      </c>
      <c r="W80" s="6">
        <f>VLOOKUP($N$1,$D$4:$J$15,MATCH(G$4,$D$4:$J$4,0),0)*角色成长!F93*角色成长!$L$15/(1+X80/角色成长!$N$16)</f>
        <v>73526.163038615356</v>
      </c>
      <c r="X80" s="6">
        <f>VLOOKUP($N$1,$D$4:$J$15,MATCH(H$4,$D$4:$J$4,0),0)*角色成长!G93*角色成长!$L$15</f>
        <v>32036.965887098326</v>
      </c>
      <c r="Y80" s="1">
        <v>0.05</v>
      </c>
      <c r="Z80" s="1">
        <v>1.5</v>
      </c>
      <c r="AA80" s="1">
        <f>VLOOKUP($N$1,$D$4:$J$15,MATCH(I$4,$D$4:$J$4,0),0)*角色成长!J93</f>
        <v>0.9</v>
      </c>
      <c r="AB80" s="1">
        <f t="shared" si="8"/>
        <v>0.75</v>
      </c>
      <c r="AC80" s="6"/>
      <c r="AD80" s="21"/>
      <c r="AE80" s="21"/>
      <c r="AF80" s="21"/>
      <c r="AG80" s="9"/>
      <c r="AH80" s="9"/>
      <c r="AI80" s="9"/>
      <c r="AJ80" s="9"/>
      <c r="AK80" s="9"/>
      <c r="AL80" s="9"/>
    </row>
    <row r="81" spans="5:38" ht="14.25" customHeight="1" x14ac:dyDescent="0.2">
      <c r="E81" s="6"/>
      <c r="F81" s="6"/>
      <c r="G81" s="6"/>
      <c r="H81" s="6"/>
      <c r="I81" s="25"/>
      <c r="J81" s="6"/>
      <c r="K81" s="6"/>
      <c r="L81" s="6">
        <f t="shared" si="9"/>
        <v>2.2675321154739665</v>
      </c>
      <c r="M81" s="1">
        <v>77</v>
      </c>
      <c r="N81" s="6">
        <f>VLOOKUP($N$2,角色品星!$C$16:$D$20,2,0)*VLOOKUP($N$3,角色品星!$C$3:$E$14,3,0)*V81</f>
        <v>1855.0816644183776</v>
      </c>
      <c r="O81" s="6">
        <f>VLOOKUP($N$2,角色品星!$C$16:$D$20,2,0)*VLOOKUP($N$3,角色品星!$C$3:$E$14,3,0)*W81</f>
        <v>41952.400315598483</v>
      </c>
      <c r="P81" s="6">
        <f>VLOOKUP($N$2,角色品星!$C$16:$D$20,2,0)*VLOOKUP($N$3,角色品星!$C$3:$E$14,3,0)*X81</f>
        <v>18501.347799799281</v>
      </c>
      <c r="Q81" s="23">
        <f t="shared" si="10"/>
        <v>0.05</v>
      </c>
      <c r="R81" s="23">
        <f t="shared" si="11"/>
        <v>1.5</v>
      </c>
      <c r="S81" s="23">
        <f t="shared" si="12"/>
        <v>0.9</v>
      </c>
      <c r="T81" s="38">
        <f>N81*(1+Q81*(R81-1))*S81*战斗公式!$E$38+(P81*战斗公式!$E$39+1)*O81*战斗公式!$E$40</f>
        <v>92496.980694000275</v>
      </c>
      <c r="U81" s="38">
        <f t="shared" si="13"/>
        <v>4378.4693487394979</v>
      </c>
      <c r="V81" s="6">
        <f>VLOOKUP($N$1,$D$4:$J$15,MATCH(F$4,$D$4:$J$4,0),0)*角色成长!E94*角色成长!$L$15*AB81/AA81/(1+$Y$2*($Z$2-1))</f>
        <v>3372.8757534879592</v>
      </c>
      <c r="W81" s="6">
        <f>VLOOKUP($N$1,$D$4:$J$15,MATCH(G$4,$D$4:$J$4,0),0)*角色成长!F94*角色成长!$L$15/(1+X81/角色成长!$N$16)</f>
        <v>76277.091482906326</v>
      </c>
      <c r="X81" s="6">
        <f>VLOOKUP($N$1,$D$4:$J$15,MATCH(H$4,$D$4:$J$4,0),0)*角色成长!G94*角色成长!$L$15</f>
        <v>33638.814181453236</v>
      </c>
      <c r="Y81" s="1">
        <v>0.05</v>
      </c>
      <c r="Z81" s="1">
        <v>1.5</v>
      </c>
      <c r="AA81" s="1">
        <f>VLOOKUP($N$1,$D$4:$J$15,MATCH(I$4,$D$4:$J$4,0),0)*角色成长!J94</f>
        <v>0.9</v>
      </c>
      <c r="AB81" s="1">
        <f t="shared" si="8"/>
        <v>0.75</v>
      </c>
      <c r="AC81" s="6"/>
      <c r="AD81" s="21"/>
      <c r="AE81" s="21"/>
      <c r="AF81" s="21"/>
      <c r="AG81" s="9"/>
      <c r="AH81" s="9"/>
      <c r="AI81" s="9"/>
      <c r="AJ81" s="9"/>
      <c r="AK81" s="9"/>
      <c r="AL81" s="9"/>
    </row>
    <row r="82" spans="5:38" ht="14.25" customHeight="1" x14ac:dyDescent="0.2">
      <c r="E82" s="6"/>
      <c r="F82" s="6"/>
      <c r="G82" s="6"/>
      <c r="H82" s="6"/>
      <c r="I82" s="25"/>
      <c r="J82" s="6"/>
      <c r="K82" s="6"/>
      <c r="L82" s="6">
        <f t="shared" si="9"/>
        <v>2.2393483045187978</v>
      </c>
      <c r="M82" s="1">
        <v>78</v>
      </c>
      <c r="N82" s="6">
        <f>VLOOKUP($N$2,角色品星!$C$16:$D$20,2,0)*VLOOKUP($N$3,角色品星!$C$3:$E$14,3,0)*V82</f>
        <v>1947.8357476392966</v>
      </c>
      <c r="O82" s="6">
        <f>VLOOKUP($N$2,角色品星!$C$16:$D$20,2,0)*VLOOKUP($N$3,角色品星!$C$3:$E$14,3,0)*W82</f>
        <v>43502.509918132782</v>
      </c>
      <c r="P82" s="6">
        <f>VLOOKUP($N$2,角色品星!$C$16:$D$20,2,0)*VLOOKUP($N$3,角色品星!$C$3:$E$14,3,0)*X82</f>
        <v>19426.415189789252</v>
      </c>
      <c r="Q82" s="23">
        <f t="shared" si="10"/>
        <v>0.05</v>
      </c>
      <c r="R82" s="23">
        <f t="shared" si="11"/>
        <v>1.5</v>
      </c>
      <c r="S82" s="23">
        <f t="shared" si="12"/>
        <v>0.9</v>
      </c>
      <c r="T82" s="38">
        <f>N82*(1+Q82*(R82-1))*S82*战斗公式!$E$38+(P82*战斗公式!$E$39+1)*O82*战斗公式!$E$40</f>
        <v>96875.450042739772</v>
      </c>
      <c r="U82" s="38">
        <f t="shared" si="13"/>
        <v>4578.9709701871034</v>
      </c>
      <c r="V82" s="6">
        <f>VLOOKUP($N$1,$D$4:$J$15,MATCH(F$4,$D$4:$J$4,0),0)*角色成长!E95*角色成长!$L$15*AB82/AA82/(1+$Y$2*($Z$2-1))</f>
        <v>3541.5195411623572</v>
      </c>
      <c r="W82" s="6">
        <f>VLOOKUP($N$1,$D$4:$J$15,MATCH(G$4,$D$4:$J$4,0),0)*角色成长!F95*角色成长!$L$15/(1+X82/角色成长!$N$16)</f>
        <v>79095.472578423229</v>
      </c>
      <c r="X82" s="6">
        <f>VLOOKUP($N$1,$D$4:$J$15,MATCH(H$4,$D$4:$J$4,0),0)*角色成长!G95*角色成长!$L$15</f>
        <v>35320.75489052591</v>
      </c>
      <c r="Y82" s="1">
        <v>0.05</v>
      </c>
      <c r="Z82" s="1">
        <v>1.5</v>
      </c>
      <c r="AA82" s="1">
        <f>VLOOKUP($N$1,$D$4:$J$15,MATCH(I$4,$D$4:$J$4,0),0)*角色成长!J95</f>
        <v>0.9</v>
      </c>
      <c r="AB82" s="1">
        <f t="shared" si="8"/>
        <v>0.75</v>
      </c>
      <c r="AC82" s="6"/>
      <c r="AD82" s="21"/>
      <c r="AE82" s="21"/>
      <c r="AF82" s="21"/>
      <c r="AG82" s="9"/>
      <c r="AH82" s="9"/>
      <c r="AI82" s="9"/>
      <c r="AJ82" s="9"/>
      <c r="AK82" s="9"/>
      <c r="AL82" s="9"/>
    </row>
    <row r="83" spans="5:38" ht="14.25" customHeight="1" x14ac:dyDescent="0.2">
      <c r="E83" s="6"/>
      <c r="F83" s="6"/>
      <c r="G83" s="6"/>
      <c r="H83" s="6"/>
      <c r="I83" s="25"/>
      <c r="J83" s="6"/>
      <c r="K83" s="6"/>
      <c r="L83" s="6">
        <f t="shared" si="9"/>
        <v>2.2104996200255416</v>
      </c>
      <c r="M83" s="1">
        <v>79</v>
      </c>
      <c r="N83" s="6">
        <f>VLOOKUP($N$2,角色品星!$C$16:$D$20,2,0)*VLOOKUP($N$3,角色品星!$C$3:$E$14,3,0)*V83</f>
        <v>2045.227535021261</v>
      </c>
      <c r="O83" s="6">
        <f>VLOOKUP($N$2,角色品星!$C$16:$D$20,2,0)*VLOOKUP($N$3,角色品星!$C$3:$E$14,3,0)*W83</f>
        <v>45089.187565261906</v>
      </c>
      <c r="P83" s="6">
        <f>VLOOKUP($N$2,角色品星!$C$16:$D$20,2,0)*VLOOKUP($N$3,角色品星!$C$3:$E$14,3,0)*X83</f>
        <v>20397.735949278704</v>
      </c>
      <c r="Q83" s="23">
        <f t="shared" si="10"/>
        <v>0.05</v>
      </c>
      <c r="R83" s="23">
        <f t="shared" si="11"/>
        <v>1.5</v>
      </c>
      <c r="S83" s="23">
        <f t="shared" si="12"/>
        <v>0.9</v>
      </c>
      <c r="T83" s="38">
        <f>N83*(1+Q83*(R83-1))*S83*战斗公式!$E$38+(P83*战斗公式!$E$39+1)*O83*战斗公式!$E$40</f>
        <v>101454.42101292688</v>
      </c>
      <c r="U83" s="38">
        <f t="shared" si="13"/>
        <v>4788.3845137760363</v>
      </c>
      <c r="V83" s="6">
        <f>VLOOKUP($N$1,$D$4:$J$15,MATCH(F$4,$D$4:$J$4,0),0)*角色成长!E96*角色成长!$L$15*AB83/AA83/(1+$Y$2*($Z$2-1))</f>
        <v>3718.5955182204743</v>
      </c>
      <c r="W83" s="6">
        <f>VLOOKUP($N$1,$D$4:$J$15,MATCH(G$4,$D$4:$J$4,0),0)*角色成长!F96*角色成长!$L$15/(1+X83/角色成长!$N$16)</f>
        <v>81980.341027748917</v>
      </c>
      <c r="X83" s="6">
        <f>VLOOKUP($N$1,$D$4:$J$15,MATCH(H$4,$D$4:$J$4,0),0)*角色成长!G96*角色成长!$L$15</f>
        <v>37086.792635052188</v>
      </c>
      <c r="Y83" s="1">
        <v>0.05</v>
      </c>
      <c r="Z83" s="1">
        <v>1.5</v>
      </c>
      <c r="AA83" s="1">
        <f>VLOOKUP($N$1,$D$4:$J$15,MATCH(I$4,$D$4:$J$4,0),0)*角色成长!J96</f>
        <v>0.9</v>
      </c>
      <c r="AB83" s="1">
        <f t="shared" si="8"/>
        <v>0.75</v>
      </c>
      <c r="AC83" s="6"/>
      <c r="AD83" s="21"/>
      <c r="AE83" s="21"/>
      <c r="AF83" s="21"/>
      <c r="AG83" s="9"/>
      <c r="AH83" s="9"/>
      <c r="AI83" s="9"/>
      <c r="AJ83" s="9"/>
      <c r="AK83" s="9"/>
      <c r="AL83" s="9"/>
    </row>
    <row r="84" spans="5:38" ht="14.25" customHeight="1" x14ac:dyDescent="0.2">
      <c r="E84" s="6"/>
      <c r="F84" s="6"/>
      <c r="G84" s="6"/>
      <c r="H84" s="6"/>
      <c r="I84" s="25"/>
      <c r="J84" s="6"/>
      <c r="K84" s="6"/>
      <c r="L84" s="6">
        <f t="shared" si="9"/>
        <v>2.1809977944357199</v>
      </c>
      <c r="M84" s="1">
        <v>80</v>
      </c>
      <c r="N84" s="6">
        <f>VLOOKUP($N$2,角色品星!$C$16:$D$20,2,0)*VLOOKUP($N$3,角色品星!$C$3:$E$14,3,0)*V84</f>
        <v>2147.4889117723251</v>
      </c>
      <c r="O84" s="6">
        <f>VLOOKUP($N$2,角色品星!$C$16:$D$20,2,0)*VLOOKUP($N$3,角色品星!$C$3:$E$14,3,0)*W84</f>
        <v>46711.787972702034</v>
      </c>
      <c r="P84" s="6">
        <f>VLOOKUP($N$2,角色品星!$C$16:$D$20,2,0)*VLOOKUP($N$3,角色品星!$C$3:$E$14,3,0)*X84</f>
        <v>21417.622746742654</v>
      </c>
      <c r="Q84" s="23">
        <f t="shared" si="10"/>
        <v>0.05</v>
      </c>
      <c r="R84" s="23">
        <f t="shared" si="11"/>
        <v>1.5</v>
      </c>
      <c r="S84" s="23">
        <f t="shared" si="12"/>
        <v>0.9</v>
      </c>
      <c r="T84" s="38">
        <f>N84*(1+Q84*(R84-1))*S84*战斗公式!$E$38+(P84*战斗公式!$E$39+1)*O84*战斗公式!$E$40</f>
        <v>106242.80552670291</v>
      </c>
      <c r="U84" s="38">
        <f t="shared" si="13"/>
        <v>5007.1174809069635</v>
      </c>
      <c r="V84" s="6">
        <f>VLOOKUP($N$1,$D$4:$J$15,MATCH(F$4,$D$4:$J$4,0),0)*角色成长!E97*角色成长!$L$15*AB84/AA84/(1+$Y$2*($Z$2-1))</f>
        <v>3904.5252941315002</v>
      </c>
      <c r="W84" s="6">
        <f>VLOOKUP($N$1,$D$4:$J$15,MATCH(G$4,$D$4:$J$4,0),0)*角色成长!F97*角色成长!$L$15/(1+X84/角色成长!$N$16)</f>
        <v>84930.523586730968</v>
      </c>
      <c r="X84" s="6">
        <f>VLOOKUP($N$1,$D$4:$J$15,MATCH(H$4,$D$4:$J$4,0),0)*角色成长!G97*角色成长!$L$15</f>
        <v>38941.132266804823</v>
      </c>
      <c r="Y84" s="1">
        <v>0.05</v>
      </c>
      <c r="Z84" s="1">
        <v>1.5</v>
      </c>
      <c r="AA84" s="1">
        <f>VLOOKUP($N$1,$D$4:$J$15,MATCH(I$4,$D$4:$J$4,0),0)*角色成长!J97</f>
        <v>0.9</v>
      </c>
      <c r="AB84" s="1">
        <f t="shared" si="8"/>
        <v>0.75</v>
      </c>
      <c r="AC84" s="6"/>
      <c r="AD84" s="21"/>
      <c r="AE84" s="21"/>
      <c r="AF84" s="21"/>
      <c r="AG84" s="9"/>
      <c r="AH84" s="9"/>
      <c r="AI84" s="9"/>
      <c r="AJ84" s="9"/>
      <c r="AK84" s="9"/>
      <c r="AL84" s="9"/>
    </row>
    <row r="85" spans="5:38" ht="14.25" customHeight="1" x14ac:dyDescent="0.2">
      <c r="E85" s="6"/>
      <c r="F85" s="6"/>
      <c r="G85" s="6"/>
      <c r="H85" s="6"/>
      <c r="I85" s="25"/>
      <c r="J85" s="6"/>
      <c r="K85" s="6"/>
      <c r="L85" s="6">
        <f t="shared" si="9"/>
        <v>2.1508566859929887</v>
      </c>
      <c r="M85" s="1">
        <v>81</v>
      </c>
      <c r="N85" s="6">
        <f>VLOOKUP($N$2,角色品星!$C$16:$D$20,2,0)*VLOOKUP($N$3,角色品星!$C$3:$E$14,3,0)*V85</f>
        <v>2254.8633573609409</v>
      </c>
      <c r="O85" s="6">
        <f>VLOOKUP($N$2,角色品星!$C$16:$D$20,2,0)*VLOOKUP($N$3,角色品星!$C$3:$E$14,3,0)*W85</f>
        <v>48369.548937052299</v>
      </c>
      <c r="P85" s="6">
        <f>VLOOKUP($N$2,角色品星!$C$16:$D$20,2,0)*VLOOKUP($N$3,角色品星!$C$3:$E$14,3,0)*X85</f>
        <v>22488.503884079782</v>
      </c>
      <c r="Q85" s="23">
        <f t="shared" si="10"/>
        <v>0.05</v>
      </c>
      <c r="R85" s="23">
        <f t="shared" si="11"/>
        <v>1.5</v>
      </c>
      <c r="S85" s="23">
        <f t="shared" si="12"/>
        <v>0.9</v>
      </c>
      <c r="T85" s="38">
        <f>N85*(1+Q85*(R85-1))*S85*战斗公式!$E$38+(P85*战斗公式!$E$39+1)*O85*战斗公式!$E$40</f>
        <v>111249.92300760988</v>
      </c>
      <c r="U85" s="38">
        <f t="shared" si="13"/>
        <v>5235.5995228818501</v>
      </c>
      <c r="V85" s="6">
        <f>VLOOKUP($N$1,$D$4:$J$15,MATCH(F$4,$D$4:$J$4,0),0)*角色成长!E98*角色成长!$L$15*AB85/AA85/(1+$Y$2*($Z$2-1))</f>
        <v>4099.7515588380738</v>
      </c>
      <c r="W85" s="6">
        <f>VLOOKUP($N$1,$D$4:$J$15,MATCH(G$4,$D$4:$J$4,0),0)*角色成长!F98*角色成长!$L$15/(1+X85/角色成长!$N$16)</f>
        <v>87944.634431004175</v>
      </c>
      <c r="X85" s="6">
        <f>VLOOKUP($N$1,$D$4:$J$15,MATCH(H$4,$D$4:$J$4,0),0)*角色成长!G98*角色成长!$L$15</f>
        <v>40888.188880145055</v>
      </c>
      <c r="Y85" s="1">
        <v>0.05</v>
      </c>
      <c r="Z85" s="1">
        <v>1.5</v>
      </c>
      <c r="AA85" s="1">
        <f>VLOOKUP($N$1,$D$4:$J$15,MATCH(I$4,$D$4:$J$4,0),0)*角色成长!J98</f>
        <v>0.9</v>
      </c>
      <c r="AB85" s="1">
        <f t="shared" si="8"/>
        <v>0.75</v>
      </c>
      <c r="AC85" s="6"/>
      <c r="AD85" s="21"/>
      <c r="AE85" s="21"/>
      <c r="AF85" s="21"/>
      <c r="AG85" s="9"/>
      <c r="AH85" s="9"/>
      <c r="AI85" s="9"/>
      <c r="AJ85" s="9"/>
      <c r="AK85" s="9"/>
      <c r="AL85" s="9"/>
    </row>
    <row r="86" spans="5:38" ht="14.25" customHeight="1" x14ac:dyDescent="0.2">
      <c r="E86" s="6"/>
      <c r="F86" s="6"/>
      <c r="G86" s="6"/>
      <c r="H86" s="6"/>
      <c r="I86" s="25"/>
      <c r="J86" s="6"/>
      <c r="K86" s="6"/>
      <c r="L86" s="6">
        <f t="shared" si="9"/>
        <v>2.1200923133228864</v>
      </c>
      <c r="M86" s="1">
        <v>82</v>
      </c>
      <c r="N86" s="6">
        <f>VLOOKUP($N$2,角色品星!$C$16:$D$20,2,0)*VLOOKUP($N$3,角色品星!$C$3:$E$14,3,0)*V86</f>
        <v>2367.6065252289886</v>
      </c>
      <c r="O86" s="6">
        <f>VLOOKUP($N$2,角色品星!$C$16:$D$20,2,0)*VLOOKUP($N$3,角色品星!$C$3:$E$14,3,0)*W86</f>
        <v>50061.589433907895</v>
      </c>
      <c r="P86" s="6">
        <f>VLOOKUP($N$2,角色品星!$C$16:$D$20,2,0)*VLOOKUP($N$3,角色品星!$C$3:$E$14,3,0)*X86</f>
        <v>23612.929078283774</v>
      </c>
      <c r="Q86" s="23">
        <f t="shared" si="10"/>
        <v>0.05</v>
      </c>
      <c r="R86" s="23">
        <f t="shared" si="11"/>
        <v>1.5</v>
      </c>
      <c r="S86" s="23">
        <f t="shared" si="12"/>
        <v>0.9</v>
      </c>
      <c r="T86" s="38">
        <f>N86*(1+Q86*(R86-1))*S86*战斗公式!$E$38+(P86*战斗公式!$E$39+1)*O86*战斗公式!$E$40</f>
        <v>116485.52253049173</v>
      </c>
      <c r="U86" s="38">
        <f t="shared" si="13"/>
        <v>5474.2839086199237</v>
      </c>
      <c r="V86" s="6">
        <f>VLOOKUP($N$1,$D$4:$J$15,MATCH(F$4,$D$4:$J$4,0),0)*角色成长!E99*角色成长!$L$15*AB86/AA86/(1+$Y$2*($Z$2-1))</f>
        <v>4304.7391367799792</v>
      </c>
      <c r="W86" s="6">
        <f>VLOOKUP($N$1,$D$4:$J$15,MATCH(G$4,$D$4:$J$4,0),0)*角色成长!F99*角色成长!$L$15/(1+X86/角色成长!$N$16)</f>
        <v>91021.071698014348</v>
      </c>
      <c r="X86" s="6">
        <f>VLOOKUP($N$1,$D$4:$J$15,MATCH(H$4,$D$4:$J$4,0),0)*角色成长!G99*角色成长!$L$15</f>
        <v>42932.598324152314</v>
      </c>
      <c r="Y86" s="1">
        <v>0.05</v>
      </c>
      <c r="Z86" s="1">
        <v>1.5</v>
      </c>
      <c r="AA86" s="1">
        <f>VLOOKUP($N$1,$D$4:$J$15,MATCH(I$4,$D$4:$J$4,0),0)*角色成长!J99</f>
        <v>0.9</v>
      </c>
      <c r="AB86" s="1">
        <f t="shared" si="8"/>
        <v>0.75</v>
      </c>
      <c r="AC86" s="6"/>
      <c r="AD86" s="21"/>
      <c r="AE86" s="21"/>
      <c r="AF86" s="21"/>
      <c r="AG86" s="9"/>
      <c r="AH86" s="9"/>
      <c r="AI86" s="9"/>
      <c r="AJ86" s="9"/>
      <c r="AK86" s="9"/>
      <c r="AL86" s="9"/>
    </row>
    <row r="87" spans="5:38" ht="14.25" customHeight="1" x14ac:dyDescent="0.2">
      <c r="E87" s="6"/>
      <c r="F87" s="6"/>
      <c r="G87" s="6"/>
      <c r="H87" s="6"/>
      <c r="I87" s="25"/>
      <c r="J87" s="6"/>
      <c r="K87" s="6"/>
      <c r="L87" s="6">
        <f t="shared" si="9"/>
        <v>2.0887228771872</v>
      </c>
      <c r="M87" s="1">
        <v>83</v>
      </c>
      <c r="N87" s="6">
        <f>VLOOKUP($N$2,角色品星!$C$16:$D$20,2,0)*VLOOKUP($N$3,角色品星!$C$3:$E$14,3,0)*V87</f>
        <v>2485.9868514904379</v>
      </c>
      <c r="O87" s="6">
        <f>VLOOKUP($N$2,角色品星!$C$16:$D$20,2,0)*VLOOKUP($N$3,角色品星!$C$3:$E$14,3,0)*W87</f>
        <v>51786.908421370688</v>
      </c>
      <c r="P87" s="6">
        <f>VLOOKUP($N$2,角色品星!$C$16:$D$20,2,0)*VLOOKUP($N$3,角色品星!$C$3:$E$14,3,0)*X87</f>
        <v>24793.57553219796</v>
      </c>
      <c r="Q87" s="23">
        <f t="shared" si="10"/>
        <v>0.05</v>
      </c>
      <c r="R87" s="23">
        <f t="shared" si="11"/>
        <v>1.5</v>
      </c>
      <c r="S87" s="23">
        <f t="shared" si="12"/>
        <v>0.9</v>
      </c>
      <c r="T87" s="38">
        <f>N87*(1+Q87*(R87-1))*S87*战斗公式!$E$38+(P87*战斗公式!$E$39+1)*O87*战斗公式!$E$40</f>
        <v>121959.80643911165</v>
      </c>
      <c r="U87" s="38">
        <f t="shared" si="13"/>
        <v>5723.649074195564</v>
      </c>
      <c r="V87" s="6">
        <f>VLOOKUP($N$1,$D$4:$J$15,MATCH(F$4,$D$4:$J$4,0),0)*角色成长!E100*角色成长!$L$15*AB87/AA87/(1+$Y$2*($Z$2-1))</f>
        <v>4519.9760936189778</v>
      </c>
      <c r="W87" s="6">
        <f>VLOOKUP($N$1,$D$4:$J$15,MATCH(G$4,$D$4:$J$4,0),0)*角色成长!F100*角色成长!$L$15/(1+X87/角色成长!$N$16)</f>
        <v>94158.015311583062</v>
      </c>
      <c r="X87" s="6">
        <f>VLOOKUP($N$1,$D$4:$J$15,MATCH(H$4,$D$4:$J$4,0),0)*角色成长!G100*角色成长!$L$15</f>
        <v>45079.228240359924</v>
      </c>
      <c r="Y87" s="1">
        <v>0.05</v>
      </c>
      <c r="Z87" s="1">
        <v>1.5</v>
      </c>
      <c r="AA87" s="1">
        <f>VLOOKUP($N$1,$D$4:$J$15,MATCH(I$4,$D$4:$J$4,0),0)*角色成长!J100</f>
        <v>0.9</v>
      </c>
      <c r="AB87" s="1">
        <f t="shared" si="8"/>
        <v>0.75</v>
      </c>
      <c r="AC87" s="6"/>
      <c r="AD87" s="21"/>
      <c r="AE87" s="21"/>
      <c r="AF87" s="21"/>
      <c r="AG87" s="9"/>
      <c r="AH87" s="9"/>
      <c r="AI87" s="9"/>
      <c r="AJ87" s="9"/>
      <c r="AK87" s="9"/>
      <c r="AL87" s="9"/>
    </row>
    <row r="88" spans="5:38" ht="14.25" customHeight="1" x14ac:dyDescent="0.2">
      <c r="E88" s="6"/>
      <c r="F88" s="6"/>
      <c r="G88" s="6"/>
      <c r="H88" s="6"/>
      <c r="I88" s="25"/>
      <c r="J88" s="6"/>
      <c r="K88" s="6"/>
      <c r="L88" s="6">
        <f t="shared" si="9"/>
        <v>2.0567687684308011</v>
      </c>
      <c r="M88" s="1">
        <v>84</v>
      </c>
      <c r="N88" s="6">
        <f>VLOOKUP($N$2,角色品星!$C$16:$D$20,2,0)*VLOOKUP($N$3,角色品星!$C$3:$E$14,3,0)*V88</f>
        <v>2610.2861940649591</v>
      </c>
      <c r="O88" s="6">
        <f>VLOOKUP($N$2,角色品星!$C$16:$D$20,2,0)*VLOOKUP($N$3,角色品星!$C$3:$E$14,3,0)*W88</f>
        <v>53544.384402972588</v>
      </c>
      <c r="P88" s="6">
        <f>VLOOKUP($N$2,角色品星!$C$16:$D$20,2,0)*VLOOKUP($N$3,角色品星!$C$3:$E$14,3,0)*X88</f>
        <v>26033.25430880786</v>
      </c>
      <c r="Q88" s="23">
        <f t="shared" si="10"/>
        <v>0.05</v>
      </c>
      <c r="R88" s="23">
        <f t="shared" si="11"/>
        <v>1.5</v>
      </c>
      <c r="S88" s="23">
        <f t="shared" si="12"/>
        <v>0.9</v>
      </c>
      <c r="T88" s="38">
        <f>N88*(1+Q88*(R88-1))*S88*战斗公式!$E$38+(P88*战斗公式!$E$39+1)*O88*战斗公式!$E$40</f>
        <v>127683.45551330721</v>
      </c>
      <c r="U88" s="38">
        <f t="shared" si="13"/>
        <v>5984.2002543155395</v>
      </c>
      <c r="V88" s="6">
        <f>VLOOKUP($N$1,$D$4:$J$15,MATCH(F$4,$D$4:$J$4,0),0)*角色成长!E101*角色成长!$L$15*AB88/AA88/(1+$Y$2*($Z$2-1))</f>
        <v>4745.9748982999254</v>
      </c>
      <c r="W88" s="6">
        <f>VLOOKUP($N$1,$D$4:$J$15,MATCH(G$4,$D$4:$J$4,0),0)*角色成长!F101*角色成长!$L$15/(1+X88/角色成长!$N$16)</f>
        <v>97353.426187222882</v>
      </c>
      <c r="X88" s="6">
        <f>VLOOKUP($N$1,$D$4:$J$15,MATCH(H$4,$D$4:$J$4,0),0)*角色成长!G101*角色成长!$L$15</f>
        <v>47333.189652377921</v>
      </c>
      <c r="Y88" s="1">
        <v>0.05</v>
      </c>
      <c r="Z88" s="1">
        <v>1.5</v>
      </c>
      <c r="AA88" s="1">
        <f>VLOOKUP($N$1,$D$4:$J$15,MATCH(I$4,$D$4:$J$4,0),0)*角色成长!J101</f>
        <v>0.9</v>
      </c>
      <c r="AB88" s="1">
        <f t="shared" si="8"/>
        <v>0.75</v>
      </c>
      <c r="AC88" s="6"/>
      <c r="AD88" s="21"/>
      <c r="AE88" s="21"/>
      <c r="AF88" s="21"/>
      <c r="AG88" s="9"/>
      <c r="AH88" s="9"/>
      <c r="AI88" s="9"/>
      <c r="AJ88" s="9"/>
      <c r="AK88" s="9"/>
      <c r="AL88" s="9"/>
    </row>
    <row r="89" spans="5:38" ht="14.25" customHeight="1" x14ac:dyDescent="0.2">
      <c r="E89" s="6"/>
      <c r="F89" s="6"/>
      <c r="G89" s="6"/>
      <c r="H89" s="6"/>
      <c r="I89" s="25"/>
      <c r="J89" s="6"/>
      <c r="K89" s="6"/>
      <c r="L89" s="6">
        <f t="shared" si="9"/>
        <v>2.0242525612503148</v>
      </c>
      <c r="M89" s="1">
        <v>85</v>
      </c>
      <c r="N89" s="6">
        <f>VLOOKUP($N$2,角色品星!$C$16:$D$20,2,0)*VLOOKUP($N$3,角色品星!$C$3:$E$14,3,0)*V89</f>
        <v>2740.8005037682078</v>
      </c>
      <c r="O89" s="6">
        <f>VLOOKUP($N$2,角色品星!$C$16:$D$20,2,0)*VLOOKUP($N$3,角色品星!$C$3:$E$14,3,0)*W89</f>
        <v>55332.775797899354</v>
      </c>
      <c r="P89" s="6">
        <f>VLOOKUP($N$2,角色品星!$C$16:$D$20,2,0)*VLOOKUP($N$3,角色品星!$C$3:$E$14,3,0)*X89</f>
        <v>27334.917024248251</v>
      </c>
      <c r="Q89" s="23">
        <f t="shared" si="10"/>
        <v>0.05</v>
      </c>
      <c r="R89" s="23">
        <f t="shared" si="11"/>
        <v>1.5</v>
      </c>
      <c r="S89" s="23">
        <f t="shared" si="12"/>
        <v>0.9</v>
      </c>
      <c r="T89" s="38">
        <f>N89*(1+Q89*(R89-1))*S89*战斗公式!$E$38+(P89*战斗公式!$E$39+1)*O89*战斗公式!$E$40</f>
        <v>133667.65576762275</v>
      </c>
      <c r="U89" s="38">
        <f t="shared" si="13"/>
        <v>6256.4711954328232</v>
      </c>
      <c r="V89" s="6">
        <f>VLOOKUP($N$1,$D$4:$J$15,MATCH(F$4,$D$4:$J$4,0),0)*角色成长!E102*角色成长!$L$15*AB89/AA89/(1+$Y$2*($Z$2-1))</f>
        <v>4983.2736432149231</v>
      </c>
      <c r="W89" s="6">
        <f>VLOOKUP($N$1,$D$4:$J$15,MATCH(G$4,$D$4:$J$4,0),0)*角色成长!F102*角色成长!$L$15/(1+X89/角色成长!$N$16)</f>
        <v>100605.04690527155</v>
      </c>
      <c r="X89" s="6">
        <f>VLOOKUP($N$1,$D$4:$J$15,MATCH(H$4,$D$4:$J$4,0),0)*角色成长!G102*角色成长!$L$15</f>
        <v>49699.849134996817</v>
      </c>
      <c r="Y89" s="1">
        <v>0.05</v>
      </c>
      <c r="Z89" s="1">
        <v>1.5</v>
      </c>
      <c r="AA89" s="1">
        <f>VLOOKUP($N$1,$D$4:$J$15,MATCH(I$4,$D$4:$J$4,0),0)*角色成长!J102</f>
        <v>0.9</v>
      </c>
      <c r="AB89" s="1">
        <f t="shared" si="8"/>
        <v>0.75</v>
      </c>
      <c r="AC89" s="6"/>
      <c r="AD89" s="21"/>
      <c r="AE89" s="21"/>
      <c r="AF89" s="21"/>
      <c r="AG89" s="9"/>
      <c r="AH89" s="9"/>
      <c r="AI89" s="9"/>
      <c r="AJ89" s="9"/>
      <c r="AK89" s="9"/>
      <c r="AL89" s="9"/>
    </row>
    <row r="90" spans="5:38" ht="14.25" customHeight="1" x14ac:dyDescent="0.2">
      <c r="E90" s="6"/>
      <c r="F90" s="6"/>
      <c r="G90" s="6"/>
      <c r="H90" s="6"/>
      <c r="I90" s="25"/>
      <c r="J90" s="6"/>
      <c r="K90" s="6"/>
      <c r="L90" s="6">
        <f t="shared" si="9"/>
        <v>1.991198991048114</v>
      </c>
      <c r="M90" s="1">
        <v>86</v>
      </c>
      <c r="N90" s="6">
        <f>VLOOKUP($N$2,角色品星!$C$16:$D$20,2,0)*VLOOKUP($N$3,角色品星!$C$3:$E$14,3,0)*V90</f>
        <v>2877.8405289566181</v>
      </c>
      <c r="O90" s="6">
        <f>VLOOKUP($N$2,角色品星!$C$16:$D$20,2,0)*VLOOKUP($N$3,角色品星!$C$3:$E$14,3,0)*W90</f>
        <v>57150.722159020384</v>
      </c>
      <c r="P90" s="6">
        <f>VLOOKUP($N$2,角色品星!$C$16:$D$20,2,0)*VLOOKUP($N$3,角色品星!$C$3:$E$14,3,0)*X90</f>
        <v>28701.662875460665</v>
      </c>
      <c r="Q90" s="23">
        <f t="shared" si="10"/>
        <v>0.05</v>
      </c>
      <c r="R90" s="23">
        <f t="shared" si="11"/>
        <v>1.5</v>
      </c>
      <c r="S90" s="23">
        <f t="shared" si="12"/>
        <v>0.9</v>
      </c>
      <c r="T90" s="38">
        <f>N90*(1+Q90*(R90-1))*S90*战斗公式!$E$38+(P90*战斗公式!$E$39+1)*O90*战斗公式!$E$40</f>
        <v>139924.12696305558</v>
      </c>
      <c r="U90" s="38">
        <f t="shared" si="13"/>
        <v>6541.0259498087689</v>
      </c>
      <c r="V90" s="6">
        <f>VLOOKUP($N$1,$D$4:$J$15,MATCH(F$4,$D$4:$J$4,0),0)*角色成长!E103*角色成长!$L$15*AB90/AA90/(1+$Y$2*($Z$2-1))</f>
        <v>5232.4373253756685</v>
      </c>
      <c r="W90" s="6">
        <f>VLOOKUP($N$1,$D$4:$J$15,MATCH(G$4,$D$4:$J$4,0),0)*角色成长!F103*角色成长!$L$15/(1+X90/角色成长!$N$16)</f>
        <v>103910.4039254916</v>
      </c>
      <c r="X90" s="6">
        <f>VLOOKUP($N$1,$D$4:$J$15,MATCH(H$4,$D$4:$J$4,0),0)*角色成长!G103*角色成长!$L$15</f>
        <v>52184.841591746655</v>
      </c>
      <c r="Y90" s="1">
        <v>0.05</v>
      </c>
      <c r="Z90" s="1">
        <v>1.5</v>
      </c>
      <c r="AA90" s="1">
        <f>VLOOKUP($N$1,$D$4:$J$15,MATCH(I$4,$D$4:$J$4,0),0)*角色成长!J103</f>
        <v>0.9</v>
      </c>
      <c r="AB90" s="1">
        <f t="shared" si="8"/>
        <v>0.75</v>
      </c>
      <c r="AC90" s="6"/>
      <c r="AD90" s="21"/>
      <c r="AE90" s="21"/>
      <c r="AF90" s="21"/>
      <c r="AG90" s="9"/>
      <c r="AH90" s="9"/>
      <c r="AI90" s="9"/>
      <c r="AJ90" s="9"/>
      <c r="AK90" s="9"/>
      <c r="AL90" s="9"/>
    </row>
    <row r="91" spans="5:38" ht="14.25" customHeight="1" x14ac:dyDescent="0.2">
      <c r="E91" s="6"/>
      <c r="F91" s="6"/>
      <c r="G91" s="6"/>
      <c r="H91" s="6"/>
      <c r="I91" s="25"/>
      <c r="J91" s="6"/>
      <c r="K91" s="6"/>
      <c r="L91" s="6">
        <f t="shared" si="9"/>
        <v>1.9576349162911875</v>
      </c>
      <c r="M91" s="1">
        <v>87</v>
      </c>
      <c r="N91" s="6">
        <f>VLOOKUP($N$2,角色品星!$C$16:$D$20,2,0)*VLOOKUP($N$3,角色品星!$C$3:$E$14,3,0)*V91</f>
        <v>3021.7325554044482</v>
      </c>
      <c r="O91" s="6">
        <f>VLOOKUP($N$2,角色品星!$C$16:$D$20,2,0)*VLOOKUP($N$3,角色品星!$C$3:$E$14,3,0)*W91</f>
        <v>58996.746270651332</v>
      </c>
      <c r="P91" s="6">
        <f>VLOOKUP($N$2,角色品星!$C$16:$D$20,2,0)*VLOOKUP($N$3,角色品星!$C$3:$E$14,3,0)*X91</f>
        <v>30136.746019233695</v>
      </c>
      <c r="Q91" s="23">
        <f t="shared" si="10"/>
        <v>0.05</v>
      </c>
      <c r="R91" s="23">
        <f t="shared" si="11"/>
        <v>1.5</v>
      </c>
      <c r="S91" s="23">
        <f t="shared" si="12"/>
        <v>0.9</v>
      </c>
      <c r="T91" s="38">
        <f>N91*(1+Q91*(R91-1))*S91*战斗公式!$E$38+(P91*战斗公式!$E$39+1)*O91*战斗公式!$E$40</f>
        <v>146465.15291286435</v>
      </c>
      <c r="U91" s="38">
        <f t="shared" si="13"/>
        <v>6838.4607494890806</v>
      </c>
      <c r="V91" s="6">
        <f>VLOOKUP($N$1,$D$4:$J$15,MATCH(F$4,$D$4:$J$4,0),0)*角色成长!E104*角色成长!$L$15*AB91/AA91/(1+$Y$2*($Z$2-1))</f>
        <v>5494.0591916444509</v>
      </c>
      <c r="W91" s="6">
        <f>VLOOKUP($N$1,$D$4:$J$15,MATCH(G$4,$D$4:$J$4,0),0)*角色成长!F104*角色成长!$L$15/(1+X91/角色成长!$N$16)</f>
        <v>107266.81140118423</v>
      </c>
      <c r="X91" s="6">
        <f>VLOOKUP($N$1,$D$4:$J$15,MATCH(H$4,$D$4:$J$4,0),0)*角色成长!G104*角色成长!$L$15</f>
        <v>54794.083671333989</v>
      </c>
      <c r="Y91" s="1">
        <v>0.05</v>
      </c>
      <c r="Z91" s="1">
        <v>1.5</v>
      </c>
      <c r="AA91" s="1">
        <f>VLOOKUP($N$1,$D$4:$J$15,MATCH(I$4,$D$4:$J$4,0),0)*角色成长!J104</f>
        <v>0.9</v>
      </c>
      <c r="AB91" s="1">
        <f t="shared" si="8"/>
        <v>0.75</v>
      </c>
      <c r="AC91" s="6"/>
      <c r="AD91" s="21"/>
      <c r="AE91" s="21"/>
      <c r="AF91" s="21"/>
      <c r="AG91" s="9"/>
      <c r="AH91" s="9"/>
      <c r="AI91" s="9"/>
      <c r="AJ91" s="9"/>
      <c r="AK91" s="9"/>
      <c r="AL91" s="9"/>
    </row>
    <row r="92" spans="5:38" ht="14.25" customHeight="1" x14ac:dyDescent="0.2">
      <c r="E92" s="6"/>
      <c r="F92" s="6"/>
      <c r="G92" s="6"/>
      <c r="H92" s="6"/>
      <c r="I92" s="25"/>
      <c r="J92" s="6"/>
      <c r="K92" s="6"/>
      <c r="L92" s="6">
        <f t="shared" si="9"/>
        <v>1.9235892639705612</v>
      </c>
      <c r="M92" s="1">
        <v>88</v>
      </c>
      <c r="N92" s="6">
        <f>VLOOKUP($N$2,角色品星!$C$16:$D$20,2,0)*VLOOKUP($N$3,角色品星!$C$3:$E$14,3,0)*V92</f>
        <v>3172.8191831746713</v>
      </c>
      <c r="O92" s="6">
        <f>VLOOKUP($N$2,角色品星!$C$16:$D$20,2,0)*VLOOKUP($N$3,角色品星!$C$3:$E$14,3,0)*W92</f>
        <v>60869.257148285767</v>
      </c>
      <c r="P92" s="6">
        <f>VLOOKUP($N$2,角色品星!$C$16:$D$20,2,0)*VLOOKUP($N$3,角色品星!$C$3:$E$14,3,0)*X92</f>
        <v>31643.583320195386</v>
      </c>
      <c r="Q92" s="23">
        <f t="shared" si="10"/>
        <v>0.05</v>
      </c>
      <c r="R92" s="23">
        <f t="shared" si="11"/>
        <v>1.5</v>
      </c>
      <c r="S92" s="23">
        <f t="shared" si="12"/>
        <v>0.9</v>
      </c>
      <c r="T92" s="38">
        <f>N92*(1+Q92*(R92-1))*S92*战斗公式!$E$38+(P92*战斗公式!$E$39+1)*O92*战斗公式!$E$40</f>
        <v>153303.61366235343</v>
      </c>
      <c r="U92" s="38">
        <f t="shared" si="13"/>
        <v>7149.4059588886739</v>
      </c>
      <c r="V92" s="6">
        <f>VLOOKUP($N$1,$D$4:$J$15,MATCH(F$4,$D$4:$J$4,0),0)*角色成长!E105*角色成长!$L$15*AB92/AA92/(1+$Y$2*($Z$2-1))</f>
        <v>5768.7621512266742</v>
      </c>
      <c r="W92" s="6">
        <f>VLOOKUP($N$1,$D$4:$J$15,MATCH(G$4,$D$4:$J$4,0),0)*角色成长!F105*角色成长!$L$15/(1+X92/角色成长!$N$16)</f>
        <v>110671.37663324684</v>
      </c>
      <c r="X92" s="6">
        <f>VLOOKUP($N$1,$D$4:$J$15,MATCH(H$4,$D$4:$J$4,0),0)*角色成长!G105*角色成长!$L$15</f>
        <v>57533.7878549007</v>
      </c>
      <c r="Y92" s="1">
        <v>0.05</v>
      </c>
      <c r="Z92" s="1">
        <v>1.5</v>
      </c>
      <c r="AA92" s="1">
        <f>VLOOKUP($N$1,$D$4:$J$15,MATCH(I$4,$D$4:$J$4,0),0)*角色成长!J105</f>
        <v>0.9</v>
      </c>
      <c r="AB92" s="1">
        <f t="shared" si="8"/>
        <v>0.75</v>
      </c>
      <c r="AC92" s="6"/>
      <c r="AD92" s="21"/>
      <c r="AE92" s="21"/>
      <c r="AF92" s="21"/>
      <c r="AG92" s="9"/>
      <c r="AH92" s="9"/>
      <c r="AI92" s="9"/>
      <c r="AJ92" s="9"/>
      <c r="AK92" s="9"/>
      <c r="AL92" s="9"/>
    </row>
    <row r="93" spans="5:38" ht="14.25" customHeight="1" x14ac:dyDescent="0.2">
      <c r="E93" s="6"/>
      <c r="F93" s="6"/>
      <c r="G93" s="6"/>
      <c r="H93" s="6"/>
      <c r="I93" s="25"/>
      <c r="J93" s="6"/>
      <c r="K93" s="6"/>
      <c r="L93" s="6">
        <f t="shared" si="9"/>
        <v>1.8890929584510689</v>
      </c>
      <c r="M93" s="1">
        <v>89</v>
      </c>
      <c r="N93" s="6">
        <f>VLOOKUP($N$2,角色品星!$C$16:$D$20,2,0)*VLOOKUP($N$3,角色品星!$C$3:$E$14,3,0)*V93</f>
        <v>3331.4601423334047</v>
      </c>
      <c r="O93" s="6">
        <f>VLOOKUP($N$2,角色品星!$C$16:$D$20,2,0)*VLOOKUP($N$3,角色品星!$C$3:$E$14,3,0)*W93</f>
        <v>62766.553951857837</v>
      </c>
      <c r="P93" s="6">
        <f>VLOOKUP($N$2,角色品星!$C$16:$D$20,2,0)*VLOOKUP($N$3,角色品星!$C$3:$E$14,3,0)*X93</f>
        <v>33225.762486205153</v>
      </c>
      <c r="Q93" s="23">
        <f t="shared" si="10"/>
        <v>0.05</v>
      </c>
      <c r="R93" s="23">
        <f t="shared" si="11"/>
        <v>1.5</v>
      </c>
      <c r="S93" s="23">
        <f t="shared" si="12"/>
        <v>0.9</v>
      </c>
      <c r="T93" s="38">
        <f>N93*(1+Q93*(R93-1))*S93*战斗公式!$E$38+(P93*战斗公式!$E$39+1)*O93*战斗公式!$E$40</f>
        <v>160453.0196212421</v>
      </c>
      <c r="U93" s="38">
        <f t="shared" si="13"/>
        <v>7474.528104478668</v>
      </c>
      <c r="V93" s="6">
        <f>VLOOKUP($N$1,$D$4:$J$15,MATCH(F$4,$D$4:$J$4,0),0)*角色成长!E106*角色成长!$L$15*AB93/AA93/(1+$Y$2*($Z$2-1))</f>
        <v>6057.2002587880079</v>
      </c>
      <c r="W93" s="6">
        <f>VLOOKUP($N$1,$D$4:$J$15,MATCH(G$4,$D$4:$J$4,0),0)*角色成长!F106*角色成长!$L$15/(1+X93/角色成长!$N$16)</f>
        <v>114121.00718519605</v>
      </c>
      <c r="X93" s="6">
        <f>VLOOKUP($N$1,$D$4:$J$15,MATCH(H$4,$D$4:$J$4,0),0)*角色成长!G106*角色成长!$L$15</f>
        <v>60410.477247645729</v>
      </c>
      <c r="Y93" s="1">
        <v>0.05</v>
      </c>
      <c r="Z93" s="1">
        <v>1.5</v>
      </c>
      <c r="AA93" s="1">
        <f>VLOOKUP($N$1,$D$4:$J$15,MATCH(I$4,$D$4:$J$4,0),0)*角色成长!J106</f>
        <v>0.9</v>
      </c>
      <c r="AB93" s="1">
        <f t="shared" si="8"/>
        <v>0.75</v>
      </c>
      <c r="AC93" s="6"/>
      <c r="AD93" s="21"/>
      <c r="AE93" s="21"/>
      <c r="AF93" s="21"/>
      <c r="AG93" s="9"/>
      <c r="AH93" s="9"/>
      <c r="AI93" s="9"/>
      <c r="AJ93" s="9"/>
      <c r="AK93" s="9"/>
      <c r="AL93" s="9"/>
    </row>
    <row r="94" spans="5:38" ht="14.25" customHeight="1" x14ac:dyDescent="0.2">
      <c r="E94" s="6"/>
      <c r="F94" s="6"/>
      <c r="G94" s="6"/>
      <c r="H94" s="6"/>
      <c r="I94" s="25"/>
      <c r="J94" s="6"/>
      <c r="K94" s="6"/>
      <c r="L94" s="6">
        <f t="shared" si="9"/>
        <v>1.8541788337103282</v>
      </c>
      <c r="M94" s="1">
        <v>90</v>
      </c>
      <c r="N94" s="6">
        <f>VLOOKUP($N$2,角色品星!$C$16:$D$20,2,0)*VLOOKUP($N$3,角色品星!$C$3:$E$14,3,0)*V94</f>
        <v>3498.0331494500751</v>
      </c>
      <c r="O94" s="6">
        <f>VLOOKUP($N$2,角色品星!$C$16:$D$20,2,0)*VLOOKUP($N$3,角色品星!$C$3:$E$14,3,0)*W94</f>
        <v>64686.830812598651</v>
      </c>
      <c r="P94" s="6">
        <f>VLOOKUP($N$2,角色品星!$C$16:$D$20,2,0)*VLOOKUP($N$3,角色品星!$C$3:$E$14,3,0)*X94</f>
        <v>34887.050610515405</v>
      </c>
      <c r="Q94" s="23">
        <f t="shared" si="10"/>
        <v>0.05</v>
      </c>
      <c r="R94" s="23">
        <f t="shared" si="11"/>
        <v>1.5</v>
      </c>
      <c r="S94" s="23">
        <f t="shared" si="12"/>
        <v>0.9</v>
      </c>
      <c r="T94" s="38">
        <f>N94*(1+Q94*(R94-1))*S94*战斗公式!$E$38+(P94*战斗公式!$E$39+1)*O94*战斗公式!$E$40</f>
        <v>167927.54772572077</v>
      </c>
      <c r="U94" s="38">
        <f t="shared" si="13"/>
        <v>7814.5319799713616</v>
      </c>
      <c r="V94" s="6">
        <f>VLOOKUP($N$1,$D$4:$J$15,MATCH(F$4,$D$4:$J$4,0),0)*角色成长!E107*角色成长!$L$15*AB94/AA94/(1+$Y$2*($Z$2-1))</f>
        <v>6360.0602717274087</v>
      </c>
      <c r="W94" s="6">
        <f>VLOOKUP($N$1,$D$4:$J$15,MATCH(G$4,$D$4:$J$4,0),0)*角色成长!F107*角色成长!$L$15/(1+X94/角色成长!$N$16)</f>
        <v>117612.41965927026</v>
      </c>
      <c r="X94" s="6">
        <f>VLOOKUP($N$1,$D$4:$J$15,MATCH(H$4,$D$4:$J$4,0),0)*角色成长!G107*角色成长!$L$15</f>
        <v>63431.00111002801</v>
      </c>
      <c r="Y94" s="1">
        <v>0.05</v>
      </c>
      <c r="Z94" s="1">
        <v>1.5</v>
      </c>
      <c r="AA94" s="1">
        <f>VLOOKUP($N$1,$D$4:$J$15,MATCH(I$4,$D$4:$J$4,0),0)*角色成长!J107</f>
        <v>0.9</v>
      </c>
      <c r="AB94" s="1">
        <f t="shared" si="8"/>
        <v>0.75</v>
      </c>
      <c r="AC94" s="6"/>
      <c r="AD94" s="21"/>
      <c r="AE94" s="21"/>
      <c r="AF94" s="21"/>
      <c r="AG94" s="9"/>
      <c r="AH94" s="9"/>
      <c r="AI94" s="9"/>
      <c r="AJ94" s="9"/>
      <c r="AK94" s="9"/>
      <c r="AL94" s="9"/>
    </row>
    <row r="95" spans="5:38" ht="14.25" customHeight="1" x14ac:dyDescent="0.2">
      <c r="E95" s="6"/>
      <c r="F95" s="6"/>
      <c r="G95" s="6"/>
      <c r="H95" s="6"/>
      <c r="I95" s="25"/>
      <c r="J95" s="6"/>
      <c r="K95" s="6"/>
      <c r="L95" s="6">
        <f t="shared" si="9"/>
        <v>1.8188815291863367</v>
      </c>
      <c r="M95" s="1">
        <v>91</v>
      </c>
      <c r="N95" s="6">
        <f>VLOOKUP($N$2,角色品星!$C$16:$D$20,2,0)*VLOOKUP($N$3,角色品星!$C$3:$E$14,3,0)*V95</f>
        <v>3672.9348069225789</v>
      </c>
      <c r="O95" s="6">
        <f>VLOOKUP($N$2,角色品星!$C$16:$D$20,2,0)*VLOOKUP($N$3,角色品星!$C$3:$E$14,3,0)*W95</f>
        <v>66628.182561418158</v>
      </c>
      <c r="P95" s="6">
        <f>VLOOKUP($N$2,角色品星!$C$16:$D$20,2,0)*VLOOKUP($N$3,角色品星!$C$3:$E$14,3,0)*X95</f>
        <v>36631.403141041177</v>
      </c>
      <c r="Q95" s="23">
        <f t="shared" si="10"/>
        <v>0.05</v>
      </c>
      <c r="R95" s="23">
        <f t="shared" si="11"/>
        <v>1.5</v>
      </c>
      <c r="S95" s="23">
        <f t="shared" si="12"/>
        <v>0.9</v>
      </c>
      <c r="T95" s="38">
        <f>N95*(1+Q95*(R95-1))*S95*战斗公式!$E$38+(P95*战斗公式!$E$39+1)*O95*战斗公式!$E$40</f>
        <v>175742.07970569213</v>
      </c>
      <c r="U95" s="38">
        <f t="shared" si="13"/>
        <v>8170.1628254072857</v>
      </c>
      <c r="V95" s="6">
        <f>VLOOKUP($N$1,$D$4:$J$15,MATCH(F$4,$D$4:$J$4,0),0)*角色成长!E108*角色成长!$L$15*AB95/AA95/(1+$Y$2*($Z$2-1))</f>
        <v>6678.0632853137795</v>
      </c>
      <c r="W95" s="6">
        <f>VLOOKUP($N$1,$D$4:$J$15,MATCH(G$4,$D$4:$J$4,0),0)*角色成长!F108*角色成长!$L$15/(1+X95/角色成长!$N$16)</f>
        <v>121142.15011166937</v>
      </c>
      <c r="X95" s="6">
        <f>VLOOKUP($N$1,$D$4:$J$15,MATCH(H$4,$D$4:$J$4,0),0)*角色成长!G108*角色成长!$L$15</f>
        <v>66602.55116552941</v>
      </c>
      <c r="Y95" s="1">
        <v>0.05</v>
      </c>
      <c r="Z95" s="1">
        <v>1.5</v>
      </c>
      <c r="AA95" s="1">
        <f>VLOOKUP($N$1,$D$4:$J$15,MATCH(I$4,$D$4:$J$4,0),0)*角色成长!J108</f>
        <v>0.9</v>
      </c>
      <c r="AB95" s="1">
        <f t="shared" si="8"/>
        <v>0.75</v>
      </c>
      <c r="AC95" s="6"/>
      <c r="AD95" s="21"/>
      <c r="AE95" s="21"/>
      <c r="AF95" s="21"/>
      <c r="AG95" s="9"/>
      <c r="AH95" s="9"/>
      <c r="AI95" s="9"/>
      <c r="AJ95" s="9"/>
      <c r="AK95" s="9"/>
      <c r="AL95" s="9"/>
    </row>
    <row r="96" spans="5:38" ht="14.25" customHeight="1" x14ac:dyDescent="0.2">
      <c r="E96" s="6"/>
      <c r="F96" s="6"/>
      <c r="G96" s="6"/>
      <c r="H96" s="6"/>
      <c r="I96" s="25"/>
      <c r="J96" s="6"/>
      <c r="K96" s="6"/>
      <c r="L96" s="6">
        <f t="shared" si="9"/>
        <v>1.7832373696810995</v>
      </c>
      <c r="M96" s="1">
        <v>92</v>
      </c>
      <c r="N96" s="6">
        <f>VLOOKUP($N$2,角色品星!$C$16:$D$20,2,0)*VLOOKUP($N$3,角色品星!$C$3:$E$14,3,0)*V96</f>
        <v>3856.5815472687077</v>
      </c>
      <c r="O96" s="6">
        <f>VLOOKUP($N$2,角色品星!$C$16:$D$20,2,0)*VLOOKUP($N$3,角色品星!$C$3:$E$14,3,0)*W96</f>
        <v>68588.611334206173</v>
      </c>
      <c r="P96" s="6">
        <f>VLOOKUP($N$2,角色品星!$C$16:$D$20,2,0)*VLOOKUP($N$3,角色品星!$C$3:$E$14,3,0)*X96</f>
        <v>38462.973298093253</v>
      </c>
      <c r="Q96" s="23">
        <f t="shared" si="10"/>
        <v>0.05</v>
      </c>
      <c r="R96" s="23">
        <f t="shared" si="11"/>
        <v>1.5</v>
      </c>
      <c r="S96" s="23">
        <f t="shared" si="12"/>
        <v>0.9</v>
      </c>
      <c r="T96" s="38">
        <f>N96*(1+Q96*(R96-1))*S96*战斗公式!$E$38+(P96*战斗公式!$E$39+1)*O96*战斗公式!$E$40</f>
        <v>183912.24253109941</v>
      </c>
      <c r="U96" s="38">
        <f t="shared" si="13"/>
        <v>8542.2085786779353</v>
      </c>
      <c r="V96" s="6">
        <f>VLOOKUP($N$1,$D$4:$J$15,MATCH(F$4,$D$4:$J$4,0),0)*角色成长!E109*角色成长!$L$15*AB96/AA96/(1+$Y$2*($Z$2-1))</f>
        <v>7011.9664495794677</v>
      </c>
      <c r="W96" s="6">
        <f>VLOOKUP($N$1,$D$4:$J$15,MATCH(G$4,$D$4:$J$4,0),0)*角色成长!F109*角色成长!$L$15/(1+X96/角色成长!$N$16)</f>
        <v>124706.56606219303</v>
      </c>
      <c r="X96" s="6">
        <f>VLOOKUP($N$1,$D$4:$J$15,MATCH(H$4,$D$4:$J$4,0),0)*角色成长!G109*角色成长!$L$15</f>
        <v>69932.678723805904</v>
      </c>
      <c r="Y96" s="1">
        <v>0.05</v>
      </c>
      <c r="Z96" s="1">
        <v>1.5</v>
      </c>
      <c r="AA96" s="1">
        <f>VLOOKUP($N$1,$D$4:$J$15,MATCH(I$4,$D$4:$J$4,0),0)*角色成长!J109</f>
        <v>0.9</v>
      </c>
      <c r="AB96" s="1">
        <f t="shared" si="8"/>
        <v>0.75</v>
      </c>
      <c r="AC96" s="6"/>
      <c r="AD96" s="21"/>
      <c r="AE96" s="21"/>
      <c r="AF96" s="21"/>
      <c r="AG96" s="9"/>
      <c r="AH96" s="9"/>
      <c r="AI96" s="9"/>
      <c r="AJ96" s="9"/>
      <c r="AK96" s="9"/>
      <c r="AL96" s="9"/>
    </row>
    <row r="97" spans="5:38" ht="14.25" customHeight="1" x14ac:dyDescent="0.2">
      <c r="E97" s="6"/>
      <c r="F97" s="6"/>
      <c r="G97" s="6"/>
      <c r="H97" s="6"/>
      <c r="I97" s="25"/>
      <c r="J97" s="6"/>
      <c r="K97" s="6"/>
      <c r="L97" s="6">
        <f t="shared" si="9"/>
        <v>1.747284229998572</v>
      </c>
      <c r="M97" s="1">
        <v>93</v>
      </c>
      <c r="N97" s="6">
        <f>VLOOKUP($N$2,角色品星!$C$16:$D$20,2,0)*VLOOKUP($N$3,角色品星!$C$3:$E$14,3,0)*V97</f>
        <v>4049.4106246321444</v>
      </c>
      <c r="O97" s="6">
        <f>VLOOKUP($N$2,角色品星!$C$16:$D$20,2,0)*VLOOKUP($N$3,角色品星!$C$3:$E$14,3,0)*W97</f>
        <v>70566.034016745209</v>
      </c>
      <c r="P97" s="6">
        <f>VLOOKUP($N$2,角色品星!$C$16:$D$20,2,0)*VLOOKUP($N$3,角色品星!$C$3:$E$14,3,0)*X97</f>
        <v>40386.121962997902</v>
      </c>
      <c r="Q97" s="23">
        <f t="shared" si="10"/>
        <v>0.05</v>
      </c>
      <c r="R97" s="23">
        <f t="shared" si="11"/>
        <v>1.5</v>
      </c>
      <c r="S97" s="23">
        <f t="shared" si="12"/>
        <v>0.9</v>
      </c>
      <c r="T97" s="38">
        <f>N97*(1+Q97*(R97-1))*S97*战斗公式!$E$38+(P97*战斗公式!$E$39+1)*O97*战斗公式!$E$40</f>
        <v>192454.45110977735</v>
      </c>
      <c r="U97" s="38">
        <f t="shared" si="13"/>
        <v>8931.5021982770704</v>
      </c>
      <c r="V97" s="6">
        <f>VLOOKUP($N$1,$D$4:$J$15,MATCH(F$4,$D$4:$J$4,0),0)*角色成长!E110*角色成长!$L$15*AB97/AA97/(1+$Y$2*($Z$2-1))</f>
        <v>7362.5647720584439</v>
      </c>
      <c r="W97" s="6">
        <f>VLOOKUP($N$1,$D$4:$J$15,MATCH(G$4,$D$4:$J$4,0),0)*角色成长!F110*角色成长!$L$15/(1+X97/角色成长!$N$16)</f>
        <v>128301.88003044583</v>
      </c>
      <c r="X97" s="6">
        <f>VLOOKUP($N$1,$D$4:$J$15,MATCH(H$4,$D$4:$J$4,0),0)*角色成长!G110*角色成长!$L$15</f>
        <v>73429.312659996183</v>
      </c>
      <c r="Y97" s="1">
        <v>0.05</v>
      </c>
      <c r="Z97" s="1">
        <v>1.5</v>
      </c>
      <c r="AA97" s="1">
        <f>VLOOKUP($N$1,$D$4:$J$15,MATCH(I$4,$D$4:$J$4,0),0)*角色成长!J110</f>
        <v>0.9</v>
      </c>
      <c r="AB97" s="1">
        <f t="shared" si="8"/>
        <v>0.75</v>
      </c>
      <c r="AC97" s="6"/>
      <c r="AD97" s="21"/>
      <c r="AE97" s="21"/>
      <c r="AF97" s="21"/>
      <c r="AG97" s="9"/>
      <c r="AH97" s="9"/>
      <c r="AI97" s="9"/>
      <c r="AJ97" s="9"/>
      <c r="AK97" s="9"/>
      <c r="AL97" s="9"/>
    </row>
    <row r="98" spans="5:38" ht="14.25" customHeight="1" x14ac:dyDescent="0.2">
      <c r="E98" s="6"/>
      <c r="F98" s="6"/>
      <c r="G98" s="6"/>
      <c r="H98" s="6"/>
      <c r="I98" s="25"/>
      <c r="J98" s="6"/>
      <c r="K98" s="6"/>
      <c r="L98" s="6">
        <f t="shared" si="9"/>
        <v>1.7110613852242305</v>
      </c>
      <c r="M98" s="1">
        <v>94</v>
      </c>
      <c r="N98" s="6">
        <f>VLOOKUP($N$2,角色品星!$C$16:$D$20,2,0)*VLOOKUP($N$3,角色品星!$C$3:$E$14,3,0)*V98</f>
        <v>4251.8811558637517</v>
      </c>
      <c r="O98" s="6">
        <f>VLOOKUP($N$2,角色品星!$C$16:$D$20,2,0)*VLOOKUP($N$3,角色品星!$C$3:$E$14,3,0)*W98</f>
        <v>72558.290479334013</v>
      </c>
      <c r="P98" s="6">
        <f>VLOOKUP($N$2,角色品星!$C$16:$D$20,2,0)*VLOOKUP($N$3,角色品星!$C$3:$E$14,3,0)*X98</f>
        <v>42405.428061147803</v>
      </c>
      <c r="Q98" s="23">
        <f t="shared" si="10"/>
        <v>0.05</v>
      </c>
      <c r="R98" s="23">
        <f t="shared" si="11"/>
        <v>1.5</v>
      </c>
      <c r="S98" s="23">
        <f t="shared" si="12"/>
        <v>0.9</v>
      </c>
      <c r="T98" s="38">
        <f>N98*(1+Q98*(R98-1))*S98*战斗公式!$E$38+(P98*战斗公式!$E$39+1)*O98*战斗公式!$E$40</f>
        <v>201385.95330805442</v>
      </c>
      <c r="U98" s="38">
        <f t="shared" si="13"/>
        <v>9338.9240564702777</v>
      </c>
      <c r="V98" s="6">
        <f>VLOOKUP($N$1,$D$4:$J$15,MATCH(F$4,$D$4:$J$4,0),0)*角色成长!E111*角色成长!$L$15*AB98/AA98/(1+$Y$2*($Z$2-1))</f>
        <v>7730.6930106613654</v>
      </c>
      <c r="W98" s="6">
        <f>VLOOKUP($N$1,$D$4:$J$15,MATCH(G$4,$D$4:$J$4,0),0)*角色成长!F111*角色成长!$L$15/(1+X98/角色成长!$N$16)</f>
        <v>131924.16450788002</v>
      </c>
      <c r="X98" s="6">
        <f>VLOOKUP($N$1,$D$4:$J$15,MATCH(H$4,$D$4:$J$4,0),0)*角色成长!G111*角色成长!$L$15</f>
        <v>77100.778292995994</v>
      </c>
      <c r="Y98" s="1">
        <v>0.05</v>
      </c>
      <c r="Z98" s="1">
        <v>1.5</v>
      </c>
      <c r="AA98" s="1">
        <f>VLOOKUP($N$1,$D$4:$J$15,MATCH(I$4,$D$4:$J$4,0),0)*角色成长!J111</f>
        <v>0.9</v>
      </c>
      <c r="AB98" s="1">
        <f t="shared" si="8"/>
        <v>0.75</v>
      </c>
      <c r="AC98" s="6"/>
      <c r="AD98" s="21"/>
      <c r="AE98" s="21"/>
      <c r="AF98" s="21"/>
      <c r="AG98" s="9"/>
      <c r="AH98" s="9"/>
      <c r="AI98" s="9"/>
      <c r="AJ98" s="9"/>
      <c r="AK98" s="9"/>
      <c r="AL98" s="9"/>
    </row>
    <row r="99" spans="5:38" ht="14.25" customHeight="1" x14ac:dyDescent="0.2">
      <c r="E99" s="6"/>
      <c r="F99" s="6"/>
      <c r="G99" s="6"/>
      <c r="H99" s="6"/>
      <c r="I99" s="25"/>
      <c r="J99" s="6"/>
      <c r="K99" s="6"/>
      <c r="L99" s="6">
        <f t="shared" si="9"/>
        <v>1.6746093477756363</v>
      </c>
      <c r="M99" s="1">
        <v>95</v>
      </c>
      <c r="N99" s="6">
        <f>VLOOKUP($N$2,角色品星!$C$16:$D$20,2,0)*VLOOKUP($N$3,角色品星!$C$3:$E$14,3,0)*V99</f>
        <v>4464.4752136569368</v>
      </c>
      <c r="O99" s="6">
        <f>VLOOKUP($N$2,角色品星!$C$16:$D$20,2,0)*VLOOKUP($N$3,角色品星!$C$3:$E$14,3,0)*W99</f>
        <v>74563.152539006638</v>
      </c>
      <c r="P99" s="6">
        <f>VLOOKUP($N$2,角色品星!$C$16:$D$20,2,0)*VLOOKUP($N$3,角色品星!$C$3:$E$14,3,0)*X99</f>
        <v>44525.69946420518</v>
      </c>
      <c r="Q99" s="23">
        <f t="shared" si="10"/>
        <v>0.05</v>
      </c>
      <c r="R99" s="23">
        <f t="shared" si="11"/>
        <v>1.5</v>
      </c>
      <c r="S99" s="23">
        <f t="shared" si="12"/>
        <v>0.9</v>
      </c>
      <c r="T99" s="38">
        <f>N99*(1+Q99*(R99-1))*S99*战斗公式!$E$38+(P99*战斗公式!$E$39+1)*O99*战斗公式!$E$40</f>
        <v>210724.8773645247</v>
      </c>
      <c r="U99" s="38">
        <f t="shared" si="13"/>
        <v>9765.4044026021729</v>
      </c>
      <c r="V99" s="6">
        <f>VLOOKUP($N$1,$D$4:$J$15,MATCH(F$4,$D$4:$J$4,0),0)*角色成长!E112*角色成长!$L$15*AB99/AA99/(1+$Y$2*($Z$2-1))</f>
        <v>8117.2276611944308</v>
      </c>
      <c r="W99" s="6">
        <f>VLOOKUP($N$1,$D$4:$J$15,MATCH(G$4,$D$4:$J$4,0),0)*角色成长!F112*角色成长!$L$15/(1+X99/角色成长!$N$16)</f>
        <v>135569.36825273934</v>
      </c>
      <c r="X99" s="6">
        <f>VLOOKUP($N$1,$D$4:$J$15,MATCH(H$4,$D$4:$J$4,0),0)*角色成长!G112*角色成长!$L$15</f>
        <v>80955.81720764577</v>
      </c>
      <c r="Y99" s="1">
        <v>0.05</v>
      </c>
      <c r="Z99" s="1">
        <v>1.5</v>
      </c>
      <c r="AA99" s="1">
        <f>VLOOKUP($N$1,$D$4:$J$15,MATCH(I$4,$D$4:$J$4,0),0)*角色成长!J112</f>
        <v>0.9</v>
      </c>
      <c r="AB99" s="1">
        <f t="shared" si="8"/>
        <v>0.75</v>
      </c>
      <c r="AC99" s="6"/>
      <c r="AD99" s="21"/>
      <c r="AE99" s="21"/>
      <c r="AF99" s="21"/>
      <c r="AG99" s="9"/>
      <c r="AH99" s="9"/>
      <c r="AI99" s="9"/>
      <c r="AJ99" s="9"/>
      <c r="AK99" s="9"/>
      <c r="AL99" s="9"/>
    </row>
    <row r="100" spans="5:38" ht="14.25" customHeight="1" x14ac:dyDescent="0.2">
      <c r="E100" s="6"/>
      <c r="F100" s="6"/>
      <c r="G100" s="6"/>
      <c r="H100" s="6"/>
      <c r="I100" s="25"/>
      <c r="J100" s="6"/>
      <c r="K100" s="6"/>
      <c r="L100" s="6">
        <f t="shared" si="9"/>
        <v>1.6379696925633749</v>
      </c>
      <c r="M100" s="1">
        <v>96</v>
      </c>
      <c r="N100" s="6">
        <f>VLOOKUP($N$2,角色品星!$C$16:$D$20,2,0)*VLOOKUP($N$3,角色品星!$C$3:$E$14,3,0)*V100</f>
        <v>4687.6989743397853</v>
      </c>
      <c r="O100" s="6">
        <f>VLOOKUP($N$2,角色品星!$C$16:$D$20,2,0)*VLOOKUP($N$3,角色品星!$C$3:$E$14,3,0)*W100</f>
        <v>76578.33357568107</v>
      </c>
      <c r="P100" s="6">
        <f>VLOOKUP($N$2,角色品星!$C$16:$D$20,2,0)*VLOOKUP($N$3,角色品星!$C$3:$E$14,3,0)*X100</f>
        <v>46751.984437415449</v>
      </c>
      <c r="Q100" s="23">
        <f t="shared" si="10"/>
        <v>0.05</v>
      </c>
      <c r="R100" s="23">
        <f t="shared" si="11"/>
        <v>1.5</v>
      </c>
      <c r="S100" s="23">
        <f t="shared" si="12"/>
        <v>0.9</v>
      </c>
      <c r="T100" s="38">
        <f>N100*(1+Q100*(R100-1))*S100*战斗公式!$E$38+(P100*战斗公式!$E$39+1)*O100*战斗公式!$E$40</f>
        <v>220490.28176712687</v>
      </c>
      <c r="U100" s="38">
        <f t="shared" si="13"/>
        <v>10211.925896926085</v>
      </c>
      <c r="V100" s="6">
        <f>VLOOKUP($N$1,$D$4:$J$15,MATCH(F$4,$D$4:$J$4,0),0)*角色成长!E113*角色成长!$L$15*AB100/AA100/(1+$Y$2*($Z$2-1))</f>
        <v>8523.0890442541549</v>
      </c>
      <c r="W100" s="6">
        <f>VLOOKUP($N$1,$D$4:$J$15,MATCH(G$4,$D$4:$J$4,0),0)*角色成长!F113*角色成长!$L$15/(1+X100/角色成长!$N$16)</f>
        <v>139233.33377396557</v>
      </c>
      <c r="X100" s="6">
        <f>VLOOKUP($N$1,$D$4:$J$15,MATCH(H$4,$D$4:$J$4,0),0)*角色成长!G113*角色成长!$L$15</f>
        <v>85003.608068028087</v>
      </c>
      <c r="Y100" s="1">
        <v>0.05</v>
      </c>
      <c r="Z100" s="1">
        <v>1.5</v>
      </c>
      <c r="AA100" s="1">
        <f>VLOOKUP($N$1,$D$4:$J$15,MATCH(I$4,$D$4:$J$4,0),0)*角色成长!J113</f>
        <v>0.9</v>
      </c>
      <c r="AB100" s="1">
        <f t="shared" si="8"/>
        <v>0.75</v>
      </c>
      <c r="AC100" s="6"/>
      <c r="AD100" s="21"/>
      <c r="AE100" s="21"/>
      <c r="AF100" s="21"/>
      <c r="AG100" s="9"/>
      <c r="AH100" s="9"/>
      <c r="AI100" s="9"/>
      <c r="AJ100" s="9"/>
      <c r="AK100" s="9"/>
      <c r="AL100" s="9"/>
    </row>
    <row r="101" spans="5:38" ht="14.25" customHeight="1" x14ac:dyDescent="0.2">
      <c r="E101" s="6"/>
      <c r="F101" s="6"/>
      <c r="G101" s="6"/>
      <c r="H101" s="6"/>
      <c r="I101" s="25"/>
      <c r="J101" s="6"/>
      <c r="K101" s="6"/>
      <c r="L101" s="6">
        <f t="shared" si="9"/>
        <v>1.6011848717947836</v>
      </c>
      <c r="M101" s="1">
        <v>97</v>
      </c>
      <c r="N101" s="6">
        <f>VLOOKUP($N$2,角色品星!$C$16:$D$20,2,0)*VLOOKUP($N$3,角色品星!$C$3:$E$14,3,0)*V101</f>
        <v>4922.0839230567753</v>
      </c>
      <c r="O101" s="6">
        <f>VLOOKUP($N$2,角色品星!$C$16:$D$20,2,0)*VLOOKUP($N$3,角色品星!$C$3:$E$14,3,0)*W101</f>
        <v>78601.498717953524</v>
      </c>
      <c r="P101" s="6">
        <f>VLOOKUP($N$2,角色品星!$C$16:$D$20,2,0)*VLOOKUP($N$3,角色品星!$C$3:$E$14,3,0)*X101</f>
        <v>49089.583659286225</v>
      </c>
      <c r="Q101" s="23">
        <f t="shared" si="10"/>
        <v>0.05</v>
      </c>
      <c r="R101" s="23">
        <f t="shared" si="11"/>
        <v>1.5</v>
      </c>
      <c r="S101" s="23">
        <f t="shared" si="12"/>
        <v>0.9</v>
      </c>
      <c r="T101" s="38">
        <f>N101*(1+Q101*(R101-1))*S101*战斗公式!$E$38+(P101*战斗公式!$E$39+1)*O101*战斗公式!$E$40</f>
        <v>230702.20766405296</v>
      </c>
      <c r="U101" s="38">
        <f t="shared" si="13"/>
        <v>10679.526216145256</v>
      </c>
      <c r="V101" s="6">
        <f>VLOOKUP($N$1,$D$4:$J$15,MATCH(F$4,$D$4:$J$4,0),0)*角色成长!E114*角色成长!$L$15*AB101/AA101/(1+$Y$2*($Z$2-1))</f>
        <v>8949.2434964668628</v>
      </c>
      <c r="W101" s="6">
        <f>VLOOKUP($N$1,$D$4:$J$15,MATCH(G$4,$D$4:$J$4,0),0)*角色成长!F114*角色成长!$L$15/(1+X101/角色成长!$N$16)</f>
        <v>142911.81585082458</v>
      </c>
      <c r="X101" s="6">
        <f>VLOOKUP($N$1,$D$4:$J$15,MATCH(H$4,$D$4:$J$4,0),0)*角色成长!G114*角色成长!$L$15</f>
        <v>89253.788471429492</v>
      </c>
      <c r="Y101" s="1">
        <v>0.05</v>
      </c>
      <c r="Z101" s="1">
        <v>1.5</v>
      </c>
      <c r="AA101" s="1">
        <f>VLOOKUP($N$1,$D$4:$J$15,MATCH(I$4,$D$4:$J$4,0),0)*角色成长!J114</f>
        <v>0.9</v>
      </c>
      <c r="AB101" s="1">
        <f t="shared" si="8"/>
        <v>0.75</v>
      </c>
      <c r="AC101" s="6"/>
      <c r="AD101" s="21"/>
      <c r="AE101" s="21"/>
      <c r="AF101" s="21"/>
      <c r="AG101" s="9"/>
      <c r="AH101" s="9"/>
      <c r="AI101" s="9"/>
      <c r="AJ101" s="9"/>
      <c r="AK101" s="9"/>
      <c r="AL101" s="9"/>
    </row>
    <row r="102" spans="5:38" ht="14.25" customHeight="1" x14ac:dyDescent="0.2">
      <c r="E102" s="6"/>
      <c r="F102" s="6"/>
      <c r="G102" s="6"/>
      <c r="H102" s="6"/>
      <c r="I102" s="25"/>
      <c r="J102" s="6"/>
      <c r="K102" s="6"/>
      <c r="L102" s="6">
        <f t="shared" si="9"/>
        <v>1.5642980211242159</v>
      </c>
      <c r="M102" s="1">
        <v>98</v>
      </c>
      <c r="N102" s="6">
        <f>VLOOKUP($N$2,角色品星!$C$16:$D$20,2,0)*VLOOKUP($N$3,角色品星!$C$3:$E$14,3,0)*V102</f>
        <v>5168.1881192096134</v>
      </c>
      <c r="O102" s="6">
        <f>VLOOKUP($N$2,角色品星!$C$16:$D$20,2,0)*VLOOKUP($N$3,角色品星!$C$3:$E$14,3,0)*W102</f>
        <v>80630.275504834746</v>
      </c>
      <c r="P102" s="6">
        <f>VLOOKUP($N$2,角色品星!$C$16:$D$20,2,0)*VLOOKUP($N$3,角色品星!$C$3:$E$14,3,0)*X102</f>
        <v>51544.06284225054</v>
      </c>
      <c r="Q102" s="23">
        <f t="shared" si="10"/>
        <v>0.05</v>
      </c>
      <c r="R102" s="23">
        <f t="shared" si="11"/>
        <v>1.5</v>
      </c>
      <c r="S102" s="23">
        <f t="shared" si="12"/>
        <v>0.9</v>
      </c>
      <c r="T102" s="38">
        <f>N102*(1+Q102*(R102-1))*S102*战斗公式!$E$38+(P102*战斗公式!$E$39+1)*O102*战斗公式!$E$40</f>
        <v>241381.73388019821</v>
      </c>
      <c r="U102" s="38">
        <f t="shared" si="13"/>
        <v>11169.300732753414</v>
      </c>
      <c r="V102" s="6">
        <f>VLOOKUP($N$1,$D$4:$J$15,MATCH(F$4,$D$4:$J$4,0),0)*角色成长!E115*角色成长!$L$15*AB102/AA102/(1+$Y$2*($Z$2-1))</f>
        <v>9396.7056712902049</v>
      </c>
      <c r="W102" s="6">
        <f>VLOOKUP($N$1,$D$4:$J$15,MATCH(G$4,$D$4:$J$4,0),0)*角色成长!F115*角色成长!$L$15/(1+X102/角色成长!$N$16)</f>
        <v>146600.50091788135</v>
      </c>
      <c r="X102" s="6">
        <f>VLOOKUP($N$1,$D$4:$J$15,MATCH(H$4,$D$4:$J$4,0),0)*角色成长!G115*角色成长!$L$15</f>
        <v>93716.477895000979</v>
      </c>
      <c r="Y102" s="1">
        <v>0.05</v>
      </c>
      <c r="Z102" s="1">
        <v>1.5</v>
      </c>
      <c r="AA102" s="1">
        <f>VLOOKUP($N$1,$D$4:$J$15,MATCH(I$4,$D$4:$J$4,0),0)*角色成长!J115</f>
        <v>0.9</v>
      </c>
      <c r="AB102" s="1">
        <f t="shared" si="8"/>
        <v>0.75</v>
      </c>
      <c r="AC102" s="6"/>
      <c r="AD102" s="21"/>
      <c r="AE102" s="21"/>
      <c r="AF102" s="21"/>
      <c r="AG102" s="9"/>
      <c r="AH102" s="9"/>
      <c r="AI102" s="9"/>
      <c r="AJ102" s="9"/>
      <c r="AK102" s="9"/>
      <c r="AL102" s="9"/>
    </row>
    <row r="103" spans="5:38" ht="14.25" customHeight="1" x14ac:dyDescent="0.2">
      <c r="E103" s="6"/>
      <c r="F103" s="6"/>
      <c r="G103" s="6"/>
      <c r="H103" s="6"/>
      <c r="I103" s="25"/>
      <c r="J103" s="6"/>
      <c r="K103" s="6"/>
      <c r="L103" s="6">
        <f t="shared" si="9"/>
        <v>1.5273527589988718</v>
      </c>
      <c r="M103" s="1">
        <v>99</v>
      </c>
      <c r="N103" s="6">
        <f>VLOOKUP($N$2,角色品星!$C$16:$D$20,2,0)*VLOOKUP($N$3,角色品星!$C$3:$E$14,3,0)*V103</f>
        <v>5426.5975251700947</v>
      </c>
      <c r="O103" s="6">
        <f>VLOOKUP($N$2,角色品星!$C$16:$D$20,2,0)*VLOOKUP($N$3,角色品星!$C$3:$E$14,3,0)*W103</f>
        <v>82662.264921728711</v>
      </c>
      <c r="P103" s="6">
        <f>VLOOKUP($N$2,角色品星!$C$16:$D$20,2,0)*VLOOKUP($N$3,角色品星!$C$3:$E$14,3,0)*X103</f>
        <v>54121.265984363061</v>
      </c>
      <c r="Q103" s="23">
        <f t="shared" si="10"/>
        <v>0.05</v>
      </c>
      <c r="R103" s="23">
        <f t="shared" si="11"/>
        <v>1.5</v>
      </c>
      <c r="S103" s="23">
        <f t="shared" si="12"/>
        <v>0.9</v>
      </c>
      <c r="T103" s="38">
        <f>N103*(1+Q103*(R103-1))*S103*战斗公式!$E$38+(P103*战斗公式!$E$39+1)*O103*战斗公式!$E$40</f>
        <v>252551.03461295163</v>
      </c>
      <c r="U103" s="38">
        <f t="shared" si="13"/>
        <v>11682.405271299358</v>
      </c>
      <c r="V103" s="6">
        <f>VLOOKUP($N$1,$D$4:$J$15,MATCH(F$4,$D$4:$J$4,0),0)*角色成长!E116*角色成长!$L$15*AB103/AA103/(1+$Y$2*($Z$2-1))</f>
        <v>9866.5409548547177</v>
      </c>
      <c r="W103" s="6">
        <f>VLOOKUP($N$1,$D$4:$J$15,MATCH(G$4,$D$4:$J$4,0),0)*角色成长!F116*角色成长!$L$15/(1+X103/角色成长!$N$16)</f>
        <v>150295.02713041584</v>
      </c>
      <c r="X103" s="6">
        <f>VLOOKUP($N$1,$D$4:$J$15,MATCH(H$4,$D$4:$J$4,0),0)*角色成长!G116*角色成长!$L$15</f>
        <v>98402.301789751014</v>
      </c>
      <c r="Y103" s="1">
        <v>0.05</v>
      </c>
      <c r="Z103" s="1">
        <v>1.5</v>
      </c>
      <c r="AA103" s="1">
        <f>VLOOKUP($N$1,$D$4:$J$15,MATCH(I$4,$D$4:$J$4,0),0)*角色成长!J116</f>
        <v>0.9</v>
      </c>
      <c r="AB103" s="1">
        <f t="shared" si="8"/>
        <v>0.75</v>
      </c>
      <c r="AC103" s="6"/>
      <c r="AD103" s="21"/>
      <c r="AE103" s="21"/>
      <c r="AF103" s="21"/>
      <c r="AG103" s="9"/>
      <c r="AH103" s="9"/>
      <c r="AI103" s="9"/>
      <c r="AJ103" s="9"/>
      <c r="AK103" s="9"/>
      <c r="AL103" s="9"/>
    </row>
    <row r="104" spans="5:38" ht="14.25" customHeight="1" x14ac:dyDescent="0.2">
      <c r="E104" s="6"/>
      <c r="F104" s="6"/>
      <c r="G104" s="6"/>
      <c r="H104" s="6"/>
      <c r="I104" s="25"/>
      <c r="J104" s="6"/>
      <c r="K104" s="6"/>
      <c r="L104" s="6">
        <f t="shared" si="9"/>
        <v>1.4903929811649099</v>
      </c>
      <c r="M104" s="1">
        <v>100</v>
      </c>
      <c r="N104" s="6">
        <f>VLOOKUP($N$2,角色品星!$C$16:$D$20,2,0)*VLOOKUP($N$3,角色品星!$C$3:$E$14,3,0)*V104</f>
        <v>5697.9274014286002</v>
      </c>
      <c r="O104" s="6">
        <f>VLOOKUP($N$2,角色品星!$C$16:$D$20,2,0)*VLOOKUP($N$3,角色品星!$C$3:$E$14,3,0)*W104</f>
        <v>84695.052702596615</v>
      </c>
      <c r="P104" s="6">
        <f>VLOOKUP($N$2,角色品星!$C$16:$D$20,2,0)*VLOOKUP($N$3,角色品星!$C$3:$E$14,3,0)*X104</f>
        <v>56827.329283581232</v>
      </c>
      <c r="Q104" s="23">
        <f t="shared" si="10"/>
        <v>0.05</v>
      </c>
      <c r="R104" s="23">
        <f t="shared" si="11"/>
        <v>1.5</v>
      </c>
      <c r="S104" s="23">
        <f t="shared" si="12"/>
        <v>0.9</v>
      </c>
      <c r="T104" s="38">
        <f>N104*(1+Q104*(R104-1))*S104*战斗公式!$E$38+(P104*战斗公式!$E$39+1)*O104*战斗公式!$E$40</f>
        <v>264233.43988425098</v>
      </c>
      <c r="U104" s="38">
        <f t="shared" si="13"/>
        <v>-264233.43988425098</v>
      </c>
      <c r="V104" s="6">
        <f>VLOOKUP($N$1,$D$4:$J$15,MATCH(F$4,$D$4:$J$4,0),0)*角色成长!E117*角色成长!$L$15*AB104/AA104/(1+$Y$2*($Z$2-1))</f>
        <v>10359.868002597454</v>
      </c>
      <c r="W104" s="6">
        <f>VLOOKUP($N$1,$D$4:$J$15,MATCH(G$4,$D$4:$J$4,0),0)*角色成长!F117*角色成长!$L$15/(1+X104/角色成长!$N$16)</f>
        <v>153991.00491381201</v>
      </c>
      <c r="X104" s="6">
        <f>VLOOKUP($N$1,$D$4:$J$15,MATCH(H$4,$D$4:$J$4,0),0)*角色成长!G117*角色成长!$L$15</f>
        <v>103322.41687923859</v>
      </c>
      <c r="Y104" s="1">
        <v>0.05</v>
      </c>
      <c r="Z104" s="1">
        <v>1.5</v>
      </c>
      <c r="AA104" s="1">
        <f>VLOOKUP($N$1,$D$4:$J$15,MATCH(I$4,$D$4:$J$4,0),0)*角色成长!J117</f>
        <v>0.9</v>
      </c>
      <c r="AB104" s="1">
        <f t="shared" si="8"/>
        <v>0.75</v>
      </c>
      <c r="AC104" s="6"/>
      <c r="AD104" s="21"/>
      <c r="AE104" s="21"/>
      <c r="AF104" s="21"/>
      <c r="AG104" s="9"/>
      <c r="AH104" s="9"/>
      <c r="AI104" s="9"/>
      <c r="AJ104" s="9"/>
      <c r="AK104" s="9"/>
      <c r="AL104" s="9"/>
    </row>
    <row r="105" spans="5:38" ht="14.25" customHeight="1" x14ac:dyDescent="0.2">
      <c r="E105" s="6"/>
      <c r="F105" s="6"/>
      <c r="G105" s="6"/>
      <c r="H105" s="6"/>
      <c r="I105" s="25"/>
      <c r="J105" s="6"/>
      <c r="K105" s="6"/>
      <c r="L105" s="6"/>
      <c r="M105" s="6"/>
      <c r="N105" s="6"/>
      <c r="O105" s="6"/>
      <c r="P105" s="6"/>
      <c r="Q105" s="35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21"/>
      <c r="AE105" s="21"/>
      <c r="AF105" s="21"/>
      <c r="AG105" s="9"/>
      <c r="AH105" s="9"/>
      <c r="AI105" s="9"/>
      <c r="AJ105" s="9"/>
      <c r="AK105" s="9"/>
      <c r="AL105" s="9"/>
    </row>
    <row r="106" spans="5:38" ht="14.25" customHeight="1" x14ac:dyDescent="0.2">
      <c r="E106" s="6"/>
      <c r="F106" s="6"/>
      <c r="G106" s="6"/>
      <c r="H106" s="6"/>
      <c r="I106" s="25"/>
      <c r="J106" s="6"/>
      <c r="K106" s="6"/>
      <c r="L106" s="6"/>
      <c r="M106" s="6"/>
      <c r="N106" s="6"/>
      <c r="O106" s="6"/>
      <c r="P106" s="6"/>
      <c r="Q106" s="35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21"/>
      <c r="AE106" s="21"/>
      <c r="AF106" s="21"/>
      <c r="AG106" s="9"/>
      <c r="AH106" s="9"/>
      <c r="AI106" s="9"/>
      <c r="AJ106" s="9"/>
      <c r="AK106" s="9"/>
      <c r="AL106" s="9"/>
    </row>
    <row r="107" spans="5:38" ht="14.25" customHeight="1" x14ac:dyDescent="0.2">
      <c r="E107" s="6"/>
      <c r="F107" s="6"/>
      <c r="G107" s="6"/>
      <c r="H107" s="6"/>
      <c r="I107" s="25"/>
      <c r="J107" s="6"/>
      <c r="K107" s="6"/>
      <c r="L107" s="6"/>
      <c r="M107" s="6"/>
      <c r="N107" s="6"/>
      <c r="O107" s="6"/>
      <c r="P107" s="6"/>
      <c r="Q107" s="35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21"/>
      <c r="AE107" s="21"/>
      <c r="AF107" s="21"/>
      <c r="AG107" s="9"/>
      <c r="AH107" s="9"/>
      <c r="AI107" s="9"/>
      <c r="AJ107" s="9"/>
      <c r="AK107" s="9"/>
      <c r="AL107" s="9"/>
    </row>
    <row r="108" spans="5:38" ht="14.25" customHeight="1" x14ac:dyDescent="0.2">
      <c r="E108" s="6"/>
      <c r="F108" s="6"/>
      <c r="G108" s="6"/>
      <c r="H108" s="6"/>
      <c r="I108" s="25"/>
      <c r="J108" s="6"/>
      <c r="K108" s="6"/>
      <c r="L108" s="6"/>
      <c r="M108" s="6"/>
      <c r="N108" s="6"/>
      <c r="O108" s="6"/>
      <c r="P108" s="6"/>
      <c r="Q108" s="35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21"/>
      <c r="AE108" s="21"/>
      <c r="AF108" s="21"/>
      <c r="AG108" s="9"/>
      <c r="AH108" s="9"/>
      <c r="AI108" s="9"/>
      <c r="AJ108" s="9"/>
      <c r="AK108" s="9"/>
      <c r="AL108" s="9"/>
    </row>
    <row r="109" spans="5:38" ht="14.25" customHeight="1" x14ac:dyDescent="0.2">
      <c r="E109" s="6"/>
      <c r="F109" s="6"/>
      <c r="G109" s="6"/>
      <c r="H109" s="6"/>
      <c r="I109" s="25"/>
      <c r="J109" s="6"/>
      <c r="K109" s="6"/>
      <c r="L109" s="6"/>
      <c r="M109" s="6"/>
      <c r="N109" s="6"/>
      <c r="O109" s="6"/>
      <c r="P109" s="6"/>
      <c r="Q109" s="35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21"/>
      <c r="AE109" s="21"/>
      <c r="AF109" s="21"/>
      <c r="AG109" s="9"/>
      <c r="AH109" s="9"/>
      <c r="AI109" s="9"/>
      <c r="AJ109" s="9"/>
      <c r="AK109" s="9"/>
      <c r="AL109" s="9"/>
    </row>
    <row r="110" spans="5:38" ht="14.25" customHeight="1" x14ac:dyDescent="0.2">
      <c r="E110" s="6"/>
      <c r="F110" s="6"/>
      <c r="G110" s="6"/>
      <c r="H110" s="6"/>
      <c r="I110" s="25"/>
      <c r="J110" s="6"/>
      <c r="K110" s="6"/>
      <c r="L110" s="6"/>
      <c r="M110" s="6"/>
      <c r="N110" s="6"/>
      <c r="O110" s="6"/>
      <c r="P110" s="6"/>
      <c r="Q110" s="35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21"/>
      <c r="AE110" s="21"/>
      <c r="AF110" s="21"/>
      <c r="AG110" s="9"/>
      <c r="AH110" s="9"/>
      <c r="AI110" s="9"/>
      <c r="AJ110" s="9"/>
      <c r="AK110" s="9"/>
      <c r="AL110" s="9"/>
    </row>
    <row r="111" spans="5:38" ht="14.25" customHeight="1" x14ac:dyDescent="0.2">
      <c r="E111" s="6"/>
      <c r="F111" s="6"/>
      <c r="G111" s="6"/>
      <c r="H111" s="6"/>
      <c r="I111" s="25"/>
      <c r="J111" s="6"/>
      <c r="K111" s="6"/>
      <c r="L111" s="6"/>
      <c r="M111" s="6"/>
      <c r="N111" s="6"/>
      <c r="O111" s="6"/>
      <c r="P111" s="6"/>
      <c r="Q111" s="35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21"/>
      <c r="AE111" s="21"/>
      <c r="AF111" s="21"/>
      <c r="AG111" s="9"/>
      <c r="AH111" s="9"/>
      <c r="AI111" s="9"/>
      <c r="AJ111" s="9"/>
      <c r="AK111" s="9"/>
      <c r="AL111" s="9"/>
    </row>
    <row r="112" spans="5:38" ht="14.25" customHeight="1" x14ac:dyDescent="0.2">
      <c r="E112" s="6"/>
      <c r="F112" s="6"/>
      <c r="G112" s="6"/>
      <c r="H112" s="6"/>
      <c r="I112" s="25"/>
      <c r="J112" s="6"/>
      <c r="K112" s="6"/>
      <c r="L112" s="6"/>
      <c r="M112" s="6"/>
      <c r="N112" s="6"/>
      <c r="O112" s="6"/>
      <c r="P112" s="6"/>
      <c r="Q112" s="35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21"/>
      <c r="AE112" s="21"/>
      <c r="AF112" s="21"/>
      <c r="AG112" s="9"/>
      <c r="AH112" s="9"/>
      <c r="AI112" s="9"/>
      <c r="AJ112" s="9"/>
      <c r="AK112" s="9"/>
      <c r="AL112" s="9"/>
    </row>
    <row r="113" spans="5:38" ht="14.25" customHeight="1" x14ac:dyDescent="0.2">
      <c r="E113" s="6"/>
      <c r="F113" s="6"/>
      <c r="G113" s="6"/>
      <c r="H113" s="6"/>
      <c r="I113" s="25"/>
      <c r="J113" s="6"/>
      <c r="K113" s="6"/>
      <c r="L113" s="6"/>
      <c r="M113" s="6"/>
      <c r="N113" s="6"/>
      <c r="O113" s="6"/>
      <c r="P113" s="6"/>
      <c r="Q113" s="35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21"/>
      <c r="AE113" s="21"/>
      <c r="AF113" s="21"/>
      <c r="AG113" s="9"/>
      <c r="AH113" s="9"/>
      <c r="AI113" s="9"/>
      <c r="AJ113" s="9"/>
      <c r="AK113" s="9"/>
      <c r="AL113" s="9"/>
    </row>
    <row r="114" spans="5:38" ht="14.25" customHeight="1" x14ac:dyDescent="0.2">
      <c r="E114" s="6"/>
      <c r="F114" s="6"/>
      <c r="G114" s="6"/>
      <c r="H114" s="6"/>
      <c r="I114" s="25"/>
      <c r="J114" s="6"/>
      <c r="K114" s="6"/>
      <c r="L114" s="6"/>
      <c r="M114" s="6"/>
      <c r="N114" s="6"/>
      <c r="O114" s="6"/>
      <c r="P114" s="6"/>
      <c r="Q114" s="35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21"/>
      <c r="AE114" s="21"/>
      <c r="AF114" s="21"/>
      <c r="AG114" s="9"/>
      <c r="AH114" s="9"/>
      <c r="AI114" s="9"/>
      <c r="AJ114" s="9"/>
      <c r="AK114" s="9"/>
      <c r="AL114" s="9"/>
    </row>
    <row r="115" spans="5:38" ht="14.25" customHeight="1" x14ac:dyDescent="0.2">
      <c r="E115" s="6"/>
      <c r="F115" s="6"/>
      <c r="G115" s="6"/>
      <c r="H115" s="6"/>
      <c r="I115" s="25"/>
      <c r="J115" s="6"/>
      <c r="K115" s="6"/>
      <c r="L115" s="6"/>
      <c r="M115" s="6"/>
      <c r="N115" s="6"/>
      <c r="O115" s="6"/>
      <c r="P115" s="6"/>
      <c r="Q115" s="35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21"/>
      <c r="AE115" s="21"/>
      <c r="AF115" s="21"/>
      <c r="AG115" s="9"/>
      <c r="AH115" s="9"/>
      <c r="AI115" s="9"/>
      <c r="AJ115" s="9"/>
      <c r="AK115" s="9"/>
      <c r="AL115" s="9"/>
    </row>
    <row r="116" spans="5:38" ht="14.25" customHeight="1" x14ac:dyDescent="0.2">
      <c r="E116" s="6"/>
      <c r="F116" s="6"/>
      <c r="G116" s="6"/>
      <c r="H116" s="6"/>
      <c r="I116" s="25"/>
      <c r="J116" s="6"/>
      <c r="K116" s="6"/>
      <c r="L116" s="6"/>
      <c r="M116" s="6"/>
      <c r="N116" s="6"/>
      <c r="O116" s="6"/>
      <c r="P116" s="6"/>
      <c r="Q116" s="35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21"/>
      <c r="AE116" s="21"/>
      <c r="AF116" s="21"/>
      <c r="AG116" s="9"/>
      <c r="AH116" s="9"/>
      <c r="AI116" s="9"/>
      <c r="AJ116" s="9"/>
      <c r="AK116" s="9"/>
      <c r="AL116" s="9"/>
    </row>
    <row r="117" spans="5:38" ht="14.25" customHeight="1" x14ac:dyDescent="0.2">
      <c r="E117" s="6"/>
      <c r="F117" s="6"/>
      <c r="G117" s="6"/>
      <c r="H117" s="6"/>
      <c r="I117" s="25"/>
      <c r="J117" s="6"/>
      <c r="K117" s="6"/>
      <c r="L117" s="6"/>
      <c r="M117" s="6"/>
      <c r="N117" s="6"/>
      <c r="O117" s="6"/>
      <c r="P117" s="6"/>
      <c r="Q117" s="35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21"/>
      <c r="AE117" s="21"/>
      <c r="AF117" s="21"/>
      <c r="AG117" s="9"/>
      <c r="AH117" s="9"/>
      <c r="AI117" s="9"/>
      <c r="AJ117" s="9"/>
      <c r="AK117" s="9"/>
      <c r="AL117" s="9"/>
    </row>
    <row r="118" spans="5:38" ht="14.25" customHeight="1" x14ac:dyDescent="0.2">
      <c r="K118" s="6"/>
      <c r="L118" s="6"/>
      <c r="S118" s="6"/>
      <c r="T118" s="6"/>
      <c r="U118" s="6"/>
      <c r="AJ118" s="9"/>
      <c r="AK118" s="9"/>
      <c r="AL118" s="9"/>
    </row>
    <row r="119" spans="5:38" ht="14.25" customHeight="1" x14ac:dyDescent="0.2">
      <c r="J119" s="6"/>
      <c r="K119" s="6"/>
      <c r="L119" s="6"/>
    </row>
    <row r="121" spans="5:38" ht="14.25" customHeight="1" x14ac:dyDescent="0.2">
      <c r="J121" s="8"/>
      <c r="K121" s="8"/>
      <c r="L121" s="8"/>
    </row>
  </sheetData>
  <mergeCells count="3">
    <mergeCell ref="A1:B2"/>
    <mergeCell ref="V3:AB3"/>
    <mergeCell ref="O3:S3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7D986-83F9-4E85-97B2-5BA7C2B27C9E}">
          <x14:formula1>
            <xm:f>角色品星!$C$17:$C$20</xm:f>
          </x14:formula1>
          <xm:sqref>N2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B07AA-6FD0-419B-BF8A-B2C3D964FE92}">
  <sheetPr codeName="Sheet8"/>
  <dimension ref="A1:U1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J12" sqref="J12"/>
    </sheetView>
  </sheetViews>
  <sheetFormatPr defaultRowHeight="14.25" x14ac:dyDescent="0.2"/>
  <cols>
    <col min="1" max="16384" width="9" style="1"/>
  </cols>
  <sheetData>
    <row r="1" spans="1:21" ht="14.25" customHeight="1" x14ac:dyDescent="0.2">
      <c r="A1" s="108" t="s">
        <v>193</v>
      </c>
      <c r="B1" s="109"/>
    </row>
    <row r="2" spans="1:21" ht="14.25" customHeight="1" x14ac:dyDescent="0.2">
      <c r="A2" s="110"/>
      <c r="B2" s="111"/>
      <c r="Q2" s="33">
        <f>Q5+Q6+Q7+Q8+Q10</f>
        <v>1.0959999999999999</v>
      </c>
      <c r="R2" s="33">
        <f>R5+R6+R7+R8+R10</f>
        <v>1.0960000000000001</v>
      </c>
    </row>
    <row r="3" spans="1:21" s="3" customFormat="1" ht="14.25" customHeight="1" x14ac:dyDescent="0.2">
      <c r="C3" s="3" t="s">
        <v>211</v>
      </c>
    </row>
    <row r="4" spans="1:21" s="3" customFormat="1" ht="14.25" customHeight="1" x14ac:dyDescent="0.2">
      <c r="D4" s="3" t="s">
        <v>197</v>
      </c>
      <c r="E4" s="3" t="s">
        <v>194</v>
      </c>
      <c r="F4" s="3" t="s">
        <v>145</v>
      </c>
      <c r="G4" s="3" t="s">
        <v>167</v>
      </c>
      <c r="H4" s="3" t="s">
        <v>195</v>
      </c>
      <c r="I4" s="3" t="s">
        <v>196</v>
      </c>
      <c r="J4" s="24" t="s">
        <v>204</v>
      </c>
      <c r="K4" s="3" t="s">
        <v>140</v>
      </c>
      <c r="L4" s="3" t="s">
        <v>141</v>
      </c>
      <c r="M4" s="3" t="s">
        <v>11</v>
      </c>
      <c r="N4" s="3" t="s">
        <v>5</v>
      </c>
      <c r="O4" s="3" t="s">
        <v>206</v>
      </c>
      <c r="P4" s="3" t="s">
        <v>207</v>
      </c>
      <c r="Q4" s="3" t="s">
        <v>208</v>
      </c>
      <c r="R4" s="3" t="s">
        <v>209</v>
      </c>
    </row>
    <row r="5" spans="1:21" ht="14.25" customHeight="1" x14ac:dyDescent="0.2">
      <c r="D5" s="1" t="s">
        <v>151</v>
      </c>
      <c r="E5" s="1" t="s">
        <v>122</v>
      </c>
      <c r="F5" s="1" t="str">
        <f>VLOOKUP($D5,角色设定!$D$27:$M$33,MATCH(F$4,角色设定!$D$27:$M$27,0),0)</f>
        <v>承伤</v>
      </c>
      <c r="G5" s="1">
        <f>VLOOKUP($D5,角色设定!$D$27:$M$33,MATCH(G$4,角色设定!$D$27:$M$27,0),0)</f>
        <v>0.75</v>
      </c>
      <c r="H5" s="6">
        <f>VLOOKUP($D5,角色设定!$D$9:$M$15,MATCH(H$4,角色设定!$D$9:$M$9,0),0)</f>
        <v>4.5</v>
      </c>
      <c r="I5" s="6">
        <f>VLOOKUP($D5,角色设定!$D$9:$M$15,MATCH(I$4,角色设定!$D$9:$M$9,0),0)</f>
        <v>111.11111111111111</v>
      </c>
      <c r="J5" s="6">
        <v>0.5</v>
      </c>
      <c r="K5" s="6">
        <f>VLOOKUP($D5,角色设定!$D$18:$O$24,MATCH(K$4,角色设定!$D$18:$O$18,0),0)</f>
        <v>0.4</v>
      </c>
      <c r="L5" s="6">
        <f>VLOOKUP($D5,角色设定!$D$18:$O$24,MATCH(L$4,角色设定!$D$18:$O$18,0),0)</f>
        <v>1.5</v>
      </c>
      <c r="M5" s="6">
        <f>VLOOKUP($D5,角色设定!$D$18:$O$24,MATCH(M$4,角色设定!$D$18:$O$18,0),0)</f>
        <v>0.9</v>
      </c>
      <c r="N5" s="1">
        <f>VLOOKUP(E5,'基础模型(废）'!$D$10:$G$13,4,0)</f>
        <v>5</v>
      </c>
      <c r="O5" s="1">
        <v>2</v>
      </c>
      <c r="P5" s="5">
        <f>G5/(G5+(1-G5)*O5)</f>
        <v>0.6</v>
      </c>
      <c r="Q5" s="5">
        <f>G5+(1-G5)*O5-1</f>
        <v>0.25</v>
      </c>
      <c r="R5" s="5">
        <f>($N$5+$N$6)/($N$5+$N$6+$N$10)*$Q$2/2</f>
        <v>0.21076923076923076</v>
      </c>
      <c r="S5" s="6">
        <f>N5*(1+R5)</f>
        <v>6.0538461538461537</v>
      </c>
      <c r="T5" s="85">
        <f>1+J5</f>
        <v>1.5</v>
      </c>
    </row>
    <row r="6" spans="1:21" ht="14.25" customHeight="1" x14ac:dyDescent="0.2">
      <c r="D6" s="1" t="s">
        <v>152</v>
      </c>
      <c r="E6" s="1" t="s">
        <v>122</v>
      </c>
      <c r="F6" s="1" t="str">
        <f>VLOOKUP($D6,角色设定!$D$27:$M$33,MATCH(F$4,角色设定!$D$27:$M$27,0),0)</f>
        <v>伤害</v>
      </c>
      <c r="G6" s="1">
        <f>VLOOKUP($D6,角色设定!$D$27:$M$33,MATCH(G$4,角色设定!$D$27:$M$27,0),0)</f>
        <v>0.751</v>
      </c>
      <c r="H6" s="6">
        <f>VLOOKUP($D6,角色设定!$D$9:$M$15,MATCH(H$4,角色设定!$D$9:$M$9,0),0)</f>
        <v>6</v>
      </c>
      <c r="I6" s="6">
        <f>VLOOKUP($D6,角色设定!$D$9:$M$15,MATCH(I$4,角色设定!$D$9:$M$9,0),0)</f>
        <v>83.333333333333329</v>
      </c>
      <c r="J6" s="6">
        <v>0.5</v>
      </c>
      <c r="K6" s="6">
        <f>VLOOKUP($D6,角色设定!$D$18:$O$24,MATCH(K$4,角色设定!$D$18:$O$18,0),0)</f>
        <v>0.4</v>
      </c>
      <c r="L6" s="6">
        <f>VLOOKUP($D6,角色设定!$D$18:$O$24,MATCH(L$4,角色设定!$D$18:$O$18,0),0)</f>
        <v>1.5</v>
      </c>
      <c r="M6" s="6">
        <f>VLOOKUP($D6,角色设定!$D$18:$O$24,MATCH(M$4,角色设定!$D$18:$O$18,0),0)</f>
        <v>0.95</v>
      </c>
      <c r="N6" s="1">
        <f>VLOOKUP(E6,'基础模型(废）'!$D$10:$G$13,4,0)</f>
        <v>5</v>
      </c>
      <c r="O6" s="1">
        <v>2</v>
      </c>
      <c r="P6" s="5">
        <f t="shared" ref="P6:P10" si="0">G6/(G6+(1-G6)*O6)</f>
        <v>0.60128102481985579</v>
      </c>
      <c r="Q6" s="5">
        <f t="shared" ref="Q6:Q10" si="1">G6+(1-G6)*O6-1</f>
        <v>0.24900000000000011</v>
      </c>
      <c r="R6" s="5">
        <f>($N$5+$N$6)/($N$5+$N$6+$N$10)*$Q$2/2</f>
        <v>0.21076923076923076</v>
      </c>
      <c r="S6" s="6">
        <f t="shared" ref="S6:S10" si="2">N6*(1+R6)</f>
        <v>6.0538461538461537</v>
      </c>
      <c r="T6" s="85">
        <f t="shared" ref="T6:T10" si="3">1+J6</f>
        <v>1.5</v>
      </c>
    </row>
    <row r="7" spans="1:21" ht="14.25" customHeight="1" x14ac:dyDescent="0.2">
      <c r="D7" s="1" t="s">
        <v>153</v>
      </c>
      <c r="E7" s="1" t="s">
        <v>123</v>
      </c>
      <c r="F7" s="1" t="str">
        <f>VLOOKUP($D7,角色设定!$D$27:$M$33,MATCH(F$4,角色设定!$D$27:$M$27,0),0)</f>
        <v>伤害</v>
      </c>
      <c r="G7" s="1">
        <f>VLOOKUP($D7,角色设定!$D$27:$M$33,MATCH(G$4,角色设定!$D$27:$M$27,0),0)</f>
        <v>0.8</v>
      </c>
      <c r="H7" s="6">
        <f>VLOOKUP($D7,角色设定!$D$9:$M$15,MATCH(H$4,角色设定!$D$9:$M$9,0),0)</f>
        <v>12</v>
      </c>
      <c r="I7" s="6">
        <f>VLOOKUP($D7,角色设定!$D$9:$M$15,MATCH(I$4,角色设定!$D$9:$M$9,0),0)</f>
        <v>33.333333333333336</v>
      </c>
      <c r="J7" s="6">
        <v>0.35</v>
      </c>
      <c r="K7" s="6">
        <f>VLOOKUP($D7,角色设定!$D$18:$O$24,MATCH(K$4,角色设定!$D$18:$O$18,0),0)</f>
        <v>0.4</v>
      </c>
      <c r="L7" s="6">
        <f>VLOOKUP($D7,角色设定!$D$18:$O$24,MATCH(L$4,角色设定!$D$18:$O$18,0),0)</f>
        <v>1.5</v>
      </c>
      <c r="M7" s="6">
        <f>VLOOKUP($D7,角色设定!$D$18:$O$24,MATCH(M$4,角色设定!$D$18:$O$18,0),0)</f>
        <v>1</v>
      </c>
      <c r="N7" s="1">
        <f>VLOOKUP(E7,'基础模型(废）'!$D$10:$G$13,4,0)</f>
        <v>0</v>
      </c>
      <c r="O7" s="1">
        <v>2</v>
      </c>
      <c r="P7" s="5">
        <f t="shared" si="0"/>
        <v>0.66666666666666674</v>
      </c>
      <c r="Q7" s="5">
        <f t="shared" si="1"/>
        <v>0.19999999999999996</v>
      </c>
      <c r="R7" s="5"/>
      <c r="S7" s="6">
        <f t="shared" si="2"/>
        <v>0</v>
      </c>
      <c r="T7" s="85">
        <f t="shared" si="3"/>
        <v>1.35</v>
      </c>
    </row>
    <row r="8" spans="1:21" ht="14.25" customHeight="1" x14ac:dyDescent="0.2">
      <c r="D8" s="1" t="s">
        <v>154</v>
      </c>
      <c r="E8" s="1" t="s">
        <v>123</v>
      </c>
      <c r="F8" s="1" t="str">
        <f>VLOOKUP($D8,角色设定!$D$27:$M$33,MATCH(F$4,角色设定!$D$27:$M$27,0),0)</f>
        <v>伤害</v>
      </c>
      <c r="G8" s="1">
        <f>VLOOKUP($D8,角色设定!$D$27:$M$33,MATCH(G$4,角色设定!$D$27:$M$27,0),0)</f>
        <v>0.80500000000000005</v>
      </c>
      <c r="H8" s="6">
        <f>VLOOKUP($D8,角色设定!$D$9:$M$15,MATCH(H$4,角色设定!$D$9:$M$9,0),0)</f>
        <v>11.5</v>
      </c>
      <c r="I8" s="6">
        <f>VLOOKUP($D8,角色设定!$D$9:$M$15,MATCH(I$4,角色设定!$D$9:$M$9,0),0)</f>
        <v>34.782608695652172</v>
      </c>
      <c r="J8" s="6">
        <v>0.35</v>
      </c>
      <c r="K8" s="6">
        <f>VLOOKUP($D8,角色设定!$D$18:$O$24,MATCH(K$4,角色设定!$D$18:$O$18,0),0)</f>
        <v>0.4</v>
      </c>
      <c r="L8" s="6">
        <f>VLOOKUP($D8,角色设定!$D$18:$O$24,MATCH(L$4,角色设定!$D$18:$O$18,0),0)</f>
        <v>1.5</v>
      </c>
      <c r="M8" s="6">
        <f>VLOOKUP($D8,角色设定!$D$18:$O$24,MATCH(M$4,角色设定!$D$18:$O$18,0),0)</f>
        <v>1.1000000000000001</v>
      </c>
      <c r="N8" s="1">
        <f>VLOOKUP(E8,'基础模型(废）'!$D$10:$G$13,4,0)</f>
        <v>0</v>
      </c>
      <c r="O8" s="1">
        <v>2</v>
      </c>
      <c r="P8" s="5">
        <f t="shared" si="0"/>
        <v>0.67364016736401688</v>
      </c>
      <c r="Q8" s="5">
        <f t="shared" si="1"/>
        <v>0.19499999999999984</v>
      </c>
      <c r="R8" s="5"/>
      <c r="S8" s="6">
        <f t="shared" si="2"/>
        <v>0</v>
      </c>
      <c r="T8" s="85">
        <f t="shared" si="3"/>
        <v>1.35</v>
      </c>
    </row>
    <row r="9" spans="1:21" ht="14.25" customHeight="1" x14ac:dyDescent="0.2">
      <c r="D9" s="1" t="s">
        <v>155</v>
      </c>
      <c r="E9" s="1" t="s">
        <v>123</v>
      </c>
      <c r="F9" s="1" t="str">
        <f>VLOOKUP($D9,角色设定!$D$27:$M$33,MATCH(F$4,角色设定!$D$27:$M$27,0),0)</f>
        <v>伤害</v>
      </c>
      <c r="G9" s="1">
        <f>VLOOKUP($D9,角色设定!$D$27:$M$33,MATCH(G$4,角色设定!$D$27:$M$27,0),0)</f>
        <v>0.77400000000000002</v>
      </c>
      <c r="H9" s="6">
        <f>VLOOKUP($D9,角色设定!$D$9:$M$15,MATCH(H$4,角色设定!$D$9:$M$9,0),0)</f>
        <v>11</v>
      </c>
      <c r="I9" s="6">
        <f>VLOOKUP($D9,角色设定!$D$9:$M$15,MATCH(I$4,角色设定!$D$9:$M$9,0),0)</f>
        <v>36.363636363636367</v>
      </c>
      <c r="J9" s="6">
        <v>0.35</v>
      </c>
      <c r="K9" s="6">
        <f>VLOOKUP($D9,角色设定!$D$18:$O$24,MATCH(K$4,角色设定!$D$18:$O$18,0),0)</f>
        <v>0.4</v>
      </c>
      <c r="L9" s="6">
        <f>VLOOKUP($D9,角色设定!$D$18:$O$24,MATCH(L$4,角色设定!$D$18:$O$18,0),0)</f>
        <v>1.5</v>
      </c>
      <c r="M9" s="6">
        <f>VLOOKUP($D9,角色设定!$D$18:$O$24,MATCH(M$4,角色设定!$D$18:$O$18,0),0)</f>
        <v>1.2</v>
      </c>
      <c r="N9" s="1">
        <f>VLOOKUP(E9,'基础模型(废）'!$D$10:$G$13,4,0)</f>
        <v>0</v>
      </c>
      <c r="O9" s="1">
        <v>2</v>
      </c>
      <c r="P9" s="5">
        <f t="shared" si="0"/>
        <v>0.63132137030995106</v>
      </c>
      <c r="Q9" s="5">
        <f t="shared" si="1"/>
        <v>0.22599999999999998</v>
      </c>
      <c r="R9" s="5"/>
      <c r="S9" s="6">
        <f t="shared" si="2"/>
        <v>0</v>
      </c>
      <c r="T9" s="85">
        <f t="shared" si="3"/>
        <v>1.35</v>
      </c>
    </row>
    <row r="10" spans="1:21" ht="14.25" customHeight="1" x14ac:dyDescent="0.2">
      <c r="D10" s="1" t="s">
        <v>156</v>
      </c>
      <c r="E10" s="1" t="s">
        <v>124</v>
      </c>
      <c r="F10" s="1" t="str">
        <f>VLOOKUP($D10,角色设定!$D$27:$M$33,MATCH(F$4,角色设定!$D$27:$M$27,0),0)</f>
        <v>无</v>
      </c>
      <c r="G10" s="1">
        <f>VLOOKUP($D10,角色设定!$D$27:$M$33,MATCH(G$4,角色设定!$D$27:$M$27,0),0)</f>
        <v>0.79800000000000004</v>
      </c>
      <c r="H10" s="6">
        <f>VLOOKUP($D10,角色设定!$D$9:$M$15,MATCH(H$4,角色设定!$D$9:$M$9,0),0)</f>
        <v>3.6</v>
      </c>
      <c r="I10" s="6">
        <f>VLOOKUP($D10,角色设定!$D$9:$M$15,MATCH(I$4,角色设定!$D$9:$M$9,0),0)</f>
        <v>55.555555555555557</v>
      </c>
      <c r="J10" s="6">
        <v>0.35</v>
      </c>
      <c r="K10" s="6">
        <f>VLOOKUP($D10,角色设定!$D$18:$O$24,MATCH(K$4,角色设定!$D$18:$O$18,0),0)</f>
        <v>0.4</v>
      </c>
      <c r="L10" s="6">
        <f>VLOOKUP($D10,角色设定!$D$18:$O$24,MATCH(L$4,角色设定!$D$18:$O$18,0),0)</f>
        <v>1.5</v>
      </c>
      <c r="M10" s="6">
        <f>VLOOKUP($D10,角色设定!$D$18:$O$24,MATCH(M$4,角色设定!$D$18:$O$18,0),0)</f>
        <v>0.9</v>
      </c>
      <c r="N10" s="1">
        <f>VLOOKUP(E10,'基础模型(废）'!$D$10:$G$13,4,0)</f>
        <v>16</v>
      </c>
      <c r="O10" s="1">
        <v>2</v>
      </c>
      <c r="P10" s="5">
        <f t="shared" si="0"/>
        <v>0.6638935108153079</v>
      </c>
      <c r="Q10" s="5">
        <f t="shared" si="1"/>
        <v>0.20199999999999996</v>
      </c>
      <c r="R10" s="5">
        <f>($N$10)/($N$5+$N$6+$N$10)*$Q$2</f>
        <v>0.67446153846153845</v>
      </c>
      <c r="S10" s="6">
        <f t="shared" si="2"/>
        <v>26.791384615384615</v>
      </c>
      <c r="T10" s="85">
        <f t="shared" si="3"/>
        <v>1.35</v>
      </c>
    </row>
    <row r="11" spans="1:21" ht="14.25" customHeight="1" x14ac:dyDescent="0.2"/>
    <row r="12" spans="1:21" ht="14.25" customHeight="1" x14ac:dyDescent="0.2">
      <c r="I12" s="1">
        <v>0</v>
      </c>
      <c r="J12" s="2"/>
      <c r="K12" s="1" t="s">
        <v>323</v>
      </c>
      <c r="L12" s="1" t="s">
        <v>324</v>
      </c>
      <c r="M12" s="1" t="s">
        <v>325</v>
      </c>
    </row>
    <row r="13" spans="1:21" ht="14.25" customHeight="1" x14ac:dyDescent="0.2">
      <c r="C13" s="3"/>
      <c r="D13" s="3" t="s">
        <v>197</v>
      </c>
      <c r="E13" s="3" t="s">
        <v>194</v>
      </c>
      <c r="F13" s="3" t="s">
        <v>32</v>
      </c>
      <c r="G13" s="3" t="s">
        <v>205</v>
      </c>
      <c r="H13" s="24" t="s">
        <v>198</v>
      </c>
      <c r="I13" s="24" t="s">
        <v>258</v>
      </c>
      <c r="J13" s="3" t="s">
        <v>199</v>
      </c>
      <c r="K13" s="3" t="s">
        <v>201</v>
      </c>
      <c r="L13" s="3" t="s">
        <v>203</v>
      </c>
      <c r="M13" s="3" t="s">
        <v>210</v>
      </c>
      <c r="N13" s="3" t="s">
        <v>226</v>
      </c>
      <c r="O13" s="3" t="s">
        <v>227</v>
      </c>
      <c r="P13" s="3" t="s">
        <v>228</v>
      </c>
      <c r="Q13" s="3" t="s">
        <v>229</v>
      </c>
      <c r="R13" s="3" t="s">
        <v>234</v>
      </c>
      <c r="S13" s="3" t="s">
        <v>235</v>
      </c>
      <c r="T13" s="3" t="s">
        <v>236</v>
      </c>
      <c r="U13" s="3" t="s">
        <v>237</v>
      </c>
    </row>
    <row r="14" spans="1:21" ht="14.25" customHeight="1" x14ac:dyDescent="0.2">
      <c r="D14" s="1" t="s">
        <v>151</v>
      </c>
      <c r="E14" s="1" t="s">
        <v>122</v>
      </c>
      <c r="F14" s="6">
        <f>H5*G5/M5/(1+K5*(L5-1))</f>
        <v>3.125</v>
      </c>
      <c r="G14" s="6">
        <f t="shared" ref="G14:G19" si="4">I5*(1-J5)</f>
        <v>55.555555555555557</v>
      </c>
      <c r="H14" s="1">
        <v>10</v>
      </c>
      <c r="I14" s="1">
        <f>H14*$I$12</f>
        <v>0</v>
      </c>
      <c r="J14" s="5">
        <f>(H5*(1-G5)/(1+K5*(L5-1)))*H14/M5/F14</f>
        <v>3.333333333333333</v>
      </c>
      <c r="K14" s="4">
        <f>N5/H5*H14/(1+0.4*0.5)</f>
        <v>9.2592592592592595</v>
      </c>
      <c r="L14" s="5">
        <f>N5*H14/(G14*(1+J5))</f>
        <v>0.6</v>
      </c>
      <c r="M14" s="33">
        <f>N5*H14/SUMPRODUCT($G$14:$G$19,$T$5:$T$10)</f>
        <v>0.17466384688493125</v>
      </c>
      <c r="N14" s="5">
        <f t="shared" ref="N14:N19" si="5">H5*(1-P5)/(1/H14)/(1+K5*(L5-1))/F14</f>
        <v>4.8</v>
      </c>
      <c r="O14" s="23">
        <f t="shared" ref="O14:O19" si="6">S5/H5*H14</f>
        <v>13.452991452991451</v>
      </c>
      <c r="P14" s="5">
        <f t="shared" ref="P14:P19" si="7">S5*H14/G14</f>
        <v>1.0896923076923075</v>
      </c>
      <c r="Q14" s="5">
        <f>S5*H14/(G14+G15+G16+G17+G19)</f>
        <v>0.34085302702193759</v>
      </c>
      <c r="R14" s="6">
        <f>N14/J14</f>
        <v>1.4400000000000002</v>
      </c>
      <c r="S14" s="6">
        <f t="shared" ref="S14:U14" si="8">O14/K14</f>
        <v>1.4529230769230768</v>
      </c>
      <c r="T14" s="6">
        <f t="shared" si="8"/>
        <v>1.816153846153846</v>
      </c>
      <c r="U14" s="6">
        <f t="shared" si="8"/>
        <v>1.9514801322708297</v>
      </c>
    </row>
    <row r="15" spans="1:21" ht="14.25" customHeight="1" x14ac:dyDescent="0.2">
      <c r="D15" s="1" t="s">
        <v>152</v>
      </c>
      <c r="E15" s="1" t="s">
        <v>122</v>
      </c>
      <c r="F15" s="6">
        <f t="shared" ref="F15:F19" si="9">H6*G6/M6/(1+K6*(L6-1))</f>
        <v>3.9526315789473694</v>
      </c>
      <c r="G15" s="6">
        <f t="shared" si="4"/>
        <v>41.666666666666664</v>
      </c>
      <c r="H15" s="1">
        <v>8</v>
      </c>
      <c r="I15" s="1">
        <f t="shared" ref="I15:I19" si="10">H15*$I$12</f>
        <v>0</v>
      </c>
      <c r="J15" s="5">
        <f t="shared" ref="J15:J19" si="11">(H6*(1-G6)/(1+K6*(L6-1)))*H15/M6/F15</f>
        <v>2.6524633821571233</v>
      </c>
      <c r="K15" s="4">
        <f t="shared" ref="K15:K18" si="12">N6/H6*H15/(1+0.4*0.5)</f>
        <v>5.5555555555555562</v>
      </c>
      <c r="L15" s="5">
        <f t="shared" ref="L15:L19" si="13">N6*H15/(G15*(1+J6))</f>
        <v>0.64</v>
      </c>
      <c r="M15" s="33"/>
      <c r="N15" s="5">
        <f t="shared" si="5"/>
        <v>4.0349723187338151</v>
      </c>
      <c r="O15" s="23">
        <f t="shared" si="6"/>
        <v>8.0717948717948715</v>
      </c>
      <c r="P15" s="5">
        <f t="shared" si="7"/>
        <v>1.1623384615384615</v>
      </c>
      <c r="R15" s="6">
        <f t="shared" ref="R15:R19" si="14">N15/J15</f>
        <v>1.5212169735788634</v>
      </c>
      <c r="S15" s="6">
        <f t="shared" ref="S15:S19" si="15">O15/K15</f>
        <v>1.4529230769230768</v>
      </c>
      <c r="T15" s="6">
        <f t="shared" ref="T15:T19" si="16">P15/L15</f>
        <v>1.8161538461538462</v>
      </c>
      <c r="U15" s="6"/>
    </row>
    <row r="16" spans="1:21" ht="14.25" customHeight="1" x14ac:dyDescent="0.2">
      <c r="D16" s="1" t="s">
        <v>153</v>
      </c>
      <c r="E16" s="1" t="s">
        <v>123</v>
      </c>
      <c r="F16" s="6">
        <f t="shared" si="9"/>
        <v>8.0000000000000018</v>
      </c>
      <c r="G16" s="6">
        <f t="shared" si="4"/>
        <v>21.666666666666668</v>
      </c>
      <c r="H16" s="1">
        <v>20</v>
      </c>
      <c r="I16" s="1">
        <f t="shared" si="10"/>
        <v>0</v>
      </c>
      <c r="J16" s="5">
        <f t="shared" si="11"/>
        <v>4.9999999999999982</v>
      </c>
      <c r="K16" s="4">
        <f t="shared" si="12"/>
        <v>0</v>
      </c>
      <c r="L16" s="5">
        <f t="shared" si="13"/>
        <v>0</v>
      </c>
      <c r="M16" s="33"/>
      <c r="N16" s="5">
        <f t="shared" si="5"/>
        <v>8.3333333333333286</v>
      </c>
      <c r="O16" s="23">
        <f t="shared" si="6"/>
        <v>0</v>
      </c>
      <c r="P16" s="5">
        <f t="shared" si="7"/>
        <v>0</v>
      </c>
      <c r="R16" s="6">
        <f>N16/J16</f>
        <v>1.6666666666666663</v>
      </c>
      <c r="S16" s="6"/>
      <c r="T16" s="6"/>
      <c r="U16" s="6"/>
    </row>
    <row r="17" spans="2:21" ht="14.25" customHeight="1" x14ac:dyDescent="0.2">
      <c r="D17" s="1" t="s">
        <v>154</v>
      </c>
      <c r="E17" s="1" t="s">
        <v>123</v>
      </c>
      <c r="F17" s="6">
        <f t="shared" si="9"/>
        <v>7.0132575757575761</v>
      </c>
      <c r="G17" s="6">
        <f t="shared" si="4"/>
        <v>22.608695652173914</v>
      </c>
      <c r="H17" s="1">
        <v>15</v>
      </c>
      <c r="I17" s="1">
        <f t="shared" si="10"/>
        <v>0</v>
      </c>
      <c r="J17" s="5">
        <f t="shared" si="11"/>
        <v>3.6335403726708058</v>
      </c>
      <c r="K17" s="4">
        <f t="shared" si="12"/>
        <v>0</v>
      </c>
      <c r="L17" s="5">
        <f t="shared" si="13"/>
        <v>0</v>
      </c>
      <c r="M17" s="33"/>
      <c r="N17" s="5">
        <f t="shared" si="5"/>
        <v>6.6893630291847463</v>
      </c>
      <c r="O17" s="23">
        <f t="shared" si="6"/>
        <v>0</v>
      </c>
      <c r="P17" s="5">
        <f t="shared" si="7"/>
        <v>0</v>
      </c>
      <c r="R17" s="6">
        <f t="shared" si="14"/>
        <v>1.8410041841004183</v>
      </c>
      <c r="S17" s="6"/>
      <c r="T17" s="6"/>
      <c r="U17" s="6"/>
    </row>
    <row r="18" spans="2:21" ht="14.25" customHeight="1" x14ac:dyDescent="0.2">
      <c r="D18" s="1" t="s">
        <v>155</v>
      </c>
      <c r="E18" s="1" t="s">
        <v>123</v>
      </c>
      <c r="F18" s="6">
        <f t="shared" si="9"/>
        <v>5.9124999999999996</v>
      </c>
      <c r="G18" s="6">
        <f t="shared" si="4"/>
        <v>23.63636363636364</v>
      </c>
      <c r="H18" s="1">
        <v>10</v>
      </c>
      <c r="I18" s="1">
        <f t="shared" si="10"/>
        <v>0</v>
      </c>
      <c r="J18" s="5">
        <f t="shared" si="11"/>
        <v>2.9198966408268743</v>
      </c>
      <c r="K18" s="4">
        <f t="shared" si="12"/>
        <v>0</v>
      </c>
      <c r="L18" s="5">
        <f t="shared" si="13"/>
        <v>0</v>
      </c>
      <c r="M18" s="33"/>
      <c r="N18" s="5">
        <f t="shared" si="5"/>
        <v>5.7159477471325415</v>
      </c>
      <c r="O18" s="23">
        <f t="shared" si="6"/>
        <v>0</v>
      </c>
      <c r="P18" s="5">
        <f t="shared" si="7"/>
        <v>0</v>
      </c>
      <c r="R18" s="6">
        <f t="shared" si="14"/>
        <v>1.9575856443719406</v>
      </c>
      <c r="S18" s="6"/>
      <c r="T18" s="6"/>
      <c r="U18" s="6"/>
    </row>
    <row r="19" spans="2:21" ht="14.25" customHeight="1" x14ac:dyDescent="0.2">
      <c r="D19" s="1" t="s">
        <v>156</v>
      </c>
      <c r="E19" s="1" t="s">
        <v>124</v>
      </c>
      <c r="F19" s="6">
        <f t="shared" si="9"/>
        <v>2.66</v>
      </c>
      <c r="G19" s="6">
        <f t="shared" si="4"/>
        <v>36.111111111111114</v>
      </c>
      <c r="H19" s="1">
        <v>11</v>
      </c>
      <c r="I19" s="1">
        <f t="shared" si="10"/>
        <v>0</v>
      </c>
      <c r="J19" s="5">
        <f t="shared" si="11"/>
        <v>2.7844611528822045</v>
      </c>
      <c r="K19" s="4">
        <f>N10/H10*H19/(1+0.4*0.5)</f>
        <v>40.740740740740748</v>
      </c>
      <c r="L19" s="5">
        <f t="shared" si="13"/>
        <v>3.6102564102564099</v>
      </c>
      <c r="M19" s="33">
        <f>N10*H19/SUMPRODUCT($G$14:$G$19,$T$5:$T$10)</f>
        <v>0.61481674103495798</v>
      </c>
      <c r="N19" s="5">
        <f t="shared" si="5"/>
        <v>4.1697421590582104</v>
      </c>
      <c r="O19" s="23">
        <f t="shared" si="6"/>
        <v>81.862564102564107</v>
      </c>
      <c r="P19" s="5">
        <f t="shared" si="7"/>
        <v>8.1610679289940808</v>
      </c>
      <c r="Q19" s="5">
        <f>S10*H19/(G14+G15+G16+G17+G19)</f>
        <v>1.659295056962621</v>
      </c>
      <c r="R19" s="6">
        <f t="shared" si="14"/>
        <v>1.4975041597337773</v>
      </c>
      <c r="S19" s="6">
        <f t="shared" si="15"/>
        <v>2.009353846153846</v>
      </c>
      <c r="T19" s="6">
        <f t="shared" si="16"/>
        <v>2.2605230769230764</v>
      </c>
      <c r="U19" s="6">
        <f t="shared" ref="U19" si="17">Q19/M19</f>
        <v>2.6988449503984389</v>
      </c>
    </row>
    <row r="20" spans="2:21" ht="14.25" customHeight="1" x14ac:dyDescent="0.2">
      <c r="C20" s="21"/>
      <c r="D20" s="21"/>
      <c r="E20" s="21"/>
      <c r="F20" s="21"/>
      <c r="G20" s="21"/>
      <c r="H20" s="9"/>
      <c r="I20" s="9"/>
      <c r="J20" s="9"/>
      <c r="K20" s="5">
        <f>K19/5</f>
        <v>8.1481481481481488</v>
      </c>
      <c r="L20" s="2" t="s">
        <v>305</v>
      </c>
      <c r="M20" s="9"/>
    </row>
    <row r="21" spans="2:21" ht="14.25" customHeight="1" x14ac:dyDescent="0.2">
      <c r="C21" s="21"/>
      <c r="D21" s="21"/>
      <c r="E21" s="21"/>
      <c r="F21" s="21"/>
      <c r="G21" s="21"/>
      <c r="H21" s="9"/>
      <c r="I21" s="9"/>
      <c r="J21" s="9"/>
      <c r="K21" s="9"/>
      <c r="L21" s="9"/>
      <c r="M21" s="9"/>
    </row>
    <row r="22" spans="2:21" ht="14.25" customHeight="1" x14ac:dyDescent="0.2">
      <c r="B22" s="6"/>
      <c r="C22" s="39" t="s">
        <v>212</v>
      </c>
      <c r="D22" s="2" t="s">
        <v>264</v>
      </c>
      <c r="E22" s="21"/>
      <c r="F22" s="21"/>
      <c r="G22" s="21"/>
      <c r="H22" s="9"/>
      <c r="I22" s="9"/>
      <c r="J22" s="9"/>
      <c r="K22" s="9"/>
      <c r="L22" s="9"/>
      <c r="M22" s="9"/>
    </row>
    <row r="23" spans="2:21" ht="14.25" customHeight="1" x14ac:dyDescent="0.2">
      <c r="B23" s="6"/>
      <c r="C23" s="21"/>
      <c r="D23" s="10">
        <v>0.2</v>
      </c>
      <c r="E23" s="2" t="s">
        <v>219</v>
      </c>
      <c r="F23" s="21"/>
      <c r="G23" s="21"/>
      <c r="H23" s="9"/>
      <c r="I23" s="9"/>
      <c r="J23" s="9"/>
      <c r="K23" s="9"/>
      <c r="L23" s="9"/>
      <c r="M23" s="9"/>
    </row>
    <row r="24" spans="2:21" ht="14.25" customHeight="1" x14ac:dyDescent="0.2">
      <c r="C24" s="21"/>
      <c r="D24" s="21" t="s">
        <v>32</v>
      </c>
      <c r="E24" s="5">
        <f>D23</f>
        <v>0.2</v>
      </c>
      <c r="F24" s="21"/>
      <c r="G24" s="21"/>
      <c r="H24" s="9"/>
      <c r="I24" s="9"/>
      <c r="J24" s="9"/>
      <c r="K24" s="9"/>
      <c r="L24" s="9"/>
      <c r="M24" s="9"/>
    </row>
    <row r="25" spans="2:21" ht="14.25" customHeight="1" x14ac:dyDescent="0.2">
      <c r="C25" s="21"/>
      <c r="D25" s="21" t="s">
        <v>35</v>
      </c>
      <c r="E25" s="5">
        <f>((1+$D$23)*(1+F25*(G25-1))-1)/(G25-1)-F25</f>
        <v>0.47999999999999987</v>
      </c>
      <c r="F25" s="23">
        <v>0.4</v>
      </c>
      <c r="G25" s="23">
        <v>1.5</v>
      </c>
      <c r="H25" s="9"/>
      <c r="I25" s="9"/>
      <c r="J25" s="9"/>
      <c r="K25" s="9"/>
      <c r="L25" s="9"/>
      <c r="M25" s="9"/>
    </row>
    <row r="26" spans="2:21" ht="14.25" customHeight="1" x14ac:dyDescent="0.2">
      <c r="B26" s="31"/>
      <c r="C26" s="21"/>
      <c r="D26" s="21" t="s">
        <v>84</v>
      </c>
      <c r="E26" s="5">
        <f>((1+$D$23)*(1+F26*(G26-1))-1)/F26+1-G26</f>
        <v>0.59999999999999964</v>
      </c>
      <c r="F26" s="23">
        <v>0.4</v>
      </c>
      <c r="G26" s="23">
        <v>1.5</v>
      </c>
      <c r="H26" s="9"/>
      <c r="I26" s="9"/>
      <c r="J26" s="6">
        <f>J14*F14/H14</f>
        <v>1.0416666666666665</v>
      </c>
      <c r="K26" s="9"/>
      <c r="L26" s="9"/>
      <c r="M26" s="9"/>
    </row>
    <row r="27" spans="2:21" ht="14.25" customHeight="1" x14ac:dyDescent="0.2">
      <c r="B27" s="31"/>
      <c r="C27" s="21"/>
      <c r="D27" s="21" t="s">
        <v>205</v>
      </c>
      <c r="E27" s="5">
        <f>D23</f>
        <v>0.2</v>
      </c>
      <c r="G27" s="21"/>
      <c r="H27" s="9"/>
      <c r="I27" s="9"/>
      <c r="J27" s="6">
        <f>J26+F14</f>
        <v>4.1666666666666661</v>
      </c>
      <c r="K27" s="20">
        <f>J26/J27</f>
        <v>0.25</v>
      </c>
      <c r="L27" s="9"/>
      <c r="M27" s="9"/>
    </row>
    <row r="28" spans="2:21" ht="14.25" customHeight="1" x14ac:dyDescent="0.2">
      <c r="B28" s="31"/>
      <c r="C28" s="21"/>
      <c r="D28" s="21" t="s">
        <v>204</v>
      </c>
      <c r="E28" s="4">
        <f>1-(1-(1+$D$23)*(1-F28))-F28</f>
        <v>9.9999999999999978E-2</v>
      </c>
      <c r="F28" s="22">
        <v>0.5</v>
      </c>
      <c r="G28" s="21"/>
      <c r="H28" s="9"/>
      <c r="I28" s="9"/>
      <c r="J28" s="9"/>
      <c r="K28" s="9"/>
      <c r="L28" s="9"/>
      <c r="M28" s="6"/>
    </row>
    <row r="29" spans="2:21" ht="14.25" customHeight="1" x14ac:dyDescent="0.2">
      <c r="B29" s="31"/>
      <c r="C29" s="21"/>
      <c r="D29" s="21" t="s">
        <v>33</v>
      </c>
      <c r="E29" s="21">
        <f>100000/(1-E28-F28)-100000</f>
        <v>150000</v>
      </c>
      <c r="F29" s="22">
        <f>E29/G29</f>
        <v>1.5</v>
      </c>
      <c r="G29" s="21">
        <v>100000</v>
      </c>
      <c r="H29" s="9"/>
      <c r="I29" s="9"/>
      <c r="J29" s="9"/>
      <c r="K29" s="9"/>
      <c r="L29" s="9"/>
      <c r="M29" s="9"/>
    </row>
    <row r="30" spans="2:21" ht="14.25" customHeight="1" x14ac:dyDescent="0.2">
      <c r="B30" s="31"/>
      <c r="C30" s="21"/>
      <c r="D30" s="21"/>
      <c r="E30" s="21"/>
      <c r="F30" s="21"/>
      <c r="G30" s="21"/>
      <c r="H30" s="9"/>
      <c r="I30" s="9"/>
      <c r="J30" s="9"/>
      <c r="K30" s="9"/>
      <c r="L30" s="9"/>
      <c r="M30" s="9"/>
    </row>
    <row r="31" spans="2:21" ht="14.25" customHeight="1" x14ac:dyDescent="0.2">
      <c r="B31" s="31"/>
      <c r="C31" s="21"/>
      <c r="D31" s="21"/>
      <c r="E31" s="21"/>
      <c r="F31" s="21"/>
      <c r="G31" s="21"/>
      <c r="H31" s="9"/>
      <c r="I31" s="9"/>
      <c r="J31" s="9"/>
      <c r="K31" s="9"/>
      <c r="L31" s="9"/>
      <c r="M31" s="9"/>
    </row>
    <row r="32" spans="2:21" ht="14.25" customHeight="1" x14ac:dyDescent="0.2">
      <c r="B32" s="6"/>
      <c r="C32" s="21"/>
      <c r="D32" s="21"/>
      <c r="E32" s="21"/>
      <c r="F32" s="21"/>
      <c r="G32" s="21"/>
      <c r="H32" s="9"/>
      <c r="I32" s="9"/>
      <c r="J32" s="9"/>
      <c r="K32" s="9"/>
      <c r="L32" s="9"/>
      <c r="M32" s="9"/>
    </row>
    <row r="33" spans="2:13" ht="14.25" customHeight="1" x14ac:dyDescent="0.2">
      <c r="B33" s="6"/>
      <c r="C33" s="21"/>
      <c r="D33" s="21"/>
      <c r="E33" s="21"/>
      <c r="F33" s="21"/>
      <c r="G33" s="4"/>
      <c r="H33" s="9"/>
      <c r="I33" s="9"/>
      <c r="J33" s="9"/>
      <c r="K33" s="9"/>
      <c r="L33" s="9"/>
      <c r="M33" s="9"/>
    </row>
    <row r="34" spans="2:13" ht="14.25" customHeight="1" x14ac:dyDescent="0.2">
      <c r="C34" s="21"/>
      <c r="D34" s="21"/>
      <c r="E34" s="21"/>
      <c r="F34" s="21"/>
      <c r="G34" s="21"/>
      <c r="H34" s="9"/>
      <c r="I34" s="9"/>
      <c r="J34" s="9"/>
      <c r="K34" s="9"/>
      <c r="L34" s="9"/>
      <c r="M34" s="9"/>
    </row>
    <row r="35" spans="2:13" ht="14.25" customHeight="1" x14ac:dyDescent="0.2">
      <c r="C35" s="21"/>
      <c r="D35" s="21"/>
      <c r="E35" s="21"/>
      <c r="F35" s="21"/>
      <c r="G35" s="21"/>
      <c r="H35" s="9"/>
      <c r="I35" s="9"/>
      <c r="J35" s="9"/>
      <c r="K35" s="9"/>
      <c r="L35" s="9"/>
      <c r="M35" s="9"/>
    </row>
    <row r="36" spans="2:13" ht="14.25" customHeight="1" x14ac:dyDescent="0.2">
      <c r="C36" s="21"/>
      <c r="D36" s="21"/>
      <c r="E36" s="21"/>
      <c r="F36" s="21"/>
      <c r="G36" s="21"/>
      <c r="H36" s="9"/>
      <c r="I36" s="9"/>
      <c r="J36" s="9"/>
      <c r="K36" s="9"/>
      <c r="L36" s="9"/>
      <c r="M36" s="9"/>
    </row>
    <row r="37" spans="2:13" ht="14.25" customHeight="1" x14ac:dyDescent="0.2">
      <c r="C37" s="21"/>
      <c r="D37" s="21"/>
      <c r="E37" s="21"/>
      <c r="F37" s="21"/>
      <c r="G37" s="21"/>
      <c r="H37" s="9"/>
      <c r="I37" s="9"/>
      <c r="J37" s="9"/>
      <c r="K37" s="9"/>
      <c r="L37" s="9"/>
      <c r="M37" s="9"/>
    </row>
    <row r="38" spans="2:13" ht="14.25" customHeight="1" x14ac:dyDescent="0.2">
      <c r="C38" s="21"/>
      <c r="D38" s="21"/>
      <c r="E38" s="21"/>
      <c r="F38" s="21"/>
      <c r="G38" s="21"/>
      <c r="H38" s="9"/>
      <c r="I38" s="9"/>
      <c r="J38" s="9"/>
      <c r="K38" s="9"/>
      <c r="L38" s="9"/>
      <c r="M38" s="9"/>
    </row>
    <row r="39" spans="2:13" ht="14.25" customHeight="1" x14ac:dyDescent="0.2">
      <c r="C39" s="21"/>
      <c r="D39" s="21"/>
      <c r="E39" s="21"/>
      <c r="F39" s="21"/>
      <c r="G39" s="21"/>
      <c r="H39" s="9"/>
      <c r="I39" s="9"/>
      <c r="J39" s="9"/>
      <c r="K39" s="9"/>
      <c r="L39" s="9"/>
      <c r="M39" s="9"/>
    </row>
    <row r="40" spans="2:13" ht="14.25" customHeight="1" x14ac:dyDescent="0.2">
      <c r="C40" s="21"/>
      <c r="D40" s="21"/>
      <c r="E40" s="21"/>
      <c r="F40" s="21"/>
      <c r="G40" s="21"/>
      <c r="H40" s="9"/>
      <c r="I40" s="9"/>
      <c r="J40" s="9"/>
      <c r="K40" s="9"/>
      <c r="L40" s="9"/>
      <c r="M40" s="9"/>
    </row>
    <row r="41" spans="2:13" ht="14.25" customHeight="1" x14ac:dyDescent="0.2">
      <c r="C41" s="21"/>
      <c r="D41" s="21"/>
      <c r="E41" s="21"/>
      <c r="F41" s="21"/>
      <c r="G41" s="21"/>
      <c r="H41" s="9"/>
      <c r="I41" s="9"/>
      <c r="J41" s="9"/>
      <c r="K41" s="9"/>
      <c r="L41" s="9"/>
      <c r="M41" s="9"/>
    </row>
    <row r="42" spans="2:13" ht="14.25" customHeight="1" x14ac:dyDescent="0.2">
      <c r="C42" s="21"/>
      <c r="D42" s="21"/>
      <c r="E42" s="21"/>
      <c r="F42" s="21"/>
      <c r="G42" s="21"/>
      <c r="H42" s="9"/>
      <c r="I42" s="9"/>
      <c r="J42" s="9"/>
      <c r="K42" s="9"/>
      <c r="L42" s="9"/>
      <c r="M42" s="9"/>
    </row>
    <row r="43" spans="2:13" ht="14.25" customHeight="1" x14ac:dyDescent="0.2">
      <c r="C43" s="21"/>
      <c r="D43" s="21"/>
      <c r="E43" s="21"/>
      <c r="F43" s="21"/>
      <c r="G43" s="21"/>
      <c r="H43" s="9"/>
      <c r="I43" s="9"/>
      <c r="J43" s="9"/>
      <c r="K43" s="9"/>
      <c r="L43" s="9"/>
      <c r="M43" s="9"/>
    </row>
    <row r="44" spans="2:13" ht="14.25" customHeight="1" x14ac:dyDescent="0.2">
      <c r="C44" s="21"/>
      <c r="D44" s="21"/>
      <c r="E44" s="21"/>
      <c r="F44" s="21"/>
      <c r="G44" s="21"/>
      <c r="H44" s="9"/>
      <c r="I44" s="9"/>
      <c r="J44" s="9"/>
      <c r="K44" s="9"/>
      <c r="L44" s="9"/>
      <c r="M44" s="9"/>
    </row>
    <row r="45" spans="2:13" ht="14.25" customHeight="1" x14ac:dyDescent="0.2">
      <c r="C45" s="21"/>
      <c r="D45" s="21"/>
      <c r="E45" s="21"/>
      <c r="F45" s="21"/>
      <c r="G45" s="21"/>
      <c r="H45" s="9"/>
      <c r="I45" s="9"/>
      <c r="J45" s="9"/>
      <c r="K45" s="9"/>
      <c r="L45" s="9"/>
      <c r="M45" s="9"/>
    </row>
    <row r="46" spans="2:13" ht="14.25" customHeight="1" x14ac:dyDescent="0.2">
      <c r="C46" s="21"/>
      <c r="D46" s="21"/>
      <c r="E46" s="21"/>
      <c r="F46" s="21"/>
      <c r="G46" s="21"/>
      <c r="H46" s="9"/>
      <c r="I46" s="9"/>
      <c r="J46" s="9"/>
      <c r="K46" s="9"/>
      <c r="L46" s="9"/>
      <c r="M46" s="9"/>
    </row>
    <row r="47" spans="2:13" ht="14.25" customHeight="1" x14ac:dyDescent="0.2">
      <c r="C47" s="21"/>
      <c r="D47" s="21"/>
      <c r="E47" s="21"/>
      <c r="F47" s="21"/>
      <c r="G47" s="21"/>
      <c r="H47" s="9"/>
      <c r="I47" s="9"/>
      <c r="J47" s="9"/>
      <c r="K47" s="9"/>
      <c r="L47" s="9"/>
      <c r="M47" s="9"/>
    </row>
    <row r="48" spans="2:13" ht="14.25" customHeight="1" x14ac:dyDescent="0.2">
      <c r="C48" s="21"/>
      <c r="D48" s="21"/>
      <c r="E48" s="21"/>
      <c r="F48" s="21"/>
      <c r="G48" s="21"/>
      <c r="H48" s="9"/>
      <c r="I48" s="9"/>
      <c r="J48" s="9"/>
      <c r="K48" s="9"/>
      <c r="L48" s="9"/>
      <c r="M48" s="9"/>
    </row>
    <row r="49" spans="3:13" ht="14.25" customHeight="1" x14ac:dyDescent="0.2">
      <c r="C49" s="21"/>
      <c r="D49" s="21"/>
      <c r="E49" s="21"/>
      <c r="F49" s="21"/>
      <c r="G49" s="21"/>
      <c r="H49" s="9"/>
      <c r="I49" s="9"/>
      <c r="J49" s="9"/>
      <c r="K49" s="9"/>
      <c r="L49" s="9"/>
      <c r="M49" s="9"/>
    </row>
    <row r="50" spans="3:13" ht="14.25" customHeight="1" x14ac:dyDescent="0.2">
      <c r="C50" s="21"/>
      <c r="D50" s="21"/>
      <c r="E50" s="21"/>
      <c r="F50" s="21"/>
      <c r="G50" s="21"/>
      <c r="H50" s="9"/>
      <c r="I50" s="9"/>
      <c r="J50" s="9"/>
      <c r="K50" s="9"/>
      <c r="L50" s="9"/>
      <c r="M50" s="9"/>
    </row>
    <row r="51" spans="3:13" ht="14.25" customHeight="1" x14ac:dyDescent="0.2">
      <c r="C51" s="21"/>
      <c r="D51" s="21"/>
      <c r="E51" s="21"/>
      <c r="F51" s="21"/>
      <c r="G51" s="21"/>
      <c r="H51" s="9"/>
      <c r="I51" s="9"/>
      <c r="J51" s="9"/>
      <c r="K51" s="9"/>
      <c r="L51" s="9"/>
      <c r="M51" s="9"/>
    </row>
    <row r="52" spans="3:13" ht="14.25" customHeight="1" x14ac:dyDescent="0.2">
      <c r="C52" s="21"/>
      <c r="D52" s="21"/>
      <c r="E52" s="21"/>
      <c r="F52" s="21"/>
      <c r="G52" s="21"/>
      <c r="H52" s="9"/>
      <c r="I52" s="9"/>
      <c r="J52" s="9"/>
      <c r="K52" s="9"/>
      <c r="L52" s="9"/>
      <c r="M52" s="9"/>
    </row>
    <row r="53" spans="3:13" ht="14.25" customHeight="1" x14ac:dyDescent="0.2">
      <c r="C53" s="21"/>
      <c r="D53" s="21"/>
      <c r="E53" s="21"/>
      <c r="F53" s="21"/>
      <c r="G53" s="21"/>
      <c r="H53" s="9"/>
      <c r="I53" s="9"/>
      <c r="J53" s="9"/>
      <c r="K53" s="9"/>
      <c r="L53" s="9"/>
      <c r="M53" s="9"/>
    </row>
    <row r="54" spans="3:13" ht="14.25" customHeight="1" x14ac:dyDescent="0.2">
      <c r="C54" s="21"/>
      <c r="D54" s="21"/>
      <c r="E54" s="21"/>
      <c r="F54" s="21"/>
      <c r="G54" s="21"/>
      <c r="H54" s="9"/>
      <c r="I54" s="9"/>
      <c r="J54" s="9"/>
      <c r="K54" s="9"/>
      <c r="L54" s="9"/>
      <c r="M54" s="9"/>
    </row>
    <row r="55" spans="3:13" ht="14.25" customHeight="1" x14ac:dyDescent="0.2">
      <c r="C55" s="21"/>
      <c r="D55" s="21"/>
      <c r="E55" s="21"/>
      <c r="F55" s="21"/>
      <c r="G55" s="21"/>
      <c r="H55" s="9"/>
      <c r="I55" s="9"/>
      <c r="J55" s="9"/>
      <c r="K55" s="9"/>
      <c r="L55" s="9"/>
      <c r="M55" s="9"/>
    </row>
    <row r="56" spans="3:13" ht="14.25" customHeight="1" x14ac:dyDescent="0.2">
      <c r="C56" s="21"/>
      <c r="D56" s="21"/>
      <c r="E56" s="21"/>
      <c r="F56" s="21"/>
      <c r="G56" s="21"/>
      <c r="H56" s="9"/>
      <c r="I56" s="9"/>
      <c r="J56" s="9"/>
      <c r="K56" s="9"/>
      <c r="L56" s="9"/>
      <c r="M56" s="9"/>
    </row>
    <row r="57" spans="3:13" ht="14.25" customHeight="1" x14ac:dyDescent="0.2">
      <c r="C57" s="21"/>
      <c r="D57" s="21"/>
      <c r="E57" s="21"/>
      <c r="F57" s="21"/>
      <c r="G57" s="21"/>
      <c r="H57" s="9"/>
      <c r="I57" s="9"/>
      <c r="J57" s="9"/>
      <c r="K57" s="9"/>
      <c r="L57" s="9"/>
      <c r="M57" s="9"/>
    </row>
    <row r="58" spans="3:13" ht="14.25" customHeight="1" x14ac:dyDescent="0.2">
      <c r="C58" s="21"/>
      <c r="D58" s="21"/>
      <c r="E58" s="21"/>
      <c r="F58" s="21"/>
      <c r="G58" s="21"/>
      <c r="H58" s="9"/>
      <c r="I58" s="9"/>
      <c r="J58" s="9"/>
      <c r="K58" s="9"/>
      <c r="L58" s="9"/>
      <c r="M58" s="9"/>
    </row>
    <row r="59" spans="3:13" ht="14.25" customHeight="1" x14ac:dyDescent="0.2">
      <c r="C59" s="21"/>
      <c r="D59" s="21"/>
      <c r="E59" s="21"/>
      <c r="F59" s="21"/>
      <c r="G59" s="21"/>
      <c r="H59" s="9"/>
      <c r="I59" s="9"/>
      <c r="J59" s="9"/>
      <c r="K59" s="9"/>
      <c r="L59" s="9"/>
      <c r="M59" s="9"/>
    </row>
    <row r="60" spans="3:13" ht="14.25" customHeight="1" x14ac:dyDescent="0.2">
      <c r="C60" s="21"/>
      <c r="D60" s="21"/>
      <c r="E60" s="21"/>
      <c r="F60" s="21"/>
      <c r="G60" s="21"/>
      <c r="H60" s="9"/>
      <c r="I60" s="9"/>
      <c r="J60" s="9"/>
      <c r="K60" s="9"/>
      <c r="L60" s="9"/>
      <c r="M60" s="9"/>
    </row>
    <row r="61" spans="3:13" ht="14.25" customHeight="1" x14ac:dyDescent="0.2">
      <c r="C61" s="21"/>
      <c r="D61" s="21"/>
      <c r="E61" s="21"/>
      <c r="F61" s="21"/>
      <c r="G61" s="21"/>
      <c r="H61" s="9"/>
      <c r="I61" s="9"/>
      <c r="J61" s="9"/>
      <c r="K61" s="9"/>
      <c r="L61" s="9"/>
      <c r="M61" s="9"/>
    </row>
    <row r="62" spans="3:13" ht="14.25" customHeight="1" x14ac:dyDescent="0.2">
      <c r="C62" s="21"/>
      <c r="D62" s="21"/>
      <c r="E62" s="21"/>
      <c r="F62" s="21"/>
      <c r="G62" s="21"/>
      <c r="H62" s="9"/>
      <c r="I62" s="9"/>
      <c r="J62" s="9"/>
      <c r="K62" s="9"/>
      <c r="L62" s="9"/>
      <c r="M62" s="9"/>
    </row>
    <row r="63" spans="3:13" ht="14.25" customHeight="1" x14ac:dyDescent="0.2">
      <c r="C63" s="21"/>
      <c r="D63" s="21"/>
      <c r="E63" s="21"/>
      <c r="F63" s="21"/>
      <c r="G63" s="21"/>
      <c r="H63" s="9"/>
      <c r="I63" s="9"/>
      <c r="J63" s="9"/>
      <c r="K63" s="9"/>
      <c r="L63" s="9"/>
      <c r="M63" s="9"/>
    </row>
    <row r="64" spans="3:13" ht="14.25" customHeight="1" x14ac:dyDescent="0.2">
      <c r="C64" s="21"/>
      <c r="D64" s="21"/>
      <c r="E64" s="21"/>
      <c r="F64" s="21"/>
      <c r="G64" s="21"/>
      <c r="H64" s="9"/>
      <c r="I64" s="9"/>
      <c r="J64" s="9"/>
      <c r="K64" s="9"/>
      <c r="L64" s="9"/>
      <c r="M64" s="9"/>
    </row>
    <row r="65" spans="3:13" ht="14.25" customHeight="1" x14ac:dyDescent="0.2">
      <c r="C65" s="21"/>
      <c r="D65" s="21"/>
      <c r="E65" s="21"/>
      <c r="F65" s="21"/>
      <c r="G65" s="21"/>
      <c r="H65" s="9"/>
      <c r="I65" s="9"/>
      <c r="J65" s="9"/>
      <c r="K65" s="9"/>
      <c r="L65" s="9"/>
      <c r="M65" s="9"/>
    </row>
    <row r="66" spans="3:13" ht="14.25" customHeight="1" x14ac:dyDescent="0.2">
      <c r="C66" s="21"/>
      <c r="D66" s="21"/>
      <c r="E66" s="21"/>
      <c r="F66" s="21"/>
      <c r="G66" s="21"/>
      <c r="H66" s="9"/>
      <c r="I66" s="9"/>
      <c r="J66" s="9"/>
      <c r="K66" s="9"/>
      <c r="L66" s="9"/>
      <c r="M66" s="9"/>
    </row>
    <row r="67" spans="3:13" ht="14.25" customHeight="1" x14ac:dyDescent="0.2">
      <c r="C67" s="21"/>
      <c r="D67" s="21"/>
      <c r="E67" s="21"/>
      <c r="F67" s="21"/>
      <c r="G67" s="21"/>
      <c r="H67" s="9"/>
      <c r="I67" s="9"/>
      <c r="J67" s="9"/>
      <c r="K67" s="9"/>
      <c r="L67" s="9"/>
      <c r="M67" s="9"/>
    </row>
    <row r="68" spans="3:13" ht="14.25" customHeight="1" x14ac:dyDescent="0.2">
      <c r="C68" s="21"/>
      <c r="D68" s="21"/>
      <c r="E68" s="21"/>
      <c r="F68" s="21"/>
      <c r="G68" s="21"/>
      <c r="H68" s="9"/>
      <c r="I68" s="9"/>
      <c r="J68" s="9"/>
      <c r="K68" s="9"/>
      <c r="L68" s="9"/>
      <c r="M68" s="9"/>
    </row>
    <row r="69" spans="3:13" ht="14.25" customHeight="1" x14ac:dyDescent="0.2">
      <c r="C69" s="21"/>
      <c r="D69" s="21"/>
      <c r="E69" s="21"/>
      <c r="F69" s="21"/>
      <c r="G69" s="21"/>
      <c r="H69" s="9"/>
      <c r="I69" s="9"/>
      <c r="J69" s="9"/>
      <c r="K69" s="9"/>
      <c r="L69" s="9"/>
      <c r="M69" s="9"/>
    </row>
    <row r="70" spans="3:13" ht="14.25" customHeight="1" x14ac:dyDescent="0.2">
      <c r="C70" s="21"/>
      <c r="D70" s="21"/>
      <c r="E70" s="21"/>
      <c r="F70" s="21"/>
      <c r="G70" s="21"/>
      <c r="H70" s="9"/>
      <c r="I70" s="9"/>
      <c r="J70" s="9"/>
      <c r="K70" s="9"/>
      <c r="L70" s="9"/>
      <c r="M70" s="9"/>
    </row>
    <row r="71" spans="3:13" ht="14.25" customHeight="1" x14ac:dyDescent="0.2">
      <c r="C71" s="21"/>
      <c r="D71" s="21"/>
      <c r="E71" s="21"/>
      <c r="F71" s="21"/>
      <c r="G71" s="21"/>
      <c r="H71" s="9"/>
      <c r="I71" s="9"/>
      <c r="J71" s="9"/>
      <c r="K71" s="9"/>
      <c r="L71" s="9"/>
      <c r="M71" s="9"/>
    </row>
    <row r="72" spans="3:13" ht="14.25" customHeight="1" x14ac:dyDescent="0.2">
      <c r="C72" s="21"/>
      <c r="D72" s="21"/>
      <c r="E72" s="21"/>
      <c r="F72" s="21"/>
      <c r="G72" s="21"/>
      <c r="H72" s="9"/>
      <c r="I72" s="9"/>
      <c r="J72" s="9"/>
      <c r="K72" s="9"/>
      <c r="L72" s="9"/>
      <c r="M72" s="9"/>
    </row>
    <row r="73" spans="3:13" ht="14.25" customHeight="1" x14ac:dyDescent="0.2">
      <c r="C73" s="21"/>
      <c r="D73" s="21"/>
      <c r="E73" s="21"/>
      <c r="F73" s="21"/>
      <c r="G73" s="21"/>
      <c r="H73" s="9"/>
      <c r="I73" s="9"/>
      <c r="J73" s="9"/>
      <c r="K73" s="9"/>
      <c r="L73" s="9"/>
      <c r="M73" s="9"/>
    </row>
    <row r="74" spans="3:13" ht="14.25" customHeight="1" x14ac:dyDescent="0.2">
      <c r="C74" s="21"/>
      <c r="D74" s="21"/>
      <c r="E74" s="21"/>
      <c r="F74" s="21"/>
      <c r="G74" s="21"/>
      <c r="H74" s="9"/>
      <c r="I74" s="9"/>
      <c r="J74" s="9"/>
      <c r="K74" s="9"/>
      <c r="L74" s="9"/>
      <c r="M74" s="9"/>
    </row>
    <row r="75" spans="3:13" ht="14.25" customHeight="1" x14ac:dyDescent="0.2">
      <c r="C75" s="21"/>
      <c r="D75" s="21"/>
      <c r="E75" s="21"/>
      <c r="F75" s="21"/>
      <c r="G75" s="21"/>
      <c r="H75" s="9"/>
      <c r="I75" s="9"/>
      <c r="J75" s="9"/>
      <c r="K75" s="9"/>
      <c r="L75" s="9"/>
      <c r="M75" s="9"/>
    </row>
    <row r="76" spans="3:13" ht="14.25" customHeight="1" x14ac:dyDescent="0.2">
      <c r="C76" s="21"/>
      <c r="D76" s="21"/>
      <c r="E76" s="21"/>
      <c r="F76" s="21"/>
      <c r="G76" s="21"/>
      <c r="H76" s="9"/>
      <c r="I76" s="9"/>
      <c r="J76" s="9"/>
      <c r="K76" s="9"/>
      <c r="L76" s="9"/>
      <c r="M76" s="9"/>
    </row>
    <row r="77" spans="3:13" ht="14.25" customHeight="1" x14ac:dyDescent="0.2">
      <c r="C77" s="21"/>
      <c r="D77" s="21"/>
      <c r="E77" s="21"/>
      <c r="F77" s="21"/>
      <c r="G77" s="21"/>
      <c r="H77" s="9"/>
      <c r="I77" s="9"/>
      <c r="J77" s="9"/>
      <c r="K77" s="9"/>
      <c r="L77" s="9"/>
      <c r="M77" s="9"/>
    </row>
    <row r="78" spans="3:13" ht="14.25" customHeight="1" x14ac:dyDescent="0.2">
      <c r="C78" s="21"/>
      <c r="D78" s="21"/>
      <c r="E78" s="21"/>
      <c r="F78" s="21"/>
      <c r="G78" s="21"/>
      <c r="H78" s="9"/>
      <c r="I78" s="9"/>
      <c r="J78" s="9"/>
      <c r="K78" s="9"/>
      <c r="L78" s="9"/>
      <c r="M78" s="9"/>
    </row>
    <row r="79" spans="3:13" ht="14.25" customHeight="1" x14ac:dyDescent="0.2">
      <c r="C79" s="21"/>
      <c r="D79" s="21"/>
      <c r="E79" s="21"/>
      <c r="F79" s="21"/>
      <c r="G79" s="21"/>
      <c r="H79" s="9"/>
      <c r="I79" s="9"/>
      <c r="J79" s="9"/>
      <c r="K79" s="9"/>
      <c r="L79" s="9"/>
      <c r="M79" s="9"/>
    </row>
    <row r="80" spans="3:13" ht="14.25" customHeight="1" x14ac:dyDescent="0.2">
      <c r="C80" s="21"/>
      <c r="D80" s="21"/>
      <c r="E80" s="21"/>
      <c r="F80" s="21"/>
      <c r="G80" s="21"/>
      <c r="H80" s="9"/>
      <c r="I80" s="9"/>
      <c r="J80" s="9"/>
      <c r="K80" s="9"/>
      <c r="L80" s="9"/>
      <c r="M80" s="9"/>
    </row>
    <row r="81" spans="3:13" ht="14.25" customHeight="1" x14ac:dyDescent="0.2">
      <c r="C81" s="21"/>
      <c r="D81" s="21"/>
      <c r="E81" s="21"/>
      <c r="F81" s="21"/>
      <c r="G81" s="21"/>
      <c r="H81" s="9"/>
      <c r="I81" s="9"/>
      <c r="J81" s="9"/>
      <c r="K81" s="9"/>
      <c r="L81" s="9"/>
      <c r="M81" s="9"/>
    </row>
    <row r="82" spans="3:13" ht="14.25" customHeight="1" x14ac:dyDescent="0.2">
      <c r="C82" s="21"/>
      <c r="D82" s="21"/>
      <c r="E82" s="21"/>
      <c r="F82" s="21"/>
      <c r="G82" s="21"/>
      <c r="H82" s="9"/>
      <c r="I82" s="9"/>
      <c r="J82" s="9"/>
      <c r="K82" s="9"/>
      <c r="L82" s="9"/>
      <c r="M82" s="9"/>
    </row>
    <row r="83" spans="3:13" ht="14.25" customHeight="1" x14ac:dyDescent="0.2">
      <c r="C83" s="21"/>
      <c r="D83" s="21"/>
      <c r="E83" s="21"/>
      <c r="F83" s="21"/>
      <c r="G83" s="21"/>
      <c r="H83" s="9"/>
      <c r="I83" s="9"/>
      <c r="J83" s="9"/>
      <c r="K83" s="9"/>
      <c r="L83" s="9"/>
      <c r="M83" s="9"/>
    </row>
    <row r="84" spans="3:13" ht="14.25" customHeight="1" x14ac:dyDescent="0.2">
      <c r="C84" s="21"/>
      <c r="D84" s="21"/>
      <c r="E84" s="21"/>
      <c r="F84" s="21"/>
      <c r="G84" s="21"/>
      <c r="H84" s="9"/>
      <c r="I84" s="9"/>
      <c r="J84" s="9"/>
      <c r="K84" s="9"/>
      <c r="L84" s="9"/>
      <c r="M84" s="9"/>
    </row>
    <row r="85" spans="3:13" ht="14.25" customHeight="1" x14ac:dyDescent="0.2">
      <c r="C85" s="21"/>
      <c r="D85" s="21"/>
      <c r="E85" s="21"/>
      <c r="F85" s="21"/>
      <c r="G85" s="21"/>
      <c r="H85" s="9"/>
      <c r="I85" s="9"/>
      <c r="J85" s="9"/>
      <c r="K85" s="9"/>
      <c r="L85" s="9"/>
      <c r="M85" s="9"/>
    </row>
    <row r="86" spans="3:13" ht="14.25" customHeight="1" x14ac:dyDescent="0.2">
      <c r="C86" s="21"/>
      <c r="D86" s="21"/>
      <c r="E86" s="21"/>
      <c r="F86" s="21"/>
      <c r="G86" s="21"/>
      <c r="H86" s="9"/>
      <c r="I86" s="9"/>
      <c r="J86" s="9"/>
      <c r="K86" s="9"/>
      <c r="L86" s="9"/>
      <c r="M86" s="9"/>
    </row>
    <row r="87" spans="3:13" ht="14.25" customHeight="1" x14ac:dyDescent="0.2">
      <c r="C87" s="21"/>
      <c r="D87" s="21"/>
      <c r="E87" s="21"/>
      <c r="F87" s="21"/>
      <c r="G87" s="21"/>
      <c r="H87" s="9"/>
      <c r="I87" s="9"/>
      <c r="J87" s="9"/>
      <c r="K87" s="9"/>
      <c r="L87" s="9"/>
      <c r="M87" s="9"/>
    </row>
    <row r="88" spans="3:13" ht="14.25" customHeight="1" x14ac:dyDescent="0.2">
      <c r="C88" s="21"/>
      <c r="D88" s="21"/>
      <c r="E88" s="21"/>
      <c r="F88" s="21"/>
      <c r="G88" s="21"/>
      <c r="H88" s="9"/>
      <c r="I88" s="9"/>
      <c r="J88" s="9"/>
      <c r="K88" s="9"/>
      <c r="L88" s="9"/>
      <c r="M88" s="9"/>
    </row>
    <row r="89" spans="3:13" ht="14.25" customHeight="1" x14ac:dyDescent="0.2">
      <c r="C89" s="21"/>
      <c r="D89" s="21"/>
      <c r="E89" s="21"/>
      <c r="F89" s="21"/>
      <c r="G89" s="21"/>
      <c r="H89" s="9"/>
      <c r="I89" s="9"/>
      <c r="J89" s="9"/>
      <c r="K89" s="9"/>
      <c r="L89" s="9"/>
      <c r="M89" s="9"/>
    </row>
    <row r="90" spans="3:13" ht="14.25" customHeight="1" x14ac:dyDescent="0.2">
      <c r="C90" s="21"/>
      <c r="D90" s="21"/>
      <c r="E90" s="21"/>
      <c r="F90" s="21"/>
      <c r="G90" s="21"/>
      <c r="H90" s="9"/>
      <c r="I90" s="9"/>
      <c r="J90" s="9"/>
      <c r="K90" s="9"/>
      <c r="L90" s="9"/>
      <c r="M90" s="9"/>
    </row>
    <row r="91" spans="3:13" ht="14.25" customHeight="1" x14ac:dyDescent="0.2">
      <c r="C91" s="21"/>
      <c r="D91" s="21"/>
      <c r="E91" s="21"/>
      <c r="F91" s="21"/>
      <c r="G91" s="21"/>
      <c r="H91" s="9"/>
      <c r="I91" s="9"/>
      <c r="J91" s="9"/>
      <c r="K91" s="9"/>
      <c r="L91" s="9"/>
      <c r="M91" s="9"/>
    </row>
    <row r="92" spans="3:13" ht="14.25" customHeight="1" x14ac:dyDescent="0.2">
      <c r="C92" s="21"/>
      <c r="D92" s="21"/>
      <c r="E92" s="21"/>
      <c r="F92" s="21"/>
      <c r="G92" s="21"/>
      <c r="H92" s="9"/>
      <c r="I92" s="9"/>
      <c r="J92" s="9"/>
      <c r="K92" s="9"/>
      <c r="L92" s="9"/>
      <c r="M92" s="9"/>
    </row>
    <row r="93" spans="3:13" ht="14.25" customHeight="1" x14ac:dyDescent="0.2">
      <c r="C93" s="21"/>
      <c r="D93" s="21"/>
      <c r="E93" s="21"/>
      <c r="F93" s="21"/>
      <c r="G93" s="21"/>
      <c r="H93" s="9"/>
      <c r="I93" s="9"/>
      <c r="J93" s="9"/>
      <c r="K93" s="9"/>
      <c r="L93" s="9"/>
      <c r="M93" s="9"/>
    </row>
    <row r="94" spans="3:13" ht="14.25" customHeight="1" x14ac:dyDescent="0.2">
      <c r="C94" s="21"/>
      <c r="D94" s="21"/>
      <c r="E94" s="21"/>
      <c r="F94" s="21"/>
      <c r="G94" s="21"/>
      <c r="H94" s="9"/>
      <c r="I94" s="9"/>
      <c r="J94" s="9"/>
      <c r="K94" s="9"/>
      <c r="L94" s="9"/>
      <c r="M94" s="9"/>
    </row>
    <row r="95" spans="3:13" ht="14.25" customHeight="1" x14ac:dyDescent="0.2">
      <c r="C95" s="21"/>
      <c r="D95" s="21"/>
      <c r="E95" s="21"/>
      <c r="F95" s="21"/>
      <c r="G95" s="21"/>
      <c r="H95" s="9"/>
      <c r="I95" s="9"/>
      <c r="J95" s="9"/>
      <c r="K95" s="9"/>
      <c r="L95" s="9"/>
      <c r="M95" s="9"/>
    </row>
    <row r="96" spans="3:13" ht="14.25" customHeight="1" x14ac:dyDescent="0.2">
      <c r="C96" s="21"/>
      <c r="D96" s="21"/>
      <c r="E96" s="21"/>
      <c r="F96" s="21"/>
      <c r="G96" s="21"/>
      <c r="H96" s="9"/>
      <c r="I96" s="9"/>
      <c r="J96" s="9"/>
      <c r="K96" s="9"/>
      <c r="L96" s="9"/>
      <c r="M96" s="9"/>
    </row>
    <row r="97" spans="3:13" ht="14.25" customHeight="1" x14ac:dyDescent="0.2">
      <c r="C97" s="21"/>
      <c r="D97" s="21"/>
      <c r="E97" s="21"/>
      <c r="F97" s="21"/>
      <c r="G97" s="21"/>
      <c r="H97" s="9"/>
      <c r="I97" s="9"/>
      <c r="J97" s="9"/>
      <c r="K97" s="9"/>
      <c r="L97" s="9"/>
      <c r="M97" s="9"/>
    </row>
    <row r="98" spans="3:13" ht="14.25" customHeight="1" x14ac:dyDescent="0.2">
      <c r="C98" s="21"/>
      <c r="D98" s="21"/>
      <c r="E98" s="21"/>
      <c r="F98" s="21"/>
      <c r="G98" s="21"/>
      <c r="H98" s="9"/>
      <c r="I98" s="9"/>
      <c r="J98" s="9"/>
      <c r="K98" s="9"/>
      <c r="L98" s="9"/>
      <c r="M98" s="9"/>
    </row>
    <row r="99" spans="3:13" ht="14.25" customHeight="1" x14ac:dyDescent="0.2">
      <c r="C99" s="21"/>
      <c r="D99" s="21"/>
      <c r="E99" s="21"/>
      <c r="F99" s="21"/>
      <c r="G99" s="21"/>
      <c r="H99" s="9"/>
      <c r="I99" s="9"/>
      <c r="J99" s="9"/>
      <c r="K99" s="9"/>
      <c r="L99" s="9"/>
      <c r="M99" s="9"/>
    </row>
    <row r="100" spans="3:13" ht="14.25" customHeight="1" x14ac:dyDescent="0.2">
      <c r="C100" s="21"/>
      <c r="D100" s="21"/>
      <c r="E100" s="21"/>
      <c r="F100" s="21"/>
      <c r="G100" s="21"/>
      <c r="H100" s="9"/>
      <c r="I100" s="9"/>
      <c r="J100" s="9"/>
      <c r="K100" s="9"/>
      <c r="L100" s="9"/>
      <c r="M100" s="9"/>
    </row>
    <row r="101" spans="3:13" ht="14.25" customHeight="1" x14ac:dyDescent="0.2">
      <c r="C101" s="21"/>
      <c r="D101" s="21"/>
      <c r="E101" s="21"/>
      <c r="F101" s="21"/>
      <c r="G101" s="21"/>
      <c r="H101" s="9"/>
      <c r="I101" s="9"/>
      <c r="J101" s="9"/>
      <c r="K101" s="9"/>
      <c r="L101" s="9"/>
      <c r="M101" s="9"/>
    </row>
    <row r="102" spans="3:13" ht="14.25" customHeight="1" x14ac:dyDescent="0.2">
      <c r="C102" s="21"/>
      <c r="D102" s="21"/>
      <c r="E102" s="21"/>
      <c r="F102" s="21"/>
      <c r="G102" s="21"/>
      <c r="H102" s="9"/>
      <c r="I102" s="9"/>
      <c r="J102" s="9"/>
      <c r="K102" s="9"/>
      <c r="L102" s="9"/>
      <c r="M102" s="9"/>
    </row>
    <row r="103" spans="3:13" ht="14.25" customHeight="1" x14ac:dyDescent="0.2">
      <c r="C103" s="21"/>
      <c r="D103" s="21"/>
      <c r="E103" s="21"/>
      <c r="F103" s="21"/>
      <c r="G103" s="21"/>
      <c r="H103" s="9"/>
      <c r="I103" s="9"/>
      <c r="J103" s="9"/>
      <c r="K103" s="9"/>
      <c r="L103" s="9"/>
      <c r="M103" s="9"/>
    </row>
    <row r="104" spans="3:13" ht="14.25" customHeight="1" x14ac:dyDescent="0.2">
      <c r="C104" s="21"/>
      <c r="D104" s="21"/>
      <c r="E104" s="21"/>
      <c r="F104" s="21"/>
      <c r="G104" s="21"/>
      <c r="H104" s="9"/>
      <c r="I104" s="9"/>
      <c r="J104" s="9"/>
      <c r="K104" s="9"/>
      <c r="L104" s="9"/>
      <c r="M104" s="9"/>
    </row>
    <row r="105" spans="3:13" ht="14.25" customHeight="1" x14ac:dyDescent="0.2">
      <c r="C105" s="21"/>
      <c r="D105" s="21"/>
      <c r="E105" s="21"/>
      <c r="F105" s="21"/>
      <c r="G105" s="21"/>
      <c r="H105" s="9"/>
      <c r="I105" s="9"/>
      <c r="J105" s="9"/>
      <c r="K105" s="9"/>
      <c r="L105" s="9"/>
      <c r="M105" s="9"/>
    </row>
    <row r="106" spans="3:13" ht="14.25" customHeight="1" x14ac:dyDescent="0.2">
      <c r="C106" s="21"/>
      <c r="D106" s="21"/>
      <c r="E106" s="21"/>
      <c r="F106" s="21"/>
      <c r="G106" s="21"/>
      <c r="H106" s="9"/>
      <c r="I106" s="9"/>
      <c r="J106" s="9"/>
      <c r="K106" s="9"/>
      <c r="L106" s="9"/>
      <c r="M106" s="9"/>
    </row>
    <row r="107" spans="3:13" ht="14.25" customHeight="1" x14ac:dyDescent="0.2">
      <c r="C107" s="21"/>
      <c r="D107" s="21"/>
      <c r="E107" s="21"/>
      <c r="F107" s="21"/>
      <c r="G107" s="21"/>
      <c r="H107" s="9"/>
      <c r="I107" s="9"/>
      <c r="J107" s="9"/>
      <c r="K107" s="9"/>
      <c r="L107" s="9"/>
      <c r="M107" s="9"/>
    </row>
    <row r="108" spans="3:13" ht="14.25" customHeight="1" x14ac:dyDescent="0.2">
      <c r="C108" s="21"/>
      <c r="D108" s="21"/>
      <c r="E108" s="21"/>
      <c r="F108" s="21"/>
      <c r="G108" s="21"/>
      <c r="H108" s="9"/>
      <c r="I108" s="9"/>
      <c r="J108" s="9"/>
      <c r="K108" s="9"/>
      <c r="L108" s="9"/>
      <c r="M108" s="9"/>
    </row>
    <row r="109" spans="3:13" ht="14.25" customHeight="1" x14ac:dyDescent="0.2">
      <c r="C109" s="21"/>
      <c r="D109" s="21"/>
      <c r="E109" s="21"/>
      <c r="F109" s="21"/>
      <c r="G109" s="21"/>
      <c r="H109" s="9"/>
      <c r="I109" s="9"/>
      <c r="J109" s="9"/>
      <c r="K109" s="9"/>
      <c r="L109" s="9"/>
      <c r="M109" s="9"/>
    </row>
    <row r="110" spans="3:13" ht="14.25" customHeight="1" x14ac:dyDescent="0.2">
      <c r="C110" s="21"/>
      <c r="D110" s="21"/>
      <c r="E110" s="21"/>
      <c r="F110" s="21"/>
      <c r="G110" s="21"/>
      <c r="H110" s="9"/>
      <c r="I110" s="9"/>
      <c r="J110" s="9"/>
      <c r="K110" s="9"/>
      <c r="L110" s="9"/>
      <c r="M110" s="9"/>
    </row>
    <row r="111" spans="3:13" ht="14.25" customHeight="1" x14ac:dyDescent="0.2">
      <c r="C111" s="21"/>
      <c r="D111" s="21"/>
      <c r="E111" s="21"/>
      <c r="F111" s="21"/>
      <c r="G111" s="21"/>
      <c r="H111" s="9"/>
      <c r="I111" s="9"/>
      <c r="J111" s="9"/>
      <c r="K111" s="9"/>
      <c r="L111" s="9"/>
      <c r="M111" s="9"/>
    </row>
    <row r="112" spans="3:13" ht="14.25" customHeight="1" x14ac:dyDescent="0.2">
      <c r="C112" s="21"/>
      <c r="D112" s="21"/>
      <c r="E112" s="21"/>
      <c r="F112" s="21"/>
      <c r="G112" s="21"/>
      <c r="H112" s="9"/>
      <c r="I112" s="9"/>
      <c r="J112" s="9"/>
      <c r="K112" s="9"/>
      <c r="L112" s="9"/>
      <c r="M112" s="9"/>
    </row>
    <row r="113" spans="3:13" ht="14.25" customHeight="1" x14ac:dyDescent="0.2">
      <c r="C113" s="21"/>
      <c r="D113" s="21"/>
      <c r="E113" s="21"/>
      <c r="F113" s="21"/>
      <c r="G113" s="21"/>
      <c r="H113" s="9"/>
      <c r="I113" s="9"/>
      <c r="J113" s="9"/>
      <c r="K113" s="9"/>
      <c r="L113" s="9"/>
      <c r="M113" s="9"/>
    </row>
    <row r="114" spans="3:13" ht="14.25" customHeight="1" x14ac:dyDescent="0.2">
      <c r="C114" s="21"/>
      <c r="D114" s="21"/>
      <c r="E114" s="21"/>
      <c r="F114" s="21"/>
      <c r="G114" s="21"/>
      <c r="H114" s="9"/>
      <c r="I114" s="9"/>
      <c r="J114" s="9"/>
      <c r="K114" s="9"/>
      <c r="L114" s="9"/>
      <c r="M114" s="9"/>
    </row>
    <row r="115" spans="3:13" ht="14.25" customHeight="1" x14ac:dyDescent="0.2">
      <c r="C115" s="21"/>
      <c r="D115" s="21"/>
      <c r="E115" s="21"/>
      <c r="F115" s="21"/>
      <c r="G115" s="21"/>
      <c r="H115" s="9"/>
      <c r="I115" s="9"/>
      <c r="J115" s="9"/>
      <c r="K115" s="9"/>
      <c r="L115" s="9"/>
      <c r="M115" s="9"/>
    </row>
    <row r="116" spans="3:13" ht="14.25" customHeight="1" x14ac:dyDescent="0.2">
      <c r="C116" s="21"/>
      <c r="D116" s="21"/>
      <c r="E116" s="21"/>
      <c r="F116" s="21"/>
      <c r="G116" s="21"/>
      <c r="H116" s="9"/>
      <c r="I116" s="9"/>
      <c r="J116" s="9"/>
      <c r="K116" s="9"/>
      <c r="L116" s="9"/>
      <c r="M116" s="9"/>
    </row>
    <row r="117" spans="3:13" ht="14.25" customHeight="1" x14ac:dyDescent="0.2">
      <c r="C117" s="21"/>
      <c r="D117" s="21"/>
      <c r="E117" s="21"/>
      <c r="F117" s="21"/>
      <c r="G117" s="21"/>
      <c r="H117" s="9"/>
      <c r="I117" s="9"/>
      <c r="J117" s="9"/>
      <c r="K117" s="9"/>
      <c r="L117" s="9"/>
      <c r="M117" s="9"/>
    </row>
    <row r="118" spans="3:13" ht="14.25" customHeight="1" x14ac:dyDescent="0.2">
      <c r="C118" s="21"/>
      <c r="D118" s="21"/>
      <c r="E118" s="21"/>
      <c r="F118" s="21"/>
      <c r="G118" s="21"/>
      <c r="H118" s="9"/>
      <c r="I118" s="9"/>
      <c r="J118" s="9"/>
      <c r="K118" s="9"/>
      <c r="L118" s="9"/>
      <c r="M118" s="9"/>
    </row>
    <row r="119" spans="3:13" ht="14.25" customHeight="1" x14ac:dyDescent="0.2">
      <c r="K119" s="9"/>
      <c r="L119" s="9"/>
      <c r="M119" s="9"/>
    </row>
    <row r="120" spans="3:13" ht="14.25" customHeight="1" x14ac:dyDescent="0.2"/>
    <row r="122" spans="3:13" ht="14.25" customHeight="1" x14ac:dyDescent="0.2"/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6D159-FCFB-42E2-80C6-1CEC5D807849}">
  <sheetPr codeName="Sheet9"/>
  <dimension ref="A1:N16"/>
  <sheetViews>
    <sheetView workbookViewId="0">
      <selection activeCell="H5" sqref="H5:H16"/>
    </sheetView>
  </sheetViews>
  <sheetFormatPr defaultRowHeight="14.25" customHeight="1" x14ac:dyDescent="0.2"/>
  <cols>
    <col min="1" max="16384" width="9" style="1"/>
  </cols>
  <sheetData>
    <row r="1" spans="1:14" ht="14.25" customHeight="1" x14ac:dyDescent="0.2">
      <c r="A1" s="108" t="s">
        <v>211</v>
      </c>
      <c r="B1" s="109"/>
    </row>
    <row r="2" spans="1:14" ht="14.25" customHeight="1" x14ac:dyDescent="0.2">
      <c r="A2" s="110"/>
      <c r="B2" s="111"/>
    </row>
    <row r="4" spans="1:14" ht="14.25" customHeight="1" x14ac:dyDescent="0.2">
      <c r="D4" s="3" t="s">
        <v>150</v>
      </c>
      <c r="E4" s="3" t="s">
        <v>87</v>
      </c>
      <c r="F4" s="3" t="s">
        <v>88</v>
      </c>
      <c r="G4" s="1" t="s">
        <v>198</v>
      </c>
      <c r="H4" s="1" t="s">
        <v>258</v>
      </c>
      <c r="I4" s="1" t="s">
        <v>199</v>
      </c>
      <c r="J4" s="1" t="s">
        <v>201</v>
      </c>
      <c r="K4" s="1" t="s">
        <v>203</v>
      </c>
      <c r="L4" s="1" t="s">
        <v>210</v>
      </c>
      <c r="N4" s="3" t="s">
        <v>225</v>
      </c>
    </row>
    <row r="5" spans="1:14" ht="14.25" customHeight="1" x14ac:dyDescent="0.2">
      <c r="D5" s="1" t="s">
        <v>246</v>
      </c>
      <c r="E5" s="1" t="str">
        <f>VLOOKUP(D5,角色设定!$R:$S,2,0)</f>
        <v>防御</v>
      </c>
      <c r="F5" s="1" t="str">
        <f>VLOOKUP(E5,角色设定!$D$9:$E$15,2,0)</f>
        <v>坦克</v>
      </c>
      <c r="G5" s="1">
        <v>10</v>
      </c>
      <c r="H5" s="1">
        <f>G5*0.5</f>
        <v>5</v>
      </c>
      <c r="I5" s="5">
        <f>VLOOKUP($E5,技能模板!$D$13:$U$19,MATCH(I$4,技能模板!$D$13:$U$13,0),0)/VLOOKUP($E5,技能模板!$D$13:$U$19,MATCH($G$4,技能模板!$D$13:$U$13,0),0)*$G5</f>
        <v>3.333333333333333</v>
      </c>
      <c r="J5" s="5"/>
      <c r="K5" s="5">
        <f>VLOOKUP($E5,技能模板!$D$13:$U$19,MATCH(K$4,技能模板!$D$13:$U$13,0),0)/VLOOKUP($E5,技能模板!$D$13:$U$19,MATCH($G$4,技能模板!$D$13:$U$13,0),0)*$G5</f>
        <v>0.6</v>
      </c>
      <c r="L5" s="5"/>
      <c r="N5" s="41" t="s">
        <v>231</v>
      </c>
    </row>
    <row r="6" spans="1:14" ht="14.25" customHeight="1" x14ac:dyDescent="0.2">
      <c r="D6" s="1" t="s">
        <v>247</v>
      </c>
      <c r="E6" s="1" t="str">
        <f>VLOOKUP(D6,角色设定!$R:$S,2,0)</f>
        <v>防御</v>
      </c>
      <c r="F6" s="1" t="str">
        <f>VLOOKUP(E6,角色设定!$D$9:$E$15,2,0)</f>
        <v>坦克</v>
      </c>
      <c r="G6" s="1">
        <v>10</v>
      </c>
      <c r="H6" s="1">
        <f t="shared" ref="H6:H16" si="0">G6*0.5</f>
        <v>5</v>
      </c>
      <c r="I6" s="5">
        <f>VLOOKUP($E6,技能模板!$D$13:$U$19,MATCH(I$4,技能模板!$D$13:$U$13,0),0)/VLOOKUP($E6,技能模板!$D$13:$U$19,MATCH($G$4,技能模板!$D$13:$U$13,0),0)*$G6</f>
        <v>3.333333333333333</v>
      </c>
      <c r="J6" s="5"/>
      <c r="K6" s="5">
        <f>VLOOKUP($E6,技能模板!$D$13:$U$19,MATCH(K$4,技能模板!$D$13:$U$13,0),0)/VLOOKUP($E6,技能模板!$D$13:$U$19,MATCH($G$4,技能模板!$D$13:$U$13,0),0)*$G6</f>
        <v>0.6</v>
      </c>
      <c r="L6" s="5"/>
    </row>
    <row r="7" spans="1:14" ht="14.25" customHeight="1" x14ac:dyDescent="0.2">
      <c r="D7" s="1" t="s">
        <v>248</v>
      </c>
      <c r="E7" s="1" t="str">
        <f>VLOOKUP(D7,角色设定!$R:$S,2,0)</f>
        <v>突击</v>
      </c>
      <c r="F7" s="1" t="str">
        <f>VLOOKUP(E7,角色设定!$D$9:$E$15,2,0)</f>
        <v>坦克</v>
      </c>
      <c r="G7" s="1">
        <v>8</v>
      </c>
      <c r="H7" s="1">
        <f t="shared" si="0"/>
        <v>4</v>
      </c>
      <c r="I7" s="5">
        <f>VLOOKUP($E7,技能模板!$D$13:$U$19,MATCH(I$4,技能模板!$D$13:$U$13,0),0)/VLOOKUP($E7,技能模板!$D$13:$U$19,MATCH($G$4,技能模板!$D$13:$U$13,0),0)*$G7</f>
        <v>2.6524633821571233</v>
      </c>
      <c r="J7" s="5"/>
      <c r="K7" s="5">
        <f>VLOOKUP($E7,技能模板!$D$13:$U$19,MATCH(K$4,技能模板!$D$13:$U$13,0),0)/VLOOKUP($E7,技能模板!$D$13:$U$19,MATCH($G$4,技能模板!$D$13:$U$13,0),0)*$G7</f>
        <v>0.64</v>
      </c>
      <c r="L7" s="5"/>
    </row>
    <row r="8" spans="1:14" ht="14.25" customHeight="1" x14ac:dyDescent="0.2">
      <c r="D8" s="1" t="s">
        <v>249</v>
      </c>
      <c r="E8" s="1" t="str">
        <f>VLOOKUP(D8,角色设定!$R:$S,2,0)</f>
        <v>突击</v>
      </c>
      <c r="F8" s="1" t="str">
        <f>VLOOKUP(E8,角色设定!$D$9:$E$15,2,0)</f>
        <v>坦克</v>
      </c>
      <c r="G8" s="1">
        <v>8</v>
      </c>
      <c r="H8" s="1">
        <f t="shared" si="0"/>
        <v>4</v>
      </c>
      <c r="I8" s="5">
        <f>VLOOKUP($E8,技能模板!$D$13:$U$19,MATCH(I$4,技能模板!$D$13:$U$13,0),0)/VLOOKUP($E8,技能模板!$D$13:$U$19,MATCH($G$4,技能模板!$D$13:$U$13,0),0)*$G8</f>
        <v>2.6524633821571233</v>
      </c>
      <c r="J8" s="5"/>
      <c r="K8" s="5">
        <f>VLOOKUP($E8,技能模板!$D$13:$U$19,MATCH(K$4,技能模板!$D$13:$U$13,0),0)/VLOOKUP($E8,技能模板!$D$13:$U$19,MATCH($G$4,技能模板!$D$13:$U$13,0),0)*$G8</f>
        <v>0.64</v>
      </c>
      <c r="L8" s="5"/>
    </row>
    <row r="9" spans="1:14" ht="14.25" customHeight="1" x14ac:dyDescent="0.2">
      <c r="D9" s="1" t="s">
        <v>250</v>
      </c>
      <c r="E9" s="1" t="str">
        <f>VLOOKUP(D9,角色设定!$R:$S,2,0)</f>
        <v>魔法</v>
      </c>
      <c r="F9" s="1" t="str">
        <f>VLOOKUP(E9,角色设定!$D$9:$E$15,2,0)</f>
        <v>输出</v>
      </c>
      <c r="G9" s="1">
        <v>20</v>
      </c>
      <c r="H9" s="1">
        <f t="shared" si="0"/>
        <v>10</v>
      </c>
      <c r="I9" s="5">
        <f>VLOOKUP($E9,技能模板!$D$13:$U$19,MATCH(I$4,技能模板!$D$13:$U$13,0),0)/VLOOKUP($E9,技能模板!$D$13:$U$19,MATCH($G$4,技能模板!$D$13:$U$13,0),0)*$G9</f>
        <v>4.9999999999999982</v>
      </c>
      <c r="J9" s="5"/>
      <c r="K9" s="5"/>
      <c r="L9" s="5"/>
    </row>
    <row r="10" spans="1:14" ht="14.25" customHeight="1" x14ac:dyDescent="0.2">
      <c r="D10" s="1" t="s">
        <v>251</v>
      </c>
      <c r="E10" s="1" t="str">
        <f>VLOOKUP(D10,角色设定!$R:$S,2,0)</f>
        <v>魔法</v>
      </c>
      <c r="F10" s="1" t="str">
        <f>VLOOKUP(E10,角色设定!$D$9:$E$15,2,0)</f>
        <v>输出</v>
      </c>
      <c r="G10" s="1">
        <v>20</v>
      </c>
      <c r="H10" s="1">
        <f t="shared" si="0"/>
        <v>10</v>
      </c>
      <c r="I10" s="5">
        <f>VLOOKUP($E10,技能模板!$D$13:$U$19,MATCH(I$4,技能模板!$D$13:$U$13,0),0)/VLOOKUP($E10,技能模板!$D$13:$U$19,MATCH($G$4,技能模板!$D$13:$U$13,0),0)*$G10</f>
        <v>4.9999999999999982</v>
      </c>
      <c r="J10" s="5"/>
      <c r="K10" s="5"/>
      <c r="L10" s="5"/>
    </row>
    <row r="11" spans="1:14" ht="14.25" customHeight="1" x14ac:dyDescent="0.2">
      <c r="D11" s="1" t="s">
        <v>252</v>
      </c>
      <c r="E11" s="1" t="str">
        <f>VLOOKUP(D11,角色设定!$R:$S,2,0)</f>
        <v>射击</v>
      </c>
      <c r="F11" s="1" t="str">
        <f>VLOOKUP(E11,角色设定!$D$9:$E$15,2,0)</f>
        <v>输出</v>
      </c>
      <c r="G11" s="1">
        <v>20</v>
      </c>
      <c r="H11" s="1">
        <f t="shared" si="0"/>
        <v>10</v>
      </c>
      <c r="I11" s="5">
        <f>VLOOKUP($E11,技能模板!$D$13:$U$19,MATCH(I$4,技能模板!$D$13:$U$13,0),0)/VLOOKUP($E11,技能模板!$D$13:$U$19,MATCH($G$4,技能模板!$D$13:$U$13,0),0)*$G11</f>
        <v>4.8447204968944071</v>
      </c>
      <c r="J11" s="5"/>
      <c r="K11" s="5"/>
      <c r="L11" s="5"/>
    </row>
    <row r="12" spans="1:14" ht="14.25" customHeight="1" x14ac:dyDescent="0.2">
      <c r="D12" s="1" t="s">
        <v>253</v>
      </c>
      <c r="E12" s="1" t="str">
        <f>VLOOKUP(D12,角色设定!$R:$S,2,0)</f>
        <v>射击</v>
      </c>
      <c r="F12" s="1" t="str">
        <f>VLOOKUP(E12,角色设定!$D$9:$E$15,2,0)</f>
        <v>输出</v>
      </c>
      <c r="G12" s="1">
        <v>20</v>
      </c>
      <c r="H12" s="1">
        <f t="shared" si="0"/>
        <v>10</v>
      </c>
      <c r="I12" s="5">
        <f>VLOOKUP($E12,技能模板!$D$13:$U$19,MATCH(I$4,技能模板!$D$13:$U$13,0),0)/VLOOKUP($E12,技能模板!$D$13:$U$19,MATCH($G$4,技能模板!$D$13:$U$13,0),0)*$G12</f>
        <v>4.8447204968944071</v>
      </c>
      <c r="J12" s="5"/>
      <c r="K12" s="5"/>
      <c r="L12" s="5"/>
    </row>
    <row r="13" spans="1:14" ht="14.25" customHeight="1" x14ac:dyDescent="0.2">
      <c r="D13" s="1" t="s">
        <v>254</v>
      </c>
      <c r="E13" s="1" t="str">
        <f>VLOOKUP(D13,角色设定!$R:$S,2,0)</f>
        <v>刺杀</v>
      </c>
      <c r="F13" s="1" t="str">
        <f>VLOOKUP(E13,角色设定!$D$9:$E$15,2,0)</f>
        <v>输出</v>
      </c>
      <c r="G13" s="1">
        <v>20</v>
      </c>
      <c r="H13" s="1">
        <f t="shared" si="0"/>
        <v>10</v>
      </c>
      <c r="I13" s="5">
        <f>VLOOKUP($E13,技能模板!$D$13:$U$19,MATCH(I$4,技能模板!$D$13:$U$13,0),0)/VLOOKUP($E13,技能模板!$D$13:$U$19,MATCH($G$4,技能模板!$D$13:$U$13,0),0)*$G13</f>
        <v>5.8397932816537494</v>
      </c>
      <c r="J13" s="5"/>
      <c r="K13" s="5"/>
      <c r="L13" s="5"/>
    </row>
    <row r="14" spans="1:14" ht="14.25" customHeight="1" x14ac:dyDescent="0.2">
      <c r="D14" s="1" t="s">
        <v>255</v>
      </c>
      <c r="E14" s="1" t="str">
        <f>VLOOKUP(D14,角色设定!$R:$S,2,0)</f>
        <v>刺杀</v>
      </c>
      <c r="F14" s="1" t="str">
        <f>VLOOKUP(E14,角色设定!$D$9:$E$15,2,0)</f>
        <v>输出</v>
      </c>
      <c r="G14" s="1">
        <v>20</v>
      </c>
      <c r="H14" s="1">
        <f t="shared" si="0"/>
        <v>10</v>
      </c>
      <c r="I14" s="5">
        <f>VLOOKUP($E14,技能模板!$D$13:$U$19,MATCH(I$4,技能模板!$D$13:$U$13,0),0)/VLOOKUP($E14,技能模板!$D$13:$U$19,MATCH($G$4,技能模板!$D$13:$U$13,0),0)*$G14</f>
        <v>5.8397932816537494</v>
      </c>
      <c r="J14" s="5"/>
      <c r="K14" s="5"/>
      <c r="L14" s="5"/>
    </row>
    <row r="15" spans="1:14" ht="14.25" customHeight="1" x14ac:dyDescent="0.2">
      <c r="D15" s="1" t="s">
        <v>256</v>
      </c>
      <c r="E15" s="1" t="str">
        <f>VLOOKUP(D15,角色设定!$R:$S,2,0)</f>
        <v>恢复</v>
      </c>
      <c r="F15" s="1" t="str">
        <f>VLOOKUP(E15,角色设定!$D$9:$E$15,2,0)</f>
        <v>治疗</v>
      </c>
      <c r="G15" s="1">
        <v>10</v>
      </c>
      <c r="H15" s="1">
        <f t="shared" si="0"/>
        <v>5</v>
      </c>
      <c r="I15" s="5">
        <f>VLOOKUP($E15,技能模板!$D$13:$U$19,MATCH(I$4,技能模板!$D$13:$U$13,0),0)/VLOOKUP($E15,技能模板!$D$13:$U$19,MATCH($G$4,技能模板!$D$13:$U$13,0),0)*$G15</f>
        <v>2.5313283208020043</v>
      </c>
      <c r="J15" s="5"/>
      <c r="K15" s="5"/>
      <c r="L15" s="5">
        <f>VLOOKUP($E15,技能模板!$D$13:$U$19,MATCH(L$4,技能模板!$D$13:$U$13,0),0)/VLOOKUP($E15,技能模板!$D$13:$U$19,MATCH($G$4,技能模板!$D$13:$U$13,0),0)*$G15</f>
        <v>0.55892431003178</v>
      </c>
    </row>
    <row r="16" spans="1:14" ht="14.25" customHeight="1" x14ac:dyDescent="0.2">
      <c r="D16" s="1" t="s">
        <v>257</v>
      </c>
      <c r="E16" s="1" t="str">
        <f>VLOOKUP(D16,角色设定!$R:$S,2,0)</f>
        <v>恢复</v>
      </c>
      <c r="F16" s="1" t="str">
        <f>VLOOKUP(E16,角色设定!$D$9:$E$15,2,0)</f>
        <v>治疗</v>
      </c>
      <c r="G16" s="1">
        <v>10</v>
      </c>
      <c r="H16" s="1">
        <f t="shared" si="0"/>
        <v>5</v>
      </c>
      <c r="I16" s="5">
        <f>VLOOKUP($E16,技能模板!$D$13:$U$19,MATCH(I$4,技能模板!$D$13:$U$13,0),0)/VLOOKUP($E16,技能模板!$D$13:$U$19,MATCH($G$4,技能模板!$D$13:$U$13,0),0)*$G16</f>
        <v>2.5313283208020043</v>
      </c>
      <c r="J16" s="5"/>
      <c r="K16" s="5"/>
      <c r="L16" s="5">
        <f>VLOOKUP($E16,技能模板!$D$13:$U$19,MATCH(L$4,技能模板!$D$13:$U$13,0),0)/VLOOKUP($E16,技能模板!$D$13:$U$19,MATCH($G$4,技能模板!$D$13:$U$13,0),0)*$G16</f>
        <v>0.55892431003178</v>
      </c>
    </row>
  </sheetData>
  <mergeCells count="1">
    <mergeCell ref="A1:B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A3941-7F4C-4EB8-AC20-691350AAAF29}">
  <sheetPr>
    <outlinePr summaryBelow="0"/>
  </sheetPr>
  <dimension ref="A1:AF462"/>
  <sheetViews>
    <sheetView zoomScaleNormal="100" workbookViewId="0">
      <selection activeCell="K8" sqref="K8"/>
    </sheetView>
  </sheetViews>
  <sheetFormatPr defaultRowHeight="14.25" customHeight="1" outlineLevelRow="1" x14ac:dyDescent="0.2"/>
  <cols>
    <col min="1" max="16384" width="9" style="1"/>
  </cols>
  <sheetData>
    <row r="1" spans="1:17" ht="14.25" customHeight="1" x14ac:dyDescent="0.2">
      <c r="A1" s="108" t="s">
        <v>281</v>
      </c>
      <c r="B1" s="109"/>
    </row>
    <row r="2" spans="1:17" ht="14.25" customHeight="1" x14ac:dyDescent="0.2">
      <c r="A2" s="110"/>
      <c r="B2" s="111"/>
      <c r="D2" s="2" t="s">
        <v>282</v>
      </c>
    </row>
    <row r="3" spans="1:17" ht="14.25" customHeight="1" x14ac:dyDescent="0.2">
      <c r="D3" s="2" t="s">
        <v>283</v>
      </c>
    </row>
    <row r="4" spans="1:17" ht="14.25" customHeight="1" x14ac:dyDescent="0.2">
      <c r="C4" s="3" t="s">
        <v>288</v>
      </c>
      <c r="I4" s="2" t="s">
        <v>302</v>
      </c>
    </row>
    <row r="5" spans="1:17" ht="14.25" customHeight="1" x14ac:dyDescent="0.2">
      <c r="C5" s="3" t="s">
        <v>216</v>
      </c>
      <c r="D5" s="3" t="s">
        <v>88</v>
      </c>
      <c r="E5" s="3" t="s">
        <v>146</v>
      </c>
      <c r="F5" s="3" t="s">
        <v>147</v>
      </c>
      <c r="G5" s="3" t="s">
        <v>124</v>
      </c>
    </row>
    <row r="6" spans="1:17" ht="14.25" customHeight="1" x14ac:dyDescent="0.2">
      <c r="C6" s="1" t="s">
        <v>284</v>
      </c>
      <c r="D6" s="1" t="s">
        <v>122</v>
      </c>
      <c r="E6" s="6">
        <f>基础模型!E34</f>
        <v>4.5</v>
      </c>
      <c r="F6" s="6">
        <f>基础模型!F34</f>
        <v>111.11111111111111</v>
      </c>
      <c r="G6" s="6">
        <f>基础模型!G34</f>
        <v>2</v>
      </c>
    </row>
    <row r="7" spans="1:17" ht="14.25" customHeight="1" x14ac:dyDescent="0.2">
      <c r="C7" s="1" t="s">
        <v>285</v>
      </c>
      <c r="D7" s="1" t="s">
        <v>123</v>
      </c>
      <c r="E7" s="6">
        <f>基础模型!E35</f>
        <v>11</v>
      </c>
      <c r="F7" s="6">
        <f>基础模型!F35</f>
        <v>36.36363636363636</v>
      </c>
      <c r="G7" s="6">
        <f>基础模型!G35</f>
        <v>0</v>
      </c>
    </row>
    <row r="8" spans="1:17" ht="14.25" customHeight="1" x14ac:dyDescent="0.2">
      <c r="C8" s="1" t="s">
        <v>286</v>
      </c>
      <c r="D8" s="1" t="s">
        <v>122</v>
      </c>
      <c r="E8" s="6">
        <f>基础模型!E36</f>
        <v>5</v>
      </c>
      <c r="F8" s="6">
        <f>基础模型!F36</f>
        <v>100</v>
      </c>
      <c r="G8" s="6">
        <f>基础模型!G36</f>
        <v>2</v>
      </c>
    </row>
    <row r="9" spans="1:17" ht="14.25" customHeight="1" x14ac:dyDescent="0.2">
      <c r="C9" s="1" t="s">
        <v>287</v>
      </c>
      <c r="D9" s="1" t="s">
        <v>123</v>
      </c>
      <c r="E9" s="6">
        <f>基础模型!E37</f>
        <v>12</v>
      </c>
      <c r="F9" s="6">
        <f>基础模型!F37</f>
        <v>33.333333333333336</v>
      </c>
      <c r="G9" s="6">
        <f>基础模型!G37</f>
        <v>0</v>
      </c>
    </row>
    <row r="10" spans="1:17" ht="14.25" customHeight="1" x14ac:dyDescent="0.2">
      <c r="C10" s="1">
        <v>0</v>
      </c>
      <c r="D10" s="1" t="s">
        <v>124</v>
      </c>
      <c r="E10" s="6">
        <f>基础模型!E38</f>
        <v>3.88</v>
      </c>
      <c r="F10" s="6">
        <f>基础模型!F38</f>
        <v>48.5</v>
      </c>
      <c r="G10" s="6">
        <f>基础模型!G38</f>
        <v>6</v>
      </c>
      <c r="Q10" s="2"/>
    </row>
    <row r="11" spans="1:17" ht="14.25" customHeight="1" x14ac:dyDescent="0.2">
      <c r="Q11" s="2"/>
    </row>
    <row r="12" spans="1:17" ht="14.25" customHeight="1" x14ac:dyDescent="0.2">
      <c r="C12" s="3" t="s">
        <v>290</v>
      </c>
      <c r="D12" s="2" t="s">
        <v>298</v>
      </c>
      <c r="I12" s="3" t="s">
        <v>291</v>
      </c>
      <c r="Q12" s="2"/>
    </row>
    <row r="13" spans="1:17" ht="14.25" customHeight="1" x14ac:dyDescent="0.2">
      <c r="D13" s="3" t="s">
        <v>289</v>
      </c>
      <c r="E13" s="3" t="s">
        <v>146</v>
      </c>
      <c r="F13" s="3" t="s">
        <v>147</v>
      </c>
      <c r="G13" s="3" t="s">
        <v>124</v>
      </c>
      <c r="H13" s="75" t="s">
        <v>15</v>
      </c>
      <c r="J13" s="24" t="s">
        <v>13</v>
      </c>
      <c r="K13" s="3" t="s">
        <v>147</v>
      </c>
    </row>
    <row r="14" spans="1:17" ht="14.25" customHeight="1" x14ac:dyDescent="0.2">
      <c r="D14" s="1">
        <v>5</v>
      </c>
      <c r="E14" s="1">
        <f>SUM(E6:$E$10)</f>
        <v>36.380000000000003</v>
      </c>
      <c r="F14" s="1">
        <f>F6</f>
        <v>111.11111111111111</v>
      </c>
      <c r="G14" s="1">
        <f>SUM(G6:G10)</f>
        <v>10</v>
      </c>
      <c r="H14" s="6">
        <f>F14/(J14-G14)</f>
        <v>11.675014301892521</v>
      </c>
      <c r="J14" s="1">
        <v>19.516999999999999</v>
      </c>
      <c r="K14" s="6">
        <f>E14*H14</f>
        <v>424.73702030284994</v>
      </c>
      <c r="M14" s="1">
        <f>J14*0.3</f>
        <v>5.8550999999999993</v>
      </c>
    </row>
    <row r="15" spans="1:17" ht="14.25" customHeight="1" x14ac:dyDescent="0.2">
      <c r="D15" s="1">
        <v>4</v>
      </c>
      <c r="E15" s="1">
        <f>SUM(E7:$E$10)</f>
        <v>31.88</v>
      </c>
      <c r="F15" s="1">
        <f>F8</f>
        <v>100</v>
      </c>
      <c r="G15" s="1">
        <f>G14-G8</f>
        <v>8</v>
      </c>
      <c r="H15" s="6">
        <f t="shared" ref="H15:H18" si="0">F15/(J15-G15)</f>
        <v>8.6828167057393415</v>
      </c>
      <c r="J15" s="1">
        <f>J14</f>
        <v>19.516999999999999</v>
      </c>
      <c r="K15" s="6">
        <f t="shared" ref="K15:K18" si="1">E15*H15</f>
        <v>276.80819657897018</v>
      </c>
    </row>
    <row r="16" spans="1:17" ht="14.25" customHeight="1" x14ac:dyDescent="0.2">
      <c r="D16" s="1">
        <v>3</v>
      </c>
      <c r="E16" s="1">
        <f>SUM(E8:$E$10)</f>
        <v>20.88</v>
      </c>
      <c r="F16" s="1">
        <f>F7</f>
        <v>36.36363636363636</v>
      </c>
      <c r="G16" s="1">
        <f>G15-G7</f>
        <v>8</v>
      </c>
      <c r="H16" s="6">
        <f t="shared" si="0"/>
        <v>3.1573878929961241</v>
      </c>
      <c r="J16" s="1">
        <f t="shared" ref="J16:J18" si="2">J15</f>
        <v>19.516999999999999</v>
      </c>
      <c r="K16" s="6">
        <f t="shared" si="1"/>
        <v>65.926259205759067</v>
      </c>
    </row>
    <row r="17" spans="3:32" ht="14.25" customHeight="1" x14ac:dyDescent="0.2">
      <c r="D17" s="1">
        <v>2</v>
      </c>
      <c r="E17" s="1">
        <f>SUM(E9:$E$10)</f>
        <v>15.879999999999999</v>
      </c>
      <c r="F17" s="1">
        <f>F9</f>
        <v>33.333333333333336</v>
      </c>
      <c r="G17" s="1">
        <f>G16-G9</f>
        <v>8</v>
      </c>
      <c r="H17" s="6">
        <f t="shared" si="0"/>
        <v>2.8942722352464476</v>
      </c>
      <c r="J17" s="1">
        <f t="shared" si="2"/>
        <v>19.516999999999999</v>
      </c>
      <c r="K17" s="6">
        <f t="shared" si="1"/>
        <v>45.961043095713585</v>
      </c>
    </row>
    <row r="18" spans="3:32" ht="14.25" customHeight="1" x14ac:dyDescent="0.2">
      <c r="D18" s="1">
        <v>1</v>
      </c>
      <c r="E18" s="1">
        <f>SUM(E10:$E$10)</f>
        <v>3.88</v>
      </c>
      <c r="F18" s="1">
        <f>F10</f>
        <v>48.5</v>
      </c>
      <c r="G18" s="1">
        <f>G10</f>
        <v>6</v>
      </c>
      <c r="H18" s="6">
        <f t="shared" si="0"/>
        <v>3.5880742768365761</v>
      </c>
      <c r="J18" s="1">
        <f t="shared" si="2"/>
        <v>19.516999999999999</v>
      </c>
      <c r="K18" s="6">
        <f t="shared" si="1"/>
        <v>13.921728194125915</v>
      </c>
    </row>
    <row r="19" spans="3:32" ht="14.25" customHeight="1" x14ac:dyDescent="0.2">
      <c r="H19" s="6">
        <f>SUM(H14:H18)</f>
        <v>29.997565412711008</v>
      </c>
      <c r="I19" s="1" t="s">
        <v>292</v>
      </c>
      <c r="J19" s="1">
        <f>MAX(J14:J18)</f>
        <v>19.516999999999999</v>
      </c>
      <c r="K19" s="6">
        <f>SUM(K14:K18)</f>
        <v>827.35424737741857</v>
      </c>
    </row>
    <row r="21" spans="3:32" ht="14.25" customHeight="1" x14ac:dyDescent="0.2">
      <c r="C21" s="3" t="s">
        <v>162</v>
      </c>
      <c r="E21" s="1">
        <f>J19</f>
        <v>19.516999999999999</v>
      </c>
      <c r="F21" s="6">
        <f>K19</f>
        <v>827.35424737741857</v>
      </c>
      <c r="G21" s="17">
        <v>100</v>
      </c>
      <c r="J21" s="1" t="s">
        <v>294</v>
      </c>
      <c r="K21" s="1">
        <f>角色成长!L15</f>
        <v>75</v>
      </c>
      <c r="L21" s="3" t="s">
        <v>293</v>
      </c>
      <c r="P21" s="6">
        <f>MAX(P24:P123)</f>
        <v>939294.69890216889</v>
      </c>
      <c r="X21" s="1" t="s">
        <v>297</v>
      </c>
    </row>
    <row r="22" spans="3:32" ht="14.25" customHeight="1" outlineLevel="1" x14ac:dyDescent="0.2">
      <c r="E22" s="1">
        <f>角色成长!E16</f>
        <v>1.05</v>
      </c>
      <c r="F22" s="1">
        <f>角色成长!F16</f>
        <v>1.05</v>
      </c>
      <c r="G22" s="1">
        <f>角色成长!G16</f>
        <v>1.05</v>
      </c>
      <c r="O22" s="6">
        <f>F24*K21</f>
        <v>62051.568553306395</v>
      </c>
      <c r="P22" s="1">
        <f>100000</f>
        <v>100000</v>
      </c>
      <c r="X22" s="1">
        <v>9</v>
      </c>
    </row>
    <row r="23" spans="3:32" ht="14.25" customHeight="1" outlineLevel="1" x14ac:dyDescent="0.2">
      <c r="D23" s="1" t="s">
        <v>186</v>
      </c>
      <c r="E23" s="1" t="s">
        <v>146</v>
      </c>
      <c r="F23" s="1" t="s">
        <v>147</v>
      </c>
      <c r="G23" s="1" t="s">
        <v>139</v>
      </c>
      <c r="H23" s="17" t="s">
        <v>140</v>
      </c>
      <c r="I23" s="17" t="s">
        <v>141</v>
      </c>
      <c r="J23" s="17" t="s">
        <v>142</v>
      </c>
      <c r="M23" s="1" t="s">
        <v>164</v>
      </c>
      <c r="N23" s="1" t="s">
        <v>165</v>
      </c>
      <c r="O23" s="1" t="s">
        <v>166</v>
      </c>
      <c r="P23" s="1" t="s">
        <v>139</v>
      </c>
      <c r="Q23" s="17" t="s">
        <v>140</v>
      </c>
      <c r="R23" s="17" t="s">
        <v>141</v>
      </c>
      <c r="S23" s="17" t="s">
        <v>142</v>
      </c>
      <c r="T23" s="17" t="s">
        <v>167</v>
      </c>
      <c r="U23" s="17" t="s">
        <v>198</v>
      </c>
      <c r="V23" s="1" t="s">
        <v>296</v>
      </c>
      <c r="X23" s="1" t="s">
        <v>164</v>
      </c>
      <c r="Y23" s="1" t="s">
        <v>165</v>
      </c>
      <c r="Z23" s="1" t="s">
        <v>166</v>
      </c>
      <c r="AA23" s="1" t="s">
        <v>139</v>
      </c>
      <c r="AB23" s="1" t="s">
        <v>140</v>
      </c>
      <c r="AC23" s="1" t="s">
        <v>141</v>
      </c>
      <c r="AD23" s="1" t="s">
        <v>142</v>
      </c>
      <c r="AE23" s="1" t="s">
        <v>295</v>
      </c>
      <c r="AF23" s="1" t="s">
        <v>199</v>
      </c>
    </row>
    <row r="24" spans="3:32" ht="14.25" customHeight="1" outlineLevel="1" x14ac:dyDescent="0.2">
      <c r="D24" s="1">
        <v>1</v>
      </c>
      <c r="E24" s="6">
        <f>E$21*E$22^($D24-1)</f>
        <v>19.516999999999999</v>
      </c>
      <c r="F24" s="6">
        <f t="shared" ref="F24:G39" si="3">F$21*F$22^($D24-1)</f>
        <v>827.35424737741857</v>
      </c>
      <c r="G24" s="6">
        <f t="shared" si="3"/>
        <v>100</v>
      </c>
      <c r="H24" s="1">
        <v>0.4</v>
      </c>
      <c r="I24" s="1">
        <v>1.5</v>
      </c>
      <c r="J24" s="1">
        <v>1</v>
      </c>
      <c r="M24" s="1">
        <v>1</v>
      </c>
      <c r="N24" s="6">
        <f>E24*T24*$K$21/S24/(1+Q24*(R24-1))</f>
        <v>975.85</v>
      </c>
      <c r="O24" s="6">
        <f>F24*$K$21/(1+P24/$P$22)</f>
        <v>57722.389351912927</v>
      </c>
      <c r="P24" s="6">
        <f>G24*$K$21</f>
        <v>7500</v>
      </c>
      <c r="Q24" s="1">
        <v>0.4</v>
      </c>
      <c r="R24" s="1">
        <v>1.5</v>
      </c>
      <c r="S24" s="1">
        <v>1</v>
      </c>
      <c r="T24" s="1">
        <v>0.8</v>
      </c>
      <c r="U24" s="1">
        <v>10</v>
      </c>
      <c r="V24" s="5">
        <f>E24*$K$21*(1-T24)/(1/U24)/(1+Q24*(R24-1))/N24</f>
        <v>2.4999999999999991</v>
      </c>
      <c r="X24" s="1">
        <v>1</v>
      </c>
      <c r="Y24" s="6">
        <f>2*N24/(1+$X$22)</f>
        <v>195.17000000000002</v>
      </c>
      <c r="Z24" s="6">
        <f>O24/$X$22</f>
        <v>6413.5988168792137</v>
      </c>
      <c r="AA24" s="6">
        <f>P24</f>
        <v>7500</v>
      </c>
      <c r="AB24" s="1">
        <f>Q24</f>
        <v>0.4</v>
      </c>
      <c r="AC24" s="1">
        <f t="shared" ref="AC24:AD24" si="4">R24</f>
        <v>1.5</v>
      </c>
      <c r="AD24" s="1">
        <f t="shared" si="4"/>
        <v>1</v>
      </c>
      <c r="AE24" s="1">
        <f>U24</f>
        <v>10</v>
      </c>
      <c r="AF24" s="33">
        <f>V24</f>
        <v>2.4999999999999991</v>
      </c>
    </row>
    <row r="25" spans="3:32" ht="14.25" customHeight="1" outlineLevel="1" x14ac:dyDescent="0.2">
      <c r="D25" s="1">
        <v>2</v>
      </c>
      <c r="E25" s="6">
        <f>E$21*E$22^($D25-1)</f>
        <v>20.492850000000001</v>
      </c>
      <c r="F25" s="6">
        <f t="shared" si="3"/>
        <v>868.72195974628949</v>
      </c>
      <c r="G25" s="6">
        <f t="shared" si="3"/>
        <v>105</v>
      </c>
      <c r="H25" s="1">
        <v>0.4</v>
      </c>
      <c r="I25" s="1">
        <v>1.5</v>
      </c>
      <c r="J25" s="1">
        <v>1</v>
      </c>
      <c r="M25" s="1">
        <v>2</v>
      </c>
      <c r="N25" s="6">
        <f>E25*T25*$K$21/S25/(1+Q25*(R25-1))</f>
        <v>1024.6425000000002</v>
      </c>
      <c r="O25" s="6">
        <f t="shared" ref="O25:O88" si="5">F25*$K$21/(1+P25/$P$22)</f>
        <v>60397.818754087326</v>
      </c>
      <c r="P25" s="6">
        <f t="shared" ref="P25:P88" si="6">G25*$K$21</f>
        <v>7875</v>
      </c>
      <c r="Q25" s="1">
        <v>0.4</v>
      </c>
      <c r="R25" s="1">
        <v>1.5</v>
      </c>
      <c r="S25" s="1">
        <v>1</v>
      </c>
      <c r="T25" s="1">
        <v>0.8</v>
      </c>
      <c r="U25" s="1">
        <v>10</v>
      </c>
      <c r="V25" s="5">
        <f t="shared" ref="V25:V88" si="7">E25*$K$21*(1-T25)/(1/U25)/(1+Q25*(R25-1))/N25</f>
        <v>2.4999999999999996</v>
      </c>
      <c r="X25" s="1">
        <v>2</v>
      </c>
      <c r="Y25" s="6">
        <f>2*N25/(1+$X$22)</f>
        <v>204.92850000000004</v>
      </c>
      <c r="Z25" s="6">
        <f>O25/$X$22</f>
        <v>6710.8687504541476</v>
      </c>
      <c r="AA25" s="6">
        <f>P25</f>
        <v>7875</v>
      </c>
      <c r="AB25" s="1">
        <f>Q25</f>
        <v>0.4</v>
      </c>
      <c r="AC25" s="1">
        <f t="shared" ref="AC25:AC26" si="8">R25</f>
        <v>1.5</v>
      </c>
      <c r="AD25" s="1">
        <f t="shared" ref="AD25:AD26" si="9">S25</f>
        <v>1</v>
      </c>
      <c r="AE25" s="1">
        <f>U25</f>
        <v>10</v>
      </c>
      <c r="AF25" s="33">
        <f>V25</f>
        <v>2.4999999999999996</v>
      </c>
    </row>
    <row r="26" spans="3:32" ht="14.25" customHeight="1" outlineLevel="1" x14ac:dyDescent="0.2">
      <c r="D26" s="1">
        <v>3</v>
      </c>
      <c r="E26" s="6">
        <f t="shared" ref="E26:G57" si="10">E$21*E$22^($D26-1)</f>
        <v>21.517492499999999</v>
      </c>
      <c r="F26" s="6">
        <f t="shared" si="3"/>
        <v>912.15805773360398</v>
      </c>
      <c r="G26" s="6">
        <f t="shared" si="3"/>
        <v>110.25</v>
      </c>
      <c r="H26" s="1">
        <v>0.4</v>
      </c>
      <c r="I26" s="1">
        <v>1.5</v>
      </c>
      <c r="J26" s="1">
        <v>1</v>
      </c>
      <c r="M26" s="1">
        <v>3</v>
      </c>
      <c r="N26" s="6">
        <f t="shared" ref="N26:N88" si="11">E26*T26*$K$21/S26/(1+Q26*(R26-1))</f>
        <v>1075.8746249999999</v>
      </c>
      <c r="O26" s="6">
        <f t="shared" si="5"/>
        <v>63187.073213665346</v>
      </c>
      <c r="P26" s="6">
        <f t="shared" si="6"/>
        <v>8268.75</v>
      </c>
      <c r="Q26" s="1">
        <v>0.4</v>
      </c>
      <c r="R26" s="1">
        <v>1.5</v>
      </c>
      <c r="S26" s="1">
        <v>1</v>
      </c>
      <c r="T26" s="1">
        <v>0.8</v>
      </c>
      <c r="U26" s="1">
        <v>10</v>
      </c>
      <c r="V26" s="5">
        <f t="shared" si="7"/>
        <v>2.5</v>
      </c>
      <c r="X26" s="1">
        <v>3</v>
      </c>
      <c r="Y26" s="6">
        <f t="shared" ref="Y26:Y89" si="12">2*N26/(1+$X$22)</f>
        <v>215.17492499999997</v>
      </c>
      <c r="Z26" s="6">
        <f t="shared" ref="Z26:Z89" si="13">O26/$X$22</f>
        <v>7020.7859126294825</v>
      </c>
      <c r="AA26" s="6">
        <f t="shared" ref="AA26:AA89" si="14">P26</f>
        <v>8268.75</v>
      </c>
      <c r="AB26" s="1">
        <f t="shared" ref="AB26:AB89" si="15">Q26</f>
        <v>0.4</v>
      </c>
      <c r="AC26" s="1">
        <f t="shared" si="8"/>
        <v>1.5</v>
      </c>
      <c r="AD26" s="1">
        <f t="shared" si="9"/>
        <v>1</v>
      </c>
      <c r="AE26" s="1">
        <f t="shared" ref="AE26:AE89" si="16">U26</f>
        <v>10</v>
      </c>
      <c r="AF26" s="33">
        <f t="shared" ref="AF26:AF89" si="17">V26</f>
        <v>2.5</v>
      </c>
    </row>
    <row r="27" spans="3:32" ht="14.25" customHeight="1" outlineLevel="1" x14ac:dyDescent="0.2">
      <c r="D27" s="1">
        <v>4</v>
      </c>
      <c r="E27" s="6">
        <f t="shared" si="10"/>
        <v>22.593367125</v>
      </c>
      <c r="F27" s="6">
        <f t="shared" si="3"/>
        <v>957.76596062028432</v>
      </c>
      <c r="G27" s="6">
        <f t="shared" si="3"/>
        <v>115.76250000000002</v>
      </c>
      <c r="H27" s="1">
        <v>0.4</v>
      </c>
      <c r="I27" s="1">
        <v>1.5</v>
      </c>
      <c r="J27" s="1">
        <v>1</v>
      </c>
      <c r="M27" s="1">
        <v>4</v>
      </c>
      <c r="N27" s="6">
        <f t="shared" si="11"/>
        <v>1129.6683562500002</v>
      </c>
      <c r="O27" s="6">
        <f t="shared" si="5"/>
        <v>66094.038681841324</v>
      </c>
      <c r="P27" s="6">
        <f t="shared" si="6"/>
        <v>8682.1875000000018</v>
      </c>
      <c r="Q27" s="1">
        <v>0.4</v>
      </c>
      <c r="R27" s="1">
        <v>1.5</v>
      </c>
      <c r="S27" s="1">
        <v>1</v>
      </c>
      <c r="T27" s="1">
        <v>0.8</v>
      </c>
      <c r="U27" s="1">
        <v>10</v>
      </c>
      <c r="V27" s="5">
        <f t="shared" si="7"/>
        <v>2.4999999999999991</v>
      </c>
      <c r="X27" s="1">
        <v>4</v>
      </c>
      <c r="Y27" s="6">
        <f t="shared" si="12"/>
        <v>225.93367125000003</v>
      </c>
      <c r="Z27" s="6">
        <f t="shared" si="13"/>
        <v>7343.7820757601476</v>
      </c>
      <c r="AA27" s="6">
        <f t="shared" si="14"/>
        <v>8682.1875000000018</v>
      </c>
      <c r="AB27" s="1">
        <f t="shared" si="15"/>
        <v>0.4</v>
      </c>
      <c r="AC27" s="1">
        <f t="shared" ref="AC27:AC90" si="18">R27</f>
        <v>1.5</v>
      </c>
      <c r="AD27" s="1">
        <f t="shared" ref="AD27:AD90" si="19">S27</f>
        <v>1</v>
      </c>
      <c r="AE27" s="1">
        <f t="shared" si="16"/>
        <v>10</v>
      </c>
      <c r="AF27" s="33">
        <f t="shared" si="17"/>
        <v>2.4999999999999991</v>
      </c>
    </row>
    <row r="28" spans="3:32" ht="14.25" customHeight="1" outlineLevel="1" x14ac:dyDescent="0.2">
      <c r="D28" s="1">
        <v>5</v>
      </c>
      <c r="E28" s="6">
        <f t="shared" si="10"/>
        <v>23.723035481250001</v>
      </c>
      <c r="F28" s="6">
        <f t="shared" si="3"/>
        <v>1005.6542586512984</v>
      </c>
      <c r="G28" s="6">
        <f t="shared" si="3"/>
        <v>121.550625</v>
      </c>
      <c r="H28" s="1">
        <v>0.4</v>
      </c>
      <c r="I28" s="1">
        <v>1.5</v>
      </c>
      <c r="J28" s="1">
        <v>1</v>
      </c>
      <c r="M28" s="1">
        <v>5</v>
      </c>
      <c r="N28" s="6">
        <f t="shared" si="11"/>
        <v>1186.1517740625002</v>
      </c>
      <c r="O28" s="6">
        <f t="shared" si="5"/>
        <v>69122.64396696919</v>
      </c>
      <c r="P28" s="6">
        <f t="shared" si="6"/>
        <v>9116.296875</v>
      </c>
      <c r="Q28" s="1">
        <v>0.4</v>
      </c>
      <c r="R28" s="1">
        <v>1.5</v>
      </c>
      <c r="S28" s="1">
        <v>1</v>
      </c>
      <c r="T28" s="1">
        <v>0.8</v>
      </c>
      <c r="U28" s="1">
        <v>10</v>
      </c>
      <c r="V28" s="5">
        <f t="shared" si="7"/>
        <v>2.4999999999999991</v>
      </c>
      <c r="X28" s="1">
        <v>5</v>
      </c>
      <c r="Y28" s="6">
        <f t="shared" si="12"/>
        <v>237.23035481250002</v>
      </c>
      <c r="Z28" s="6">
        <f t="shared" si="13"/>
        <v>7680.2937741076876</v>
      </c>
      <c r="AA28" s="6">
        <f t="shared" si="14"/>
        <v>9116.296875</v>
      </c>
      <c r="AB28" s="1">
        <f t="shared" si="15"/>
        <v>0.4</v>
      </c>
      <c r="AC28" s="1">
        <f t="shared" si="18"/>
        <v>1.5</v>
      </c>
      <c r="AD28" s="1">
        <f t="shared" si="19"/>
        <v>1</v>
      </c>
      <c r="AE28" s="1">
        <f t="shared" si="16"/>
        <v>10</v>
      </c>
      <c r="AF28" s="33">
        <f t="shared" si="17"/>
        <v>2.4999999999999991</v>
      </c>
    </row>
    <row r="29" spans="3:32" ht="14.25" customHeight="1" outlineLevel="1" x14ac:dyDescent="0.2">
      <c r="D29" s="1">
        <v>6</v>
      </c>
      <c r="E29" s="6">
        <f t="shared" si="10"/>
        <v>24.909187255312503</v>
      </c>
      <c r="F29" s="6">
        <f t="shared" si="3"/>
        <v>1055.9369715838634</v>
      </c>
      <c r="G29" s="6">
        <f t="shared" si="3"/>
        <v>127.62815625000002</v>
      </c>
      <c r="H29" s="1">
        <v>0.4</v>
      </c>
      <c r="I29" s="1">
        <v>1.5</v>
      </c>
      <c r="J29" s="1">
        <v>1</v>
      </c>
      <c r="M29" s="1">
        <v>6</v>
      </c>
      <c r="N29" s="6">
        <f t="shared" si="11"/>
        <v>1245.4593627656252</v>
      </c>
      <c r="O29" s="6">
        <f t="shared" si="5"/>
        <v>72276.851861784322</v>
      </c>
      <c r="P29" s="6">
        <f t="shared" si="6"/>
        <v>9572.1117187500022</v>
      </c>
      <c r="Q29" s="1">
        <v>0.4</v>
      </c>
      <c r="R29" s="1">
        <v>1.5</v>
      </c>
      <c r="S29" s="1">
        <v>1</v>
      </c>
      <c r="T29" s="1">
        <v>0.8</v>
      </c>
      <c r="U29" s="1">
        <v>10</v>
      </c>
      <c r="V29" s="5">
        <f t="shared" si="7"/>
        <v>2.4999999999999991</v>
      </c>
      <c r="X29" s="1">
        <v>6</v>
      </c>
      <c r="Y29" s="6">
        <f t="shared" si="12"/>
        <v>249.09187255312503</v>
      </c>
      <c r="Z29" s="6">
        <f t="shared" si="13"/>
        <v>8030.7613179760356</v>
      </c>
      <c r="AA29" s="6">
        <f t="shared" si="14"/>
        <v>9572.1117187500022</v>
      </c>
      <c r="AB29" s="1">
        <f t="shared" si="15"/>
        <v>0.4</v>
      </c>
      <c r="AC29" s="1">
        <f t="shared" si="18"/>
        <v>1.5</v>
      </c>
      <c r="AD29" s="1">
        <f t="shared" si="19"/>
        <v>1</v>
      </c>
      <c r="AE29" s="1">
        <f t="shared" si="16"/>
        <v>10</v>
      </c>
      <c r="AF29" s="33">
        <f t="shared" si="17"/>
        <v>2.4999999999999991</v>
      </c>
    </row>
    <row r="30" spans="3:32" ht="14.25" customHeight="1" outlineLevel="1" x14ac:dyDescent="0.2">
      <c r="D30" s="1">
        <v>7</v>
      </c>
      <c r="E30" s="6">
        <f t="shared" si="10"/>
        <v>26.154646618078125</v>
      </c>
      <c r="F30" s="6">
        <f t="shared" si="3"/>
        <v>1108.7338201630564</v>
      </c>
      <c r="G30" s="6">
        <f t="shared" si="3"/>
        <v>134.0095640625</v>
      </c>
      <c r="H30" s="1">
        <v>0.4</v>
      </c>
      <c r="I30" s="1">
        <v>1.5</v>
      </c>
      <c r="J30" s="1">
        <v>1</v>
      </c>
      <c r="M30" s="1">
        <v>7</v>
      </c>
      <c r="N30" s="6">
        <f t="shared" si="11"/>
        <v>1307.7323309039066</v>
      </c>
      <c r="O30" s="6">
        <f t="shared" si="5"/>
        <v>75560.649261381346</v>
      </c>
      <c r="P30" s="6">
        <f t="shared" si="6"/>
        <v>10050.7173046875</v>
      </c>
      <c r="Q30" s="1">
        <v>0.4</v>
      </c>
      <c r="R30" s="1">
        <v>1.5</v>
      </c>
      <c r="S30" s="1">
        <v>1</v>
      </c>
      <c r="T30" s="1">
        <v>0.8</v>
      </c>
      <c r="U30" s="1">
        <v>10</v>
      </c>
      <c r="V30" s="5">
        <f t="shared" si="7"/>
        <v>2.4999999999999987</v>
      </c>
      <c r="X30" s="1">
        <v>7</v>
      </c>
      <c r="Y30" s="6">
        <f t="shared" si="12"/>
        <v>261.54646618078129</v>
      </c>
      <c r="Z30" s="6">
        <f t="shared" si="13"/>
        <v>8395.6276957090377</v>
      </c>
      <c r="AA30" s="6">
        <f t="shared" si="14"/>
        <v>10050.7173046875</v>
      </c>
      <c r="AB30" s="1">
        <f t="shared" si="15"/>
        <v>0.4</v>
      </c>
      <c r="AC30" s="1">
        <f t="shared" si="18"/>
        <v>1.5</v>
      </c>
      <c r="AD30" s="1">
        <f t="shared" si="19"/>
        <v>1</v>
      </c>
      <c r="AE30" s="1">
        <f t="shared" si="16"/>
        <v>10</v>
      </c>
      <c r="AF30" s="33">
        <f t="shared" si="17"/>
        <v>2.4999999999999987</v>
      </c>
    </row>
    <row r="31" spans="3:32" ht="14.25" customHeight="1" outlineLevel="1" x14ac:dyDescent="0.2">
      <c r="D31" s="1">
        <v>8</v>
      </c>
      <c r="E31" s="6">
        <f t="shared" si="10"/>
        <v>27.462378948982035</v>
      </c>
      <c r="F31" s="6">
        <f t="shared" si="3"/>
        <v>1164.1705111712095</v>
      </c>
      <c r="G31" s="6">
        <f t="shared" si="3"/>
        <v>140.71004226562502</v>
      </c>
      <c r="H31" s="1">
        <v>0.4</v>
      </c>
      <c r="I31" s="1">
        <v>1.5</v>
      </c>
      <c r="J31" s="1">
        <v>1</v>
      </c>
      <c r="M31" s="1">
        <v>8</v>
      </c>
      <c r="N31" s="6">
        <f t="shared" si="11"/>
        <v>1373.1189474491018</v>
      </c>
      <c r="O31" s="6">
        <f t="shared" si="5"/>
        <v>78978.036226251745</v>
      </c>
      <c r="P31" s="6">
        <f t="shared" si="6"/>
        <v>10553.253169921876</v>
      </c>
      <c r="Q31" s="1">
        <v>0.4</v>
      </c>
      <c r="R31" s="1">
        <v>1.5</v>
      </c>
      <c r="S31" s="1">
        <v>1</v>
      </c>
      <c r="T31" s="1">
        <v>0.8</v>
      </c>
      <c r="U31" s="1">
        <v>10</v>
      </c>
      <c r="V31" s="5">
        <f t="shared" si="7"/>
        <v>2.4999999999999996</v>
      </c>
      <c r="X31" s="1">
        <v>8</v>
      </c>
      <c r="Y31" s="6">
        <f t="shared" si="12"/>
        <v>274.62378948982035</v>
      </c>
      <c r="Z31" s="6">
        <f t="shared" si="13"/>
        <v>8775.3373584724159</v>
      </c>
      <c r="AA31" s="6">
        <f t="shared" si="14"/>
        <v>10553.253169921876</v>
      </c>
      <c r="AB31" s="1">
        <f t="shared" si="15"/>
        <v>0.4</v>
      </c>
      <c r="AC31" s="1">
        <f t="shared" si="18"/>
        <v>1.5</v>
      </c>
      <c r="AD31" s="1">
        <f t="shared" si="19"/>
        <v>1</v>
      </c>
      <c r="AE31" s="1">
        <f t="shared" si="16"/>
        <v>10</v>
      </c>
      <c r="AF31" s="33">
        <f t="shared" si="17"/>
        <v>2.4999999999999996</v>
      </c>
    </row>
    <row r="32" spans="3:32" ht="14.25" customHeight="1" outlineLevel="1" x14ac:dyDescent="0.2">
      <c r="D32" s="1">
        <v>9</v>
      </c>
      <c r="E32" s="6">
        <f t="shared" si="10"/>
        <v>28.835497896431132</v>
      </c>
      <c r="F32" s="6">
        <f t="shared" si="3"/>
        <v>1222.3790367297697</v>
      </c>
      <c r="G32" s="6">
        <f t="shared" si="3"/>
        <v>147.74554437890626</v>
      </c>
      <c r="H32" s="1">
        <v>0.4</v>
      </c>
      <c r="I32" s="1">
        <v>1.5</v>
      </c>
      <c r="J32" s="1">
        <v>1</v>
      </c>
      <c r="M32" s="1">
        <v>9</v>
      </c>
      <c r="N32" s="6">
        <f t="shared" si="11"/>
        <v>1441.7748948215567</v>
      </c>
      <c r="O32" s="6">
        <f t="shared" si="5"/>
        <v>82533.013948448657</v>
      </c>
      <c r="P32" s="6">
        <f t="shared" si="6"/>
        <v>11080.91582841797</v>
      </c>
      <c r="Q32" s="1">
        <v>0.4</v>
      </c>
      <c r="R32" s="1">
        <v>1.5</v>
      </c>
      <c r="S32" s="1">
        <v>1</v>
      </c>
      <c r="T32" s="1">
        <v>0.8</v>
      </c>
      <c r="U32" s="1">
        <v>10</v>
      </c>
      <c r="V32" s="5">
        <f t="shared" si="7"/>
        <v>2.4999999999999996</v>
      </c>
      <c r="X32" s="1">
        <v>9</v>
      </c>
      <c r="Y32" s="6">
        <f t="shared" si="12"/>
        <v>288.35497896431133</v>
      </c>
      <c r="Z32" s="6">
        <f t="shared" si="13"/>
        <v>9170.3348831609619</v>
      </c>
      <c r="AA32" s="6">
        <f t="shared" si="14"/>
        <v>11080.91582841797</v>
      </c>
      <c r="AB32" s="1">
        <f t="shared" si="15"/>
        <v>0.4</v>
      </c>
      <c r="AC32" s="1">
        <f t="shared" si="18"/>
        <v>1.5</v>
      </c>
      <c r="AD32" s="1">
        <f t="shared" si="19"/>
        <v>1</v>
      </c>
      <c r="AE32" s="1">
        <f t="shared" si="16"/>
        <v>10</v>
      </c>
      <c r="AF32" s="33">
        <f t="shared" si="17"/>
        <v>2.4999999999999996</v>
      </c>
    </row>
    <row r="33" spans="4:32" ht="14.25" customHeight="1" outlineLevel="1" x14ac:dyDescent="0.2">
      <c r="D33" s="1">
        <v>10</v>
      </c>
      <c r="E33" s="6">
        <f t="shared" si="10"/>
        <v>30.277272791252692</v>
      </c>
      <c r="F33" s="6">
        <f t="shared" si="3"/>
        <v>1283.4979885662583</v>
      </c>
      <c r="G33" s="6">
        <f t="shared" si="3"/>
        <v>155.13282159785157</v>
      </c>
      <c r="H33" s="1">
        <v>0.4</v>
      </c>
      <c r="I33" s="1">
        <v>1.5</v>
      </c>
      <c r="J33" s="1">
        <v>1</v>
      </c>
      <c r="M33" s="1">
        <v>10</v>
      </c>
      <c r="N33" s="6">
        <f t="shared" si="11"/>
        <v>1513.8636395626347</v>
      </c>
      <c r="O33" s="6">
        <f t="shared" si="5"/>
        <v>86229.571583748722</v>
      </c>
      <c r="P33" s="6">
        <f t="shared" si="6"/>
        <v>11634.961619838869</v>
      </c>
      <c r="Q33" s="1">
        <v>0.4</v>
      </c>
      <c r="R33" s="1">
        <v>1.5</v>
      </c>
      <c r="S33" s="1">
        <v>1</v>
      </c>
      <c r="T33" s="1">
        <v>0.8</v>
      </c>
      <c r="U33" s="1">
        <v>10</v>
      </c>
      <c r="V33" s="5">
        <f t="shared" si="7"/>
        <v>2.4999999999999991</v>
      </c>
      <c r="X33" s="1">
        <v>10</v>
      </c>
      <c r="Y33" s="6">
        <f t="shared" si="12"/>
        <v>302.77272791252693</v>
      </c>
      <c r="Z33" s="6">
        <f t="shared" si="13"/>
        <v>9581.0635093054134</v>
      </c>
      <c r="AA33" s="6">
        <f t="shared" si="14"/>
        <v>11634.961619838869</v>
      </c>
      <c r="AB33" s="1">
        <f t="shared" si="15"/>
        <v>0.4</v>
      </c>
      <c r="AC33" s="1">
        <f t="shared" si="18"/>
        <v>1.5</v>
      </c>
      <c r="AD33" s="1">
        <f t="shared" si="19"/>
        <v>1</v>
      </c>
      <c r="AE33" s="1">
        <f t="shared" si="16"/>
        <v>10</v>
      </c>
      <c r="AF33" s="33">
        <f t="shared" si="17"/>
        <v>2.4999999999999991</v>
      </c>
    </row>
    <row r="34" spans="4:32" ht="14.25" customHeight="1" outlineLevel="1" x14ac:dyDescent="0.2">
      <c r="D34" s="1">
        <v>11</v>
      </c>
      <c r="E34" s="6">
        <f t="shared" si="10"/>
        <v>31.791136430815325</v>
      </c>
      <c r="F34" s="6">
        <f t="shared" si="3"/>
        <v>1347.6728879945713</v>
      </c>
      <c r="G34" s="6">
        <f t="shared" si="3"/>
        <v>162.88946267774415</v>
      </c>
      <c r="H34" s="1">
        <v>0.4</v>
      </c>
      <c r="I34" s="1">
        <v>1.5</v>
      </c>
      <c r="J34" s="1">
        <v>1</v>
      </c>
      <c r="M34" s="1">
        <v>11</v>
      </c>
      <c r="N34" s="6">
        <f t="shared" si="11"/>
        <v>1589.5568215407664</v>
      </c>
      <c r="O34" s="6">
        <f t="shared" si="5"/>
        <v>90071.671918611348</v>
      </c>
      <c r="P34" s="6">
        <f t="shared" si="6"/>
        <v>12216.709700830812</v>
      </c>
      <c r="Q34" s="1">
        <v>0.4</v>
      </c>
      <c r="R34" s="1">
        <v>1.5</v>
      </c>
      <c r="S34" s="1">
        <v>1</v>
      </c>
      <c r="T34" s="1">
        <v>0.8</v>
      </c>
      <c r="U34" s="1">
        <v>10</v>
      </c>
      <c r="V34" s="5">
        <f t="shared" si="7"/>
        <v>2.4999999999999996</v>
      </c>
      <c r="X34" s="1">
        <v>11</v>
      </c>
      <c r="Y34" s="6">
        <f t="shared" si="12"/>
        <v>317.91136430815328</v>
      </c>
      <c r="Z34" s="6">
        <f t="shared" si="13"/>
        <v>10007.963546512372</v>
      </c>
      <c r="AA34" s="6">
        <f t="shared" si="14"/>
        <v>12216.709700830812</v>
      </c>
      <c r="AB34" s="1">
        <f t="shared" si="15"/>
        <v>0.4</v>
      </c>
      <c r="AC34" s="1">
        <f t="shared" si="18"/>
        <v>1.5</v>
      </c>
      <c r="AD34" s="1">
        <f t="shared" si="19"/>
        <v>1</v>
      </c>
      <c r="AE34" s="1">
        <f t="shared" si="16"/>
        <v>10</v>
      </c>
      <c r="AF34" s="33">
        <f t="shared" si="17"/>
        <v>2.4999999999999996</v>
      </c>
    </row>
    <row r="35" spans="4:32" ht="14.25" customHeight="1" outlineLevel="1" x14ac:dyDescent="0.2">
      <c r="D35" s="1">
        <v>12</v>
      </c>
      <c r="E35" s="6">
        <f t="shared" si="10"/>
        <v>33.380693252356096</v>
      </c>
      <c r="F35" s="6">
        <f t="shared" si="3"/>
        <v>1415.0565323942999</v>
      </c>
      <c r="G35" s="6">
        <f t="shared" si="3"/>
        <v>171.03393581163138</v>
      </c>
      <c r="H35" s="1">
        <v>0.4</v>
      </c>
      <c r="I35" s="1">
        <v>1.5</v>
      </c>
      <c r="J35" s="1">
        <v>1</v>
      </c>
      <c r="M35" s="1">
        <v>12</v>
      </c>
      <c r="N35" s="6">
        <f t="shared" si="11"/>
        <v>1669.034662617805</v>
      </c>
      <c r="O35" s="6">
        <f t="shared" si="5"/>
        <v>94063.235847890639</v>
      </c>
      <c r="P35" s="6">
        <f t="shared" si="6"/>
        <v>12827.545185872354</v>
      </c>
      <c r="Q35" s="1">
        <v>0.4</v>
      </c>
      <c r="R35" s="1">
        <v>1.5</v>
      </c>
      <c r="S35" s="1">
        <v>1</v>
      </c>
      <c r="T35" s="1">
        <v>0.8</v>
      </c>
      <c r="U35" s="1">
        <v>10</v>
      </c>
      <c r="V35" s="5">
        <f t="shared" si="7"/>
        <v>2.4999999999999991</v>
      </c>
      <c r="X35" s="1">
        <v>12</v>
      </c>
      <c r="Y35" s="6">
        <f t="shared" si="12"/>
        <v>333.80693252356099</v>
      </c>
      <c r="Z35" s="6">
        <f t="shared" si="13"/>
        <v>10451.470649765626</v>
      </c>
      <c r="AA35" s="6">
        <f t="shared" si="14"/>
        <v>12827.545185872354</v>
      </c>
      <c r="AB35" s="1">
        <f t="shared" si="15"/>
        <v>0.4</v>
      </c>
      <c r="AC35" s="1">
        <f t="shared" si="18"/>
        <v>1.5</v>
      </c>
      <c r="AD35" s="1">
        <f t="shared" si="19"/>
        <v>1</v>
      </c>
      <c r="AE35" s="1">
        <f t="shared" si="16"/>
        <v>10</v>
      </c>
      <c r="AF35" s="33">
        <f t="shared" si="17"/>
        <v>2.4999999999999991</v>
      </c>
    </row>
    <row r="36" spans="4:32" ht="14.25" customHeight="1" outlineLevel="1" x14ac:dyDescent="0.2">
      <c r="D36" s="1">
        <v>13</v>
      </c>
      <c r="E36" s="6">
        <f t="shared" si="10"/>
        <v>35.049727914973893</v>
      </c>
      <c r="F36" s="6">
        <f t="shared" si="3"/>
        <v>1485.8093590140147</v>
      </c>
      <c r="G36" s="6">
        <f t="shared" si="3"/>
        <v>179.58563260221291</v>
      </c>
      <c r="H36" s="1">
        <v>0.4</v>
      </c>
      <c r="I36" s="1">
        <v>1.5</v>
      </c>
      <c r="J36" s="1">
        <v>1</v>
      </c>
      <c r="M36" s="1">
        <v>13</v>
      </c>
      <c r="N36" s="6">
        <f t="shared" si="11"/>
        <v>1752.4863957486946</v>
      </c>
      <c r="O36" s="6">
        <f t="shared" si="5"/>
        <v>98208.125647709894</v>
      </c>
      <c r="P36" s="6">
        <f t="shared" si="6"/>
        <v>13468.922445165968</v>
      </c>
      <c r="Q36" s="1">
        <v>0.4</v>
      </c>
      <c r="R36" s="1">
        <v>1.5</v>
      </c>
      <c r="S36" s="1">
        <v>1</v>
      </c>
      <c r="T36" s="1">
        <v>0.8</v>
      </c>
      <c r="U36" s="1">
        <v>10</v>
      </c>
      <c r="V36" s="5">
        <f t="shared" si="7"/>
        <v>2.4999999999999996</v>
      </c>
      <c r="X36" s="1">
        <v>13</v>
      </c>
      <c r="Y36" s="6">
        <f t="shared" si="12"/>
        <v>350.49727914973892</v>
      </c>
      <c r="Z36" s="6">
        <f t="shared" si="13"/>
        <v>10912.013960856655</v>
      </c>
      <c r="AA36" s="6">
        <f t="shared" si="14"/>
        <v>13468.922445165968</v>
      </c>
      <c r="AB36" s="1">
        <f t="shared" si="15"/>
        <v>0.4</v>
      </c>
      <c r="AC36" s="1">
        <f t="shared" si="18"/>
        <v>1.5</v>
      </c>
      <c r="AD36" s="1">
        <f t="shared" si="19"/>
        <v>1</v>
      </c>
      <c r="AE36" s="1">
        <f t="shared" si="16"/>
        <v>10</v>
      </c>
      <c r="AF36" s="33">
        <f t="shared" si="17"/>
        <v>2.4999999999999996</v>
      </c>
    </row>
    <row r="37" spans="4:32" ht="14.25" customHeight="1" outlineLevel="1" x14ac:dyDescent="0.2">
      <c r="D37" s="1">
        <v>14</v>
      </c>
      <c r="E37" s="6">
        <f t="shared" si="10"/>
        <v>36.802214310722597</v>
      </c>
      <c r="F37" s="6">
        <f t="shared" si="3"/>
        <v>1560.0998269647157</v>
      </c>
      <c r="G37" s="6">
        <f t="shared" si="3"/>
        <v>188.56491423232359</v>
      </c>
      <c r="H37" s="1">
        <v>0.4</v>
      </c>
      <c r="I37" s="1">
        <v>1.5</v>
      </c>
      <c r="J37" s="1">
        <v>1</v>
      </c>
      <c r="M37" s="1">
        <v>14</v>
      </c>
      <c r="N37" s="6">
        <f t="shared" si="11"/>
        <v>1840.1107155361301</v>
      </c>
      <c r="O37" s="6">
        <f t="shared" si="5"/>
        <v>102510.12703774143</v>
      </c>
      <c r="P37" s="6">
        <f t="shared" si="6"/>
        <v>14142.36856742427</v>
      </c>
      <c r="Q37" s="1">
        <v>0.4</v>
      </c>
      <c r="R37" s="1">
        <v>1.5</v>
      </c>
      <c r="S37" s="1">
        <v>1</v>
      </c>
      <c r="T37" s="1">
        <v>0.8</v>
      </c>
      <c r="U37" s="1">
        <v>10</v>
      </c>
      <c r="V37" s="5">
        <f t="shared" si="7"/>
        <v>2.4999999999999996</v>
      </c>
      <c r="X37" s="1">
        <v>14</v>
      </c>
      <c r="Y37" s="6">
        <f t="shared" si="12"/>
        <v>368.02214310722604</v>
      </c>
      <c r="Z37" s="6">
        <f t="shared" si="13"/>
        <v>11390.014115304604</v>
      </c>
      <c r="AA37" s="6">
        <f t="shared" si="14"/>
        <v>14142.36856742427</v>
      </c>
      <c r="AB37" s="1">
        <f t="shared" si="15"/>
        <v>0.4</v>
      </c>
      <c r="AC37" s="1">
        <f t="shared" si="18"/>
        <v>1.5</v>
      </c>
      <c r="AD37" s="1">
        <f t="shared" si="19"/>
        <v>1</v>
      </c>
      <c r="AE37" s="1">
        <f t="shared" si="16"/>
        <v>10</v>
      </c>
      <c r="AF37" s="33">
        <f t="shared" si="17"/>
        <v>2.4999999999999996</v>
      </c>
    </row>
    <row r="38" spans="4:32" ht="14.25" customHeight="1" outlineLevel="1" x14ac:dyDescent="0.2">
      <c r="D38" s="1">
        <v>15</v>
      </c>
      <c r="E38" s="6">
        <f t="shared" si="10"/>
        <v>38.642325026258717</v>
      </c>
      <c r="F38" s="6">
        <f t="shared" si="3"/>
        <v>1638.1048183129512</v>
      </c>
      <c r="G38" s="6">
        <f t="shared" si="3"/>
        <v>197.99315994393973</v>
      </c>
      <c r="H38" s="1">
        <v>0.4</v>
      </c>
      <c r="I38" s="1">
        <v>1.5</v>
      </c>
      <c r="J38" s="1">
        <v>1</v>
      </c>
      <c r="M38" s="1">
        <v>15</v>
      </c>
      <c r="N38" s="6">
        <f t="shared" si="11"/>
        <v>1932.1162513129359</v>
      </c>
      <c r="O38" s="6">
        <f t="shared" si="5"/>
        <v>106972.93003839802</v>
      </c>
      <c r="P38" s="6">
        <f t="shared" si="6"/>
        <v>14849.48699579548</v>
      </c>
      <c r="Q38" s="1">
        <v>0.4</v>
      </c>
      <c r="R38" s="1">
        <v>1.5</v>
      </c>
      <c r="S38" s="1">
        <v>1</v>
      </c>
      <c r="T38" s="1">
        <v>0.8</v>
      </c>
      <c r="U38" s="1">
        <v>10</v>
      </c>
      <c r="V38" s="5">
        <f t="shared" si="7"/>
        <v>2.4999999999999996</v>
      </c>
      <c r="X38" s="1">
        <v>15</v>
      </c>
      <c r="Y38" s="6">
        <f t="shared" si="12"/>
        <v>386.4232502625872</v>
      </c>
      <c r="Z38" s="6">
        <f t="shared" si="13"/>
        <v>11885.881115377557</v>
      </c>
      <c r="AA38" s="6">
        <f t="shared" si="14"/>
        <v>14849.48699579548</v>
      </c>
      <c r="AB38" s="1">
        <f t="shared" si="15"/>
        <v>0.4</v>
      </c>
      <c r="AC38" s="1">
        <f t="shared" si="18"/>
        <v>1.5</v>
      </c>
      <c r="AD38" s="1">
        <f t="shared" si="19"/>
        <v>1</v>
      </c>
      <c r="AE38" s="1">
        <f t="shared" si="16"/>
        <v>10</v>
      </c>
      <c r="AF38" s="33">
        <f t="shared" si="17"/>
        <v>2.4999999999999996</v>
      </c>
    </row>
    <row r="39" spans="4:32" ht="14.25" customHeight="1" outlineLevel="1" x14ac:dyDescent="0.2">
      <c r="D39" s="1">
        <v>16</v>
      </c>
      <c r="E39" s="6">
        <f t="shared" si="10"/>
        <v>40.574441277571665</v>
      </c>
      <c r="F39" s="6">
        <f t="shared" si="3"/>
        <v>1720.0100592285992</v>
      </c>
      <c r="G39" s="6">
        <f t="shared" si="3"/>
        <v>207.8928179411368</v>
      </c>
      <c r="H39" s="1">
        <v>0.4</v>
      </c>
      <c r="I39" s="1">
        <v>1.5</v>
      </c>
      <c r="J39" s="1">
        <v>1</v>
      </c>
      <c r="M39" s="1">
        <v>16</v>
      </c>
      <c r="N39" s="6">
        <f t="shared" si="11"/>
        <v>2028.7220638785834</v>
      </c>
      <c r="O39" s="6">
        <f t="shared" si="5"/>
        <v>111600.10864118085</v>
      </c>
      <c r="P39" s="6">
        <f t="shared" si="6"/>
        <v>15591.96134558526</v>
      </c>
      <c r="Q39" s="1">
        <v>0.4</v>
      </c>
      <c r="R39" s="1">
        <v>1.5</v>
      </c>
      <c r="S39" s="1">
        <v>1</v>
      </c>
      <c r="T39" s="1">
        <v>0.8</v>
      </c>
      <c r="U39" s="1">
        <v>10</v>
      </c>
      <c r="V39" s="5">
        <f t="shared" si="7"/>
        <v>2.4999999999999991</v>
      </c>
      <c r="X39" s="1">
        <v>16</v>
      </c>
      <c r="Y39" s="6">
        <f t="shared" si="12"/>
        <v>405.74441277571668</v>
      </c>
      <c r="Z39" s="6">
        <f t="shared" si="13"/>
        <v>12400.012071242316</v>
      </c>
      <c r="AA39" s="6">
        <f t="shared" si="14"/>
        <v>15591.96134558526</v>
      </c>
      <c r="AB39" s="1">
        <f t="shared" si="15"/>
        <v>0.4</v>
      </c>
      <c r="AC39" s="1">
        <f t="shared" si="18"/>
        <v>1.5</v>
      </c>
      <c r="AD39" s="1">
        <f t="shared" si="19"/>
        <v>1</v>
      </c>
      <c r="AE39" s="1">
        <f t="shared" si="16"/>
        <v>10</v>
      </c>
      <c r="AF39" s="33">
        <f t="shared" si="17"/>
        <v>2.4999999999999991</v>
      </c>
    </row>
    <row r="40" spans="4:32" ht="14.25" customHeight="1" outlineLevel="1" x14ac:dyDescent="0.2">
      <c r="D40" s="1">
        <v>17</v>
      </c>
      <c r="E40" s="6">
        <f t="shared" si="10"/>
        <v>42.603163341450248</v>
      </c>
      <c r="F40" s="6">
        <f t="shared" si="10"/>
        <v>1806.0105621900291</v>
      </c>
      <c r="G40" s="6">
        <f t="shared" si="10"/>
        <v>218.2874588381936</v>
      </c>
      <c r="H40" s="1">
        <v>0.4</v>
      </c>
      <c r="I40" s="1">
        <v>1.5</v>
      </c>
      <c r="J40" s="1">
        <v>1</v>
      </c>
      <c r="M40" s="1">
        <v>17</v>
      </c>
      <c r="N40" s="6">
        <f t="shared" si="11"/>
        <v>2130.1581670725127</v>
      </c>
      <c r="O40" s="6">
        <f t="shared" si="5"/>
        <v>116395.0993246538</v>
      </c>
      <c r="P40" s="6">
        <f t="shared" si="6"/>
        <v>16371.559412864521</v>
      </c>
      <c r="Q40" s="1">
        <v>0.4</v>
      </c>
      <c r="R40" s="1">
        <v>1.5</v>
      </c>
      <c r="S40" s="1">
        <v>1</v>
      </c>
      <c r="T40" s="1">
        <v>0.8</v>
      </c>
      <c r="U40" s="1">
        <v>10</v>
      </c>
      <c r="V40" s="5">
        <f t="shared" si="7"/>
        <v>2.4999999999999996</v>
      </c>
      <c r="X40" s="1">
        <v>17</v>
      </c>
      <c r="Y40" s="6">
        <f t="shared" si="12"/>
        <v>426.03163341450255</v>
      </c>
      <c r="Z40" s="6">
        <f t="shared" si="13"/>
        <v>12932.788813850422</v>
      </c>
      <c r="AA40" s="6">
        <f t="shared" si="14"/>
        <v>16371.559412864521</v>
      </c>
      <c r="AB40" s="1">
        <f t="shared" si="15"/>
        <v>0.4</v>
      </c>
      <c r="AC40" s="1">
        <f t="shared" si="18"/>
        <v>1.5</v>
      </c>
      <c r="AD40" s="1">
        <f t="shared" si="19"/>
        <v>1</v>
      </c>
      <c r="AE40" s="1">
        <f t="shared" si="16"/>
        <v>10</v>
      </c>
      <c r="AF40" s="33">
        <f t="shared" si="17"/>
        <v>2.4999999999999996</v>
      </c>
    </row>
    <row r="41" spans="4:32" ht="14.25" customHeight="1" outlineLevel="1" x14ac:dyDescent="0.2">
      <c r="D41" s="1">
        <v>18</v>
      </c>
      <c r="E41" s="6">
        <f t="shared" si="10"/>
        <v>44.733321508522764</v>
      </c>
      <c r="F41" s="6">
        <f t="shared" si="10"/>
        <v>1896.3110902995309</v>
      </c>
      <c r="G41" s="6">
        <f t="shared" si="10"/>
        <v>229.2018317801033</v>
      </c>
      <c r="H41" s="1">
        <v>0.4</v>
      </c>
      <c r="I41" s="1">
        <v>1.5</v>
      </c>
      <c r="J41" s="1">
        <v>1</v>
      </c>
      <c r="M41" s="1">
        <v>18</v>
      </c>
      <c r="N41" s="6">
        <f t="shared" si="11"/>
        <v>2236.6660754261384</v>
      </c>
      <c r="O41" s="6">
        <f t="shared" si="5"/>
        <v>121361.17846422119</v>
      </c>
      <c r="P41" s="6">
        <f t="shared" si="6"/>
        <v>17190.137383507747</v>
      </c>
      <c r="Q41" s="1">
        <v>0.4</v>
      </c>
      <c r="R41" s="1">
        <v>1.5</v>
      </c>
      <c r="S41" s="1">
        <v>1</v>
      </c>
      <c r="T41" s="1">
        <v>0.8</v>
      </c>
      <c r="U41" s="1">
        <v>10</v>
      </c>
      <c r="V41" s="5">
        <f t="shared" si="7"/>
        <v>2.4999999999999991</v>
      </c>
      <c r="X41" s="1">
        <v>18</v>
      </c>
      <c r="Y41" s="6">
        <f t="shared" si="12"/>
        <v>447.33321508522766</v>
      </c>
      <c r="Z41" s="6">
        <f t="shared" si="13"/>
        <v>13484.575384913465</v>
      </c>
      <c r="AA41" s="6">
        <f t="shared" si="14"/>
        <v>17190.137383507747</v>
      </c>
      <c r="AB41" s="1">
        <f t="shared" si="15"/>
        <v>0.4</v>
      </c>
      <c r="AC41" s="1">
        <f t="shared" si="18"/>
        <v>1.5</v>
      </c>
      <c r="AD41" s="1">
        <f t="shared" si="19"/>
        <v>1</v>
      </c>
      <c r="AE41" s="1">
        <f t="shared" si="16"/>
        <v>10</v>
      </c>
      <c r="AF41" s="33">
        <f t="shared" si="17"/>
        <v>2.4999999999999991</v>
      </c>
    </row>
    <row r="42" spans="4:32" ht="14.25" customHeight="1" outlineLevel="1" x14ac:dyDescent="0.2">
      <c r="D42" s="1">
        <v>19</v>
      </c>
      <c r="E42" s="6">
        <f t="shared" si="10"/>
        <v>46.9699875839489</v>
      </c>
      <c r="F42" s="6">
        <f t="shared" si="10"/>
        <v>1991.1266448145072</v>
      </c>
      <c r="G42" s="6">
        <f t="shared" si="10"/>
        <v>240.66192336910848</v>
      </c>
      <c r="H42" s="1">
        <v>0.4</v>
      </c>
      <c r="I42" s="1">
        <v>1.5</v>
      </c>
      <c r="J42" s="1">
        <v>1</v>
      </c>
      <c r="M42" s="1">
        <v>19</v>
      </c>
      <c r="N42" s="6">
        <f t="shared" si="11"/>
        <v>2348.4993791974448</v>
      </c>
      <c r="O42" s="6">
        <f t="shared" si="5"/>
        <v>126501.43870102669</v>
      </c>
      <c r="P42" s="6">
        <f t="shared" si="6"/>
        <v>18049.644252683134</v>
      </c>
      <c r="Q42" s="1">
        <v>0.4</v>
      </c>
      <c r="R42" s="1">
        <v>1.5</v>
      </c>
      <c r="S42" s="1">
        <v>1</v>
      </c>
      <c r="T42" s="1">
        <v>0.8</v>
      </c>
      <c r="U42" s="1">
        <v>10</v>
      </c>
      <c r="V42" s="5">
        <f t="shared" si="7"/>
        <v>2.4999999999999996</v>
      </c>
      <c r="X42" s="1">
        <v>19</v>
      </c>
      <c r="Y42" s="6">
        <f t="shared" si="12"/>
        <v>469.69987583948898</v>
      </c>
      <c r="Z42" s="6">
        <f t="shared" si="13"/>
        <v>14055.715411225188</v>
      </c>
      <c r="AA42" s="6">
        <f t="shared" si="14"/>
        <v>18049.644252683134</v>
      </c>
      <c r="AB42" s="1">
        <f t="shared" si="15"/>
        <v>0.4</v>
      </c>
      <c r="AC42" s="1">
        <f t="shared" si="18"/>
        <v>1.5</v>
      </c>
      <c r="AD42" s="1">
        <f t="shared" si="19"/>
        <v>1</v>
      </c>
      <c r="AE42" s="1">
        <f t="shared" si="16"/>
        <v>10</v>
      </c>
      <c r="AF42" s="33">
        <f t="shared" si="17"/>
        <v>2.4999999999999996</v>
      </c>
    </row>
    <row r="43" spans="4:32" ht="14.25" customHeight="1" outlineLevel="1" x14ac:dyDescent="0.2">
      <c r="D43" s="1">
        <v>20</v>
      </c>
      <c r="E43" s="6">
        <f t="shared" si="10"/>
        <v>49.318486963146349</v>
      </c>
      <c r="F43" s="6">
        <f t="shared" si="10"/>
        <v>2090.6829770552326</v>
      </c>
      <c r="G43" s="6">
        <f t="shared" si="10"/>
        <v>252.69501953756389</v>
      </c>
      <c r="H43" s="1">
        <v>0.4</v>
      </c>
      <c r="I43" s="1">
        <v>1.5</v>
      </c>
      <c r="J43" s="1">
        <v>1</v>
      </c>
      <c r="M43" s="1">
        <v>20</v>
      </c>
      <c r="N43" s="6">
        <f t="shared" si="11"/>
        <v>2465.9243481573176</v>
      </c>
      <c r="O43" s="6">
        <f t="shared" si="5"/>
        <v>131818.764353793</v>
      </c>
      <c r="P43" s="6">
        <f t="shared" si="6"/>
        <v>18952.126465317291</v>
      </c>
      <c r="Q43" s="1">
        <v>0.4</v>
      </c>
      <c r="R43" s="1">
        <v>1.5</v>
      </c>
      <c r="S43" s="1">
        <v>1</v>
      </c>
      <c r="T43" s="1">
        <v>0.8</v>
      </c>
      <c r="U43" s="1">
        <v>10</v>
      </c>
      <c r="V43" s="5">
        <f t="shared" si="7"/>
        <v>2.4999999999999991</v>
      </c>
      <c r="X43" s="1">
        <v>20</v>
      </c>
      <c r="Y43" s="6">
        <f t="shared" si="12"/>
        <v>493.18486963146353</v>
      </c>
      <c r="Z43" s="6">
        <f t="shared" si="13"/>
        <v>14646.529372643667</v>
      </c>
      <c r="AA43" s="6">
        <f t="shared" si="14"/>
        <v>18952.126465317291</v>
      </c>
      <c r="AB43" s="1">
        <f t="shared" si="15"/>
        <v>0.4</v>
      </c>
      <c r="AC43" s="1">
        <f t="shared" si="18"/>
        <v>1.5</v>
      </c>
      <c r="AD43" s="1">
        <f t="shared" si="19"/>
        <v>1</v>
      </c>
      <c r="AE43" s="1">
        <f t="shared" si="16"/>
        <v>10</v>
      </c>
      <c r="AF43" s="33">
        <f t="shared" si="17"/>
        <v>2.4999999999999991</v>
      </c>
    </row>
    <row r="44" spans="4:32" ht="14.25" customHeight="1" outlineLevel="1" x14ac:dyDescent="0.2">
      <c r="D44" s="1">
        <v>21</v>
      </c>
      <c r="E44" s="6">
        <f t="shared" si="10"/>
        <v>51.784411311303664</v>
      </c>
      <c r="F44" s="6">
        <f t="shared" si="10"/>
        <v>2195.2171259079942</v>
      </c>
      <c r="G44" s="6">
        <f t="shared" si="10"/>
        <v>265.32977051444209</v>
      </c>
      <c r="H44" s="1">
        <v>0.4</v>
      </c>
      <c r="I44" s="1">
        <v>1.5</v>
      </c>
      <c r="J44" s="1">
        <v>1</v>
      </c>
      <c r="M44" s="1">
        <v>21</v>
      </c>
      <c r="N44" s="6">
        <f t="shared" si="11"/>
        <v>2589.2205655651833</v>
      </c>
      <c r="O44" s="6">
        <f t="shared" si="5"/>
        <v>137315.80597715618</v>
      </c>
      <c r="P44" s="6">
        <f t="shared" si="6"/>
        <v>19899.732788583158</v>
      </c>
      <c r="Q44" s="1">
        <v>0.4</v>
      </c>
      <c r="R44" s="1">
        <v>1.5</v>
      </c>
      <c r="S44" s="1">
        <v>1</v>
      </c>
      <c r="T44" s="1">
        <v>0.8</v>
      </c>
      <c r="U44" s="1">
        <v>10</v>
      </c>
      <c r="V44" s="5">
        <f t="shared" si="7"/>
        <v>2.4999999999999991</v>
      </c>
      <c r="X44" s="1">
        <v>21</v>
      </c>
      <c r="Y44" s="6">
        <f t="shared" si="12"/>
        <v>517.84411311303666</v>
      </c>
      <c r="Z44" s="6">
        <f t="shared" si="13"/>
        <v>15257.311775239576</v>
      </c>
      <c r="AA44" s="6">
        <f t="shared" si="14"/>
        <v>19899.732788583158</v>
      </c>
      <c r="AB44" s="1">
        <f t="shared" si="15"/>
        <v>0.4</v>
      </c>
      <c r="AC44" s="1">
        <f t="shared" si="18"/>
        <v>1.5</v>
      </c>
      <c r="AD44" s="1">
        <f t="shared" si="19"/>
        <v>1</v>
      </c>
      <c r="AE44" s="1">
        <f t="shared" si="16"/>
        <v>10</v>
      </c>
      <c r="AF44" s="33">
        <f t="shared" si="17"/>
        <v>2.4999999999999991</v>
      </c>
    </row>
    <row r="45" spans="4:32" ht="14.25" customHeight="1" outlineLevel="1" x14ac:dyDescent="0.2">
      <c r="D45" s="1">
        <v>22</v>
      </c>
      <c r="E45" s="6">
        <f t="shared" si="10"/>
        <v>54.373631876868842</v>
      </c>
      <c r="F45" s="6">
        <f t="shared" si="10"/>
        <v>2304.9779822033938</v>
      </c>
      <c r="G45" s="6">
        <f t="shared" si="10"/>
        <v>278.59625904016417</v>
      </c>
      <c r="H45" s="1">
        <v>0.4</v>
      </c>
      <c r="I45" s="1">
        <v>1.5</v>
      </c>
      <c r="J45" s="1">
        <v>1</v>
      </c>
      <c r="M45" s="1">
        <v>22</v>
      </c>
      <c r="N45" s="6">
        <f t="shared" si="11"/>
        <v>2718.6815938434424</v>
      </c>
      <c r="O45" s="6">
        <f t="shared" si="5"/>
        <v>142994.95419085969</v>
      </c>
      <c r="P45" s="6">
        <f t="shared" si="6"/>
        <v>20894.719428012311</v>
      </c>
      <c r="Q45" s="1">
        <v>0.4</v>
      </c>
      <c r="R45" s="1">
        <v>1.5</v>
      </c>
      <c r="S45" s="1">
        <v>1</v>
      </c>
      <c r="T45" s="1">
        <v>0.8</v>
      </c>
      <c r="U45" s="1">
        <v>10</v>
      </c>
      <c r="V45" s="5">
        <f t="shared" si="7"/>
        <v>2.4999999999999991</v>
      </c>
      <c r="X45" s="1">
        <v>22</v>
      </c>
      <c r="Y45" s="6">
        <f t="shared" si="12"/>
        <v>543.73631876868853</v>
      </c>
      <c r="Z45" s="6">
        <f t="shared" si="13"/>
        <v>15888.328243428854</v>
      </c>
      <c r="AA45" s="6">
        <f t="shared" si="14"/>
        <v>20894.719428012311</v>
      </c>
      <c r="AB45" s="1">
        <f t="shared" si="15"/>
        <v>0.4</v>
      </c>
      <c r="AC45" s="1">
        <f t="shared" si="18"/>
        <v>1.5</v>
      </c>
      <c r="AD45" s="1">
        <f t="shared" si="19"/>
        <v>1</v>
      </c>
      <c r="AE45" s="1">
        <f t="shared" si="16"/>
        <v>10</v>
      </c>
      <c r="AF45" s="33">
        <f t="shared" si="17"/>
        <v>2.4999999999999991</v>
      </c>
    </row>
    <row r="46" spans="4:32" ht="14.25" customHeight="1" outlineLevel="1" x14ac:dyDescent="0.2">
      <c r="D46" s="1">
        <v>23</v>
      </c>
      <c r="E46" s="6">
        <f t="shared" si="10"/>
        <v>57.092313470712284</v>
      </c>
      <c r="F46" s="6">
        <f t="shared" si="10"/>
        <v>2420.2268813135634</v>
      </c>
      <c r="G46" s="6">
        <f t="shared" si="10"/>
        <v>292.52607199217238</v>
      </c>
      <c r="H46" s="1">
        <v>0.4</v>
      </c>
      <c r="I46" s="1">
        <v>1.5</v>
      </c>
      <c r="J46" s="1">
        <v>1</v>
      </c>
      <c r="M46" s="1">
        <v>23</v>
      </c>
      <c r="N46" s="6">
        <f t="shared" si="11"/>
        <v>2854.6156735356144</v>
      </c>
      <c r="O46" s="6">
        <f t="shared" si="5"/>
        <v>148858.31292583511</v>
      </c>
      <c r="P46" s="6">
        <f t="shared" si="6"/>
        <v>21939.455399412927</v>
      </c>
      <c r="Q46" s="1">
        <v>0.4</v>
      </c>
      <c r="R46" s="1">
        <v>1.5</v>
      </c>
      <c r="S46" s="1">
        <v>1</v>
      </c>
      <c r="T46" s="1">
        <v>0.8</v>
      </c>
      <c r="U46" s="1">
        <v>10</v>
      </c>
      <c r="V46" s="5">
        <f t="shared" si="7"/>
        <v>2.4999999999999996</v>
      </c>
      <c r="X46" s="1">
        <v>23</v>
      </c>
      <c r="Y46" s="6">
        <f t="shared" si="12"/>
        <v>570.92313470712293</v>
      </c>
      <c r="Z46" s="6">
        <f t="shared" si="13"/>
        <v>16539.812547315014</v>
      </c>
      <c r="AA46" s="6">
        <f t="shared" si="14"/>
        <v>21939.455399412927</v>
      </c>
      <c r="AB46" s="1">
        <f t="shared" si="15"/>
        <v>0.4</v>
      </c>
      <c r="AC46" s="1">
        <f t="shared" si="18"/>
        <v>1.5</v>
      </c>
      <c r="AD46" s="1">
        <f t="shared" si="19"/>
        <v>1</v>
      </c>
      <c r="AE46" s="1">
        <f t="shared" si="16"/>
        <v>10</v>
      </c>
      <c r="AF46" s="33">
        <f t="shared" si="17"/>
        <v>2.4999999999999996</v>
      </c>
    </row>
    <row r="47" spans="4:32" ht="14.25" customHeight="1" outlineLevel="1" x14ac:dyDescent="0.2">
      <c r="D47" s="1">
        <v>24</v>
      </c>
      <c r="E47" s="6">
        <f t="shared" si="10"/>
        <v>59.94692914424791</v>
      </c>
      <c r="F47" s="6">
        <f t="shared" si="10"/>
        <v>2541.2382253792421</v>
      </c>
      <c r="G47" s="6">
        <f t="shared" si="10"/>
        <v>307.15237559178104</v>
      </c>
      <c r="H47" s="1">
        <v>0.4</v>
      </c>
      <c r="I47" s="1">
        <v>1.5</v>
      </c>
      <c r="J47" s="1">
        <v>1</v>
      </c>
      <c r="M47" s="1">
        <v>24</v>
      </c>
      <c r="N47" s="6">
        <f t="shared" si="11"/>
        <v>2997.3464572123958</v>
      </c>
      <c r="O47" s="6">
        <f t="shared" si="5"/>
        <v>154907.67225545185</v>
      </c>
      <c r="P47" s="6">
        <f t="shared" si="6"/>
        <v>23036.428169383576</v>
      </c>
      <c r="Q47" s="1">
        <v>0.4</v>
      </c>
      <c r="R47" s="1">
        <v>1.5</v>
      </c>
      <c r="S47" s="1">
        <v>1</v>
      </c>
      <c r="T47" s="1">
        <v>0.8</v>
      </c>
      <c r="U47" s="1">
        <v>10</v>
      </c>
      <c r="V47" s="5">
        <f t="shared" si="7"/>
        <v>2.4999999999999991</v>
      </c>
      <c r="X47" s="1">
        <v>24</v>
      </c>
      <c r="Y47" s="6">
        <f t="shared" si="12"/>
        <v>599.46929144247918</v>
      </c>
      <c r="Z47" s="6">
        <f t="shared" si="13"/>
        <v>17211.963583939094</v>
      </c>
      <c r="AA47" s="6">
        <f t="shared" si="14"/>
        <v>23036.428169383576</v>
      </c>
      <c r="AB47" s="1">
        <f t="shared" si="15"/>
        <v>0.4</v>
      </c>
      <c r="AC47" s="1">
        <f t="shared" si="18"/>
        <v>1.5</v>
      </c>
      <c r="AD47" s="1">
        <f t="shared" si="19"/>
        <v>1</v>
      </c>
      <c r="AE47" s="1">
        <f t="shared" si="16"/>
        <v>10</v>
      </c>
      <c r="AF47" s="33">
        <f t="shared" si="17"/>
        <v>2.4999999999999991</v>
      </c>
    </row>
    <row r="48" spans="4:32" ht="14.25" customHeight="1" outlineLevel="1" x14ac:dyDescent="0.2">
      <c r="D48" s="1">
        <v>25</v>
      </c>
      <c r="E48" s="6">
        <f t="shared" si="10"/>
        <v>62.944275601460298</v>
      </c>
      <c r="F48" s="6">
        <f t="shared" si="10"/>
        <v>2668.300136648204</v>
      </c>
      <c r="G48" s="6">
        <f t="shared" si="10"/>
        <v>322.50999437137006</v>
      </c>
      <c r="H48" s="1">
        <v>0.4</v>
      </c>
      <c r="I48" s="1">
        <v>1.5</v>
      </c>
      <c r="J48" s="1">
        <v>1</v>
      </c>
      <c r="M48" s="1">
        <v>25</v>
      </c>
      <c r="N48" s="6">
        <f t="shared" si="11"/>
        <v>3147.2137800730152</v>
      </c>
      <c r="O48" s="6">
        <f t="shared" si="5"/>
        <v>161144.48100273759</v>
      </c>
      <c r="P48" s="6">
        <f t="shared" si="6"/>
        <v>24188.249577852755</v>
      </c>
      <c r="Q48" s="1">
        <v>0.4</v>
      </c>
      <c r="R48" s="1">
        <v>1.5</v>
      </c>
      <c r="S48" s="1">
        <v>1</v>
      </c>
      <c r="T48" s="1">
        <v>0.8</v>
      </c>
      <c r="U48" s="1">
        <v>10</v>
      </c>
      <c r="V48" s="5">
        <f t="shared" si="7"/>
        <v>2.4999999999999991</v>
      </c>
      <c r="X48" s="1">
        <v>25</v>
      </c>
      <c r="Y48" s="6">
        <f t="shared" si="12"/>
        <v>629.44275601460299</v>
      </c>
      <c r="Z48" s="6">
        <f t="shared" si="13"/>
        <v>17904.942333637511</v>
      </c>
      <c r="AA48" s="6">
        <f t="shared" si="14"/>
        <v>24188.249577852755</v>
      </c>
      <c r="AB48" s="1">
        <f t="shared" si="15"/>
        <v>0.4</v>
      </c>
      <c r="AC48" s="1">
        <f t="shared" si="18"/>
        <v>1.5</v>
      </c>
      <c r="AD48" s="1">
        <f t="shared" si="19"/>
        <v>1</v>
      </c>
      <c r="AE48" s="1">
        <f t="shared" si="16"/>
        <v>10</v>
      </c>
      <c r="AF48" s="33">
        <f t="shared" si="17"/>
        <v>2.4999999999999991</v>
      </c>
    </row>
    <row r="49" spans="4:32" ht="14.25" customHeight="1" outlineLevel="1" x14ac:dyDescent="0.2">
      <c r="D49" s="1">
        <v>26</v>
      </c>
      <c r="E49" s="6">
        <f t="shared" si="10"/>
        <v>66.091489381533307</v>
      </c>
      <c r="F49" s="6">
        <f t="shared" si="10"/>
        <v>2801.7151434806142</v>
      </c>
      <c r="G49" s="6">
        <f t="shared" si="10"/>
        <v>338.63549408993856</v>
      </c>
      <c r="H49" s="1">
        <v>0.4</v>
      </c>
      <c r="I49" s="1">
        <v>1.5</v>
      </c>
      <c r="J49" s="1">
        <v>1</v>
      </c>
      <c r="M49" s="1">
        <v>26</v>
      </c>
      <c r="N49" s="6">
        <f t="shared" si="11"/>
        <v>3304.5744690766655</v>
      </c>
      <c r="O49" s="6">
        <f t="shared" si="5"/>
        <v>167569.81933678946</v>
      </c>
      <c r="P49" s="6">
        <f t="shared" si="6"/>
        <v>25397.662056745394</v>
      </c>
      <c r="Q49" s="1">
        <v>0.4</v>
      </c>
      <c r="R49" s="1">
        <v>1.5</v>
      </c>
      <c r="S49" s="1">
        <v>1</v>
      </c>
      <c r="T49" s="1">
        <v>0.8</v>
      </c>
      <c r="U49" s="1">
        <v>10</v>
      </c>
      <c r="V49" s="5">
        <f t="shared" si="7"/>
        <v>2.5</v>
      </c>
      <c r="X49" s="1">
        <v>26</v>
      </c>
      <c r="Y49" s="6">
        <f t="shared" si="12"/>
        <v>660.91489381533313</v>
      </c>
      <c r="Z49" s="6">
        <f t="shared" si="13"/>
        <v>18618.868815198828</v>
      </c>
      <c r="AA49" s="6">
        <f t="shared" si="14"/>
        <v>25397.662056745394</v>
      </c>
      <c r="AB49" s="1">
        <f t="shared" si="15"/>
        <v>0.4</v>
      </c>
      <c r="AC49" s="1">
        <f t="shared" si="18"/>
        <v>1.5</v>
      </c>
      <c r="AD49" s="1">
        <f t="shared" si="19"/>
        <v>1</v>
      </c>
      <c r="AE49" s="1">
        <f t="shared" si="16"/>
        <v>10</v>
      </c>
      <c r="AF49" s="33">
        <f t="shared" si="17"/>
        <v>2.5</v>
      </c>
    </row>
    <row r="50" spans="4:32" ht="14.25" customHeight="1" outlineLevel="1" x14ac:dyDescent="0.2">
      <c r="D50" s="1">
        <v>27</v>
      </c>
      <c r="E50" s="6">
        <f t="shared" si="10"/>
        <v>69.396063850609977</v>
      </c>
      <c r="F50" s="6">
        <f t="shared" si="10"/>
        <v>2941.8009006546449</v>
      </c>
      <c r="G50" s="6">
        <f t="shared" si="10"/>
        <v>355.56726879443551</v>
      </c>
      <c r="H50" s="1">
        <v>0.4</v>
      </c>
      <c r="I50" s="1">
        <v>1.5</v>
      </c>
      <c r="J50" s="1">
        <v>1</v>
      </c>
      <c r="M50" s="1">
        <v>27</v>
      </c>
      <c r="N50" s="6">
        <f t="shared" si="11"/>
        <v>3469.8031925304986</v>
      </c>
      <c r="O50" s="6">
        <f t="shared" si="5"/>
        <v>174184.37159347354</v>
      </c>
      <c r="P50" s="6">
        <f t="shared" si="6"/>
        <v>26667.545159582663</v>
      </c>
      <c r="Q50" s="1">
        <v>0.4</v>
      </c>
      <c r="R50" s="1">
        <v>1.5</v>
      </c>
      <c r="S50" s="1">
        <v>1</v>
      </c>
      <c r="T50" s="1">
        <v>0.8</v>
      </c>
      <c r="U50" s="1">
        <v>10</v>
      </c>
      <c r="V50" s="5">
        <f t="shared" si="7"/>
        <v>2.4999999999999991</v>
      </c>
      <c r="X50" s="1">
        <v>27</v>
      </c>
      <c r="Y50" s="6">
        <f t="shared" si="12"/>
        <v>693.96063850609971</v>
      </c>
      <c r="Z50" s="6">
        <f t="shared" si="13"/>
        <v>19353.819065941505</v>
      </c>
      <c r="AA50" s="6">
        <f t="shared" si="14"/>
        <v>26667.545159582663</v>
      </c>
      <c r="AB50" s="1">
        <f t="shared" si="15"/>
        <v>0.4</v>
      </c>
      <c r="AC50" s="1">
        <f t="shared" si="18"/>
        <v>1.5</v>
      </c>
      <c r="AD50" s="1">
        <f t="shared" si="19"/>
        <v>1</v>
      </c>
      <c r="AE50" s="1">
        <f t="shared" si="16"/>
        <v>10</v>
      </c>
      <c r="AF50" s="33">
        <f t="shared" si="17"/>
        <v>2.4999999999999991</v>
      </c>
    </row>
    <row r="51" spans="4:32" ht="14.25" customHeight="1" outlineLevel="1" x14ac:dyDescent="0.2">
      <c r="D51" s="1">
        <v>28</v>
      </c>
      <c r="E51" s="6">
        <f t="shared" si="10"/>
        <v>72.865867043140483</v>
      </c>
      <c r="F51" s="6">
        <f t="shared" si="10"/>
        <v>3088.8909456873776</v>
      </c>
      <c r="G51" s="6">
        <f t="shared" si="10"/>
        <v>373.34563223415734</v>
      </c>
      <c r="H51" s="1">
        <v>0.4</v>
      </c>
      <c r="I51" s="1">
        <v>1.5</v>
      </c>
      <c r="J51" s="1">
        <v>1</v>
      </c>
      <c r="M51" s="1">
        <v>28</v>
      </c>
      <c r="N51" s="6">
        <f t="shared" si="11"/>
        <v>3643.2933521570244</v>
      </c>
      <c r="O51" s="6">
        <f t="shared" si="5"/>
        <v>180988.39957638344</v>
      </c>
      <c r="P51" s="6">
        <f t="shared" si="6"/>
        <v>28000.9224175618</v>
      </c>
      <c r="Q51" s="1">
        <v>0.4</v>
      </c>
      <c r="R51" s="1">
        <v>1.5</v>
      </c>
      <c r="S51" s="1">
        <v>1</v>
      </c>
      <c r="T51" s="1">
        <v>0.8</v>
      </c>
      <c r="U51" s="1">
        <v>10</v>
      </c>
      <c r="V51" s="5">
        <f t="shared" si="7"/>
        <v>2.4999999999999991</v>
      </c>
      <c r="X51" s="1">
        <v>28</v>
      </c>
      <c r="Y51" s="6">
        <f t="shared" si="12"/>
        <v>728.65867043140486</v>
      </c>
      <c r="Z51" s="6">
        <f t="shared" si="13"/>
        <v>20109.822175153717</v>
      </c>
      <c r="AA51" s="6">
        <f t="shared" si="14"/>
        <v>28000.9224175618</v>
      </c>
      <c r="AB51" s="1">
        <f t="shared" si="15"/>
        <v>0.4</v>
      </c>
      <c r="AC51" s="1">
        <f t="shared" si="18"/>
        <v>1.5</v>
      </c>
      <c r="AD51" s="1">
        <f t="shared" si="19"/>
        <v>1</v>
      </c>
      <c r="AE51" s="1">
        <f t="shared" si="16"/>
        <v>10</v>
      </c>
      <c r="AF51" s="33">
        <f t="shared" si="17"/>
        <v>2.4999999999999991</v>
      </c>
    </row>
    <row r="52" spans="4:32" ht="14.25" customHeight="1" outlineLevel="1" x14ac:dyDescent="0.2">
      <c r="D52" s="1">
        <v>29</v>
      </c>
      <c r="E52" s="6">
        <f t="shared" si="10"/>
        <v>76.509160395297499</v>
      </c>
      <c r="F52" s="6">
        <f t="shared" si="10"/>
        <v>3243.3354929717457</v>
      </c>
      <c r="G52" s="6">
        <f t="shared" si="10"/>
        <v>392.01291384586511</v>
      </c>
      <c r="H52" s="1">
        <v>0.4</v>
      </c>
      <c r="I52" s="1">
        <v>1.5</v>
      </c>
      <c r="J52" s="1">
        <v>1</v>
      </c>
      <c r="M52" s="1">
        <v>29</v>
      </c>
      <c r="N52" s="6">
        <f t="shared" si="11"/>
        <v>3825.4580197648756</v>
      </c>
      <c r="O52" s="6">
        <f t="shared" si="5"/>
        <v>187981.71661336598</v>
      </c>
      <c r="P52" s="6">
        <f t="shared" si="6"/>
        <v>29400.968538439884</v>
      </c>
      <c r="Q52" s="1">
        <v>0.4</v>
      </c>
      <c r="R52" s="1">
        <v>1.5</v>
      </c>
      <c r="S52" s="1">
        <v>1</v>
      </c>
      <c r="T52" s="1">
        <v>0.8</v>
      </c>
      <c r="U52" s="1">
        <v>10</v>
      </c>
      <c r="V52" s="5">
        <f t="shared" si="7"/>
        <v>2.4999999999999991</v>
      </c>
      <c r="X52" s="1">
        <v>29</v>
      </c>
      <c r="Y52" s="6">
        <f t="shared" si="12"/>
        <v>765.09160395297511</v>
      </c>
      <c r="Z52" s="6">
        <f t="shared" si="13"/>
        <v>20886.857401485107</v>
      </c>
      <c r="AA52" s="6">
        <f t="shared" si="14"/>
        <v>29400.968538439884</v>
      </c>
      <c r="AB52" s="1">
        <f t="shared" si="15"/>
        <v>0.4</v>
      </c>
      <c r="AC52" s="1">
        <f t="shared" si="18"/>
        <v>1.5</v>
      </c>
      <c r="AD52" s="1">
        <f t="shared" si="19"/>
        <v>1</v>
      </c>
      <c r="AE52" s="1">
        <f t="shared" si="16"/>
        <v>10</v>
      </c>
      <c r="AF52" s="33">
        <f t="shared" si="17"/>
        <v>2.4999999999999991</v>
      </c>
    </row>
    <row r="53" spans="4:32" ht="14.25" customHeight="1" outlineLevel="1" x14ac:dyDescent="0.2">
      <c r="D53" s="1">
        <v>30</v>
      </c>
      <c r="E53" s="6">
        <f t="shared" si="10"/>
        <v>80.334618415062394</v>
      </c>
      <c r="F53" s="6">
        <f t="shared" si="10"/>
        <v>3405.5022676203339</v>
      </c>
      <c r="G53" s="6">
        <f t="shared" si="10"/>
        <v>411.61355953815848</v>
      </c>
      <c r="H53" s="1">
        <v>0.4</v>
      </c>
      <c r="I53" s="1">
        <v>1.5</v>
      </c>
      <c r="J53" s="1">
        <v>1</v>
      </c>
      <c r="M53" s="1">
        <v>30</v>
      </c>
      <c r="N53" s="6">
        <f t="shared" si="11"/>
        <v>4016.7309207531202</v>
      </c>
      <c r="O53" s="6">
        <f t="shared" si="5"/>
        <v>195163.66266117277</v>
      </c>
      <c r="P53" s="6">
        <f t="shared" si="6"/>
        <v>30871.016965361887</v>
      </c>
      <c r="Q53" s="1">
        <v>0.4</v>
      </c>
      <c r="R53" s="1">
        <v>1.5</v>
      </c>
      <c r="S53" s="1">
        <v>1</v>
      </c>
      <c r="T53" s="1">
        <v>0.8</v>
      </c>
      <c r="U53" s="1">
        <v>10</v>
      </c>
      <c r="V53" s="5">
        <f t="shared" si="7"/>
        <v>2.4999999999999996</v>
      </c>
      <c r="X53" s="1">
        <v>30</v>
      </c>
      <c r="Y53" s="6">
        <f t="shared" si="12"/>
        <v>803.34618415062403</v>
      </c>
      <c r="Z53" s="6">
        <f t="shared" si="13"/>
        <v>21684.851406796974</v>
      </c>
      <c r="AA53" s="6">
        <f t="shared" si="14"/>
        <v>30871.016965361887</v>
      </c>
      <c r="AB53" s="1">
        <f t="shared" si="15"/>
        <v>0.4</v>
      </c>
      <c r="AC53" s="1">
        <f t="shared" si="18"/>
        <v>1.5</v>
      </c>
      <c r="AD53" s="1">
        <f t="shared" si="19"/>
        <v>1</v>
      </c>
      <c r="AE53" s="1">
        <f t="shared" si="16"/>
        <v>10</v>
      </c>
      <c r="AF53" s="33">
        <f t="shared" si="17"/>
        <v>2.4999999999999996</v>
      </c>
    </row>
    <row r="54" spans="4:32" ht="14.25" customHeight="1" outlineLevel="1" x14ac:dyDescent="0.2">
      <c r="D54" s="1">
        <v>31</v>
      </c>
      <c r="E54" s="6">
        <f t="shared" si="10"/>
        <v>84.35134933581547</v>
      </c>
      <c r="F54" s="6">
        <f t="shared" si="10"/>
        <v>3575.7773810013491</v>
      </c>
      <c r="G54" s="6">
        <f t="shared" si="10"/>
        <v>432.19423751506622</v>
      </c>
      <c r="H54" s="1">
        <v>0.4</v>
      </c>
      <c r="I54" s="1">
        <v>1.5</v>
      </c>
      <c r="J54" s="1">
        <v>1</v>
      </c>
      <c r="M54" s="1">
        <v>31</v>
      </c>
      <c r="N54" s="6">
        <f t="shared" si="11"/>
        <v>4217.5674667907742</v>
      </c>
      <c r="O54" s="6">
        <f t="shared" si="5"/>
        <v>202533.08076537482</v>
      </c>
      <c r="P54" s="6">
        <f t="shared" si="6"/>
        <v>32414.567813629965</v>
      </c>
      <c r="Q54" s="1">
        <v>0.4</v>
      </c>
      <c r="R54" s="1">
        <v>1.5</v>
      </c>
      <c r="S54" s="1">
        <v>1</v>
      </c>
      <c r="T54" s="1">
        <v>0.8</v>
      </c>
      <c r="U54" s="1">
        <v>10</v>
      </c>
      <c r="V54" s="5">
        <f t="shared" si="7"/>
        <v>2.4999999999999991</v>
      </c>
      <c r="X54" s="1">
        <v>31</v>
      </c>
      <c r="Y54" s="6">
        <f t="shared" si="12"/>
        <v>843.51349335815485</v>
      </c>
      <c r="Z54" s="6">
        <f t="shared" si="13"/>
        <v>22503.675640597201</v>
      </c>
      <c r="AA54" s="6">
        <f t="shared" si="14"/>
        <v>32414.567813629965</v>
      </c>
      <c r="AB54" s="1">
        <f t="shared" si="15"/>
        <v>0.4</v>
      </c>
      <c r="AC54" s="1">
        <f t="shared" si="18"/>
        <v>1.5</v>
      </c>
      <c r="AD54" s="1">
        <f t="shared" si="19"/>
        <v>1</v>
      </c>
      <c r="AE54" s="1">
        <f t="shared" si="16"/>
        <v>10</v>
      </c>
      <c r="AF54" s="33">
        <f t="shared" si="17"/>
        <v>2.4999999999999991</v>
      </c>
    </row>
    <row r="55" spans="4:32" ht="14.25" customHeight="1" outlineLevel="1" x14ac:dyDescent="0.2">
      <c r="D55" s="1">
        <v>32</v>
      </c>
      <c r="E55" s="6">
        <f t="shared" si="10"/>
        <v>88.568916802606282</v>
      </c>
      <c r="F55" s="6">
        <f t="shared" si="10"/>
        <v>3754.5662500514181</v>
      </c>
      <c r="G55" s="6">
        <f t="shared" si="10"/>
        <v>453.80394939081975</v>
      </c>
      <c r="H55" s="1">
        <v>0.4</v>
      </c>
      <c r="I55" s="1">
        <v>1.5</v>
      </c>
      <c r="J55" s="1">
        <v>1</v>
      </c>
      <c r="M55" s="1">
        <v>32</v>
      </c>
      <c r="N55" s="6">
        <f t="shared" si="11"/>
        <v>4428.4458401303154</v>
      </c>
      <c r="O55" s="6">
        <f t="shared" si="5"/>
        <v>210088.2951939927</v>
      </c>
      <c r="P55" s="6">
        <f t="shared" si="6"/>
        <v>34035.296204311482</v>
      </c>
      <c r="Q55" s="1">
        <v>0.4</v>
      </c>
      <c r="R55" s="1">
        <v>1.5</v>
      </c>
      <c r="S55" s="1">
        <v>1</v>
      </c>
      <c r="T55" s="1">
        <v>0.8</v>
      </c>
      <c r="U55" s="1">
        <v>10</v>
      </c>
      <c r="V55" s="5">
        <f t="shared" si="7"/>
        <v>2.4999999999999987</v>
      </c>
      <c r="X55" s="1">
        <v>32</v>
      </c>
      <c r="Y55" s="6">
        <f t="shared" si="12"/>
        <v>885.68916802606304</v>
      </c>
      <c r="Z55" s="6">
        <f t="shared" si="13"/>
        <v>23343.143910443632</v>
      </c>
      <c r="AA55" s="6">
        <f t="shared" si="14"/>
        <v>34035.296204311482</v>
      </c>
      <c r="AB55" s="1">
        <f t="shared" si="15"/>
        <v>0.4</v>
      </c>
      <c r="AC55" s="1">
        <f t="shared" si="18"/>
        <v>1.5</v>
      </c>
      <c r="AD55" s="1">
        <f t="shared" si="19"/>
        <v>1</v>
      </c>
      <c r="AE55" s="1">
        <f t="shared" si="16"/>
        <v>10</v>
      </c>
      <c r="AF55" s="33">
        <f t="shared" si="17"/>
        <v>2.4999999999999987</v>
      </c>
    </row>
    <row r="56" spans="4:32" ht="14.25" customHeight="1" outlineLevel="1" x14ac:dyDescent="0.2">
      <c r="D56" s="1">
        <v>33</v>
      </c>
      <c r="E56" s="6">
        <f t="shared" si="10"/>
        <v>92.99736264273659</v>
      </c>
      <c r="F56" s="6">
        <f t="shared" si="10"/>
        <v>3942.2945625539887</v>
      </c>
      <c r="G56" s="6">
        <f t="shared" si="10"/>
        <v>476.49414686036067</v>
      </c>
      <c r="H56" s="1">
        <v>0.4</v>
      </c>
      <c r="I56" s="1">
        <v>1.5</v>
      </c>
      <c r="J56" s="1">
        <v>1</v>
      </c>
      <c r="M56" s="1">
        <v>33</v>
      </c>
      <c r="N56" s="6">
        <f t="shared" si="11"/>
        <v>4649.8681321368304</v>
      </c>
      <c r="O56" s="6">
        <f t="shared" si="5"/>
        <v>217827.09157074301</v>
      </c>
      <c r="P56" s="6">
        <f t="shared" si="6"/>
        <v>35737.061014527048</v>
      </c>
      <c r="Q56" s="1">
        <v>0.4</v>
      </c>
      <c r="R56" s="1">
        <v>1.5</v>
      </c>
      <c r="S56" s="1">
        <v>1</v>
      </c>
      <c r="T56" s="1">
        <v>0.8</v>
      </c>
      <c r="U56" s="1">
        <v>10</v>
      </c>
      <c r="V56" s="5">
        <f t="shared" si="7"/>
        <v>2.4999999999999987</v>
      </c>
      <c r="X56" s="1">
        <v>33</v>
      </c>
      <c r="Y56" s="6">
        <f t="shared" si="12"/>
        <v>929.97362642736607</v>
      </c>
      <c r="Z56" s="6">
        <f t="shared" si="13"/>
        <v>24203.010174527</v>
      </c>
      <c r="AA56" s="6">
        <f t="shared" si="14"/>
        <v>35737.061014527048</v>
      </c>
      <c r="AB56" s="1">
        <f t="shared" si="15"/>
        <v>0.4</v>
      </c>
      <c r="AC56" s="1">
        <f t="shared" si="18"/>
        <v>1.5</v>
      </c>
      <c r="AD56" s="1">
        <f t="shared" si="19"/>
        <v>1</v>
      </c>
      <c r="AE56" s="1">
        <f t="shared" si="16"/>
        <v>10</v>
      </c>
      <c r="AF56" s="33">
        <f t="shared" si="17"/>
        <v>2.4999999999999987</v>
      </c>
    </row>
    <row r="57" spans="4:32" ht="14.25" customHeight="1" outlineLevel="1" x14ac:dyDescent="0.2">
      <c r="D57" s="1">
        <v>34</v>
      </c>
      <c r="E57" s="6">
        <f t="shared" si="10"/>
        <v>97.647230774873421</v>
      </c>
      <c r="F57" s="6">
        <f t="shared" si="10"/>
        <v>4139.4092906816886</v>
      </c>
      <c r="G57" s="6">
        <f t="shared" si="10"/>
        <v>500.31885420337875</v>
      </c>
      <c r="H57" s="1">
        <v>0.4</v>
      </c>
      <c r="I57" s="1">
        <v>1.5</v>
      </c>
      <c r="J57" s="1">
        <v>1</v>
      </c>
      <c r="M57" s="1">
        <v>34</v>
      </c>
      <c r="N57" s="6">
        <f t="shared" si="11"/>
        <v>4882.3615387436712</v>
      </c>
      <c r="O57" s="6">
        <f t="shared" si="5"/>
        <v>225746.69933682895</v>
      </c>
      <c r="P57" s="6">
        <f t="shared" si="6"/>
        <v>37523.914065253404</v>
      </c>
      <c r="Q57" s="1">
        <v>0.4</v>
      </c>
      <c r="R57" s="1">
        <v>1.5</v>
      </c>
      <c r="S57" s="1">
        <v>1</v>
      </c>
      <c r="T57" s="1">
        <v>0.8</v>
      </c>
      <c r="U57" s="1">
        <v>10</v>
      </c>
      <c r="V57" s="5">
        <f t="shared" si="7"/>
        <v>2.4999999999999996</v>
      </c>
      <c r="X57" s="1">
        <v>34</v>
      </c>
      <c r="Y57" s="6">
        <f t="shared" si="12"/>
        <v>976.47230774873424</v>
      </c>
      <c r="Z57" s="6">
        <f t="shared" si="13"/>
        <v>25082.966592980996</v>
      </c>
      <c r="AA57" s="6">
        <f t="shared" si="14"/>
        <v>37523.914065253404</v>
      </c>
      <c r="AB57" s="1">
        <f t="shared" si="15"/>
        <v>0.4</v>
      </c>
      <c r="AC57" s="1">
        <f t="shared" si="18"/>
        <v>1.5</v>
      </c>
      <c r="AD57" s="1">
        <f t="shared" si="19"/>
        <v>1</v>
      </c>
      <c r="AE57" s="1">
        <f t="shared" si="16"/>
        <v>10</v>
      </c>
      <c r="AF57" s="33">
        <f t="shared" si="17"/>
        <v>2.4999999999999996</v>
      </c>
    </row>
    <row r="58" spans="4:32" ht="14.25" customHeight="1" outlineLevel="1" x14ac:dyDescent="0.2">
      <c r="D58" s="1">
        <v>35</v>
      </c>
      <c r="E58" s="6">
        <f t="shared" ref="E58:G89" si="20">E$21*E$22^($D58-1)</f>
        <v>102.52959231361709</v>
      </c>
      <c r="F58" s="6">
        <f t="shared" si="20"/>
        <v>4346.3797552157721</v>
      </c>
      <c r="G58" s="6">
        <f t="shared" si="20"/>
        <v>525.33479691354762</v>
      </c>
      <c r="H58" s="1">
        <v>0.4</v>
      </c>
      <c r="I58" s="1">
        <v>1.5</v>
      </c>
      <c r="J58" s="1">
        <v>1</v>
      </c>
      <c r="M58" s="1">
        <v>35</v>
      </c>
      <c r="N58" s="6">
        <f t="shared" si="11"/>
        <v>5126.4796156808543</v>
      </c>
      <c r="O58" s="6">
        <f t="shared" si="5"/>
        <v>233843.77686824903</v>
      </c>
      <c r="P58" s="6">
        <f t="shared" si="6"/>
        <v>39400.109768516071</v>
      </c>
      <c r="Q58" s="1">
        <v>0.4</v>
      </c>
      <c r="R58" s="1">
        <v>1.5</v>
      </c>
      <c r="S58" s="1">
        <v>1</v>
      </c>
      <c r="T58" s="1">
        <v>0.8</v>
      </c>
      <c r="U58" s="1">
        <v>10</v>
      </c>
      <c r="V58" s="5">
        <f t="shared" si="7"/>
        <v>2.4999999999999996</v>
      </c>
      <c r="X58" s="1">
        <v>35</v>
      </c>
      <c r="Y58" s="6">
        <f t="shared" si="12"/>
        <v>1025.2959231361708</v>
      </c>
      <c r="Z58" s="6">
        <f t="shared" si="13"/>
        <v>25982.641874249894</v>
      </c>
      <c r="AA58" s="6">
        <f t="shared" si="14"/>
        <v>39400.109768516071</v>
      </c>
      <c r="AB58" s="1">
        <f t="shared" si="15"/>
        <v>0.4</v>
      </c>
      <c r="AC58" s="1">
        <f t="shared" si="18"/>
        <v>1.5</v>
      </c>
      <c r="AD58" s="1">
        <f t="shared" si="19"/>
        <v>1</v>
      </c>
      <c r="AE58" s="1">
        <f t="shared" si="16"/>
        <v>10</v>
      </c>
      <c r="AF58" s="33">
        <f t="shared" si="17"/>
        <v>2.4999999999999996</v>
      </c>
    </row>
    <row r="59" spans="4:32" ht="14.25" customHeight="1" outlineLevel="1" x14ac:dyDescent="0.2">
      <c r="D59" s="1">
        <v>36</v>
      </c>
      <c r="E59" s="6">
        <f t="shared" si="20"/>
        <v>107.65607192929797</v>
      </c>
      <c r="F59" s="6">
        <f t="shared" si="20"/>
        <v>4563.6987429765622</v>
      </c>
      <c r="G59" s="6">
        <f t="shared" si="20"/>
        <v>551.60153675922516</v>
      </c>
      <c r="H59" s="1">
        <v>0.4</v>
      </c>
      <c r="I59" s="1">
        <v>1.5</v>
      </c>
      <c r="J59" s="1">
        <v>1</v>
      </c>
      <c r="M59" s="1">
        <v>36</v>
      </c>
      <c r="N59" s="6">
        <f t="shared" si="11"/>
        <v>5382.8035964648998</v>
      </c>
      <c r="O59" s="6">
        <f t="shared" si="5"/>
        <v>242114.39956821766</v>
      </c>
      <c r="P59" s="6">
        <f t="shared" si="6"/>
        <v>41370.115256941885</v>
      </c>
      <c r="Q59" s="1">
        <v>0.4</v>
      </c>
      <c r="R59" s="1">
        <v>1.5</v>
      </c>
      <c r="S59" s="1">
        <v>1</v>
      </c>
      <c r="T59" s="1">
        <v>0.8</v>
      </c>
      <c r="U59" s="1">
        <v>10</v>
      </c>
      <c r="V59" s="5">
        <f t="shared" si="7"/>
        <v>2.4999999999999987</v>
      </c>
      <c r="X59" s="1">
        <v>36</v>
      </c>
      <c r="Y59" s="6">
        <f t="shared" si="12"/>
        <v>1076.5607192929799</v>
      </c>
      <c r="Z59" s="6">
        <f t="shared" si="13"/>
        <v>26901.599952024186</v>
      </c>
      <c r="AA59" s="6">
        <f t="shared" si="14"/>
        <v>41370.115256941885</v>
      </c>
      <c r="AB59" s="1">
        <f t="shared" si="15"/>
        <v>0.4</v>
      </c>
      <c r="AC59" s="1">
        <f t="shared" si="18"/>
        <v>1.5</v>
      </c>
      <c r="AD59" s="1">
        <f t="shared" si="19"/>
        <v>1</v>
      </c>
      <c r="AE59" s="1">
        <f t="shared" si="16"/>
        <v>10</v>
      </c>
      <c r="AF59" s="33">
        <f t="shared" si="17"/>
        <v>2.4999999999999987</v>
      </c>
    </row>
    <row r="60" spans="4:32" ht="14.25" customHeight="1" outlineLevel="1" x14ac:dyDescent="0.2">
      <c r="D60" s="1">
        <v>37</v>
      </c>
      <c r="E60" s="6">
        <f t="shared" si="20"/>
        <v>113.03887552576285</v>
      </c>
      <c r="F60" s="6">
        <f t="shared" si="20"/>
        <v>4791.8836801253892</v>
      </c>
      <c r="G60" s="6">
        <f t="shared" si="20"/>
        <v>579.18161359718624</v>
      </c>
      <c r="H60" s="1">
        <v>0.4</v>
      </c>
      <c r="I60" s="1">
        <v>1.5</v>
      </c>
      <c r="J60" s="1">
        <v>1</v>
      </c>
      <c r="M60" s="1">
        <v>37</v>
      </c>
      <c r="N60" s="6">
        <f t="shared" si="11"/>
        <v>5651.9437762881425</v>
      </c>
      <c r="O60" s="6">
        <f t="shared" si="5"/>
        <v>250554.05124106858</v>
      </c>
      <c r="P60" s="6">
        <f t="shared" si="6"/>
        <v>43438.621019788967</v>
      </c>
      <c r="Q60" s="1">
        <v>0.4</v>
      </c>
      <c r="R60" s="1">
        <v>1.5</v>
      </c>
      <c r="S60" s="1">
        <v>1</v>
      </c>
      <c r="T60" s="1">
        <v>0.8</v>
      </c>
      <c r="U60" s="1">
        <v>10</v>
      </c>
      <c r="V60" s="5">
        <f t="shared" si="7"/>
        <v>2.4999999999999996</v>
      </c>
      <c r="X60" s="1">
        <v>37</v>
      </c>
      <c r="Y60" s="6">
        <f t="shared" si="12"/>
        <v>1130.3887552576284</v>
      </c>
      <c r="Z60" s="6">
        <f t="shared" si="13"/>
        <v>27839.339026785397</v>
      </c>
      <c r="AA60" s="6">
        <f t="shared" si="14"/>
        <v>43438.621019788967</v>
      </c>
      <c r="AB60" s="1">
        <f t="shared" si="15"/>
        <v>0.4</v>
      </c>
      <c r="AC60" s="1">
        <f t="shared" si="18"/>
        <v>1.5</v>
      </c>
      <c r="AD60" s="1">
        <f t="shared" si="19"/>
        <v>1</v>
      </c>
      <c r="AE60" s="1">
        <f t="shared" si="16"/>
        <v>10</v>
      </c>
      <c r="AF60" s="33">
        <f t="shared" si="17"/>
        <v>2.4999999999999996</v>
      </c>
    </row>
    <row r="61" spans="4:32" ht="14.25" customHeight="1" outlineLevel="1" x14ac:dyDescent="0.2">
      <c r="D61" s="1">
        <v>38</v>
      </c>
      <c r="E61" s="6">
        <f t="shared" si="20"/>
        <v>118.690819302051</v>
      </c>
      <c r="F61" s="6">
        <f t="shared" si="20"/>
        <v>5031.4778641316589</v>
      </c>
      <c r="G61" s="6">
        <f t="shared" si="20"/>
        <v>608.14069427704567</v>
      </c>
      <c r="H61" s="1">
        <v>0.4</v>
      </c>
      <c r="I61" s="1">
        <v>1.5</v>
      </c>
      <c r="J61" s="1">
        <v>1</v>
      </c>
      <c r="M61" s="1">
        <v>38</v>
      </c>
      <c r="N61" s="6">
        <f t="shared" si="11"/>
        <v>5934.5409651025502</v>
      </c>
      <c r="O61" s="6">
        <f t="shared" si="5"/>
        <v>259157.6190346746</v>
      </c>
      <c r="P61" s="6">
        <f t="shared" si="6"/>
        <v>45610.552070778424</v>
      </c>
      <c r="Q61" s="1">
        <v>0.4</v>
      </c>
      <c r="R61" s="1">
        <v>1.5</v>
      </c>
      <c r="S61" s="1">
        <v>1</v>
      </c>
      <c r="T61" s="1">
        <v>0.8</v>
      </c>
      <c r="U61" s="1">
        <v>10</v>
      </c>
      <c r="V61" s="5">
        <f t="shared" si="7"/>
        <v>2.4999999999999996</v>
      </c>
      <c r="X61" s="1">
        <v>38</v>
      </c>
      <c r="Y61" s="6">
        <f t="shared" si="12"/>
        <v>1186.90819302051</v>
      </c>
      <c r="Z61" s="6">
        <f t="shared" si="13"/>
        <v>28795.291003852733</v>
      </c>
      <c r="AA61" s="6">
        <f t="shared" si="14"/>
        <v>45610.552070778424</v>
      </c>
      <c r="AB61" s="1">
        <f t="shared" si="15"/>
        <v>0.4</v>
      </c>
      <c r="AC61" s="1">
        <f t="shared" si="18"/>
        <v>1.5</v>
      </c>
      <c r="AD61" s="1">
        <f t="shared" si="19"/>
        <v>1</v>
      </c>
      <c r="AE61" s="1">
        <f t="shared" si="16"/>
        <v>10</v>
      </c>
      <c r="AF61" s="33">
        <f t="shared" si="17"/>
        <v>2.4999999999999996</v>
      </c>
    </row>
    <row r="62" spans="4:32" ht="14.25" customHeight="1" outlineLevel="1" x14ac:dyDescent="0.2">
      <c r="D62" s="1">
        <v>39</v>
      </c>
      <c r="E62" s="6">
        <f t="shared" si="20"/>
        <v>124.62536026715352</v>
      </c>
      <c r="F62" s="6">
        <f t="shared" si="20"/>
        <v>5283.0517573382413</v>
      </c>
      <c r="G62" s="6">
        <f t="shared" si="20"/>
        <v>638.54772899089789</v>
      </c>
      <c r="H62" s="1">
        <v>0.4</v>
      </c>
      <c r="I62" s="1">
        <v>1.5</v>
      </c>
      <c r="J62" s="1">
        <v>1</v>
      </c>
      <c r="M62" s="1">
        <v>39</v>
      </c>
      <c r="N62" s="6">
        <f t="shared" si="11"/>
        <v>6231.2680133576769</v>
      </c>
      <c r="O62" s="6">
        <f t="shared" si="5"/>
        <v>267919.39221279277</v>
      </c>
      <c r="P62" s="6">
        <f t="shared" si="6"/>
        <v>47891.079674317341</v>
      </c>
      <c r="Q62" s="1">
        <v>0.4</v>
      </c>
      <c r="R62" s="1">
        <v>1.5</v>
      </c>
      <c r="S62" s="1">
        <v>1</v>
      </c>
      <c r="T62" s="1">
        <v>0.8</v>
      </c>
      <c r="U62" s="1">
        <v>10</v>
      </c>
      <c r="V62" s="5">
        <f t="shared" si="7"/>
        <v>2.4999999999999987</v>
      </c>
      <c r="X62" s="1">
        <v>39</v>
      </c>
      <c r="Y62" s="6">
        <f t="shared" si="12"/>
        <v>1246.2536026715354</v>
      </c>
      <c r="Z62" s="6">
        <f t="shared" si="13"/>
        <v>29768.821356976972</v>
      </c>
      <c r="AA62" s="6">
        <f t="shared" si="14"/>
        <v>47891.079674317341</v>
      </c>
      <c r="AB62" s="1">
        <f t="shared" si="15"/>
        <v>0.4</v>
      </c>
      <c r="AC62" s="1">
        <f t="shared" si="18"/>
        <v>1.5</v>
      </c>
      <c r="AD62" s="1">
        <f t="shared" si="19"/>
        <v>1</v>
      </c>
      <c r="AE62" s="1">
        <f t="shared" si="16"/>
        <v>10</v>
      </c>
      <c r="AF62" s="33">
        <f t="shared" si="17"/>
        <v>2.4999999999999987</v>
      </c>
    </row>
    <row r="63" spans="4:32" ht="14.25" customHeight="1" outlineLevel="1" x14ac:dyDescent="0.2">
      <c r="D63" s="1">
        <v>40</v>
      </c>
      <c r="E63" s="6">
        <f t="shared" si="20"/>
        <v>130.85662828051125</v>
      </c>
      <c r="F63" s="6">
        <f t="shared" si="20"/>
        <v>5547.2043452051548</v>
      </c>
      <c r="G63" s="6">
        <f t="shared" si="20"/>
        <v>670.47511544044289</v>
      </c>
      <c r="H63" s="1">
        <v>0.4</v>
      </c>
      <c r="I63" s="1">
        <v>1.5</v>
      </c>
      <c r="J63" s="1">
        <v>1</v>
      </c>
      <c r="M63" s="1">
        <v>40</v>
      </c>
      <c r="N63" s="6">
        <f t="shared" si="11"/>
        <v>6542.8314140255625</v>
      </c>
      <c r="O63" s="6">
        <f t="shared" si="5"/>
        <v>276833.06498681288</v>
      </c>
      <c r="P63" s="6">
        <f t="shared" si="6"/>
        <v>50285.633658033214</v>
      </c>
      <c r="Q63" s="1">
        <v>0.4</v>
      </c>
      <c r="R63" s="1">
        <v>1.5</v>
      </c>
      <c r="S63" s="1">
        <v>1</v>
      </c>
      <c r="T63" s="1">
        <v>0.8</v>
      </c>
      <c r="U63" s="1">
        <v>10</v>
      </c>
      <c r="V63" s="5">
        <f t="shared" si="7"/>
        <v>2.4999999999999991</v>
      </c>
      <c r="X63" s="1">
        <v>40</v>
      </c>
      <c r="Y63" s="6">
        <f t="shared" si="12"/>
        <v>1308.5662828051125</v>
      </c>
      <c r="Z63" s="6">
        <f t="shared" si="13"/>
        <v>30759.229442979209</v>
      </c>
      <c r="AA63" s="6">
        <f t="shared" si="14"/>
        <v>50285.633658033214</v>
      </c>
      <c r="AB63" s="1">
        <f t="shared" si="15"/>
        <v>0.4</v>
      </c>
      <c r="AC63" s="1">
        <f t="shared" si="18"/>
        <v>1.5</v>
      </c>
      <c r="AD63" s="1">
        <f t="shared" si="19"/>
        <v>1</v>
      </c>
      <c r="AE63" s="1">
        <f t="shared" si="16"/>
        <v>10</v>
      </c>
      <c r="AF63" s="33">
        <f t="shared" si="17"/>
        <v>2.4999999999999991</v>
      </c>
    </row>
    <row r="64" spans="4:32" ht="14.25" customHeight="1" outlineLevel="1" x14ac:dyDescent="0.2">
      <c r="D64" s="1">
        <v>41</v>
      </c>
      <c r="E64" s="6">
        <f t="shared" si="20"/>
        <v>137.39945969453677</v>
      </c>
      <c r="F64" s="6">
        <f t="shared" si="20"/>
        <v>5824.5645624654117</v>
      </c>
      <c r="G64" s="6">
        <f t="shared" si="20"/>
        <v>703.99887121246491</v>
      </c>
      <c r="H64" s="1">
        <v>0.4</v>
      </c>
      <c r="I64" s="1">
        <v>1.5</v>
      </c>
      <c r="J64" s="1">
        <v>1</v>
      </c>
      <c r="M64" s="1">
        <v>41</v>
      </c>
      <c r="N64" s="6">
        <f t="shared" si="11"/>
        <v>6869.9729847268391</v>
      </c>
      <c r="O64" s="6">
        <f t="shared" si="5"/>
        <v>285891.74359828752</v>
      </c>
      <c r="P64" s="6">
        <f t="shared" si="6"/>
        <v>52799.915340934866</v>
      </c>
      <c r="Q64" s="1">
        <v>0.4</v>
      </c>
      <c r="R64" s="1">
        <v>1.5</v>
      </c>
      <c r="S64" s="1">
        <v>1</v>
      </c>
      <c r="T64" s="1">
        <v>0.8</v>
      </c>
      <c r="U64" s="1">
        <v>10</v>
      </c>
      <c r="V64" s="5">
        <f t="shared" si="7"/>
        <v>2.4999999999999996</v>
      </c>
      <c r="X64" s="1">
        <v>41</v>
      </c>
      <c r="Y64" s="6">
        <f t="shared" si="12"/>
        <v>1373.9945969453679</v>
      </c>
      <c r="Z64" s="6">
        <f t="shared" si="13"/>
        <v>31765.749288698615</v>
      </c>
      <c r="AA64" s="6">
        <f t="shared" si="14"/>
        <v>52799.915340934866</v>
      </c>
      <c r="AB64" s="1">
        <f t="shared" si="15"/>
        <v>0.4</v>
      </c>
      <c r="AC64" s="1">
        <f t="shared" si="18"/>
        <v>1.5</v>
      </c>
      <c r="AD64" s="1">
        <f t="shared" si="19"/>
        <v>1</v>
      </c>
      <c r="AE64" s="1">
        <f t="shared" si="16"/>
        <v>10</v>
      </c>
      <c r="AF64" s="33">
        <f t="shared" si="17"/>
        <v>2.4999999999999996</v>
      </c>
    </row>
    <row r="65" spans="4:32" ht="14.25" customHeight="1" outlineLevel="1" x14ac:dyDescent="0.2">
      <c r="D65" s="1">
        <v>42</v>
      </c>
      <c r="E65" s="6">
        <f t="shared" si="20"/>
        <v>144.26943267926362</v>
      </c>
      <c r="F65" s="6">
        <f t="shared" si="20"/>
        <v>6115.7927905886827</v>
      </c>
      <c r="G65" s="6">
        <f t="shared" si="20"/>
        <v>739.1988147730882</v>
      </c>
      <c r="H65" s="1">
        <v>0.4</v>
      </c>
      <c r="I65" s="1">
        <v>1.5</v>
      </c>
      <c r="J65" s="1">
        <v>1</v>
      </c>
      <c r="M65" s="1">
        <v>42</v>
      </c>
      <c r="N65" s="6">
        <f t="shared" si="11"/>
        <v>7213.4716339631814</v>
      </c>
      <c r="O65" s="6">
        <f t="shared" si="5"/>
        <v>295087.95779966092</v>
      </c>
      <c r="P65" s="6">
        <f t="shared" si="6"/>
        <v>55439.911107981614</v>
      </c>
      <c r="Q65" s="1">
        <v>0.4</v>
      </c>
      <c r="R65" s="1">
        <v>1.5</v>
      </c>
      <c r="S65" s="1">
        <v>1</v>
      </c>
      <c r="T65" s="1">
        <v>0.8</v>
      </c>
      <c r="U65" s="1">
        <v>10</v>
      </c>
      <c r="V65" s="5">
        <f t="shared" si="7"/>
        <v>2.4999999999999991</v>
      </c>
      <c r="X65" s="1">
        <v>42</v>
      </c>
      <c r="Y65" s="6">
        <f t="shared" si="12"/>
        <v>1442.6943267926363</v>
      </c>
      <c r="Z65" s="6">
        <f t="shared" si="13"/>
        <v>32787.55086662899</v>
      </c>
      <c r="AA65" s="6">
        <f t="shared" si="14"/>
        <v>55439.911107981614</v>
      </c>
      <c r="AB65" s="1">
        <f t="shared" si="15"/>
        <v>0.4</v>
      </c>
      <c r="AC65" s="1">
        <f t="shared" si="18"/>
        <v>1.5</v>
      </c>
      <c r="AD65" s="1">
        <f t="shared" si="19"/>
        <v>1</v>
      </c>
      <c r="AE65" s="1">
        <f t="shared" si="16"/>
        <v>10</v>
      </c>
      <c r="AF65" s="33">
        <f t="shared" si="17"/>
        <v>2.4999999999999991</v>
      </c>
    </row>
    <row r="66" spans="4:32" ht="14.25" customHeight="1" outlineLevel="1" x14ac:dyDescent="0.2">
      <c r="D66" s="1">
        <v>43</v>
      </c>
      <c r="E66" s="6">
        <f t="shared" si="20"/>
        <v>151.48290431322681</v>
      </c>
      <c r="F66" s="6">
        <f t="shared" si="20"/>
        <v>6421.5824301181165</v>
      </c>
      <c r="G66" s="6">
        <f t="shared" si="20"/>
        <v>776.15875551174258</v>
      </c>
      <c r="H66" s="1">
        <v>0.4</v>
      </c>
      <c r="I66" s="1">
        <v>1.5</v>
      </c>
      <c r="J66" s="1">
        <v>1</v>
      </c>
      <c r="M66" s="1">
        <v>43</v>
      </c>
      <c r="N66" s="6">
        <f t="shared" si="11"/>
        <v>7574.1452156613414</v>
      </c>
      <c r="O66" s="6">
        <f t="shared" si="5"/>
        <v>304413.67683127284</v>
      </c>
      <c r="P66" s="6">
        <f t="shared" si="6"/>
        <v>58211.906663380694</v>
      </c>
      <c r="Q66" s="1">
        <v>0.4</v>
      </c>
      <c r="R66" s="1">
        <v>1.5</v>
      </c>
      <c r="S66" s="1">
        <v>1</v>
      </c>
      <c r="T66" s="1">
        <v>0.8</v>
      </c>
      <c r="U66" s="1">
        <v>10</v>
      </c>
      <c r="V66" s="5">
        <f t="shared" si="7"/>
        <v>2.4999999999999987</v>
      </c>
      <c r="X66" s="1">
        <v>43</v>
      </c>
      <c r="Y66" s="6">
        <f t="shared" si="12"/>
        <v>1514.8290431322682</v>
      </c>
      <c r="Z66" s="6">
        <f t="shared" si="13"/>
        <v>33823.741870141428</v>
      </c>
      <c r="AA66" s="6">
        <f t="shared" si="14"/>
        <v>58211.906663380694</v>
      </c>
      <c r="AB66" s="1">
        <f t="shared" si="15"/>
        <v>0.4</v>
      </c>
      <c r="AC66" s="1">
        <f t="shared" si="18"/>
        <v>1.5</v>
      </c>
      <c r="AD66" s="1">
        <f t="shared" si="19"/>
        <v>1</v>
      </c>
      <c r="AE66" s="1">
        <f t="shared" si="16"/>
        <v>10</v>
      </c>
      <c r="AF66" s="33">
        <f t="shared" si="17"/>
        <v>2.4999999999999987</v>
      </c>
    </row>
    <row r="67" spans="4:32" ht="14.25" customHeight="1" outlineLevel="1" x14ac:dyDescent="0.2">
      <c r="D67" s="1">
        <v>44</v>
      </c>
      <c r="E67" s="6">
        <f t="shared" si="20"/>
        <v>159.05704952888817</v>
      </c>
      <c r="F67" s="6">
        <f t="shared" si="20"/>
        <v>6742.6615516240226</v>
      </c>
      <c r="G67" s="6">
        <f t="shared" si="20"/>
        <v>814.9666932873298</v>
      </c>
      <c r="H67" s="1">
        <v>0.4</v>
      </c>
      <c r="I67" s="1">
        <v>1.5</v>
      </c>
      <c r="J67" s="1">
        <v>1</v>
      </c>
      <c r="M67" s="1">
        <v>44</v>
      </c>
      <c r="N67" s="6">
        <f t="shared" si="11"/>
        <v>7952.8524764444091</v>
      </c>
      <c r="O67" s="6">
        <f t="shared" si="5"/>
        <v>313860.3299386641</v>
      </c>
      <c r="P67" s="6">
        <f t="shared" si="6"/>
        <v>61122.501996549734</v>
      </c>
      <c r="Q67" s="1">
        <v>0.4</v>
      </c>
      <c r="R67" s="1">
        <v>1.5</v>
      </c>
      <c r="S67" s="1">
        <v>1</v>
      </c>
      <c r="T67" s="1">
        <v>0.8</v>
      </c>
      <c r="U67" s="1">
        <v>10</v>
      </c>
      <c r="V67" s="5">
        <f t="shared" si="7"/>
        <v>2.4999999999999991</v>
      </c>
      <c r="X67" s="1">
        <v>44</v>
      </c>
      <c r="Y67" s="6">
        <f t="shared" si="12"/>
        <v>1590.5704952888818</v>
      </c>
      <c r="Z67" s="6">
        <f t="shared" si="13"/>
        <v>34873.369993184897</v>
      </c>
      <c r="AA67" s="6">
        <f t="shared" si="14"/>
        <v>61122.501996549734</v>
      </c>
      <c r="AB67" s="1">
        <f t="shared" si="15"/>
        <v>0.4</v>
      </c>
      <c r="AC67" s="1">
        <f t="shared" si="18"/>
        <v>1.5</v>
      </c>
      <c r="AD67" s="1">
        <f t="shared" si="19"/>
        <v>1</v>
      </c>
      <c r="AE67" s="1">
        <f t="shared" si="16"/>
        <v>10</v>
      </c>
      <c r="AF67" s="33">
        <f t="shared" si="17"/>
        <v>2.4999999999999991</v>
      </c>
    </row>
    <row r="68" spans="4:32" ht="14.25" customHeight="1" outlineLevel="1" x14ac:dyDescent="0.2">
      <c r="D68" s="1">
        <v>45</v>
      </c>
      <c r="E68" s="6">
        <f t="shared" si="20"/>
        <v>167.00990200533255</v>
      </c>
      <c r="F68" s="6">
        <f t="shared" si="20"/>
        <v>7079.7946292052238</v>
      </c>
      <c r="G68" s="6">
        <f t="shared" si="20"/>
        <v>855.71502795169624</v>
      </c>
      <c r="H68" s="1">
        <v>0.4</v>
      </c>
      <c r="I68" s="1">
        <v>1.5</v>
      </c>
      <c r="J68" s="1">
        <v>1</v>
      </c>
      <c r="M68" s="1">
        <v>45</v>
      </c>
      <c r="N68" s="6">
        <f t="shared" si="11"/>
        <v>8350.4951002666276</v>
      </c>
      <c r="O68" s="6">
        <f t="shared" si="5"/>
        <v>323418.83141627791</v>
      </c>
      <c r="P68" s="6">
        <f t="shared" si="6"/>
        <v>64178.627096377219</v>
      </c>
      <c r="Q68" s="1">
        <v>0.4</v>
      </c>
      <c r="R68" s="1">
        <v>1.5</v>
      </c>
      <c r="S68" s="1">
        <v>1</v>
      </c>
      <c r="T68" s="1">
        <v>0.8</v>
      </c>
      <c r="U68" s="1">
        <v>10</v>
      </c>
      <c r="V68" s="5">
        <f t="shared" si="7"/>
        <v>2.4999999999999996</v>
      </c>
      <c r="X68" s="1">
        <v>45</v>
      </c>
      <c r="Y68" s="6">
        <f t="shared" si="12"/>
        <v>1670.0990200533256</v>
      </c>
      <c r="Z68" s="6">
        <f t="shared" si="13"/>
        <v>35935.425712919765</v>
      </c>
      <c r="AA68" s="6">
        <f t="shared" si="14"/>
        <v>64178.627096377219</v>
      </c>
      <c r="AB68" s="1">
        <f t="shared" si="15"/>
        <v>0.4</v>
      </c>
      <c r="AC68" s="1">
        <f t="shared" si="18"/>
        <v>1.5</v>
      </c>
      <c r="AD68" s="1">
        <f t="shared" si="19"/>
        <v>1</v>
      </c>
      <c r="AE68" s="1">
        <f t="shared" si="16"/>
        <v>10</v>
      </c>
      <c r="AF68" s="33">
        <f t="shared" si="17"/>
        <v>2.4999999999999996</v>
      </c>
    </row>
    <row r="69" spans="4:32" ht="14.25" customHeight="1" outlineLevel="1" x14ac:dyDescent="0.2">
      <c r="D69" s="1">
        <v>46</v>
      </c>
      <c r="E69" s="6">
        <f t="shared" si="20"/>
        <v>175.36039710559922</v>
      </c>
      <c r="F69" s="6">
        <f t="shared" si="20"/>
        <v>7433.784360665486</v>
      </c>
      <c r="G69" s="6">
        <f t="shared" si="20"/>
        <v>898.50077934928117</v>
      </c>
      <c r="H69" s="1">
        <v>0.4</v>
      </c>
      <c r="I69" s="1">
        <v>1.5</v>
      </c>
      <c r="J69" s="1">
        <v>1</v>
      </c>
      <c r="M69" s="1">
        <v>46</v>
      </c>
      <c r="N69" s="6">
        <f t="shared" si="11"/>
        <v>8768.0198552799611</v>
      </c>
      <c r="O69" s="6">
        <f t="shared" si="5"/>
        <v>333079.6101028425</v>
      </c>
      <c r="P69" s="6">
        <f t="shared" si="6"/>
        <v>67387.558451196091</v>
      </c>
      <c r="Q69" s="1">
        <v>0.4</v>
      </c>
      <c r="R69" s="1">
        <v>1.5</v>
      </c>
      <c r="S69" s="1">
        <v>1</v>
      </c>
      <c r="T69" s="1">
        <v>0.8</v>
      </c>
      <c r="U69" s="1">
        <v>10</v>
      </c>
      <c r="V69" s="5">
        <f t="shared" si="7"/>
        <v>2.4999999999999991</v>
      </c>
      <c r="X69" s="1">
        <v>46</v>
      </c>
      <c r="Y69" s="6">
        <f t="shared" si="12"/>
        <v>1753.6039710559921</v>
      </c>
      <c r="Z69" s="6">
        <f t="shared" si="13"/>
        <v>37008.845566982498</v>
      </c>
      <c r="AA69" s="6">
        <f t="shared" si="14"/>
        <v>67387.558451196091</v>
      </c>
      <c r="AB69" s="1">
        <f t="shared" si="15"/>
        <v>0.4</v>
      </c>
      <c r="AC69" s="1">
        <f t="shared" si="18"/>
        <v>1.5</v>
      </c>
      <c r="AD69" s="1">
        <f t="shared" si="19"/>
        <v>1</v>
      </c>
      <c r="AE69" s="1">
        <f t="shared" si="16"/>
        <v>10</v>
      </c>
      <c r="AF69" s="33">
        <f t="shared" si="17"/>
        <v>2.4999999999999991</v>
      </c>
    </row>
    <row r="70" spans="4:32" ht="14.25" customHeight="1" outlineLevel="1" x14ac:dyDescent="0.2">
      <c r="D70" s="1">
        <v>47</v>
      </c>
      <c r="E70" s="6">
        <f t="shared" si="20"/>
        <v>184.12841696087912</v>
      </c>
      <c r="F70" s="6">
        <f t="shared" si="20"/>
        <v>7805.4735786987585</v>
      </c>
      <c r="G70" s="6">
        <f t="shared" si="20"/>
        <v>943.42581831674511</v>
      </c>
      <c r="H70" s="1">
        <v>0.4</v>
      </c>
      <c r="I70" s="1">
        <v>1.5</v>
      </c>
      <c r="J70" s="1">
        <v>1</v>
      </c>
      <c r="M70" s="1">
        <v>47</v>
      </c>
      <c r="N70" s="6">
        <f t="shared" si="11"/>
        <v>9206.4208480439574</v>
      </c>
      <c r="O70" s="6">
        <f t="shared" si="5"/>
        <v>342832.64319116721</v>
      </c>
      <c r="P70" s="6">
        <f t="shared" si="6"/>
        <v>70756.936373755889</v>
      </c>
      <c r="Q70" s="1">
        <v>0.4</v>
      </c>
      <c r="R70" s="1">
        <v>1.5</v>
      </c>
      <c r="S70" s="1">
        <v>1</v>
      </c>
      <c r="T70" s="1">
        <v>0.8</v>
      </c>
      <c r="U70" s="1">
        <v>10</v>
      </c>
      <c r="V70" s="5">
        <f t="shared" si="7"/>
        <v>2.4999999999999991</v>
      </c>
      <c r="X70" s="1">
        <v>47</v>
      </c>
      <c r="Y70" s="6">
        <f t="shared" si="12"/>
        <v>1841.2841696087914</v>
      </c>
      <c r="Z70" s="6">
        <f t="shared" si="13"/>
        <v>38092.515910129689</v>
      </c>
      <c r="AA70" s="6">
        <f t="shared" si="14"/>
        <v>70756.936373755889</v>
      </c>
      <c r="AB70" s="1">
        <f t="shared" si="15"/>
        <v>0.4</v>
      </c>
      <c r="AC70" s="1">
        <f t="shared" si="18"/>
        <v>1.5</v>
      </c>
      <c r="AD70" s="1">
        <f t="shared" si="19"/>
        <v>1</v>
      </c>
      <c r="AE70" s="1">
        <f t="shared" si="16"/>
        <v>10</v>
      </c>
      <c r="AF70" s="33">
        <f t="shared" si="17"/>
        <v>2.4999999999999991</v>
      </c>
    </row>
    <row r="71" spans="4:32" ht="14.25" customHeight="1" outlineLevel="1" x14ac:dyDescent="0.2">
      <c r="D71" s="1">
        <v>48</v>
      </c>
      <c r="E71" s="6">
        <f t="shared" si="20"/>
        <v>193.33483780892314</v>
      </c>
      <c r="F71" s="6">
        <f t="shared" si="20"/>
        <v>8195.7472576336986</v>
      </c>
      <c r="G71" s="6">
        <f t="shared" si="20"/>
        <v>990.59710923258262</v>
      </c>
      <c r="H71" s="1">
        <v>0.4</v>
      </c>
      <c r="I71" s="1">
        <v>1.5</v>
      </c>
      <c r="J71" s="1">
        <v>1</v>
      </c>
      <c r="M71" s="1">
        <v>48</v>
      </c>
      <c r="N71" s="6">
        <f t="shared" si="11"/>
        <v>9666.7418904461574</v>
      </c>
      <c r="O71" s="6">
        <f t="shared" si="5"/>
        <v>352667.49415204301</v>
      </c>
      <c r="P71" s="6">
        <f t="shared" si="6"/>
        <v>74294.78319244369</v>
      </c>
      <c r="Q71" s="1">
        <v>0.4</v>
      </c>
      <c r="R71" s="1">
        <v>1.5</v>
      </c>
      <c r="S71" s="1">
        <v>1</v>
      </c>
      <c r="T71" s="1">
        <v>0.8</v>
      </c>
      <c r="U71" s="1">
        <v>10</v>
      </c>
      <c r="V71" s="5">
        <f t="shared" si="7"/>
        <v>2.4999999999999991</v>
      </c>
      <c r="X71" s="1">
        <v>48</v>
      </c>
      <c r="Y71" s="6">
        <f t="shared" si="12"/>
        <v>1933.3483780892316</v>
      </c>
      <c r="Z71" s="6">
        <f t="shared" si="13"/>
        <v>39185.277128004782</v>
      </c>
      <c r="AA71" s="6">
        <f t="shared" si="14"/>
        <v>74294.78319244369</v>
      </c>
      <c r="AB71" s="1">
        <f t="shared" si="15"/>
        <v>0.4</v>
      </c>
      <c r="AC71" s="1">
        <f t="shared" si="18"/>
        <v>1.5</v>
      </c>
      <c r="AD71" s="1">
        <f t="shared" si="19"/>
        <v>1</v>
      </c>
      <c r="AE71" s="1">
        <f t="shared" si="16"/>
        <v>10</v>
      </c>
      <c r="AF71" s="33">
        <f t="shared" si="17"/>
        <v>2.4999999999999991</v>
      </c>
    </row>
    <row r="72" spans="4:32" ht="14.25" customHeight="1" outlineLevel="1" x14ac:dyDescent="0.2">
      <c r="D72" s="1">
        <v>49</v>
      </c>
      <c r="E72" s="6">
        <f t="shared" si="20"/>
        <v>203.0015796993693</v>
      </c>
      <c r="F72" s="6">
        <f t="shared" si="20"/>
        <v>8605.5346205153837</v>
      </c>
      <c r="G72" s="6">
        <f t="shared" si="20"/>
        <v>1040.1269646942117</v>
      </c>
      <c r="H72" s="1">
        <v>0.4</v>
      </c>
      <c r="I72" s="1">
        <v>1.5</v>
      </c>
      <c r="J72" s="1">
        <v>1</v>
      </c>
      <c r="M72" s="1">
        <v>49</v>
      </c>
      <c r="N72" s="6">
        <f t="shared" si="11"/>
        <v>10150.078984968466</v>
      </c>
      <c r="O72" s="6">
        <f t="shared" si="5"/>
        <v>362573.35450974182</v>
      </c>
      <c r="P72" s="6">
        <f t="shared" si="6"/>
        <v>78009.522352065876</v>
      </c>
      <c r="Q72" s="1">
        <v>0.4</v>
      </c>
      <c r="R72" s="1">
        <v>1.5</v>
      </c>
      <c r="S72" s="1">
        <v>1</v>
      </c>
      <c r="T72" s="1">
        <v>0.8</v>
      </c>
      <c r="U72" s="1">
        <v>10</v>
      </c>
      <c r="V72" s="5">
        <f t="shared" si="7"/>
        <v>2.4999999999999991</v>
      </c>
      <c r="X72" s="1">
        <v>49</v>
      </c>
      <c r="Y72" s="6">
        <f t="shared" si="12"/>
        <v>2030.0157969936931</v>
      </c>
      <c r="Z72" s="6">
        <f t="shared" si="13"/>
        <v>40285.928278860199</v>
      </c>
      <c r="AA72" s="6">
        <f t="shared" si="14"/>
        <v>78009.522352065876</v>
      </c>
      <c r="AB72" s="1">
        <f t="shared" si="15"/>
        <v>0.4</v>
      </c>
      <c r="AC72" s="1">
        <f t="shared" si="18"/>
        <v>1.5</v>
      </c>
      <c r="AD72" s="1">
        <f t="shared" si="19"/>
        <v>1</v>
      </c>
      <c r="AE72" s="1">
        <f t="shared" si="16"/>
        <v>10</v>
      </c>
      <c r="AF72" s="33">
        <f t="shared" si="17"/>
        <v>2.4999999999999991</v>
      </c>
    </row>
    <row r="73" spans="4:32" ht="14.25" customHeight="1" outlineLevel="1" x14ac:dyDescent="0.2">
      <c r="D73" s="1">
        <v>50</v>
      </c>
      <c r="E73" s="6">
        <f t="shared" si="20"/>
        <v>213.15165868433778</v>
      </c>
      <c r="F73" s="6">
        <f t="shared" si="20"/>
        <v>9035.8113515411533</v>
      </c>
      <c r="G73" s="6">
        <f t="shared" si="20"/>
        <v>1092.1333129289224</v>
      </c>
      <c r="H73" s="1">
        <v>0.4</v>
      </c>
      <c r="I73" s="1">
        <v>1.5</v>
      </c>
      <c r="J73" s="1">
        <v>1</v>
      </c>
      <c r="M73" s="1">
        <v>50</v>
      </c>
      <c r="N73" s="6">
        <f t="shared" si="11"/>
        <v>10657.582934216891</v>
      </c>
      <c r="O73" s="6">
        <f t="shared" si="5"/>
        <v>372539.08914664778</v>
      </c>
      <c r="P73" s="6">
        <f t="shared" si="6"/>
        <v>81909.998469669183</v>
      </c>
      <c r="Q73" s="1">
        <v>0.4</v>
      </c>
      <c r="R73" s="1">
        <v>1.5</v>
      </c>
      <c r="S73" s="1">
        <v>1</v>
      </c>
      <c r="T73" s="1">
        <v>0.8</v>
      </c>
      <c r="U73" s="1">
        <v>10</v>
      </c>
      <c r="V73" s="5">
        <f t="shared" si="7"/>
        <v>2.4999999999999987</v>
      </c>
      <c r="X73" s="1">
        <v>50</v>
      </c>
      <c r="Y73" s="6">
        <f t="shared" si="12"/>
        <v>2131.5165868433783</v>
      </c>
      <c r="Z73" s="6">
        <f t="shared" si="13"/>
        <v>41393.23212740531</v>
      </c>
      <c r="AA73" s="6">
        <f t="shared" si="14"/>
        <v>81909.998469669183</v>
      </c>
      <c r="AB73" s="1">
        <f t="shared" si="15"/>
        <v>0.4</v>
      </c>
      <c r="AC73" s="1">
        <f t="shared" si="18"/>
        <v>1.5</v>
      </c>
      <c r="AD73" s="1">
        <f t="shared" si="19"/>
        <v>1</v>
      </c>
      <c r="AE73" s="1">
        <f t="shared" si="16"/>
        <v>10</v>
      </c>
      <c r="AF73" s="33">
        <f t="shared" si="17"/>
        <v>2.4999999999999987</v>
      </c>
    </row>
    <row r="74" spans="4:32" ht="14.25" customHeight="1" outlineLevel="1" x14ac:dyDescent="0.2">
      <c r="D74" s="1">
        <v>51</v>
      </c>
      <c r="E74" s="6">
        <f t="shared" si="20"/>
        <v>223.80924161855467</v>
      </c>
      <c r="F74" s="6">
        <f t="shared" si="20"/>
        <v>9487.6019191182113</v>
      </c>
      <c r="G74" s="6">
        <f t="shared" si="20"/>
        <v>1146.7399785753685</v>
      </c>
      <c r="H74" s="1">
        <v>0.4</v>
      </c>
      <c r="I74" s="1">
        <v>1.5</v>
      </c>
      <c r="J74" s="1">
        <v>1</v>
      </c>
      <c r="M74" s="1">
        <v>51</v>
      </c>
      <c r="N74" s="6">
        <f t="shared" si="11"/>
        <v>11190.462080927735</v>
      </c>
      <c r="O74" s="6">
        <f t="shared" si="5"/>
        <v>382553.2847581997</v>
      </c>
      <c r="P74" s="6">
        <f t="shared" si="6"/>
        <v>86005.498393152637</v>
      </c>
      <c r="Q74" s="1">
        <v>0.4</v>
      </c>
      <c r="R74" s="1">
        <v>1.5</v>
      </c>
      <c r="S74" s="1">
        <v>1</v>
      </c>
      <c r="T74" s="1">
        <v>0.8</v>
      </c>
      <c r="U74" s="1">
        <v>10</v>
      </c>
      <c r="V74" s="5">
        <f t="shared" si="7"/>
        <v>2.4999999999999991</v>
      </c>
      <c r="X74" s="1">
        <v>51</v>
      </c>
      <c r="Y74" s="6">
        <f t="shared" si="12"/>
        <v>2238.0924161855469</v>
      </c>
      <c r="Z74" s="6">
        <f t="shared" si="13"/>
        <v>42505.920528688854</v>
      </c>
      <c r="AA74" s="6">
        <f t="shared" si="14"/>
        <v>86005.498393152637</v>
      </c>
      <c r="AB74" s="1">
        <f t="shared" si="15"/>
        <v>0.4</v>
      </c>
      <c r="AC74" s="1">
        <f t="shared" si="18"/>
        <v>1.5</v>
      </c>
      <c r="AD74" s="1">
        <f t="shared" si="19"/>
        <v>1</v>
      </c>
      <c r="AE74" s="1">
        <f t="shared" si="16"/>
        <v>10</v>
      </c>
      <c r="AF74" s="33">
        <f t="shared" si="17"/>
        <v>2.4999999999999991</v>
      </c>
    </row>
    <row r="75" spans="4:32" ht="14.25" customHeight="1" outlineLevel="1" x14ac:dyDescent="0.2">
      <c r="D75" s="1">
        <v>52</v>
      </c>
      <c r="E75" s="6">
        <f t="shared" si="20"/>
        <v>234.99970369948238</v>
      </c>
      <c r="F75" s="6">
        <f t="shared" si="20"/>
        <v>9961.9820150741216</v>
      </c>
      <c r="G75" s="6">
        <f t="shared" si="20"/>
        <v>1204.0769775041369</v>
      </c>
      <c r="H75" s="1">
        <v>0.4</v>
      </c>
      <c r="I75" s="1">
        <v>1.5</v>
      </c>
      <c r="J75" s="1">
        <v>1</v>
      </c>
      <c r="M75" s="1">
        <v>52</v>
      </c>
      <c r="N75" s="6">
        <f t="shared" si="11"/>
        <v>11749.985184974121</v>
      </c>
      <c r="O75" s="6">
        <f t="shared" si="5"/>
        <v>392604.3010279318</v>
      </c>
      <c r="P75" s="6">
        <f t="shared" si="6"/>
        <v>90305.77331281027</v>
      </c>
      <c r="Q75" s="1">
        <v>0.4</v>
      </c>
      <c r="R75" s="1">
        <v>1.5</v>
      </c>
      <c r="S75" s="1">
        <v>1</v>
      </c>
      <c r="T75" s="1">
        <v>0.8</v>
      </c>
      <c r="U75" s="1">
        <v>10</v>
      </c>
      <c r="V75" s="5">
        <f t="shared" si="7"/>
        <v>2.4999999999999991</v>
      </c>
      <c r="X75" s="1">
        <v>52</v>
      </c>
      <c r="Y75" s="6">
        <f t="shared" si="12"/>
        <v>2349.9970369948242</v>
      </c>
      <c r="Z75" s="6">
        <f t="shared" si="13"/>
        <v>43622.700114214647</v>
      </c>
      <c r="AA75" s="6">
        <f t="shared" si="14"/>
        <v>90305.77331281027</v>
      </c>
      <c r="AB75" s="1">
        <f t="shared" si="15"/>
        <v>0.4</v>
      </c>
      <c r="AC75" s="1">
        <f t="shared" si="18"/>
        <v>1.5</v>
      </c>
      <c r="AD75" s="1">
        <f t="shared" si="19"/>
        <v>1</v>
      </c>
      <c r="AE75" s="1">
        <f t="shared" si="16"/>
        <v>10</v>
      </c>
      <c r="AF75" s="33">
        <f t="shared" si="17"/>
        <v>2.4999999999999991</v>
      </c>
    </row>
    <row r="76" spans="4:32" ht="14.25" customHeight="1" outlineLevel="1" x14ac:dyDescent="0.2">
      <c r="D76" s="1">
        <v>53</v>
      </c>
      <c r="E76" s="6">
        <f t="shared" si="20"/>
        <v>246.7496888844565</v>
      </c>
      <c r="F76" s="6">
        <f t="shared" si="20"/>
        <v>10460.081115827827</v>
      </c>
      <c r="G76" s="6">
        <f t="shared" si="20"/>
        <v>1264.2808263793438</v>
      </c>
      <c r="H76" s="1">
        <v>0.4</v>
      </c>
      <c r="I76" s="1">
        <v>1.5</v>
      </c>
      <c r="J76" s="1">
        <v>1</v>
      </c>
      <c r="M76" s="1">
        <v>53</v>
      </c>
      <c r="N76" s="6">
        <f t="shared" si="11"/>
        <v>12337.484444222826</v>
      </c>
      <c r="O76" s="6">
        <f t="shared" si="5"/>
        <v>402680.32404723339</v>
      </c>
      <c r="P76" s="6">
        <f t="shared" si="6"/>
        <v>94821.061978450787</v>
      </c>
      <c r="Q76" s="1">
        <v>0.4</v>
      </c>
      <c r="R76" s="1">
        <v>1.5</v>
      </c>
      <c r="S76" s="1">
        <v>1</v>
      </c>
      <c r="T76" s="1">
        <v>0.8</v>
      </c>
      <c r="U76" s="1">
        <v>10</v>
      </c>
      <c r="V76" s="5">
        <f t="shared" si="7"/>
        <v>2.4999999999999996</v>
      </c>
      <c r="X76" s="1">
        <v>53</v>
      </c>
      <c r="Y76" s="6">
        <f t="shared" si="12"/>
        <v>2467.4968888445651</v>
      </c>
      <c r="Z76" s="6">
        <f t="shared" si="13"/>
        <v>44742.258227470375</v>
      </c>
      <c r="AA76" s="6">
        <f t="shared" si="14"/>
        <v>94821.061978450787</v>
      </c>
      <c r="AB76" s="1">
        <f t="shared" si="15"/>
        <v>0.4</v>
      </c>
      <c r="AC76" s="1">
        <f t="shared" si="18"/>
        <v>1.5</v>
      </c>
      <c r="AD76" s="1">
        <f t="shared" si="19"/>
        <v>1</v>
      </c>
      <c r="AE76" s="1">
        <f t="shared" si="16"/>
        <v>10</v>
      </c>
      <c r="AF76" s="33">
        <f t="shared" si="17"/>
        <v>2.4999999999999996</v>
      </c>
    </row>
    <row r="77" spans="4:32" ht="14.25" customHeight="1" outlineLevel="1" x14ac:dyDescent="0.2">
      <c r="D77" s="1">
        <v>54</v>
      </c>
      <c r="E77" s="6">
        <f t="shared" si="20"/>
        <v>259.08717332867928</v>
      </c>
      <c r="F77" s="6">
        <f t="shared" si="20"/>
        <v>10983.085171619217</v>
      </c>
      <c r="G77" s="6">
        <f t="shared" si="20"/>
        <v>1327.4948676983108</v>
      </c>
      <c r="H77" s="1">
        <v>0.4</v>
      </c>
      <c r="I77" s="1">
        <v>1.5</v>
      </c>
      <c r="J77" s="1">
        <v>1</v>
      </c>
      <c r="M77" s="1">
        <v>54</v>
      </c>
      <c r="N77" s="6">
        <f t="shared" si="11"/>
        <v>12954.358666433965</v>
      </c>
      <c r="O77" s="6">
        <f t="shared" si="5"/>
        <v>412769.42146662856</v>
      </c>
      <c r="P77" s="6">
        <f t="shared" si="6"/>
        <v>99562.11507737331</v>
      </c>
      <c r="Q77" s="1">
        <v>0.4</v>
      </c>
      <c r="R77" s="1">
        <v>1.5</v>
      </c>
      <c r="S77" s="1">
        <v>1</v>
      </c>
      <c r="T77" s="1">
        <v>0.8</v>
      </c>
      <c r="U77" s="1">
        <v>10</v>
      </c>
      <c r="V77" s="5">
        <f t="shared" si="7"/>
        <v>2.4999999999999996</v>
      </c>
      <c r="X77" s="1">
        <v>54</v>
      </c>
      <c r="Y77" s="6">
        <f t="shared" si="12"/>
        <v>2590.8717332867932</v>
      </c>
      <c r="Z77" s="6">
        <f t="shared" si="13"/>
        <v>45863.269051847616</v>
      </c>
      <c r="AA77" s="6">
        <f t="shared" si="14"/>
        <v>99562.11507737331</v>
      </c>
      <c r="AB77" s="1">
        <f t="shared" si="15"/>
        <v>0.4</v>
      </c>
      <c r="AC77" s="1">
        <f t="shared" si="18"/>
        <v>1.5</v>
      </c>
      <c r="AD77" s="1">
        <f t="shared" si="19"/>
        <v>1</v>
      </c>
      <c r="AE77" s="1">
        <f t="shared" si="16"/>
        <v>10</v>
      </c>
      <c r="AF77" s="33">
        <f t="shared" si="17"/>
        <v>2.4999999999999996</v>
      </c>
    </row>
    <row r="78" spans="4:32" ht="14.25" customHeight="1" outlineLevel="1" x14ac:dyDescent="0.2">
      <c r="D78" s="1">
        <v>55</v>
      </c>
      <c r="E78" s="6">
        <f t="shared" si="20"/>
        <v>272.04153199511325</v>
      </c>
      <c r="F78" s="6">
        <f t="shared" si="20"/>
        <v>11532.239430200178</v>
      </c>
      <c r="G78" s="6">
        <f t="shared" si="20"/>
        <v>1393.8696110832263</v>
      </c>
      <c r="H78" s="1">
        <v>0.4</v>
      </c>
      <c r="I78" s="1">
        <v>1.5</v>
      </c>
      <c r="J78" s="1">
        <v>1</v>
      </c>
      <c r="M78" s="1">
        <v>55</v>
      </c>
      <c r="N78" s="6">
        <f t="shared" si="11"/>
        <v>13602.076599755663</v>
      </c>
      <c r="O78" s="6">
        <f t="shared" si="5"/>
        <v>422859.59883588023</v>
      </c>
      <c r="P78" s="6">
        <f t="shared" si="6"/>
        <v>104540.22083124198</v>
      </c>
      <c r="Q78" s="1">
        <v>0.4</v>
      </c>
      <c r="R78" s="1">
        <v>1.5</v>
      </c>
      <c r="S78" s="1">
        <v>1</v>
      </c>
      <c r="T78" s="1">
        <v>0.8</v>
      </c>
      <c r="U78" s="1">
        <v>10</v>
      </c>
      <c r="V78" s="5">
        <f t="shared" si="7"/>
        <v>2.4999999999999987</v>
      </c>
      <c r="X78" s="1">
        <v>55</v>
      </c>
      <c r="Y78" s="6">
        <f t="shared" si="12"/>
        <v>2720.4153199511325</v>
      </c>
      <c r="Z78" s="6">
        <f t="shared" si="13"/>
        <v>46984.39987065336</v>
      </c>
      <c r="AA78" s="6">
        <f t="shared" si="14"/>
        <v>104540.22083124198</v>
      </c>
      <c r="AB78" s="1">
        <f t="shared" si="15"/>
        <v>0.4</v>
      </c>
      <c r="AC78" s="1">
        <f t="shared" si="18"/>
        <v>1.5</v>
      </c>
      <c r="AD78" s="1">
        <f t="shared" si="19"/>
        <v>1</v>
      </c>
      <c r="AE78" s="1">
        <f t="shared" si="16"/>
        <v>10</v>
      </c>
      <c r="AF78" s="33">
        <f t="shared" si="17"/>
        <v>2.4999999999999987</v>
      </c>
    </row>
    <row r="79" spans="4:32" ht="14.25" customHeight="1" outlineLevel="1" x14ac:dyDescent="0.2">
      <c r="D79" s="1">
        <v>56</v>
      </c>
      <c r="E79" s="6">
        <f t="shared" si="20"/>
        <v>285.64360859486897</v>
      </c>
      <c r="F79" s="6">
        <f t="shared" si="20"/>
        <v>12108.85140171019</v>
      </c>
      <c r="G79" s="6">
        <f t="shared" si="20"/>
        <v>1463.563091637388</v>
      </c>
      <c r="H79" s="1">
        <v>0.4</v>
      </c>
      <c r="I79" s="1">
        <v>1.5</v>
      </c>
      <c r="J79" s="1">
        <v>1</v>
      </c>
      <c r="M79" s="1">
        <v>56</v>
      </c>
      <c r="N79" s="6">
        <f t="shared" si="11"/>
        <v>14282.180429743448</v>
      </c>
      <c r="O79" s="6">
        <f t="shared" si="5"/>
        <v>432938.85656981199</v>
      </c>
      <c r="P79" s="6">
        <f t="shared" si="6"/>
        <v>109767.2318728041</v>
      </c>
      <c r="Q79" s="1">
        <v>0.4</v>
      </c>
      <c r="R79" s="1">
        <v>1.5</v>
      </c>
      <c r="S79" s="1">
        <v>1</v>
      </c>
      <c r="T79" s="1">
        <v>0.8</v>
      </c>
      <c r="U79" s="1">
        <v>10</v>
      </c>
      <c r="V79" s="5">
        <f t="shared" si="7"/>
        <v>2.4999999999999996</v>
      </c>
      <c r="X79" s="1">
        <v>56</v>
      </c>
      <c r="Y79" s="6">
        <f t="shared" si="12"/>
        <v>2856.4360859486897</v>
      </c>
      <c r="Z79" s="6">
        <f t="shared" si="13"/>
        <v>48104.317396645776</v>
      </c>
      <c r="AA79" s="6">
        <f t="shared" si="14"/>
        <v>109767.2318728041</v>
      </c>
      <c r="AB79" s="1">
        <f t="shared" si="15"/>
        <v>0.4</v>
      </c>
      <c r="AC79" s="1">
        <f t="shared" si="18"/>
        <v>1.5</v>
      </c>
      <c r="AD79" s="1">
        <f t="shared" si="19"/>
        <v>1</v>
      </c>
      <c r="AE79" s="1">
        <f t="shared" si="16"/>
        <v>10</v>
      </c>
      <c r="AF79" s="33">
        <f t="shared" si="17"/>
        <v>2.4999999999999996</v>
      </c>
    </row>
    <row r="80" spans="4:32" ht="14.25" customHeight="1" outlineLevel="1" x14ac:dyDescent="0.2">
      <c r="D80" s="1">
        <v>57</v>
      </c>
      <c r="E80" s="6">
        <f t="shared" si="20"/>
        <v>299.92578902461241</v>
      </c>
      <c r="F80" s="6">
        <f t="shared" si="20"/>
        <v>12714.293971795696</v>
      </c>
      <c r="G80" s="6">
        <f t="shared" si="20"/>
        <v>1536.7412462192569</v>
      </c>
      <c r="H80" s="1">
        <v>0.4</v>
      </c>
      <c r="I80" s="1">
        <v>1.5</v>
      </c>
      <c r="J80" s="1">
        <v>1</v>
      </c>
      <c r="M80" s="1">
        <v>57</v>
      </c>
      <c r="N80" s="6">
        <f t="shared" si="11"/>
        <v>14996.289451230623</v>
      </c>
      <c r="O80" s="6">
        <f t="shared" si="5"/>
        <v>442995.24696594122</v>
      </c>
      <c r="P80" s="6">
        <f t="shared" si="6"/>
        <v>115255.59346644428</v>
      </c>
      <c r="Q80" s="1">
        <v>0.4</v>
      </c>
      <c r="R80" s="1">
        <v>1.5</v>
      </c>
      <c r="S80" s="1">
        <v>1</v>
      </c>
      <c r="T80" s="1">
        <v>0.8</v>
      </c>
      <c r="U80" s="1">
        <v>10</v>
      </c>
      <c r="V80" s="5">
        <f t="shared" si="7"/>
        <v>2.4999999999999991</v>
      </c>
      <c r="X80" s="1">
        <v>57</v>
      </c>
      <c r="Y80" s="6">
        <f t="shared" si="12"/>
        <v>2999.2578902461246</v>
      </c>
      <c r="Z80" s="6">
        <f t="shared" si="13"/>
        <v>49221.694107326803</v>
      </c>
      <c r="AA80" s="6">
        <f t="shared" si="14"/>
        <v>115255.59346644428</v>
      </c>
      <c r="AB80" s="1">
        <f t="shared" si="15"/>
        <v>0.4</v>
      </c>
      <c r="AC80" s="1">
        <f t="shared" si="18"/>
        <v>1.5</v>
      </c>
      <c r="AD80" s="1">
        <f t="shared" si="19"/>
        <v>1</v>
      </c>
      <c r="AE80" s="1">
        <f t="shared" si="16"/>
        <v>10</v>
      </c>
      <c r="AF80" s="33">
        <f t="shared" si="17"/>
        <v>2.4999999999999991</v>
      </c>
    </row>
    <row r="81" spans="4:32" ht="14.25" customHeight="1" outlineLevel="1" x14ac:dyDescent="0.2">
      <c r="D81" s="1">
        <v>58</v>
      </c>
      <c r="E81" s="6">
        <f t="shared" si="20"/>
        <v>314.92207847584302</v>
      </c>
      <c r="F81" s="6">
        <f t="shared" si="20"/>
        <v>13350.008670385483</v>
      </c>
      <c r="G81" s="6">
        <f t="shared" si="20"/>
        <v>1613.5783085302201</v>
      </c>
      <c r="H81" s="1">
        <v>0.4</v>
      </c>
      <c r="I81" s="1">
        <v>1.5</v>
      </c>
      <c r="J81" s="1">
        <v>1</v>
      </c>
      <c r="M81" s="1">
        <v>58</v>
      </c>
      <c r="N81" s="6">
        <f t="shared" si="11"/>
        <v>15746.103923792152</v>
      </c>
      <c r="O81" s="6">
        <f t="shared" si="5"/>
        <v>453016.93069912581</v>
      </c>
      <c r="P81" s="6">
        <f t="shared" si="6"/>
        <v>121018.37313976651</v>
      </c>
      <c r="Q81" s="1">
        <v>0.4</v>
      </c>
      <c r="R81" s="1">
        <v>1.5</v>
      </c>
      <c r="S81" s="1">
        <v>1</v>
      </c>
      <c r="T81" s="1">
        <v>0.8</v>
      </c>
      <c r="U81" s="1">
        <v>10</v>
      </c>
      <c r="V81" s="5">
        <f t="shared" si="7"/>
        <v>2.4999999999999991</v>
      </c>
      <c r="X81" s="1">
        <v>58</v>
      </c>
      <c r="Y81" s="6">
        <f t="shared" si="12"/>
        <v>3149.2207847584305</v>
      </c>
      <c r="Z81" s="6">
        <f t="shared" si="13"/>
        <v>50335.21452212509</v>
      </c>
      <c r="AA81" s="6">
        <f t="shared" si="14"/>
        <v>121018.37313976651</v>
      </c>
      <c r="AB81" s="1">
        <f t="shared" si="15"/>
        <v>0.4</v>
      </c>
      <c r="AC81" s="1">
        <f t="shared" si="18"/>
        <v>1.5</v>
      </c>
      <c r="AD81" s="1">
        <f t="shared" si="19"/>
        <v>1</v>
      </c>
      <c r="AE81" s="1">
        <f t="shared" si="16"/>
        <v>10</v>
      </c>
      <c r="AF81" s="33">
        <f t="shared" si="17"/>
        <v>2.4999999999999991</v>
      </c>
    </row>
    <row r="82" spans="4:32" ht="14.25" customHeight="1" outlineLevel="1" x14ac:dyDescent="0.2">
      <c r="D82" s="1">
        <v>59</v>
      </c>
      <c r="E82" s="6">
        <f t="shared" si="20"/>
        <v>330.66818239963521</v>
      </c>
      <c r="F82" s="6">
        <f t="shared" si="20"/>
        <v>14017.509103904758</v>
      </c>
      <c r="G82" s="6">
        <f t="shared" si="20"/>
        <v>1694.2572239567312</v>
      </c>
      <c r="H82" s="1">
        <v>0.4</v>
      </c>
      <c r="I82" s="1">
        <v>1.5</v>
      </c>
      <c r="J82" s="1">
        <v>1</v>
      </c>
      <c r="M82" s="1">
        <v>59</v>
      </c>
      <c r="N82" s="6">
        <f t="shared" si="11"/>
        <v>16533.409119981763</v>
      </c>
      <c r="O82" s="6">
        <f t="shared" si="5"/>
        <v>462992.23222744977</v>
      </c>
      <c r="P82" s="6">
        <f t="shared" si="6"/>
        <v>127069.29179675484</v>
      </c>
      <c r="Q82" s="1">
        <v>0.4</v>
      </c>
      <c r="R82" s="1">
        <v>1.5</v>
      </c>
      <c r="S82" s="1">
        <v>1</v>
      </c>
      <c r="T82" s="1">
        <v>0.8</v>
      </c>
      <c r="U82" s="1">
        <v>10</v>
      </c>
      <c r="V82" s="5">
        <f t="shared" si="7"/>
        <v>2.4999999999999996</v>
      </c>
      <c r="X82" s="1">
        <v>59</v>
      </c>
      <c r="Y82" s="6">
        <f t="shared" si="12"/>
        <v>3306.6818239963527</v>
      </c>
      <c r="Z82" s="6">
        <f t="shared" si="13"/>
        <v>51443.58135860553</v>
      </c>
      <c r="AA82" s="6">
        <f t="shared" si="14"/>
        <v>127069.29179675484</v>
      </c>
      <c r="AB82" s="1">
        <f t="shared" si="15"/>
        <v>0.4</v>
      </c>
      <c r="AC82" s="1">
        <f t="shared" si="18"/>
        <v>1.5</v>
      </c>
      <c r="AD82" s="1">
        <f t="shared" si="19"/>
        <v>1</v>
      </c>
      <c r="AE82" s="1">
        <f t="shared" si="16"/>
        <v>10</v>
      </c>
      <c r="AF82" s="33">
        <f t="shared" si="17"/>
        <v>2.4999999999999996</v>
      </c>
    </row>
    <row r="83" spans="4:32" ht="14.25" customHeight="1" outlineLevel="1" x14ac:dyDescent="0.2">
      <c r="D83" s="1">
        <v>60</v>
      </c>
      <c r="E83" s="6">
        <f t="shared" si="20"/>
        <v>347.20159151961701</v>
      </c>
      <c r="F83" s="6">
        <f t="shared" si="20"/>
        <v>14718.384559099997</v>
      </c>
      <c r="G83" s="6">
        <f t="shared" si="20"/>
        <v>1778.9700851545679</v>
      </c>
      <c r="H83" s="1">
        <v>0.4</v>
      </c>
      <c r="I83" s="1">
        <v>1.5</v>
      </c>
      <c r="J83" s="1">
        <v>1</v>
      </c>
      <c r="M83" s="1">
        <v>60</v>
      </c>
      <c r="N83" s="6">
        <f t="shared" si="11"/>
        <v>17360.07957598085</v>
      </c>
      <c r="O83" s="6">
        <f t="shared" si="5"/>
        <v>472909.69356229604</v>
      </c>
      <c r="P83" s="6">
        <f t="shared" si="6"/>
        <v>133422.75638659258</v>
      </c>
      <c r="Q83" s="1">
        <v>0.4</v>
      </c>
      <c r="R83" s="1">
        <v>1.5</v>
      </c>
      <c r="S83" s="1">
        <v>1</v>
      </c>
      <c r="T83" s="1">
        <v>0.8</v>
      </c>
      <c r="U83" s="1">
        <v>10</v>
      </c>
      <c r="V83" s="5">
        <f t="shared" si="7"/>
        <v>2.4999999999999996</v>
      </c>
      <c r="X83" s="1">
        <v>60</v>
      </c>
      <c r="Y83" s="6">
        <f t="shared" si="12"/>
        <v>3472.0159151961698</v>
      </c>
      <c r="Z83" s="6">
        <f t="shared" si="13"/>
        <v>52545.521506921781</v>
      </c>
      <c r="AA83" s="6">
        <f t="shared" si="14"/>
        <v>133422.75638659258</v>
      </c>
      <c r="AB83" s="1">
        <f t="shared" si="15"/>
        <v>0.4</v>
      </c>
      <c r="AC83" s="1">
        <f t="shared" si="18"/>
        <v>1.5</v>
      </c>
      <c r="AD83" s="1">
        <f t="shared" si="19"/>
        <v>1</v>
      </c>
      <c r="AE83" s="1">
        <f t="shared" si="16"/>
        <v>10</v>
      </c>
      <c r="AF83" s="33">
        <f t="shared" si="17"/>
        <v>2.4999999999999996</v>
      </c>
    </row>
    <row r="84" spans="4:32" ht="14.25" customHeight="1" outlineLevel="1" x14ac:dyDescent="0.2">
      <c r="D84" s="1">
        <v>61</v>
      </c>
      <c r="E84" s="6">
        <f t="shared" si="20"/>
        <v>364.56167109559777</v>
      </c>
      <c r="F84" s="6">
        <f t="shared" si="20"/>
        <v>15454.303787054994</v>
      </c>
      <c r="G84" s="6">
        <f t="shared" si="20"/>
        <v>1867.9185894122959</v>
      </c>
      <c r="H84" s="1">
        <v>0.4</v>
      </c>
      <c r="I84" s="1">
        <v>1.5</v>
      </c>
      <c r="J84" s="1">
        <v>1</v>
      </c>
      <c r="M84" s="1">
        <v>61</v>
      </c>
      <c r="N84" s="6">
        <f t="shared" si="11"/>
        <v>18228.083554779892</v>
      </c>
      <c r="O84" s="6">
        <f t="shared" si="5"/>
        <v>482758.12588345894</v>
      </c>
      <c r="P84" s="6">
        <f t="shared" si="6"/>
        <v>140093.8942059222</v>
      </c>
      <c r="Q84" s="1">
        <v>0.4</v>
      </c>
      <c r="R84" s="1">
        <v>1.5</v>
      </c>
      <c r="S84" s="1">
        <v>1</v>
      </c>
      <c r="T84" s="1">
        <v>0.8</v>
      </c>
      <c r="U84" s="1">
        <v>10</v>
      </c>
      <c r="V84" s="5">
        <f t="shared" si="7"/>
        <v>2.4999999999999987</v>
      </c>
      <c r="X84" s="1">
        <v>61</v>
      </c>
      <c r="Y84" s="6">
        <f t="shared" si="12"/>
        <v>3645.6167109559783</v>
      </c>
      <c r="Z84" s="6">
        <f t="shared" si="13"/>
        <v>53639.791764828769</v>
      </c>
      <c r="AA84" s="6">
        <f t="shared" si="14"/>
        <v>140093.8942059222</v>
      </c>
      <c r="AB84" s="1">
        <f t="shared" si="15"/>
        <v>0.4</v>
      </c>
      <c r="AC84" s="1">
        <f t="shared" si="18"/>
        <v>1.5</v>
      </c>
      <c r="AD84" s="1">
        <f t="shared" si="19"/>
        <v>1</v>
      </c>
      <c r="AE84" s="1">
        <f t="shared" si="16"/>
        <v>10</v>
      </c>
      <c r="AF84" s="33">
        <f t="shared" si="17"/>
        <v>2.4999999999999987</v>
      </c>
    </row>
    <row r="85" spans="4:32" ht="14.25" customHeight="1" outlineLevel="1" x14ac:dyDescent="0.2">
      <c r="D85" s="1">
        <v>62</v>
      </c>
      <c r="E85" s="6">
        <f t="shared" si="20"/>
        <v>382.78975465037774</v>
      </c>
      <c r="F85" s="6">
        <f t="shared" si="20"/>
        <v>16227.018976407748</v>
      </c>
      <c r="G85" s="6">
        <f t="shared" si="20"/>
        <v>1961.3145188829112</v>
      </c>
      <c r="H85" s="1">
        <v>0.4</v>
      </c>
      <c r="I85" s="1">
        <v>1.5</v>
      </c>
      <c r="J85" s="1">
        <v>1</v>
      </c>
      <c r="M85" s="1">
        <v>62</v>
      </c>
      <c r="N85" s="6">
        <f t="shared" si="11"/>
        <v>19139.48773251889</v>
      </c>
      <c r="O85" s="6">
        <f t="shared" si="5"/>
        <v>492526.65851654374</v>
      </c>
      <c r="P85" s="6">
        <f t="shared" si="6"/>
        <v>147098.58891621834</v>
      </c>
      <c r="Q85" s="1">
        <v>0.4</v>
      </c>
      <c r="R85" s="1">
        <v>1.5</v>
      </c>
      <c r="S85" s="1">
        <v>1</v>
      </c>
      <c r="T85" s="1">
        <v>0.8</v>
      </c>
      <c r="U85" s="1">
        <v>10</v>
      </c>
      <c r="V85" s="5">
        <f t="shared" si="7"/>
        <v>2.4999999999999991</v>
      </c>
      <c r="X85" s="1">
        <v>62</v>
      </c>
      <c r="Y85" s="6">
        <f t="shared" si="12"/>
        <v>3827.8975465037779</v>
      </c>
      <c r="Z85" s="6">
        <f t="shared" si="13"/>
        <v>54725.184279615969</v>
      </c>
      <c r="AA85" s="6">
        <f t="shared" si="14"/>
        <v>147098.58891621834</v>
      </c>
      <c r="AB85" s="1">
        <f t="shared" si="15"/>
        <v>0.4</v>
      </c>
      <c r="AC85" s="1">
        <f t="shared" si="18"/>
        <v>1.5</v>
      </c>
      <c r="AD85" s="1">
        <f t="shared" si="19"/>
        <v>1</v>
      </c>
      <c r="AE85" s="1">
        <f t="shared" si="16"/>
        <v>10</v>
      </c>
      <c r="AF85" s="33">
        <f t="shared" si="17"/>
        <v>2.4999999999999991</v>
      </c>
    </row>
    <row r="86" spans="4:32" ht="14.25" customHeight="1" outlineLevel="1" x14ac:dyDescent="0.2">
      <c r="D86" s="1">
        <v>63</v>
      </c>
      <c r="E86" s="6">
        <f t="shared" si="20"/>
        <v>401.92924238289646</v>
      </c>
      <c r="F86" s="6">
        <f t="shared" si="20"/>
        <v>17038.369925228129</v>
      </c>
      <c r="G86" s="6">
        <f t="shared" si="20"/>
        <v>2059.3802448270558</v>
      </c>
      <c r="H86" s="1">
        <v>0.4</v>
      </c>
      <c r="I86" s="1">
        <v>1.5</v>
      </c>
      <c r="J86" s="1">
        <v>1</v>
      </c>
      <c r="M86" s="1">
        <v>63</v>
      </c>
      <c r="N86" s="6">
        <f t="shared" si="11"/>
        <v>20096.462119144828</v>
      </c>
      <c r="O86" s="6">
        <f t="shared" si="5"/>
        <v>502204.78483381856</v>
      </c>
      <c r="P86" s="6">
        <f t="shared" si="6"/>
        <v>154453.51836202919</v>
      </c>
      <c r="Q86" s="1">
        <v>0.4</v>
      </c>
      <c r="R86" s="1">
        <v>1.5</v>
      </c>
      <c r="S86" s="1">
        <v>1</v>
      </c>
      <c r="T86" s="1">
        <v>0.8</v>
      </c>
      <c r="U86" s="1">
        <v>10</v>
      </c>
      <c r="V86" s="5">
        <f t="shared" si="7"/>
        <v>2.4999999999999991</v>
      </c>
      <c r="X86" s="1">
        <v>63</v>
      </c>
      <c r="Y86" s="6">
        <f t="shared" si="12"/>
        <v>4019.2924238289656</v>
      </c>
      <c r="Z86" s="6">
        <f t="shared" si="13"/>
        <v>55800.531648202064</v>
      </c>
      <c r="AA86" s="6">
        <f t="shared" si="14"/>
        <v>154453.51836202919</v>
      </c>
      <c r="AB86" s="1">
        <f t="shared" si="15"/>
        <v>0.4</v>
      </c>
      <c r="AC86" s="1">
        <f t="shared" si="18"/>
        <v>1.5</v>
      </c>
      <c r="AD86" s="1">
        <f t="shared" si="19"/>
        <v>1</v>
      </c>
      <c r="AE86" s="1">
        <f t="shared" si="16"/>
        <v>10</v>
      </c>
      <c r="AF86" s="33">
        <f t="shared" si="17"/>
        <v>2.4999999999999991</v>
      </c>
    </row>
    <row r="87" spans="4:32" ht="14.25" customHeight="1" outlineLevel="1" x14ac:dyDescent="0.2">
      <c r="D87" s="1">
        <v>64</v>
      </c>
      <c r="E87" s="6">
        <f t="shared" si="20"/>
        <v>422.02570450204149</v>
      </c>
      <c r="F87" s="6">
        <f t="shared" si="20"/>
        <v>17890.288421489542</v>
      </c>
      <c r="G87" s="6">
        <f t="shared" si="20"/>
        <v>2162.3492570684098</v>
      </c>
      <c r="H87" s="1">
        <v>0.4</v>
      </c>
      <c r="I87" s="1">
        <v>1.5</v>
      </c>
      <c r="J87" s="1">
        <v>1</v>
      </c>
      <c r="M87" s="1">
        <v>64</v>
      </c>
      <c r="N87" s="6">
        <f t="shared" si="11"/>
        <v>21101.285225102074</v>
      </c>
      <c r="O87" s="6">
        <f t="shared" si="5"/>
        <v>511782.40469005203</v>
      </c>
      <c r="P87" s="6">
        <f t="shared" si="6"/>
        <v>162176.19428013073</v>
      </c>
      <c r="Q87" s="1">
        <v>0.4</v>
      </c>
      <c r="R87" s="1">
        <v>1.5</v>
      </c>
      <c r="S87" s="1">
        <v>1</v>
      </c>
      <c r="T87" s="1">
        <v>0.8</v>
      </c>
      <c r="U87" s="1">
        <v>10</v>
      </c>
      <c r="V87" s="5">
        <f t="shared" si="7"/>
        <v>2.4999999999999991</v>
      </c>
      <c r="X87" s="1">
        <v>64</v>
      </c>
      <c r="Y87" s="6">
        <f t="shared" si="12"/>
        <v>4220.2570450204148</v>
      </c>
      <c r="Z87" s="6">
        <f t="shared" si="13"/>
        <v>56864.711632228005</v>
      </c>
      <c r="AA87" s="6">
        <f t="shared" si="14"/>
        <v>162176.19428013073</v>
      </c>
      <c r="AB87" s="1">
        <f t="shared" si="15"/>
        <v>0.4</v>
      </c>
      <c r="AC87" s="1">
        <f t="shared" si="18"/>
        <v>1.5</v>
      </c>
      <c r="AD87" s="1">
        <f t="shared" si="19"/>
        <v>1</v>
      </c>
      <c r="AE87" s="1">
        <f t="shared" si="16"/>
        <v>10</v>
      </c>
      <c r="AF87" s="33">
        <f t="shared" si="17"/>
        <v>2.4999999999999991</v>
      </c>
    </row>
    <row r="88" spans="4:32" ht="14.25" customHeight="1" outlineLevel="1" x14ac:dyDescent="0.2">
      <c r="D88" s="1">
        <v>65</v>
      </c>
      <c r="E88" s="6">
        <f t="shared" si="20"/>
        <v>443.12698972714355</v>
      </c>
      <c r="F88" s="6">
        <f t="shared" si="20"/>
        <v>18784.802842564019</v>
      </c>
      <c r="G88" s="6">
        <f t="shared" si="20"/>
        <v>2270.4667199218297</v>
      </c>
      <c r="H88" s="1">
        <v>0.4</v>
      </c>
      <c r="I88" s="1">
        <v>1.5</v>
      </c>
      <c r="J88" s="1">
        <v>1</v>
      </c>
      <c r="M88" s="1">
        <v>65</v>
      </c>
      <c r="N88" s="6">
        <f t="shared" si="11"/>
        <v>22156.34948635718</v>
      </c>
      <c r="O88" s="6">
        <f t="shared" si="5"/>
        <v>521249.86306042381</v>
      </c>
      <c r="P88" s="6">
        <f t="shared" si="6"/>
        <v>170285.00399413722</v>
      </c>
      <c r="Q88" s="1">
        <v>0.4</v>
      </c>
      <c r="R88" s="1">
        <v>1.5</v>
      </c>
      <c r="S88" s="1">
        <v>1</v>
      </c>
      <c r="T88" s="1">
        <v>0.8</v>
      </c>
      <c r="U88" s="1">
        <v>10</v>
      </c>
      <c r="V88" s="5">
        <f t="shared" si="7"/>
        <v>2.4999999999999996</v>
      </c>
      <c r="X88" s="1">
        <v>65</v>
      </c>
      <c r="Y88" s="6">
        <f t="shared" si="12"/>
        <v>4431.2698972714361</v>
      </c>
      <c r="Z88" s="6">
        <f t="shared" si="13"/>
        <v>57916.651451158199</v>
      </c>
      <c r="AA88" s="6">
        <f t="shared" si="14"/>
        <v>170285.00399413722</v>
      </c>
      <c r="AB88" s="1">
        <f t="shared" si="15"/>
        <v>0.4</v>
      </c>
      <c r="AC88" s="1">
        <f t="shared" si="18"/>
        <v>1.5</v>
      </c>
      <c r="AD88" s="1">
        <f t="shared" si="19"/>
        <v>1</v>
      </c>
      <c r="AE88" s="1">
        <f t="shared" si="16"/>
        <v>10</v>
      </c>
      <c r="AF88" s="33">
        <f t="shared" si="17"/>
        <v>2.4999999999999996</v>
      </c>
    </row>
    <row r="89" spans="4:32" ht="14.25" customHeight="1" outlineLevel="1" x14ac:dyDescent="0.2">
      <c r="D89" s="1">
        <v>66</v>
      </c>
      <c r="E89" s="6">
        <f t="shared" si="20"/>
        <v>465.28333921350077</v>
      </c>
      <c r="F89" s="6">
        <f t="shared" si="20"/>
        <v>19724.04298469222</v>
      </c>
      <c r="G89" s="6">
        <f t="shared" si="20"/>
        <v>2383.9900559179218</v>
      </c>
      <c r="H89" s="1">
        <v>0.4</v>
      </c>
      <c r="I89" s="1">
        <v>1.5</v>
      </c>
      <c r="J89" s="1">
        <v>1</v>
      </c>
      <c r="M89" s="1">
        <v>66</v>
      </c>
      <c r="N89" s="6">
        <f t="shared" ref="N89:N123" si="21">E89*T89*$K$21/S89/(1+Q89*(R89-1))</f>
        <v>23264.166960675044</v>
      </c>
      <c r="O89" s="6">
        <f t="shared" ref="O89:O123" si="22">F89*$K$21/(1+P89/$P$22)</f>
        <v>530597.98460701166</v>
      </c>
      <c r="P89" s="6">
        <f t="shared" ref="P89:P123" si="23">G89*$K$21</f>
        <v>178799.25419384413</v>
      </c>
      <c r="Q89" s="1">
        <v>0.4</v>
      </c>
      <c r="R89" s="1">
        <v>1.5</v>
      </c>
      <c r="S89" s="1">
        <v>1</v>
      </c>
      <c r="T89" s="1">
        <v>0.8</v>
      </c>
      <c r="U89" s="1">
        <v>10</v>
      </c>
      <c r="V89" s="5">
        <f t="shared" ref="V89:V123" si="24">E89*$K$21*(1-T89)/(1/U89)/(1+Q89*(R89-1))/N89</f>
        <v>2.4999999999999991</v>
      </c>
      <c r="X89" s="1">
        <v>66</v>
      </c>
      <c r="Y89" s="6">
        <f t="shared" si="12"/>
        <v>4652.8333921350086</v>
      </c>
      <c r="Z89" s="6">
        <f t="shared" si="13"/>
        <v>58955.331623001293</v>
      </c>
      <c r="AA89" s="6">
        <f t="shared" si="14"/>
        <v>178799.25419384413</v>
      </c>
      <c r="AB89" s="1">
        <f t="shared" si="15"/>
        <v>0.4</v>
      </c>
      <c r="AC89" s="1">
        <f t="shared" si="18"/>
        <v>1.5</v>
      </c>
      <c r="AD89" s="1">
        <f t="shared" si="19"/>
        <v>1</v>
      </c>
      <c r="AE89" s="1">
        <f t="shared" si="16"/>
        <v>10</v>
      </c>
      <c r="AF89" s="33">
        <f t="shared" si="17"/>
        <v>2.4999999999999991</v>
      </c>
    </row>
    <row r="90" spans="4:32" ht="14.25" customHeight="1" outlineLevel="1" x14ac:dyDescent="0.2">
      <c r="D90" s="1">
        <v>67</v>
      </c>
      <c r="E90" s="6">
        <f t="shared" ref="E90:G123" si="25">E$21*E$22^($D90-1)</f>
        <v>488.54750617417579</v>
      </c>
      <c r="F90" s="6">
        <f t="shared" si="25"/>
        <v>20710.24513392683</v>
      </c>
      <c r="G90" s="6">
        <f t="shared" si="25"/>
        <v>2503.1895587138179</v>
      </c>
      <c r="H90" s="1">
        <v>0.4</v>
      </c>
      <c r="I90" s="1">
        <v>1.5</v>
      </c>
      <c r="J90" s="1">
        <v>1</v>
      </c>
      <c r="M90" s="1">
        <v>67</v>
      </c>
      <c r="N90" s="6">
        <f t="shared" si="21"/>
        <v>24427.375308708793</v>
      </c>
      <c r="O90" s="6">
        <f t="shared" si="22"/>
        <v>539818.10396225576</v>
      </c>
      <c r="P90" s="6">
        <f t="shared" si="23"/>
        <v>187739.21690353635</v>
      </c>
      <c r="Q90" s="1">
        <v>0.4</v>
      </c>
      <c r="R90" s="1">
        <v>1.5</v>
      </c>
      <c r="S90" s="1">
        <v>1</v>
      </c>
      <c r="T90" s="1">
        <v>0.8</v>
      </c>
      <c r="U90" s="1">
        <v>10</v>
      </c>
      <c r="V90" s="5">
        <f t="shared" si="24"/>
        <v>2.4999999999999987</v>
      </c>
      <c r="X90" s="1">
        <v>67</v>
      </c>
      <c r="Y90" s="6">
        <f t="shared" ref="Y90:Y123" si="26">2*N90/(1+$X$22)</f>
        <v>4885.4750617417585</v>
      </c>
      <c r="Z90" s="6">
        <f t="shared" ref="Z90:Z123" si="27">O90/$X$22</f>
        <v>59979.78932913953</v>
      </c>
      <c r="AA90" s="6">
        <f t="shared" ref="AA90:AA123" si="28">P90</f>
        <v>187739.21690353635</v>
      </c>
      <c r="AB90" s="1">
        <f t="shared" ref="AB90:AB123" si="29">Q90</f>
        <v>0.4</v>
      </c>
      <c r="AC90" s="1">
        <f t="shared" si="18"/>
        <v>1.5</v>
      </c>
      <c r="AD90" s="1">
        <f t="shared" si="19"/>
        <v>1</v>
      </c>
      <c r="AE90" s="1">
        <f t="shared" ref="AE90:AE123" si="30">U90</f>
        <v>10</v>
      </c>
      <c r="AF90" s="33">
        <f t="shared" ref="AF90:AF123" si="31">V90</f>
        <v>2.4999999999999987</v>
      </c>
    </row>
    <row r="91" spans="4:32" ht="14.25" customHeight="1" outlineLevel="1" x14ac:dyDescent="0.2">
      <c r="D91" s="1">
        <v>68</v>
      </c>
      <c r="E91" s="6">
        <f t="shared" si="25"/>
        <v>512.9748814828846</v>
      </c>
      <c r="F91" s="6">
        <f t="shared" si="25"/>
        <v>21745.757390623174</v>
      </c>
      <c r="G91" s="6">
        <f t="shared" si="25"/>
        <v>2628.3490366495089</v>
      </c>
      <c r="H91" s="1">
        <v>0.4</v>
      </c>
      <c r="I91" s="1">
        <v>1.5</v>
      </c>
      <c r="J91" s="1">
        <v>1</v>
      </c>
      <c r="M91" s="1">
        <v>68</v>
      </c>
      <c r="N91" s="6">
        <f t="shared" si="21"/>
        <v>25648.744074144233</v>
      </c>
      <c r="O91" s="6">
        <f t="shared" si="22"/>
        <v>548902.09158078849</v>
      </c>
      <c r="P91" s="6">
        <f t="shared" si="23"/>
        <v>197126.17774871318</v>
      </c>
      <c r="Q91" s="1">
        <v>0.4</v>
      </c>
      <c r="R91" s="1">
        <v>1.5</v>
      </c>
      <c r="S91" s="1">
        <v>1</v>
      </c>
      <c r="T91" s="1">
        <v>0.8</v>
      </c>
      <c r="U91" s="1">
        <v>10</v>
      </c>
      <c r="V91" s="5">
        <f t="shared" si="24"/>
        <v>2.4999999999999991</v>
      </c>
      <c r="X91" s="1">
        <v>68</v>
      </c>
      <c r="Y91" s="6">
        <f t="shared" si="26"/>
        <v>5129.7488148288467</v>
      </c>
      <c r="Z91" s="6">
        <f t="shared" si="27"/>
        <v>60989.121286754278</v>
      </c>
      <c r="AA91" s="6">
        <f t="shared" si="28"/>
        <v>197126.17774871318</v>
      </c>
      <c r="AB91" s="1">
        <f t="shared" si="29"/>
        <v>0.4</v>
      </c>
      <c r="AC91" s="1">
        <f t="shared" ref="AC91:AC123" si="32">R91</f>
        <v>1.5</v>
      </c>
      <c r="AD91" s="1">
        <f t="shared" ref="AD91:AD123" si="33">S91</f>
        <v>1</v>
      </c>
      <c r="AE91" s="1">
        <f t="shared" si="30"/>
        <v>10</v>
      </c>
      <c r="AF91" s="33">
        <f t="shared" si="31"/>
        <v>2.4999999999999991</v>
      </c>
    </row>
    <row r="92" spans="4:32" ht="14.25" customHeight="1" outlineLevel="1" x14ac:dyDescent="0.2">
      <c r="D92" s="1">
        <v>69</v>
      </c>
      <c r="E92" s="6">
        <f t="shared" si="25"/>
        <v>538.62362555702873</v>
      </c>
      <c r="F92" s="6">
        <f t="shared" si="25"/>
        <v>22833.045260154329</v>
      </c>
      <c r="G92" s="6">
        <f t="shared" si="25"/>
        <v>2759.7664884819837</v>
      </c>
      <c r="H92" s="1">
        <v>0.4</v>
      </c>
      <c r="I92" s="1">
        <v>1.5</v>
      </c>
      <c r="J92" s="1">
        <v>1</v>
      </c>
      <c r="M92" s="1">
        <v>69</v>
      </c>
      <c r="N92" s="6">
        <f t="shared" si="21"/>
        <v>26931.18127785144</v>
      </c>
      <c r="O92" s="6">
        <f t="shared" si="22"/>
        <v>557842.37507375819</v>
      </c>
      <c r="P92" s="6">
        <f t="shared" si="23"/>
        <v>206982.48663614879</v>
      </c>
      <c r="Q92" s="1">
        <v>0.4</v>
      </c>
      <c r="R92" s="1">
        <v>1.5</v>
      </c>
      <c r="S92" s="1">
        <v>1</v>
      </c>
      <c r="T92" s="1">
        <v>0.8</v>
      </c>
      <c r="U92" s="1">
        <v>10</v>
      </c>
      <c r="V92" s="5">
        <f t="shared" si="24"/>
        <v>2.4999999999999991</v>
      </c>
      <c r="X92" s="1">
        <v>69</v>
      </c>
      <c r="Y92" s="6">
        <f t="shared" si="26"/>
        <v>5386.2362555702875</v>
      </c>
      <c r="Z92" s="6">
        <f t="shared" si="27"/>
        <v>61982.486119306464</v>
      </c>
      <c r="AA92" s="6">
        <f t="shared" si="28"/>
        <v>206982.48663614879</v>
      </c>
      <c r="AB92" s="1">
        <f t="shared" si="29"/>
        <v>0.4</v>
      </c>
      <c r="AC92" s="1">
        <f t="shared" si="32"/>
        <v>1.5</v>
      </c>
      <c r="AD92" s="1">
        <f t="shared" si="33"/>
        <v>1</v>
      </c>
      <c r="AE92" s="1">
        <f t="shared" si="30"/>
        <v>10</v>
      </c>
      <c r="AF92" s="33">
        <f t="shared" si="31"/>
        <v>2.4999999999999991</v>
      </c>
    </row>
    <row r="93" spans="4:32" ht="14.25" customHeight="1" outlineLevel="1" x14ac:dyDescent="0.2">
      <c r="D93" s="1">
        <v>70</v>
      </c>
      <c r="E93" s="6">
        <f t="shared" si="25"/>
        <v>565.5548068348802</v>
      </c>
      <c r="F93" s="6">
        <f t="shared" si="25"/>
        <v>23974.697523162049</v>
      </c>
      <c r="G93" s="6">
        <f t="shared" si="25"/>
        <v>2897.7548129060833</v>
      </c>
      <c r="H93" s="1">
        <v>0.4</v>
      </c>
      <c r="I93" s="1">
        <v>1.5</v>
      </c>
      <c r="J93" s="1">
        <v>1</v>
      </c>
      <c r="M93" s="1">
        <v>70</v>
      </c>
      <c r="N93" s="6">
        <f t="shared" si="21"/>
        <v>28277.740341744011</v>
      </c>
      <c r="O93" s="6">
        <f t="shared" si="22"/>
        <v>566631.9560009808</v>
      </c>
      <c r="P93" s="6">
        <f t="shared" si="23"/>
        <v>217331.61096795625</v>
      </c>
      <c r="Q93" s="1">
        <v>0.4</v>
      </c>
      <c r="R93" s="1">
        <v>1.5</v>
      </c>
      <c r="S93" s="1">
        <v>1</v>
      </c>
      <c r="T93" s="1">
        <v>0.8</v>
      </c>
      <c r="U93" s="1">
        <v>10</v>
      </c>
      <c r="V93" s="5">
        <f t="shared" si="24"/>
        <v>2.4999999999999991</v>
      </c>
      <c r="X93" s="1">
        <v>70</v>
      </c>
      <c r="Y93" s="6">
        <f t="shared" si="26"/>
        <v>5655.5480683488022</v>
      </c>
      <c r="Z93" s="6">
        <f t="shared" si="27"/>
        <v>62959.106222331204</v>
      </c>
      <c r="AA93" s="6">
        <f t="shared" si="28"/>
        <v>217331.61096795625</v>
      </c>
      <c r="AB93" s="1">
        <f t="shared" si="29"/>
        <v>0.4</v>
      </c>
      <c r="AC93" s="1">
        <f t="shared" si="32"/>
        <v>1.5</v>
      </c>
      <c r="AD93" s="1">
        <f t="shared" si="33"/>
        <v>1</v>
      </c>
      <c r="AE93" s="1">
        <f t="shared" si="30"/>
        <v>10</v>
      </c>
      <c r="AF93" s="33">
        <f t="shared" si="31"/>
        <v>2.4999999999999991</v>
      </c>
    </row>
    <row r="94" spans="4:32" ht="14.25" customHeight="1" outlineLevel="1" x14ac:dyDescent="0.2">
      <c r="D94" s="1">
        <v>71</v>
      </c>
      <c r="E94" s="6">
        <f t="shared" si="25"/>
        <v>593.83254717662419</v>
      </c>
      <c r="F94" s="6">
        <f t="shared" si="25"/>
        <v>25173.432399320151</v>
      </c>
      <c r="G94" s="6">
        <f t="shared" si="25"/>
        <v>3042.6425535513872</v>
      </c>
      <c r="H94" s="1">
        <v>0.4</v>
      </c>
      <c r="I94" s="1">
        <v>1.5</v>
      </c>
      <c r="J94" s="1">
        <v>1</v>
      </c>
      <c r="M94" s="1">
        <v>71</v>
      </c>
      <c r="N94" s="6">
        <f t="shared" si="21"/>
        <v>29691.627358831211</v>
      </c>
      <c r="O94" s="6">
        <f t="shared" si="22"/>
        <v>575264.42215478572</v>
      </c>
      <c r="P94" s="6">
        <f t="shared" si="23"/>
        <v>228198.19151635404</v>
      </c>
      <c r="Q94" s="1">
        <v>0.4</v>
      </c>
      <c r="R94" s="1">
        <v>1.5</v>
      </c>
      <c r="S94" s="1">
        <v>1</v>
      </c>
      <c r="T94" s="1">
        <v>0.8</v>
      </c>
      <c r="U94" s="1">
        <v>10</v>
      </c>
      <c r="V94" s="5">
        <f t="shared" si="24"/>
        <v>2.4999999999999996</v>
      </c>
      <c r="X94" s="1">
        <v>71</v>
      </c>
      <c r="Y94" s="6">
        <f t="shared" si="26"/>
        <v>5938.3254717662421</v>
      </c>
      <c r="Z94" s="6">
        <f t="shared" si="27"/>
        <v>63918.269128309526</v>
      </c>
      <c r="AA94" s="6">
        <f t="shared" si="28"/>
        <v>228198.19151635404</v>
      </c>
      <c r="AB94" s="1">
        <f t="shared" si="29"/>
        <v>0.4</v>
      </c>
      <c r="AC94" s="1">
        <f t="shared" si="32"/>
        <v>1.5</v>
      </c>
      <c r="AD94" s="1">
        <f t="shared" si="33"/>
        <v>1</v>
      </c>
      <c r="AE94" s="1">
        <f t="shared" si="30"/>
        <v>10</v>
      </c>
      <c r="AF94" s="33">
        <f t="shared" si="31"/>
        <v>2.4999999999999996</v>
      </c>
    </row>
    <row r="95" spans="4:32" ht="14.25" customHeight="1" outlineLevel="1" x14ac:dyDescent="0.2">
      <c r="D95" s="1">
        <v>72</v>
      </c>
      <c r="E95" s="6">
        <f t="shared" si="25"/>
        <v>623.52417453545547</v>
      </c>
      <c r="F95" s="6">
        <f t="shared" si="25"/>
        <v>26432.104019286158</v>
      </c>
      <c r="G95" s="6">
        <f t="shared" si="25"/>
        <v>3194.774681228957</v>
      </c>
      <c r="H95" s="1">
        <v>0.4</v>
      </c>
      <c r="I95" s="1">
        <v>1.5</v>
      </c>
      <c r="J95" s="1">
        <v>1</v>
      </c>
      <c r="M95" s="1">
        <v>72</v>
      </c>
      <c r="N95" s="6">
        <f t="shared" si="21"/>
        <v>31176.208726772773</v>
      </c>
      <c r="O95" s="6">
        <f t="shared" si="22"/>
        <v>583733.95542423287</v>
      </c>
      <c r="P95" s="6">
        <f t="shared" si="23"/>
        <v>239608.10109217177</v>
      </c>
      <c r="Q95" s="1">
        <v>0.4</v>
      </c>
      <c r="R95" s="1">
        <v>1.5</v>
      </c>
      <c r="S95" s="1">
        <v>1</v>
      </c>
      <c r="T95" s="1">
        <v>0.8</v>
      </c>
      <c r="U95" s="1">
        <v>10</v>
      </c>
      <c r="V95" s="5">
        <f t="shared" si="24"/>
        <v>2.4999999999999996</v>
      </c>
      <c r="X95" s="1">
        <v>72</v>
      </c>
      <c r="Y95" s="6">
        <f t="shared" si="26"/>
        <v>6235.241745354555</v>
      </c>
      <c r="Z95" s="6">
        <f t="shared" si="27"/>
        <v>64859.328380470317</v>
      </c>
      <c r="AA95" s="6">
        <f t="shared" si="28"/>
        <v>239608.10109217177</v>
      </c>
      <c r="AB95" s="1">
        <f t="shared" si="29"/>
        <v>0.4</v>
      </c>
      <c r="AC95" s="1">
        <f t="shared" si="32"/>
        <v>1.5</v>
      </c>
      <c r="AD95" s="1">
        <f t="shared" si="33"/>
        <v>1</v>
      </c>
      <c r="AE95" s="1">
        <f t="shared" si="30"/>
        <v>10</v>
      </c>
      <c r="AF95" s="33">
        <f t="shared" si="31"/>
        <v>2.4999999999999996</v>
      </c>
    </row>
    <row r="96" spans="4:32" ht="14.25" customHeight="1" outlineLevel="1" x14ac:dyDescent="0.2">
      <c r="D96" s="1">
        <v>73</v>
      </c>
      <c r="E96" s="6">
        <f t="shared" si="25"/>
        <v>654.70038326222823</v>
      </c>
      <c r="F96" s="6">
        <f t="shared" si="25"/>
        <v>27753.709220250468</v>
      </c>
      <c r="G96" s="6">
        <f t="shared" si="25"/>
        <v>3354.5134152904047</v>
      </c>
      <c r="H96" s="1">
        <v>0.4</v>
      </c>
      <c r="I96" s="1">
        <v>1.5</v>
      </c>
      <c r="J96" s="1">
        <v>1</v>
      </c>
      <c r="M96" s="1">
        <v>73</v>
      </c>
      <c r="N96" s="6">
        <f t="shared" si="21"/>
        <v>32735.01916311141</v>
      </c>
      <c r="O96" s="6">
        <f t="shared" si="22"/>
        <v>592035.33537862403</v>
      </c>
      <c r="P96" s="6">
        <f t="shared" si="23"/>
        <v>251588.50614678036</v>
      </c>
      <c r="Q96" s="1">
        <v>0.4</v>
      </c>
      <c r="R96" s="1">
        <v>1.5</v>
      </c>
      <c r="S96" s="1">
        <v>1</v>
      </c>
      <c r="T96" s="1">
        <v>0.8</v>
      </c>
      <c r="U96" s="1">
        <v>10</v>
      </c>
      <c r="V96" s="5">
        <f t="shared" si="24"/>
        <v>2.4999999999999996</v>
      </c>
      <c r="X96" s="1">
        <v>73</v>
      </c>
      <c r="Y96" s="6">
        <f t="shared" si="26"/>
        <v>6547.0038326222821</v>
      </c>
      <c r="Z96" s="6">
        <f t="shared" si="27"/>
        <v>65781.703930958232</v>
      </c>
      <c r="AA96" s="6">
        <f t="shared" si="28"/>
        <v>251588.50614678036</v>
      </c>
      <c r="AB96" s="1">
        <f t="shared" si="29"/>
        <v>0.4</v>
      </c>
      <c r="AC96" s="1">
        <f t="shared" si="32"/>
        <v>1.5</v>
      </c>
      <c r="AD96" s="1">
        <f t="shared" si="33"/>
        <v>1</v>
      </c>
      <c r="AE96" s="1">
        <f t="shared" si="30"/>
        <v>10</v>
      </c>
      <c r="AF96" s="33">
        <f t="shared" si="31"/>
        <v>2.4999999999999996</v>
      </c>
    </row>
    <row r="97" spans="4:32" ht="14.25" customHeight="1" outlineLevel="1" x14ac:dyDescent="0.2">
      <c r="D97" s="1">
        <v>74</v>
      </c>
      <c r="E97" s="6">
        <f t="shared" si="25"/>
        <v>687.43540242533959</v>
      </c>
      <c r="F97" s="6">
        <f t="shared" si="25"/>
        <v>29141.394681262987</v>
      </c>
      <c r="G97" s="6">
        <f t="shared" si="25"/>
        <v>3522.2390860549249</v>
      </c>
      <c r="H97" s="1">
        <v>0.4</v>
      </c>
      <c r="I97" s="1">
        <v>1.5</v>
      </c>
      <c r="J97" s="1">
        <v>1</v>
      </c>
      <c r="M97" s="1">
        <v>74</v>
      </c>
      <c r="N97" s="6">
        <f t="shared" si="21"/>
        <v>34371.770121266985</v>
      </c>
      <c r="O97" s="6">
        <f t="shared" si="22"/>
        <v>600163.93875419616</v>
      </c>
      <c r="P97" s="6">
        <f t="shared" si="23"/>
        <v>264167.93145411939</v>
      </c>
      <c r="Q97" s="1">
        <v>0.4</v>
      </c>
      <c r="R97" s="1">
        <v>1.5</v>
      </c>
      <c r="S97" s="1">
        <v>1</v>
      </c>
      <c r="T97" s="1">
        <v>0.8</v>
      </c>
      <c r="U97" s="1">
        <v>10</v>
      </c>
      <c r="V97" s="5">
        <f t="shared" si="24"/>
        <v>2.4999999999999991</v>
      </c>
      <c r="X97" s="1">
        <v>74</v>
      </c>
      <c r="Y97" s="6">
        <f t="shared" si="26"/>
        <v>6874.3540242533973</v>
      </c>
      <c r="Z97" s="6">
        <f t="shared" si="27"/>
        <v>66684.882083799574</v>
      </c>
      <c r="AA97" s="6">
        <f t="shared" si="28"/>
        <v>264167.93145411939</v>
      </c>
      <c r="AB97" s="1">
        <f t="shared" si="29"/>
        <v>0.4</v>
      </c>
      <c r="AC97" s="1">
        <f t="shared" si="32"/>
        <v>1.5</v>
      </c>
      <c r="AD97" s="1">
        <f t="shared" si="33"/>
        <v>1</v>
      </c>
      <c r="AE97" s="1">
        <f t="shared" si="30"/>
        <v>10</v>
      </c>
      <c r="AF97" s="33">
        <f t="shared" si="31"/>
        <v>2.4999999999999991</v>
      </c>
    </row>
    <row r="98" spans="4:32" ht="14.25" customHeight="1" outlineLevel="1" x14ac:dyDescent="0.2">
      <c r="D98" s="1">
        <v>75</v>
      </c>
      <c r="E98" s="6">
        <f t="shared" si="25"/>
        <v>721.80717254660658</v>
      </c>
      <c r="F98" s="6">
        <f t="shared" si="25"/>
        <v>30598.464415326136</v>
      </c>
      <c r="G98" s="6">
        <f t="shared" si="25"/>
        <v>3698.3510403576711</v>
      </c>
      <c r="H98" s="1">
        <v>0.4</v>
      </c>
      <c r="I98" s="1">
        <v>1.5</v>
      </c>
      <c r="J98" s="1">
        <v>1</v>
      </c>
      <c r="M98" s="1">
        <v>75</v>
      </c>
      <c r="N98" s="6">
        <f t="shared" si="21"/>
        <v>36090.358627330337</v>
      </c>
      <c r="O98" s="6">
        <f t="shared" si="22"/>
        <v>608115.73506707372</v>
      </c>
      <c r="P98" s="6">
        <f t="shared" si="23"/>
        <v>277376.32802682533</v>
      </c>
      <c r="Q98" s="1">
        <v>0.4</v>
      </c>
      <c r="R98" s="1">
        <v>1.5</v>
      </c>
      <c r="S98" s="1">
        <v>1</v>
      </c>
      <c r="T98" s="1">
        <v>0.8</v>
      </c>
      <c r="U98" s="1">
        <v>10</v>
      </c>
      <c r="V98" s="5">
        <f t="shared" si="24"/>
        <v>2.4999999999999987</v>
      </c>
      <c r="X98" s="1">
        <v>75</v>
      </c>
      <c r="Y98" s="6">
        <f t="shared" si="26"/>
        <v>7218.0717254660676</v>
      </c>
      <c r="Z98" s="6">
        <f t="shared" si="27"/>
        <v>67568.415007452641</v>
      </c>
      <c r="AA98" s="6">
        <f t="shared" si="28"/>
        <v>277376.32802682533</v>
      </c>
      <c r="AB98" s="1">
        <f t="shared" si="29"/>
        <v>0.4</v>
      </c>
      <c r="AC98" s="1">
        <f t="shared" si="32"/>
        <v>1.5</v>
      </c>
      <c r="AD98" s="1">
        <f t="shared" si="33"/>
        <v>1</v>
      </c>
      <c r="AE98" s="1">
        <f t="shared" si="30"/>
        <v>10</v>
      </c>
      <c r="AF98" s="33">
        <f t="shared" si="31"/>
        <v>2.4999999999999987</v>
      </c>
    </row>
    <row r="99" spans="4:32" ht="14.25" customHeight="1" outlineLevel="1" x14ac:dyDescent="0.2">
      <c r="D99" s="1">
        <v>76</v>
      </c>
      <c r="E99" s="6">
        <f t="shared" si="25"/>
        <v>757.89753117393707</v>
      </c>
      <c r="F99" s="6">
        <f t="shared" si="25"/>
        <v>32128.387636092448</v>
      </c>
      <c r="G99" s="6">
        <f t="shared" si="25"/>
        <v>3883.2685923755548</v>
      </c>
      <c r="H99" s="1">
        <v>0.4</v>
      </c>
      <c r="I99" s="1">
        <v>1.5</v>
      </c>
      <c r="J99" s="1">
        <v>1</v>
      </c>
      <c r="M99" s="1">
        <v>76</v>
      </c>
      <c r="N99" s="6">
        <f t="shared" si="21"/>
        <v>37894.876558696858</v>
      </c>
      <c r="O99" s="6">
        <f t="shared" si="22"/>
        <v>615887.27860860294</v>
      </c>
      <c r="P99" s="6">
        <f t="shared" si="23"/>
        <v>291245.14442816662</v>
      </c>
      <c r="Q99" s="1">
        <v>0.4</v>
      </c>
      <c r="R99" s="1">
        <v>1.5</v>
      </c>
      <c r="S99" s="1">
        <v>1</v>
      </c>
      <c r="T99" s="1">
        <v>0.8</v>
      </c>
      <c r="U99" s="1">
        <v>10</v>
      </c>
      <c r="V99" s="5">
        <f t="shared" si="24"/>
        <v>2.4999999999999991</v>
      </c>
      <c r="X99" s="1">
        <v>76</v>
      </c>
      <c r="Y99" s="6">
        <f t="shared" si="26"/>
        <v>7578.975311739372</v>
      </c>
      <c r="Z99" s="6">
        <f t="shared" si="27"/>
        <v>68431.91984540032</v>
      </c>
      <c r="AA99" s="6">
        <f t="shared" si="28"/>
        <v>291245.14442816662</v>
      </c>
      <c r="AB99" s="1">
        <f t="shared" si="29"/>
        <v>0.4</v>
      </c>
      <c r="AC99" s="1">
        <f t="shared" si="32"/>
        <v>1.5</v>
      </c>
      <c r="AD99" s="1">
        <f t="shared" si="33"/>
        <v>1</v>
      </c>
      <c r="AE99" s="1">
        <f t="shared" si="30"/>
        <v>10</v>
      </c>
      <c r="AF99" s="33">
        <f t="shared" si="31"/>
        <v>2.4999999999999991</v>
      </c>
    </row>
    <row r="100" spans="4:32" ht="14.25" customHeight="1" outlineLevel="1" x14ac:dyDescent="0.2">
      <c r="D100" s="1">
        <v>77</v>
      </c>
      <c r="E100" s="6">
        <f t="shared" si="25"/>
        <v>795.79240773263371</v>
      </c>
      <c r="F100" s="6">
        <f t="shared" si="25"/>
        <v>33734.807017897067</v>
      </c>
      <c r="G100" s="6">
        <f t="shared" si="25"/>
        <v>4077.432021994332</v>
      </c>
      <c r="H100" s="1">
        <v>0.4</v>
      </c>
      <c r="I100" s="1">
        <v>1.5</v>
      </c>
      <c r="J100" s="1">
        <v>1</v>
      </c>
      <c r="M100" s="1">
        <v>77</v>
      </c>
      <c r="N100" s="6">
        <f t="shared" si="21"/>
        <v>39789.620386631694</v>
      </c>
      <c r="O100" s="6">
        <f t="shared" si="22"/>
        <v>623475.69710596243</v>
      </c>
      <c r="P100" s="6">
        <f t="shared" si="23"/>
        <v>305807.40164957492</v>
      </c>
      <c r="Q100" s="1">
        <v>0.4</v>
      </c>
      <c r="R100" s="1">
        <v>1.5</v>
      </c>
      <c r="S100" s="1">
        <v>1</v>
      </c>
      <c r="T100" s="1">
        <v>0.8</v>
      </c>
      <c r="U100" s="1">
        <v>10</v>
      </c>
      <c r="V100" s="5">
        <f t="shared" si="24"/>
        <v>2.4999999999999991</v>
      </c>
      <c r="X100" s="1">
        <v>77</v>
      </c>
      <c r="Y100" s="6">
        <f t="shared" si="26"/>
        <v>7957.9240773263391</v>
      </c>
      <c r="Z100" s="6">
        <f t="shared" si="27"/>
        <v>69275.077456218045</v>
      </c>
      <c r="AA100" s="6">
        <f t="shared" si="28"/>
        <v>305807.40164957492</v>
      </c>
      <c r="AB100" s="1">
        <f t="shared" si="29"/>
        <v>0.4</v>
      </c>
      <c r="AC100" s="1">
        <f t="shared" si="32"/>
        <v>1.5</v>
      </c>
      <c r="AD100" s="1">
        <f t="shared" si="33"/>
        <v>1</v>
      </c>
      <c r="AE100" s="1">
        <f t="shared" si="30"/>
        <v>10</v>
      </c>
      <c r="AF100" s="33">
        <f t="shared" si="31"/>
        <v>2.4999999999999991</v>
      </c>
    </row>
    <row r="101" spans="4:32" ht="14.25" customHeight="1" outlineLevel="1" x14ac:dyDescent="0.2">
      <c r="D101" s="1">
        <v>78</v>
      </c>
      <c r="E101" s="6">
        <f t="shared" si="25"/>
        <v>835.58202811926571</v>
      </c>
      <c r="F101" s="6">
        <f t="shared" si="25"/>
        <v>35421.547368791929</v>
      </c>
      <c r="G101" s="6">
        <f t="shared" si="25"/>
        <v>4281.3036230940497</v>
      </c>
      <c r="H101" s="1">
        <v>0.4</v>
      </c>
      <c r="I101" s="1">
        <v>1.5</v>
      </c>
      <c r="J101" s="1">
        <v>1</v>
      </c>
      <c r="M101" s="1">
        <v>78</v>
      </c>
      <c r="N101" s="6">
        <f t="shared" si="21"/>
        <v>41779.101405963294</v>
      </c>
      <c r="O101" s="6">
        <f t="shared" si="22"/>
        <v>630878.67735139921</v>
      </c>
      <c r="P101" s="6">
        <f t="shared" si="23"/>
        <v>321097.77173205372</v>
      </c>
      <c r="Q101" s="1">
        <v>0.4</v>
      </c>
      <c r="R101" s="1">
        <v>1.5</v>
      </c>
      <c r="S101" s="1">
        <v>1</v>
      </c>
      <c r="T101" s="1">
        <v>0.8</v>
      </c>
      <c r="U101" s="1">
        <v>10</v>
      </c>
      <c r="V101" s="5">
        <f t="shared" si="24"/>
        <v>2.4999999999999991</v>
      </c>
      <c r="X101" s="1">
        <v>78</v>
      </c>
      <c r="Y101" s="6">
        <f t="shared" si="26"/>
        <v>8355.8202811926585</v>
      </c>
      <c r="Z101" s="6">
        <f t="shared" si="27"/>
        <v>70097.630816822129</v>
      </c>
      <c r="AA101" s="6">
        <f t="shared" si="28"/>
        <v>321097.77173205372</v>
      </c>
      <c r="AB101" s="1">
        <f t="shared" si="29"/>
        <v>0.4</v>
      </c>
      <c r="AC101" s="1">
        <f t="shared" si="32"/>
        <v>1.5</v>
      </c>
      <c r="AD101" s="1">
        <f t="shared" si="33"/>
        <v>1</v>
      </c>
      <c r="AE101" s="1">
        <f t="shared" si="30"/>
        <v>10</v>
      </c>
      <c r="AF101" s="33">
        <f t="shared" si="31"/>
        <v>2.4999999999999991</v>
      </c>
    </row>
    <row r="102" spans="4:32" ht="14.25" customHeight="1" outlineLevel="1" x14ac:dyDescent="0.2">
      <c r="D102" s="1">
        <v>79</v>
      </c>
      <c r="E102" s="6">
        <f t="shared" si="25"/>
        <v>877.36112952522865</v>
      </c>
      <c r="F102" s="6">
        <f t="shared" si="25"/>
        <v>37192.624737231512</v>
      </c>
      <c r="G102" s="6">
        <f t="shared" si="25"/>
        <v>4495.3688042487511</v>
      </c>
      <c r="H102" s="1">
        <v>0.4</v>
      </c>
      <c r="I102" s="1">
        <v>1.5</v>
      </c>
      <c r="J102" s="1">
        <v>1</v>
      </c>
      <c r="M102" s="1">
        <v>79</v>
      </c>
      <c r="N102" s="6">
        <f t="shared" si="21"/>
        <v>43868.056476261438</v>
      </c>
      <c r="O102" s="6">
        <f t="shared" si="22"/>
        <v>638094.44811774336</v>
      </c>
      <c r="P102" s="6">
        <f t="shared" si="23"/>
        <v>337152.66031865636</v>
      </c>
      <c r="Q102" s="1">
        <v>0.4</v>
      </c>
      <c r="R102" s="1">
        <v>1.5</v>
      </c>
      <c r="S102" s="1">
        <v>1</v>
      </c>
      <c r="T102" s="1">
        <v>0.8</v>
      </c>
      <c r="U102" s="1">
        <v>10</v>
      </c>
      <c r="V102" s="5">
        <f t="shared" si="24"/>
        <v>2.4999999999999991</v>
      </c>
      <c r="X102" s="1">
        <v>79</v>
      </c>
      <c r="Y102" s="6">
        <f t="shared" si="26"/>
        <v>8773.6112952522872</v>
      </c>
      <c r="Z102" s="6">
        <f t="shared" si="27"/>
        <v>70899.3831241937</v>
      </c>
      <c r="AA102" s="6">
        <f t="shared" si="28"/>
        <v>337152.66031865636</v>
      </c>
      <c r="AB102" s="1">
        <f t="shared" si="29"/>
        <v>0.4</v>
      </c>
      <c r="AC102" s="1">
        <f t="shared" si="32"/>
        <v>1.5</v>
      </c>
      <c r="AD102" s="1">
        <f t="shared" si="33"/>
        <v>1</v>
      </c>
      <c r="AE102" s="1">
        <f t="shared" si="30"/>
        <v>10</v>
      </c>
      <c r="AF102" s="33">
        <f t="shared" si="31"/>
        <v>2.4999999999999991</v>
      </c>
    </row>
    <row r="103" spans="4:32" ht="14.25" customHeight="1" outlineLevel="1" x14ac:dyDescent="0.2">
      <c r="D103" s="1">
        <v>80</v>
      </c>
      <c r="E103" s="6">
        <f t="shared" si="25"/>
        <v>921.22918600149035</v>
      </c>
      <c r="F103" s="6">
        <f t="shared" si="25"/>
        <v>39052.255974093103</v>
      </c>
      <c r="G103" s="6">
        <f t="shared" si="25"/>
        <v>4720.1372444611898</v>
      </c>
      <c r="H103" s="1">
        <v>0.4</v>
      </c>
      <c r="I103" s="1">
        <v>1.5</v>
      </c>
      <c r="J103" s="1">
        <v>1</v>
      </c>
      <c r="M103" s="1">
        <v>80</v>
      </c>
      <c r="N103" s="6">
        <f t="shared" si="21"/>
        <v>46061.459300074523</v>
      </c>
      <c r="O103" s="6">
        <f t="shared" si="22"/>
        <v>645121.760686266</v>
      </c>
      <c r="P103" s="6">
        <f t="shared" si="23"/>
        <v>354010.29333458922</v>
      </c>
      <c r="Q103" s="1">
        <v>0.4</v>
      </c>
      <c r="R103" s="1">
        <v>1.5</v>
      </c>
      <c r="S103" s="1">
        <v>1</v>
      </c>
      <c r="T103" s="1">
        <v>0.8</v>
      </c>
      <c r="U103" s="1">
        <v>10</v>
      </c>
      <c r="V103" s="5">
        <f t="shared" si="24"/>
        <v>2.4999999999999991</v>
      </c>
      <c r="X103" s="1">
        <v>80</v>
      </c>
      <c r="Y103" s="6">
        <f t="shared" si="26"/>
        <v>9212.2918600149042</v>
      </c>
      <c r="Z103" s="6">
        <f t="shared" si="27"/>
        <v>71680.195631807335</v>
      </c>
      <c r="AA103" s="6">
        <f t="shared" si="28"/>
        <v>354010.29333458922</v>
      </c>
      <c r="AB103" s="1">
        <f t="shared" si="29"/>
        <v>0.4</v>
      </c>
      <c r="AC103" s="1">
        <f t="shared" si="32"/>
        <v>1.5</v>
      </c>
      <c r="AD103" s="1">
        <f t="shared" si="33"/>
        <v>1</v>
      </c>
      <c r="AE103" s="1">
        <f t="shared" si="30"/>
        <v>10</v>
      </c>
      <c r="AF103" s="33">
        <f t="shared" si="31"/>
        <v>2.4999999999999991</v>
      </c>
    </row>
    <row r="104" spans="4:32" ht="14.25" customHeight="1" outlineLevel="1" x14ac:dyDescent="0.2">
      <c r="D104" s="1">
        <v>81</v>
      </c>
      <c r="E104" s="6">
        <f t="shared" si="25"/>
        <v>967.29064530156484</v>
      </c>
      <c r="F104" s="6">
        <f t="shared" si="25"/>
        <v>41004.868772797752</v>
      </c>
      <c r="G104" s="6">
        <f t="shared" si="25"/>
        <v>4956.144106684249</v>
      </c>
      <c r="H104" s="1">
        <v>0.4</v>
      </c>
      <c r="I104" s="1">
        <v>1.5</v>
      </c>
      <c r="J104" s="1">
        <v>1</v>
      </c>
      <c r="M104" s="1">
        <v>81</v>
      </c>
      <c r="N104" s="6">
        <f t="shared" si="21"/>
        <v>48364.532265078247</v>
      </c>
      <c r="O104" s="6">
        <f t="shared" si="22"/>
        <v>651959.86731583101</v>
      </c>
      <c r="P104" s="6">
        <f t="shared" si="23"/>
        <v>371710.80800131866</v>
      </c>
      <c r="Q104" s="1">
        <v>0.4</v>
      </c>
      <c r="R104" s="1">
        <v>1.5</v>
      </c>
      <c r="S104" s="1">
        <v>1</v>
      </c>
      <c r="T104" s="1">
        <v>0.8</v>
      </c>
      <c r="U104" s="1">
        <v>10</v>
      </c>
      <c r="V104" s="5">
        <f t="shared" si="24"/>
        <v>2.4999999999999991</v>
      </c>
      <c r="X104" s="1">
        <v>81</v>
      </c>
      <c r="Y104" s="6">
        <f t="shared" si="26"/>
        <v>9672.9064530156502</v>
      </c>
      <c r="Z104" s="6">
        <f t="shared" si="27"/>
        <v>72439.985257314562</v>
      </c>
      <c r="AA104" s="6">
        <f t="shared" si="28"/>
        <v>371710.80800131866</v>
      </c>
      <c r="AB104" s="1">
        <f t="shared" si="29"/>
        <v>0.4</v>
      </c>
      <c r="AC104" s="1">
        <f t="shared" si="32"/>
        <v>1.5</v>
      </c>
      <c r="AD104" s="1">
        <f t="shared" si="33"/>
        <v>1</v>
      </c>
      <c r="AE104" s="1">
        <f t="shared" si="30"/>
        <v>10</v>
      </c>
      <c r="AF104" s="33">
        <f t="shared" si="31"/>
        <v>2.4999999999999991</v>
      </c>
    </row>
    <row r="105" spans="4:32" ht="14.25" customHeight="1" outlineLevel="1" x14ac:dyDescent="0.2">
      <c r="D105" s="1">
        <v>82</v>
      </c>
      <c r="E105" s="6">
        <f t="shared" si="25"/>
        <v>1015.6551775666433</v>
      </c>
      <c r="F105" s="6">
        <f t="shared" si="25"/>
        <v>43055.112211437649</v>
      </c>
      <c r="G105" s="6">
        <f t="shared" si="25"/>
        <v>5203.951312018462</v>
      </c>
      <c r="H105" s="1">
        <v>0.4</v>
      </c>
      <c r="I105" s="1">
        <v>1.5</v>
      </c>
      <c r="J105" s="1">
        <v>1</v>
      </c>
      <c r="M105" s="1">
        <v>82</v>
      </c>
      <c r="N105" s="6">
        <f t="shared" si="21"/>
        <v>50782.75887833217</v>
      </c>
      <c r="O105" s="6">
        <f t="shared" si="22"/>
        <v>658608.49798013794</v>
      </c>
      <c r="P105" s="6">
        <f t="shared" si="23"/>
        <v>390296.34840138466</v>
      </c>
      <c r="Q105" s="1">
        <v>0.4</v>
      </c>
      <c r="R105" s="1">
        <v>1.5</v>
      </c>
      <c r="S105" s="1">
        <v>1</v>
      </c>
      <c r="T105" s="1">
        <v>0.8</v>
      </c>
      <c r="U105" s="1">
        <v>10</v>
      </c>
      <c r="V105" s="5">
        <f t="shared" si="24"/>
        <v>2.4999999999999991</v>
      </c>
      <c r="X105" s="1">
        <v>82</v>
      </c>
      <c r="Y105" s="6">
        <f t="shared" si="26"/>
        <v>10156.551775666434</v>
      </c>
      <c r="Z105" s="6">
        <f t="shared" si="27"/>
        <v>73178.721997793109</v>
      </c>
      <c r="AA105" s="6">
        <f t="shared" si="28"/>
        <v>390296.34840138466</v>
      </c>
      <c r="AB105" s="1">
        <f t="shared" si="29"/>
        <v>0.4</v>
      </c>
      <c r="AC105" s="1">
        <f t="shared" si="32"/>
        <v>1.5</v>
      </c>
      <c r="AD105" s="1">
        <f t="shared" si="33"/>
        <v>1</v>
      </c>
      <c r="AE105" s="1">
        <f t="shared" si="30"/>
        <v>10</v>
      </c>
      <c r="AF105" s="33">
        <f t="shared" si="31"/>
        <v>2.4999999999999991</v>
      </c>
    </row>
    <row r="106" spans="4:32" ht="14.25" customHeight="1" outlineLevel="1" x14ac:dyDescent="0.2">
      <c r="D106" s="1">
        <v>83</v>
      </c>
      <c r="E106" s="6">
        <f t="shared" si="25"/>
        <v>1066.4379364449753</v>
      </c>
      <c r="F106" s="6">
        <f t="shared" si="25"/>
        <v>45207.867822009532</v>
      </c>
      <c r="G106" s="6">
        <f t="shared" si="25"/>
        <v>5464.1488776193855</v>
      </c>
      <c r="H106" s="1">
        <v>0.4</v>
      </c>
      <c r="I106" s="1">
        <v>1.5</v>
      </c>
      <c r="J106" s="1">
        <v>1</v>
      </c>
      <c r="M106" s="1">
        <v>83</v>
      </c>
      <c r="N106" s="6">
        <f t="shared" si="21"/>
        <v>53321.896822248775</v>
      </c>
      <c r="O106" s="6">
        <f t="shared" si="22"/>
        <v>665067.83569314121</v>
      </c>
      <c r="P106" s="6">
        <f t="shared" si="23"/>
        <v>409811.16582145391</v>
      </c>
      <c r="Q106" s="1">
        <v>0.4</v>
      </c>
      <c r="R106" s="1">
        <v>1.5</v>
      </c>
      <c r="S106" s="1">
        <v>1</v>
      </c>
      <c r="T106" s="1">
        <v>0.8</v>
      </c>
      <c r="U106" s="1">
        <v>10</v>
      </c>
      <c r="V106" s="5">
        <f t="shared" si="24"/>
        <v>2.4999999999999987</v>
      </c>
      <c r="X106" s="1">
        <v>83</v>
      </c>
      <c r="Y106" s="6">
        <f t="shared" si="26"/>
        <v>10664.379364449755</v>
      </c>
      <c r="Z106" s="6">
        <f t="shared" si="27"/>
        <v>73896.426188126803</v>
      </c>
      <c r="AA106" s="6">
        <f t="shared" si="28"/>
        <v>409811.16582145391</v>
      </c>
      <c r="AB106" s="1">
        <f t="shared" si="29"/>
        <v>0.4</v>
      </c>
      <c r="AC106" s="1">
        <f t="shared" si="32"/>
        <v>1.5</v>
      </c>
      <c r="AD106" s="1">
        <f t="shared" si="33"/>
        <v>1</v>
      </c>
      <c r="AE106" s="1">
        <f t="shared" si="30"/>
        <v>10</v>
      </c>
      <c r="AF106" s="33">
        <f t="shared" si="31"/>
        <v>2.4999999999999987</v>
      </c>
    </row>
    <row r="107" spans="4:32" ht="14.25" customHeight="1" outlineLevel="1" x14ac:dyDescent="0.2">
      <c r="D107" s="1">
        <v>84</v>
      </c>
      <c r="E107" s="6">
        <f t="shared" si="25"/>
        <v>1119.7598332672242</v>
      </c>
      <c r="F107" s="6">
        <f t="shared" si="25"/>
        <v>47468.261213110003</v>
      </c>
      <c r="G107" s="6">
        <f t="shared" si="25"/>
        <v>5737.3563215003542</v>
      </c>
      <c r="H107" s="1">
        <v>0.4</v>
      </c>
      <c r="I107" s="1">
        <v>1.5</v>
      </c>
      <c r="J107" s="1">
        <v>1</v>
      </c>
      <c r="M107" s="1">
        <v>84</v>
      </c>
      <c r="N107" s="6">
        <f t="shared" si="21"/>
        <v>55987.991663361208</v>
      </c>
      <c r="O107" s="6">
        <f t="shared" si="22"/>
        <v>671338.49073208286</v>
      </c>
      <c r="P107" s="6">
        <f t="shared" si="23"/>
        <v>430301.72411252657</v>
      </c>
      <c r="Q107" s="1">
        <v>0.4</v>
      </c>
      <c r="R107" s="1">
        <v>1.5</v>
      </c>
      <c r="S107" s="1">
        <v>1</v>
      </c>
      <c r="T107" s="1">
        <v>0.8</v>
      </c>
      <c r="U107" s="1">
        <v>10</v>
      </c>
      <c r="V107" s="5">
        <f t="shared" si="24"/>
        <v>2.4999999999999991</v>
      </c>
      <c r="X107" s="1">
        <v>84</v>
      </c>
      <c r="Y107" s="6">
        <f t="shared" si="26"/>
        <v>11197.598332672242</v>
      </c>
      <c r="Z107" s="6">
        <f t="shared" si="27"/>
        <v>74593.165636898091</v>
      </c>
      <c r="AA107" s="6">
        <f t="shared" si="28"/>
        <v>430301.72411252657</v>
      </c>
      <c r="AB107" s="1">
        <f t="shared" si="29"/>
        <v>0.4</v>
      </c>
      <c r="AC107" s="1">
        <f t="shared" si="32"/>
        <v>1.5</v>
      </c>
      <c r="AD107" s="1">
        <f t="shared" si="33"/>
        <v>1</v>
      </c>
      <c r="AE107" s="1">
        <f t="shared" si="30"/>
        <v>10</v>
      </c>
      <c r="AF107" s="33">
        <f t="shared" si="31"/>
        <v>2.4999999999999991</v>
      </c>
    </row>
    <row r="108" spans="4:32" ht="14.25" customHeight="1" outlineLevel="1" x14ac:dyDescent="0.2">
      <c r="D108" s="1">
        <v>85</v>
      </c>
      <c r="E108" s="6">
        <f t="shared" si="25"/>
        <v>1175.7478249305852</v>
      </c>
      <c r="F108" s="6">
        <f t="shared" si="25"/>
        <v>49841.674273765508</v>
      </c>
      <c r="G108" s="6">
        <f t="shared" si="25"/>
        <v>6024.224137575372</v>
      </c>
      <c r="H108" s="1">
        <v>0.4</v>
      </c>
      <c r="I108" s="1">
        <v>1.5</v>
      </c>
      <c r="J108" s="1">
        <v>1</v>
      </c>
      <c r="M108" s="1">
        <v>85</v>
      </c>
      <c r="N108" s="6">
        <f t="shared" si="21"/>
        <v>58787.391246529274</v>
      </c>
      <c r="O108" s="6">
        <f t="shared" si="22"/>
        <v>677421.47405353177</v>
      </c>
      <c r="P108" s="6">
        <f t="shared" si="23"/>
        <v>451816.81031815289</v>
      </c>
      <c r="Q108" s="1">
        <v>0.4</v>
      </c>
      <c r="R108" s="1">
        <v>1.5</v>
      </c>
      <c r="S108" s="1">
        <v>1</v>
      </c>
      <c r="T108" s="1">
        <v>0.8</v>
      </c>
      <c r="U108" s="1">
        <v>10</v>
      </c>
      <c r="V108" s="5">
        <f t="shared" si="24"/>
        <v>2.4999999999999991</v>
      </c>
      <c r="X108" s="1">
        <v>85</v>
      </c>
      <c r="Y108" s="6">
        <f t="shared" si="26"/>
        <v>11757.478249305856</v>
      </c>
      <c r="Z108" s="6">
        <f t="shared" si="27"/>
        <v>75269.052672614635</v>
      </c>
      <c r="AA108" s="6">
        <f t="shared" si="28"/>
        <v>451816.81031815289</v>
      </c>
      <c r="AB108" s="1">
        <f t="shared" si="29"/>
        <v>0.4</v>
      </c>
      <c r="AC108" s="1">
        <f t="shared" si="32"/>
        <v>1.5</v>
      </c>
      <c r="AD108" s="1">
        <f t="shared" si="33"/>
        <v>1</v>
      </c>
      <c r="AE108" s="1">
        <f t="shared" si="30"/>
        <v>10</v>
      </c>
      <c r="AF108" s="33">
        <f t="shared" si="31"/>
        <v>2.4999999999999991</v>
      </c>
    </row>
    <row r="109" spans="4:32" ht="14.25" customHeight="1" outlineLevel="1" x14ac:dyDescent="0.2">
      <c r="D109" s="1">
        <v>86</v>
      </c>
      <c r="E109" s="6">
        <f t="shared" si="25"/>
        <v>1234.5352161771145</v>
      </c>
      <c r="F109" s="6">
        <f t="shared" si="25"/>
        <v>52333.757987453777</v>
      </c>
      <c r="G109" s="6">
        <f t="shared" si="25"/>
        <v>6325.4353444541402</v>
      </c>
      <c r="H109" s="1">
        <v>0.4</v>
      </c>
      <c r="I109" s="1">
        <v>1.5</v>
      </c>
      <c r="J109" s="1">
        <v>1</v>
      </c>
      <c r="M109" s="1">
        <v>86</v>
      </c>
      <c r="N109" s="6">
        <f t="shared" si="21"/>
        <v>61726.760808855724</v>
      </c>
      <c r="O109" s="6">
        <f t="shared" si="22"/>
        <v>683318.17018101108</v>
      </c>
      <c r="P109" s="6">
        <f t="shared" si="23"/>
        <v>474407.65083406051</v>
      </c>
      <c r="Q109" s="1">
        <v>0.4</v>
      </c>
      <c r="R109" s="1">
        <v>1.5</v>
      </c>
      <c r="S109" s="1">
        <v>1</v>
      </c>
      <c r="T109" s="1">
        <v>0.8</v>
      </c>
      <c r="U109" s="1">
        <v>10</v>
      </c>
      <c r="V109" s="5">
        <f t="shared" si="24"/>
        <v>2.4999999999999996</v>
      </c>
      <c r="X109" s="1">
        <v>86</v>
      </c>
      <c r="Y109" s="6">
        <f t="shared" si="26"/>
        <v>12345.352161771145</v>
      </c>
      <c r="Z109" s="6">
        <f t="shared" si="27"/>
        <v>75924.241131223447</v>
      </c>
      <c r="AA109" s="6">
        <f t="shared" si="28"/>
        <v>474407.65083406051</v>
      </c>
      <c r="AB109" s="1">
        <f t="shared" si="29"/>
        <v>0.4</v>
      </c>
      <c r="AC109" s="1">
        <f t="shared" si="32"/>
        <v>1.5</v>
      </c>
      <c r="AD109" s="1">
        <f t="shared" si="33"/>
        <v>1</v>
      </c>
      <c r="AE109" s="1">
        <f t="shared" si="30"/>
        <v>10</v>
      </c>
      <c r="AF109" s="33">
        <f t="shared" si="31"/>
        <v>2.4999999999999996</v>
      </c>
    </row>
    <row r="110" spans="4:32" ht="14.25" customHeight="1" outlineLevel="1" x14ac:dyDescent="0.2">
      <c r="D110" s="1">
        <v>87</v>
      </c>
      <c r="E110" s="6">
        <f t="shared" si="25"/>
        <v>1296.2619769859703</v>
      </c>
      <c r="F110" s="6">
        <f t="shared" si="25"/>
        <v>54950.445886826463</v>
      </c>
      <c r="G110" s="6">
        <f t="shared" si="25"/>
        <v>6641.7071116768466</v>
      </c>
      <c r="H110" s="1">
        <v>0.4</v>
      </c>
      <c r="I110" s="1">
        <v>1.5</v>
      </c>
      <c r="J110" s="1">
        <v>1</v>
      </c>
      <c r="M110" s="1">
        <v>87</v>
      </c>
      <c r="N110" s="6">
        <f t="shared" si="21"/>
        <v>64813.098849298513</v>
      </c>
      <c r="O110" s="6">
        <f t="shared" si="22"/>
        <v>689030.30982379336</v>
      </c>
      <c r="P110" s="6">
        <f t="shared" si="23"/>
        <v>498128.03337576351</v>
      </c>
      <c r="Q110" s="1">
        <v>0.4</v>
      </c>
      <c r="R110" s="1">
        <v>1.5</v>
      </c>
      <c r="S110" s="1">
        <v>1</v>
      </c>
      <c r="T110" s="1">
        <v>0.8</v>
      </c>
      <c r="U110" s="1">
        <v>10</v>
      </c>
      <c r="V110" s="5">
        <f t="shared" si="24"/>
        <v>2.4999999999999996</v>
      </c>
      <c r="X110" s="1">
        <v>87</v>
      </c>
      <c r="Y110" s="6">
        <f t="shared" si="26"/>
        <v>12962.619769859703</v>
      </c>
      <c r="Z110" s="6">
        <f t="shared" si="27"/>
        <v>76558.923313754814</v>
      </c>
      <c r="AA110" s="6">
        <f t="shared" si="28"/>
        <v>498128.03337576351</v>
      </c>
      <c r="AB110" s="1">
        <f t="shared" si="29"/>
        <v>0.4</v>
      </c>
      <c r="AC110" s="1">
        <f t="shared" si="32"/>
        <v>1.5</v>
      </c>
      <c r="AD110" s="1">
        <f t="shared" si="33"/>
        <v>1</v>
      </c>
      <c r="AE110" s="1">
        <f t="shared" si="30"/>
        <v>10</v>
      </c>
      <c r="AF110" s="33">
        <f t="shared" si="31"/>
        <v>2.4999999999999996</v>
      </c>
    </row>
    <row r="111" spans="4:32" ht="14.25" customHeight="1" outlineLevel="1" x14ac:dyDescent="0.2">
      <c r="D111" s="1">
        <v>88</v>
      </c>
      <c r="E111" s="6">
        <f t="shared" si="25"/>
        <v>1361.075075835269</v>
      </c>
      <c r="F111" s="6">
        <f t="shared" si="25"/>
        <v>57697.968181167795</v>
      </c>
      <c r="G111" s="6">
        <f t="shared" si="25"/>
        <v>6973.7924672606905</v>
      </c>
      <c r="H111" s="1">
        <v>0.4</v>
      </c>
      <c r="I111" s="1">
        <v>1.5</v>
      </c>
      <c r="J111" s="1">
        <v>1</v>
      </c>
      <c r="M111" s="1">
        <v>88</v>
      </c>
      <c r="N111" s="6">
        <f t="shared" si="21"/>
        <v>68053.753791763462</v>
      </c>
      <c r="O111" s="6">
        <f t="shared" si="22"/>
        <v>694559.94246580382</v>
      </c>
      <c r="P111" s="6">
        <f t="shared" si="23"/>
        <v>523034.43504455179</v>
      </c>
      <c r="Q111" s="1">
        <v>0.4</v>
      </c>
      <c r="R111" s="1">
        <v>1.5</v>
      </c>
      <c r="S111" s="1">
        <v>1</v>
      </c>
      <c r="T111" s="1">
        <v>0.8</v>
      </c>
      <c r="U111" s="1">
        <v>10</v>
      </c>
      <c r="V111" s="5">
        <f t="shared" si="24"/>
        <v>2.4999999999999991</v>
      </c>
      <c r="X111" s="1">
        <v>88</v>
      </c>
      <c r="Y111" s="6">
        <f t="shared" si="26"/>
        <v>13610.750758352693</v>
      </c>
      <c r="Z111" s="6">
        <f t="shared" si="27"/>
        <v>77173.326940644867</v>
      </c>
      <c r="AA111" s="6">
        <f t="shared" si="28"/>
        <v>523034.43504455179</v>
      </c>
      <c r="AB111" s="1">
        <f t="shared" si="29"/>
        <v>0.4</v>
      </c>
      <c r="AC111" s="1">
        <f t="shared" si="32"/>
        <v>1.5</v>
      </c>
      <c r="AD111" s="1">
        <f t="shared" si="33"/>
        <v>1</v>
      </c>
      <c r="AE111" s="1">
        <f t="shared" si="30"/>
        <v>10</v>
      </c>
      <c r="AF111" s="33">
        <f t="shared" si="31"/>
        <v>2.4999999999999991</v>
      </c>
    </row>
    <row r="112" spans="4:32" ht="14.25" customHeight="1" outlineLevel="1" x14ac:dyDescent="0.2">
      <c r="D112" s="1">
        <v>89</v>
      </c>
      <c r="E112" s="6">
        <f t="shared" si="25"/>
        <v>1429.1288296270322</v>
      </c>
      <c r="F112" s="6">
        <f t="shared" si="25"/>
        <v>60582.866590226178</v>
      </c>
      <c r="G112" s="6">
        <f t="shared" si="25"/>
        <v>7322.4820906237237</v>
      </c>
      <c r="H112" s="1">
        <v>0.4</v>
      </c>
      <c r="I112" s="1">
        <v>1.5</v>
      </c>
      <c r="J112" s="1">
        <v>1</v>
      </c>
      <c r="M112" s="1">
        <v>89</v>
      </c>
      <c r="N112" s="6">
        <f t="shared" si="21"/>
        <v>71456.44148135162</v>
      </c>
      <c r="O112" s="6">
        <f t="shared" si="22"/>
        <v>699909.409141841</v>
      </c>
      <c r="P112" s="6">
        <f t="shared" si="23"/>
        <v>549186.15679677925</v>
      </c>
      <c r="Q112" s="1">
        <v>0.4</v>
      </c>
      <c r="R112" s="1">
        <v>1.5</v>
      </c>
      <c r="S112" s="1">
        <v>1</v>
      </c>
      <c r="T112" s="1">
        <v>0.8</v>
      </c>
      <c r="U112" s="1">
        <v>10</v>
      </c>
      <c r="V112" s="5">
        <f t="shared" si="24"/>
        <v>2.4999999999999987</v>
      </c>
      <c r="X112" s="1">
        <v>89</v>
      </c>
      <c r="Y112" s="6">
        <f t="shared" si="26"/>
        <v>14291.288296270324</v>
      </c>
      <c r="Z112" s="6">
        <f t="shared" si="27"/>
        <v>77767.712126871222</v>
      </c>
      <c r="AA112" s="6">
        <f t="shared" si="28"/>
        <v>549186.15679677925</v>
      </c>
      <c r="AB112" s="1">
        <f t="shared" si="29"/>
        <v>0.4</v>
      </c>
      <c r="AC112" s="1">
        <f t="shared" si="32"/>
        <v>1.5</v>
      </c>
      <c r="AD112" s="1">
        <f t="shared" si="33"/>
        <v>1</v>
      </c>
      <c r="AE112" s="1">
        <f t="shared" si="30"/>
        <v>10</v>
      </c>
      <c r="AF112" s="33">
        <f t="shared" si="31"/>
        <v>2.4999999999999987</v>
      </c>
    </row>
    <row r="113" spans="3:32" ht="14.25" customHeight="1" outlineLevel="1" x14ac:dyDescent="0.2">
      <c r="D113" s="1">
        <v>90</v>
      </c>
      <c r="E113" s="6">
        <f t="shared" si="25"/>
        <v>1500.5852711083839</v>
      </c>
      <c r="F113" s="6">
        <f t="shared" si="25"/>
        <v>63612.009919737495</v>
      </c>
      <c r="G113" s="6">
        <f t="shared" si="25"/>
        <v>7688.6061951549109</v>
      </c>
      <c r="H113" s="1">
        <v>0.4</v>
      </c>
      <c r="I113" s="1">
        <v>1.5</v>
      </c>
      <c r="J113" s="1">
        <v>1</v>
      </c>
      <c r="M113" s="1">
        <v>90</v>
      </c>
      <c r="N113" s="6">
        <f t="shared" si="21"/>
        <v>75029.263555419209</v>
      </c>
      <c r="O113" s="6">
        <f t="shared" si="22"/>
        <v>705081.315595967</v>
      </c>
      <c r="P113" s="6">
        <f t="shared" si="23"/>
        <v>576645.46463661827</v>
      </c>
      <c r="Q113" s="1">
        <v>0.4</v>
      </c>
      <c r="R113" s="1">
        <v>1.5</v>
      </c>
      <c r="S113" s="1">
        <v>1</v>
      </c>
      <c r="T113" s="1">
        <v>0.8</v>
      </c>
      <c r="U113" s="1">
        <v>10</v>
      </c>
      <c r="V113" s="5">
        <f t="shared" si="24"/>
        <v>2.4999999999999991</v>
      </c>
      <c r="X113" s="1">
        <v>90</v>
      </c>
      <c r="Y113" s="6">
        <f t="shared" si="26"/>
        <v>15005.852711083842</v>
      </c>
      <c r="Z113" s="6">
        <f t="shared" si="27"/>
        <v>78342.368399551895</v>
      </c>
      <c r="AA113" s="6">
        <f t="shared" si="28"/>
        <v>576645.46463661827</v>
      </c>
      <c r="AB113" s="1">
        <f t="shared" si="29"/>
        <v>0.4</v>
      </c>
      <c r="AC113" s="1">
        <f t="shared" si="32"/>
        <v>1.5</v>
      </c>
      <c r="AD113" s="1">
        <f t="shared" si="33"/>
        <v>1</v>
      </c>
      <c r="AE113" s="1">
        <f t="shared" si="30"/>
        <v>10</v>
      </c>
      <c r="AF113" s="33">
        <f t="shared" si="31"/>
        <v>2.4999999999999991</v>
      </c>
    </row>
    <row r="114" spans="3:32" ht="14.25" customHeight="1" outlineLevel="1" x14ac:dyDescent="0.2">
      <c r="D114" s="1">
        <v>91</v>
      </c>
      <c r="E114" s="6">
        <f t="shared" si="25"/>
        <v>1575.6145346638029</v>
      </c>
      <c r="F114" s="6">
        <f t="shared" si="25"/>
        <v>66792.610415724368</v>
      </c>
      <c r="G114" s="6">
        <f t="shared" si="25"/>
        <v>8073.0365049126558</v>
      </c>
      <c r="H114" s="1">
        <v>0.4</v>
      </c>
      <c r="I114" s="1">
        <v>1.5</v>
      </c>
      <c r="J114" s="1">
        <v>1</v>
      </c>
      <c r="M114" s="1">
        <v>91</v>
      </c>
      <c r="N114" s="6">
        <f t="shared" si="21"/>
        <v>78780.726733190153</v>
      </c>
      <c r="O114" s="6">
        <f t="shared" si="22"/>
        <v>710078.50599439349</v>
      </c>
      <c r="P114" s="6">
        <f t="shared" si="23"/>
        <v>605477.73786844919</v>
      </c>
      <c r="Q114" s="1">
        <v>0.4</v>
      </c>
      <c r="R114" s="1">
        <v>1.5</v>
      </c>
      <c r="S114" s="1">
        <v>1</v>
      </c>
      <c r="T114" s="1">
        <v>0.8</v>
      </c>
      <c r="U114" s="1">
        <v>10</v>
      </c>
      <c r="V114" s="5">
        <f t="shared" si="24"/>
        <v>2.4999999999999991</v>
      </c>
      <c r="X114" s="1">
        <v>91</v>
      </c>
      <c r="Y114" s="6">
        <f t="shared" si="26"/>
        <v>15756.14534663803</v>
      </c>
      <c r="Z114" s="6">
        <f t="shared" si="27"/>
        <v>78897.611777154831</v>
      </c>
      <c r="AA114" s="6">
        <f t="shared" si="28"/>
        <v>605477.73786844919</v>
      </c>
      <c r="AB114" s="1">
        <f t="shared" si="29"/>
        <v>0.4</v>
      </c>
      <c r="AC114" s="1">
        <f t="shared" si="32"/>
        <v>1.5</v>
      </c>
      <c r="AD114" s="1">
        <f t="shared" si="33"/>
        <v>1</v>
      </c>
      <c r="AE114" s="1">
        <f t="shared" si="30"/>
        <v>10</v>
      </c>
      <c r="AF114" s="33">
        <f t="shared" si="31"/>
        <v>2.4999999999999991</v>
      </c>
    </row>
    <row r="115" spans="3:32" ht="14.25" customHeight="1" outlineLevel="1" x14ac:dyDescent="0.2">
      <c r="D115" s="1">
        <v>92</v>
      </c>
      <c r="E115" s="6">
        <f t="shared" si="25"/>
        <v>1654.3952613969936</v>
      </c>
      <c r="F115" s="6">
        <f t="shared" si="25"/>
        <v>70132.2409365106</v>
      </c>
      <c r="G115" s="6">
        <f t="shared" si="25"/>
        <v>8476.6883301582911</v>
      </c>
      <c r="H115" s="1">
        <v>0.4</v>
      </c>
      <c r="I115" s="1">
        <v>1.5</v>
      </c>
      <c r="J115" s="1">
        <v>1</v>
      </c>
      <c r="M115" s="1">
        <v>92</v>
      </c>
      <c r="N115" s="6">
        <f t="shared" si="21"/>
        <v>82719.763069849694</v>
      </c>
      <c r="O115" s="6">
        <f t="shared" si="22"/>
        <v>714904.03734285769</v>
      </c>
      <c r="P115" s="6">
        <f t="shared" si="23"/>
        <v>635751.62476187188</v>
      </c>
      <c r="Q115" s="1">
        <v>0.4</v>
      </c>
      <c r="R115" s="1">
        <v>1.5</v>
      </c>
      <c r="S115" s="1">
        <v>1</v>
      </c>
      <c r="T115" s="1">
        <v>0.8</v>
      </c>
      <c r="U115" s="1">
        <v>10</v>
      </c>
      <c r="V115" s="5">
        <f t="shared" si="24"/>
        <v>2.4999999999999991</v>
      </c>
      <c r="X115" s="1">
        <v>92</v>
      </c>
      <c r="Y115" s="6">
        <f t="shared" si="26"/>
        <v>16543.952613969937</v>
      </c>
      <c r="Z115" s="6">
        <f t="shared" si="27"/>
        <v>79433.781926984186</v>
      </c>
      <c r="AA115" s="6">
        <f t="shared" si="28"/>
        <v>635751.62476187188</v>
      </c>
      <c r="AB115" s="1">
        <f t="shared" si="29"/>
        <v>0.4</v>
      </c>
      <c r="AC115" s="1">
        <f t="shared" si="32"/>
        <v>1.5</v>
      </c>
      <c r="AD115" s="1">
        <f t="shared" si="33"/>
        <v>1</v>
      </c>
      <c r="AE115" s="1">
        <f t="shared" si="30"/>
        <v>10</v>
      </c>
      <c r="AF115" s="33">
        <f t="shared" si="31"/>
        <v>2.4999999999999991</v>
      </c>
    </row>
    <row r="116" spans="3:32" ht="14.25" customHeight="1" outlineLevel="1" x14ac:dyDescent="0.2">
      <c r="D116" s="1">
        <v>93</v>
      </c>
      <c r="E116" s="6">
        <f t="shared" si="25"/>
        <v>1737.1150244668429</v>
      </c>
      <c r="F116" s="6">
        <f t="shared" si="25"/>
        <v>73638.85298333611</v>
      </c>
      <c r="G116" s="6">
        <f t="shared" si="25"/>
        <v>8900.5227466662036</v>
      </c>
      <c r="H116" s="1">
        <v>0.4</v>
      </c>
      <c r="I116" s="1">
        <v>1.5</v>
      </c>
      <c r="J116" s="1">
        <v>1</v>
      </c>
      <c r="M116" s="1">
        <v>93</v>
      </c>
      <c r="N116" s="6">
        <f t="shared" si="21"/>
        <v>86855.751223342158</v>
      </c>
      <c r="O116" s="6">
        <f t="shared" si="22"/>
        <v>719561.15473669476</v>
      </c>
      <c r="P116" s="6">
        <f t="shared" si="23"/>
        <v>667539.20599996531</v>
      </c>
      <c r="Q116" s="1">
        <v>0.4</v>
      </c>
      <c r="R116" s="1">
        <v>1.5</v>
      </c>
      <c r="S116" s="1">
        <v>1</v>
      </c>
      <c r="T116" s="1">
        <v>0.8</v>
      </c>
      <c r="U116" s="1">
        <v>10</v>
      </c>
      <c r="V116" s="5">
        <f t="shared" si="24"/>
        <v>2.4999999999999991</v>
      </c>
      <c r="X116" s="1">
        <v>93</v>
      </c>
      <c r="Y116" s="6">
        <f t="shared" si="26"/>
        <v>17371.150244668432</v>
      </c>
      <c r="Z116" s="6">
        <f t="shared" si="27"/>
        <v>79951.239415188305</v>
      </c>
      <c r="AA116" s="6">
        <f t="shared" si="28"/>
        <v>667539.20599996531</v>
      </c>
      <c r="AB116" s="1">
        <f t="shared" si="29"/>
        <v>0.4</v>
      </c>
      <c r="AC116" s="1">
        <f t="shared" si="32"/>
        <v>1.5</v>
      </c>
      <c r="AD116" s="1">
        <f t="shared" si="33"/>
        <v>1</v>
      </c>
      <c r="AE116" s="1">
        <f t="shared" si="30"/>
        <v>10</v>
      </c>
      <c r="AF116" s="33">
        <f t="shared" si="31"/>
        <v>2.4999999999999991</v>
      </c>
    </row>
    <row r="117" spans="3:32" ht="14.25" customHeight="1" outlineLevel="1" x14ac:dyDescent="0.2">
      <c r="D117" s="1">
        <v>94</v>
      </c>
      <c r="E117" s="6">
        <f t="shared" si="25"/>
        <v>1823.9707756901853</v>
      </c>
      <c r="F117" s="6">
        <f t="shared" si="25"/>
        <v>77320.795632502937</v>
      </c>
      <c r="G117" s="6">
        <f t="shared" si="25"/>
        <v>9345.548883999516</v>
      </c>
      <c r="H117" s="1">
        <v>0.4</v>
      </c>
      <c r="I117" s="1">
        <v>1.5</v>
      </c>
      <c r="J117" s="1">
        <v>1</v>
      </c>
      <c r="M117" s="1">
        <v>94</v>
      </c>
      <c r="N117" s="6">
        <f t="shared" si="21"/>
        <v>91198.538784509277</v>
      </c>
      <c r="O117" s="6">
        <f t="shared" si="22"/>
        <v>724053.2675508291</v>
      </c>
      <c r="P117" s="6">
        <f t="shared" si="23"/>
        <v>700916.16629996372</v>
      </c>
      <c r="Q117" s="1">
        <v>0.4</v>
      </c>
      <c r="R117" s="1">
        <v>1.5</v>
      </c>
      <c r="S117" s="1">
        <v>1</v>
      </c>
      <c r="T117" s="1">
        <v>0.8</v>
      </c>
      <c r="U117" s="1">
        <v>10</v>
      </c>
      <c r="V117" s="5">
        <f t="shared" si="24"/>
        <v>2.4999999999999996</v>
      </c>
      <c r="X117" s="1">
        <v>94</v>
      </c>
      <c r="Y117" s="6">
        <f t="shared" si="26"/>
        <v>18239.707756901855</v>
      </c>
      <c r="Z117" s="6">
        <f t="shared" si="27"/>
        <v>80450.363061203228</v>
      </c>
      <c r="AA117" s="6">
        <f t="shared" si="28"/>
        <v>700916.16629996372</v>
      </c>
      <c r="AB117" s="1">
        <f t="shared" si="29"/>
        <v>0.4</v>
      </c>
      <c r="AC117" s="1">
        <f t="shared" si="32"/>
        <v>1.5</v>
      </c>
      <c r="AD117" s="1">
        <f t="shared" si="33"/>
        <v>1</v>
      </c>
      <c r="AE117" s="1">
        <f t="shared" si="30"/>
        <v>10</v>
      </c>
      <c r="AF117" s="33">
        <f t="shared" si="31"/>
        <v>2.4999999999999996</v>
      </c>
    </row>
    <row r="118" spans="3:32" ht="14.25" customHeight="1" outlineLevel="1" x14ac:dyDescent="0.2">
      <c r="D118" s="1">
        <v>95</v>
      </c>
      <c r="E118" s="6">
        <f t="shared" si="25"/>
        <v>1915.1693144746939</v>
      </c>
      <c r="F118" s="6">
        <f t="shared" si="25"/>
        <v>81186.835414128043</v>
      </c>
      <c r="G118" s="6">
        <f t="shared" si="25"/>
        <v>9812.8263281994878</v>
      </c>
      <c r="H118" s="1">
        <v>0.4</v>
      </c>
      <c r="I118" s="1">
        <v>1.5</v>
      </c>
      <c r="J118" s="1">
        <v>1</v>
      </c>
      <c r="M118" s="1">
        <v>95</v>
      </c>
      <c r="N118" s="6">
        <f t="shared" si="21"/>
        <v>95758.465723734698</v>
      </c>
      <c r="O118" s="6">
        <f t="shared" si="22"/>
        <v>728383.92665697041</v>
      </c>
      <c r="P118" s="6">
        <f t="shared" si="23"/>
        <v>735961.97461496154</v>
      </c>
      <c r="Q118" s="1">
        <v>0.4</v>
      </c>
      <c r="R118" s="1">
        <v>1.5</v>
      </c>
      <c r="S118" s="1">
        <v>1</v>
      </c>
      <c r="T118" s="1">
        <v>0.8</v>
      </c>
      <c r="U118" s="1">
        <v>10</v>
      </c>
      <c r="V118" s="5">
        <f t="shared" si="24"/>
        <v>2.4999999999999991</v>
      </c>
      <c r="X118" s="1">
        <v>95</v>
      </c>
      <c r="Y118" s="6">
        <f t="shared" si="26"/>
        <v>19151.69314474694</v>
      </c>
      <c r="Z118" s="6">
        <f t="shared" si="27"/>
        <v>80931.54740633005</v>
      </c>
      <c r="AA118" s="6">
        <f t="shared" si="28"/>
        <v>735961.97461496154</v>
      </c>
      <c r="AB118" s="1">
        <f t="shared" si="29"/>
        <v>0.4</v>
      </c>
      <c r="AC118" s="1">
        <f t="shared" si="32"/>
        <v>1.5</v>
      </c>
      <c r="AD118" s="1">
        <f t="shared" si="33"/>
        <v>1</v>
      </c>
      <c r="AE118" s="1">
        <f t="shared" si="30"/>
        <v>10</v>
      </c>
      <c r="AF118" s="33">
        <f t="shared" si="31"/>
        <v>2.4999999999999991</v>
      </c>
    </row>
    <row r="119" spans="3:32" ht="14.25" customHeight="1" outlineLevel="1" x14ac:dyDescent="0.2">
      <c r="D119" s="1">
        <v>96</v>
      </c>
      <c r="E119" s="6">
        <f t="shared" si="25"/>
        <v>2010.9277801984294</v>
      </c>
      <c r="F119" s="6">
        <f t="shared" si="25"/>
        <v>85246.177184834494</v>
      </c>
      <c r="G119" s="6">
        <f t="shared" si="25"/>
        <v>10303.467644609467</v>
      </c>
      <c r="H119" s="1">
        <v>0.4</v>
      </c>
      <c r="I119" s="1">
        <v>1.5</v>
      </c>
      <c r="J119" s="1">
        <v>1</v>
      </c>
      <c r="M119" s="1">
        <v>96</v>
      </c>
      <c r="N119" s="6">
        <f t="shared" si="21"/>
        <v>100546.38900992149</v>
      </c>
      <c r="O119" s="6">
        <f t="shared" si="22"/>
        <v>732556.80273655977</v>
      </c>
      <c r="P119" s="6">
        <f t="shared" si="23"/>
        <v>772760.07334571006</v>
      </c>
      <c r="Q119" s="1">
        <v>0.4</v>
      </c>
      <c r="R119" s="1">
        <v>1.5</v>
      </c>
      <c r="S119" s="1">
        <v>1</v>
      </c>
      <c r="T119" s="1">
        <v>0.8</v>
      </c>
      <c r="U119" s="1">
        <v>10</v>
      </c>
      <c r="V119" s="5">
        <f t="shared" si="24"/>
        <v>2.4999999999999991</v>
      </c>
      <c r="X119" s="1">
        <v>96</v>
      </c>
      <c r="Y119" s="6">
        <f t="shared" si="26"/>
        <v>20109.277801984299</v>
      </c>
      <c r="Z119" s="6">
        <f t="shared" si="27"/>
        <v>81395.200304062193</v>
      </c>
      <c r="AA119" s="6">
        <f t="shared" si="28"/>
        <v>772760.07334571006</v>
      </c>
      <c r="AB119" s="1">
        <f t="shared" si="29"/>
        <v>0.4</v>
      </c>
      <c r="AC119" s="1">
        <f t="shared" si="32"/>
        <v>1.5</v>
      </c>
      <c r="AD119" s="1">
        <f t="shared" si="33"/>
        <v>1</v>
      </c>
      <c r="AE119" s="1">
        <f t="shared" si="30"/>
        <v>10</v>
      </c>
      <c r="AF119" s="33">
        <f t="shared" si="31"/>
        <v>2.4999999999999991</v>
      </c>
    </row>
    <row r="120" spans="3:32" ht="14.25" customHeight="1" outlineLevel="1" x14ac:dyDescent="0.2">
      <c r="D120" s="1">
        <v>97</v>
      </c>
      <c r="E120" s="6">
        <f t="shared" si="25"/>
        <v>2111.4741692083508</v>
      </c>
      <c r="F120" s="6">
        <f t="shared" si="25"/>
        <v>89508.486044076199</v>
      </c>
      <c r="G120" s="6">
        <f t="shared" si="25"/>
        <v>10818.641026839938</v>
      </c>
      <c r="H120" s="1">
        <v>0.4</v>
      </c>
      <c r="I120" s="1">
        <v>1.5</v>
      </c>
      <c r="J120" s="1">
        <v>1</v>
      </c>
      <c r="M120" s="1">
        <v>97</v>
      </c>
      <c r="N120" s="6">
        <f t="shared" si="21"/>
        <v>105573.70846041755</v>
      </c>
      <c r="O120" s="6">
        <f t="shared" si="22"/>
        <v>736575.66574062384</v>
      </c>
      <c r="P120" s="6">
        <f t="shared" si="23"/>
        <v>811398.07701299537</v>
      </c>
      <c r="Q120" s="1">
        <v>0.4</v>
      </c>
      <c r="R120" s="1">
        <v>1.5</v>
      </c>
      <c r="S120" s="1">
        <v>1</v>
      </c>
      <c r="T120" s="1">
        <v>0.8</v>
      </c>
      <c r="U120" s="1">
        <v>10</v>
      </c>
      <c r="V120" s="5">
        <f t="shared" si="24"/>
        <v>2.4999999999999991</v>
      </c>
      <c r="X120" s="1">
        <v>97</v>
      </c>
      <c r="Y120" s="6">
        <f t="shared" si="26"/>
        <v>21114.741692083509</v>
      </c>
      <c r="Z120" s="6">
        <f t="shared" si="27"/>
        <v>81841.740637847091</v>
      </c>
      <c r="AA120" s="6">
        <f t="shared" si="28"/>
        <v>811398.07701299537</v>
      </c>
      <c r="AB120" s="1">
        <f t="shared" si="29"/>
        <v>0.4</v>
      </c>
      <c r="AC120" s="1">
        <f t="shared" si="32"/>
        <v>1.5</v>
      </c>
      <c r="AD120" s="1">
        <f t="shared" si="33"/>
        <v>1</v>
      </c>
      <c r="AE120" s="1">
        <f t="shared" si="30"/>
        <v>10</v>
      </c>
      <c r="AF120" s="33">
        <f t="shared" si="31"/>
        <v>2.4999999999999991</v>
      </c>
    </row>
    <row r="121" spans="3:32" ht="14.25" customHeight="1" outlineLevel="1" x14ac:dyDescent="0.2">
      <c r="D121" s="1">
        <v>98</v>
      </c>
      <c r="E121" s="6">
        <f t="shared" si="25"/>
        <v>2217.0478776687683</v>
      </c>
      <c r="F121" s="6">
        <f t="shared" si="25"/>
        <v>93983.910346280012</v>
      </c>
      <c r="G121" s="6">
        <f t="shared" si="25"/>
        <v>11359.573078181935</v>
      </c>
      <c r="H121" s="1">
        <v>0.4</v>
      </c>
      <c r="I121" s="1">
        <v>1.5</v>
      </c>
      <c r="J121" s="1">
        <v>1</v>
      </c>
      <c r="M121" s="1">
        <v>98</v>
      </c>
      <c r="N121" s="6">
        <f t="shared" si="21"/>
        <v>110852.39388343842</v>
      </c>
      <c r="O121" s="6">
        <f t="shared" si="22"/>
        <v>740444.36553172616</v>
      </c>
      <c r="P121" s="6">
        <f t="shared" si="23"/>
        <v>851967.98086364509</v>
      </c>
      <c r="Q121" s="1">
        <v>0.4</v>
      </c>
      <c r="R121" s="1">
        <v>1.5</v>
      </c>
      <c r="S121" s="1">
        <v>1</v>
      </c>
      <c r="T121" s="1">
        <v>0.8</v>
      </c>
      <c r="U121" s="1">
        <v>10</v>
      </c>
      <c r="V121" s="5">
        <f t="shared" si="24"/>
        <v>2.5</v>
      </c>
      <c r="X121" s="1">
        <v>98</v>
      </c>
      <c r="Y121" s="6">
        <f t="shared" si="26"/>
        <v>22170.478776687683</v>
      </c>
      <c r="Z121" s="6">
        <f t="shared" si="27"/>
        <v>82271.596170191799</v>
      </c>
      <c r="AA121" s="6">
        <f t="shared" si="28"/>
        <v>851967.98086364509</v>
      </c>
      <c r="AB121" s="1">
        <f t="shared" si="29"/>
        <v>0.4</v>
      </c>
      <c r="AC121" s="1">
        <f t="shared" si="32"/>
        <v>1.5</v>
      </c>
      <c r="AD121" s="1">
        <f t="shared" si="33"/>
        <v>1</v>
      </c>
      <c r="AE121" s="1">
        <f t="shared" si="30"/>
        <v>10</v>
      </c>
      <c r="AF121" s="33">
        <f t="shared" si="31"/>
        <v>2.5</v>
      </c>
    </row>
    <row r="122" spans="3:32" ht="14.25" customHeight="1" outlineLevel="1" x14ac:dyDescent="0.2">
      <c r="D122" s="1">
        <v>99</v>
      </c>
      <c r="E122" s="6">
        <f t="shared" si="25"/>
        <v>2327.900271552207</v>
      </c>
      <c r="F122" s="6">
        <f t="shared" si="25"/>
        <v>98683.105863594013</v>
      </c>
      <c r="G122" s="6">
        <f t="shared" si="25"/>
        <v>11927.551732091033</v>
      </c>
      <c r="H122" s="1">
        <v>0.4</v>
      </c>
      <c r="I122" s="1">
        <v>1.5</v>
      </c>
      <c r="J122" s="1">
        <v>1</v>
      </c>
      <c r="M122" s="1">
        <v>99</v>
      </c>
      <c r="N122" s="6">
        <f t="shared" si="21"/>
        <v>116395.01357761036</v>
      </c>
      <c r="O122" s="6">
        <f t="shared" si="22"/>
        <v>744166.81372870365</v>
      </c>
      <c r="P122" s="6">
        <f t="shared" si="23"/>
        <v>894566.37990682747</v>
      </c>
      <c r="Q122" s="1">
        <v>0.4</v>
      </c>
      <c r="R122" s="1">
        <v>1.5</v>
      </c>
      <c r="S122" s="1">
        <v>1</v>
      </c>
      <c r="T122" s="1">
        <v>0.8</v>
      </c>
      <c r="U122" s="1">
        <v>10</v>
      </c>
      <c r="V122" s="5">
        <f t="shared" si="24"/>
        <v>2.4999999999999991</v>
      </c>
      <c r="X122" s="1">
        <v>99</v>
      </c>
      <c r="Y122" s="6">
        <f t="shared" si="26"/>
        <v>23279.002715522071</v>
      </c>
      <c r="Z122" s="6">
        <f t="shared" si="27"/>
        <v>82685.20152541151</v>
      </c>
      <c r="AA122" s="6">
        <f t="shared" si="28"/>
        <v>894566.37990682747</v>
      </c>
      <c r="AB122" s="1">
        <f t="shared" si="29"/>
        <v>0.4</v>
      </c>
      <c r="AC122" s="1">
        <f t="shared" si="32"/>
        <v>1.5</v>
      </c>
      <c r="AD122" s="1">
        <f t="shared" si="33"/>
        <v>1</v>
      </c>
      <c r="AE122" s="1">
        <f t="shared" si="30"/>
        <v>10</v>
      </c>
      <c r="AF122" s="33">
        <f t="shared" si="31"/>
        <v>2.4999999999999991</v>
      </c>
    </row>
    <row r="123" spans="3:32" ht="14.25" customHeight="1" outlineLevel="1" x14ac:dyDescent="0.2">
      <c r="D123" s="1">
        <v>100</v>
      </c>
      <c r="E123" s="6">
        <f t="shared" si="25"/>
        <v>2444.2952851298173</v>
      </c>
      <c r="F123" s="6">
        <f t="shared" si="25"/>
        <v>103617.26115677373</v>
      </c>
      <c r="G123" s="6">
        <f t="shared" si="25"/>
        <v>12523.929318695586</v>
      </c>
      <c r="H123" s="1">
        <v>0.4</v>
      </c>
      <c r="I123" s="1">
        <v>1.5</v>
      </c>
      <c r="J123" s="1">
        <v>1</v>
      </c>
      <c r="M123" s="1">
        <v>100</v>
      </c>
      <c r="N123" s="6">
        <f t="shared" si="21"/>
        <v>122214.76425649087</v>
      </c>
      <c r="O123" s="6">
        <f t="shared" si="22"/>
        <v>747746.96676188451</v>
      </c>
      <c r="P123" s="6">
        <f t="shared" si="23"/>
        <v>939294.69890216889</v>
      </c>
      <c r="Q123" s="1">
        <v>0.4</v>
      </c>
      <c r="R123" s="1">
        <v>1.5</v>
      </c>
      <c r="S123" s="1">
        <v>1</v>
      </c>
      <c r="T123" s="1">
        <v>0.8</v>
      </c>
      <c r="U123" s="1">
        <v>10</v>
      </c>
      <c r="V123" s="5">
        <f t="shared" si="24"/>
        <v>2.4999999999999991</v>
      </c>
      <c r="X123" s="1">
        <v>100</v>
      </c>
      <c r="Y123" s="6">
        <f t="shared" si="26"/>
        <v>24442.952851298174</v>
      </c>
      <c r="Z123" s="6">
        <f t="shared" si="27"/>
        <v>83082.996306876055</v>
      </c>
      <c r="AA123" s="6">
        <f t="shared" si="28"/>
        <v>939294.69890216889</v>
      </c>
      <c r="AB123" s="1">
        <f t="shared" si="29"/>
        <v>0.4</v>
      </c>
      <c r="AC123" s="1">
        <f t="shared" si="32"/>
        <v>1.5</v>
      </c>
      <c r="AD123" s="1">
        <f t="shared" si="33"/>
        <v>1</v>
      </c>
      <c r="AE123" s="1">
        <f t="shared" si="30"/>
        <v>10</v>
      </c>
      <c r="AF123" s="33">
        <f t="shared" si="31"/>
        <v>2.4999999999999991</v>
      </c>
    </row>
    <row r="125" spans="3:32" ht="14.25" customHeight="1" x14ac:dyDescent="0.2">
      <c r="C125" s="3" t="s">
        <v>290</v>
      </c>
      <c r="D125" s="2" t="s">
        <v>299</v>
      </c>
      <c r="I125" s="3" t="s">
        <v>291</v>
      </c>
      <c r="Q125" s="2"/>
    </row>
    <row r="126" spans="3:32" ht="14.25" customHeight="1" x14ac:dyDescent="0.2">
      <c r="D126" s="3" t="s">
        <v>289</v>
      </c>
      <c r="E126" s="3" t="s">
        <v>146</v>
      </c>
      <c r="F126" s="3" t="s">
        <v>147</v>
      </c>
      <c r="G126" s="3" t="s">
        <v>124</v>
      </c>
      <c r="H126" s="75" t="s">
        <v>15</v>
      </c>
      <c r="J126" s="24" t="s">
        <v>13</v>
      </c>
      <c r="K126" s="3" t="s">
        <v>147</v>
      </c>
    </row>
    <row r="127" spans="3:32" ht="14.25" customHeight="1" x14ac:dyDescent="0.2">
      <c r="D127" s="1">
        <v>5</v>
      </c>
      <c r="H127" s="6">
        <f>F127/(J127-G127)</f>
        <v>0</v>
      </c>
      <c r="J127" s="1">
        <v>11.74</v>
      </c>
      <c r="K127" s="6">
        <f>E127*H127</f>
        <v>0</v>
      </c>
    </row>
    <row r="128" spans="3:32" ht="14.25" customHeight="1" x14ac:dyDescent="0.2">
      <c r="D128" s="1">
        <v>4</v>
      </c>
      <c r="E128" s="1">
        <f>SUM(E6:E9)</f>
        <v>32.5</v>
      </c>
      <c r="F128" s="1">
        <f>F6</f>
        <v>111.11111111111111</v>
      </c>
      <c r="G128" s="1">
        <f>SUM(G6:G9)</f>
        <v>4</v>
      </c>
      <c r="H128" s="6">
        <f t="shared" ref="H128:H131" si="34">F128/(J128-G128)</f>
        <v>14.355440712029859</v>
      </c>
      <c r="J128" s="1">
        <f>J127</f>
        <v>11.74</v>
      </c>
      <c r="K128" s="6">
        <f t="shared" ref="K128:K131" si="35">E128*H128</f>
        <v>466.55182314097038</v>
      </c>
    </row>
    <row r="129" spans="3:32" ht="14.25" customHeight="1" x14ac:dyDescent="0.2">
      <c r="D129" s="1">
        <v>3</v>
      </c>
      <c r="E129" s="1">
        <f>E128-E6</f>
        <v>28</v>
      </c>
      <c r="F129" s="1">
        <f>F8</f>
        <v>100</v>
      </c>
      <c r="G129" s="1">
        <f>G128-G6</f>
        <v>2</v>
      </c>
      <c r="H129" s="6">
        <f t="shared" si="34"/>
        <v>10.266940451745379</v>
      </c>
      <c r="J129" s="1">
        <f t="shared" ref="J129:J131" si="36">J128</f>
        <v>11.74</v>
      </c>
      <c r="K129" s="6">
        <f t="shared" si="35"/>
        <v>287.47433264887059</v>
      </c>
    </row>
    <row r="130" spans="3:32" ht="14.25" customHeight="1" x14ac:dyDescent="0.2">
      <c r="D130" s="1">
        <v>2</v>
      </c>
      <c r="E130" s="1">
        <f>E129-E8</f>
        <v>23</v>
      </c>
      <c r="F130" s="1">
        <f>F7</f>
        <v>36.36363636363636</v>
      </c>
      <c r="G130" s="1">
        <f>G129-G8</f>
        <v>0</v>
      </c>
      <c r="H130" s="6">
        <f t="shared" si="34"/>
        <v>3.0974136595942383</v>
      </c>
      <c r="J130" s="1">
        <f t="shared" si="36"/>
        <v>11.74</v>
      </c>
      <c r="K130" s="6">
        <f t="shared" si="35"/>
        <v>71.240514170667481</v>
      </c>
    </row>
    <row r="131" spans="3:32" ht="14.25" customHeight="1" x14ac:dyDescent="0.2">
      <c r="D131" s="1">
        <v>1</v>
      </c>
      <c r="E131" s="1">
        <f>E10</f>
        <v>3.88</v>
      </c>
      <c r="F131" s="1">
        <f>F9</f>
        <v>33.333333333333336</v>
      </c>
      <c r="G131" s="1">
        <f>G9</f>
        <v>0</v>
      </c>
      <c r="H131" s="6">
        <f t="shared" si="34"/>
        <v>2.8392958546280522</v>
      </c>
      <c r="J131" s="1">
        <f t="shared" si="36"/>
        <v>11.74</v>
      </c>
      <c r="K131" s="6">
        <f t="shared" si="35"/>
        <v>11.016467915956841</v>
      </c>
    </row>
    <row r="132" spans="3:32" ht="14.25" customHeight="1" x14ac:dyDescent="0.2">
      <c r="H132" s="6">
        <f>SUM(H127:H131)</f>
        <v>30.559090677997528</v>
      </c>
      <c r="I132" s="1" t="s">
        <v>292</v>
      </c>
      <c r="J132" s="1">
        <f>MAX(J127:J131)</f>
        <v>11.74</v>
      </c>
      <c r="K132" s="6">
        <f>SUM(K127:K131)</f>
        <v>836.28313787646516</v>
      </c>
    </row>
    <row r="134" spans="3:32" ht="14.25" customHeight="1" collapsed="1" x14ac:dyDescent="0.2">
      <c r="C134" s="3" t="s">
        <v>162</v>
      </c>
      <c r="E134" s="1">
        <f>J132</f>
        <v>11.74</v>
      </c>
      <c r="F134" s="6">
        <f>K132</f>
        <v>836.28313787646516</v>
      </c>
      <c r="G134" s="17">
        <v>5</v>
      </c>
      <c r="J134" s="1" t="s">
        <v>294</v>
      </c>
      <c r="K134" s="1">
        <f>$K$21</f>
        <v>75</v>
      </c>
      <c r="L134" s="3" t="s">
        <v>293</v>
      </c>
      <c r="P134" s="6">
        <f>MAX(P137:P236)</f>
        <v>46964.734945108452</v>
      </c>
      <c r="X134" s="1" t="s">
        <v>297</v>
      </c>
    </row>
    <row r="135" spans="3:32" ht="14.25" hidden="1" customHeight="1" outlineLevel="1" x14ac:dyDescent="0.2">
      <c r="E135" s="1">
        <f>$E$22</f>
        <v>1.05</v>
      </c>
      <c r="F135" s="1">
        <f>$F$22</f>
        <v>1.05</v>
      </c>
      <c r="G135" s="1">
        <f>$G$22</f>
        <v>1.05</v>
      </c>
      <c r="O135" s="6">
        <f>F137*K134</f>
        <v>62721.235340734886</v>
      </c>
      <c r="P135" s="1">
        <f>10000</f>
        <v>10000</v>
      </c>
      <c r="X135" s="1">
        <v>9</v>
      </c>
    </row>
    <row r="136" spans="3:32" ht="14.25" hidden="1" customHeight="1" outlineLevel="1" x14ac:dyDescent="0.2">
      <c r="D136" s="1" t="s">
        <v>186</v>
      </c>
      <c r="E136" s="1" t="s">
        <v>146</v>
      </c>
      <c r="F136" s="1" t="s">
        <v>147</v>
      </c>
      <c r="G136" s="1" t="s">
        <v>139</v>
      </c>
      <c r="H136" s="17" t="s">
        <v>140</v>
      </c>
      <c r="I136" s="17" t="s">
        <v>141</v>
      </c>
      <c r="J136" s="17" t="s">
        <v>142</v>
      </c>
      <c r="M136" s="1" t="s">
        <v>164</v>
      </c>
      <c r="N136" s="1" t="s">
        <v>165</v>
      </c>
      <c r="O136" s="1" t="s">
        <v>166</v>
      </c>
      <c r="P136" s="1" t="s">
        <v>139</v>
      </c>
      <c r="Q136" s="17" t="s">
        <v>140</v>
      </c>
      <c r="R136" s="17" t="s">
        <v>141</v>
      </c>
      <c r="S136" s="17" t="s">
        <v>142</v>
      </c>
      <c r="T136" s="17" t="s">
        <v>167</v>
      </c>
      <c r="U136" s="17" t="s">
        <v>198</v>
      </c>
      <c r="V136" s="1" t="s">
        <v>296</v>
      </c>
      <c r="X136" s="1" t="s">
        <v>164</v>
      </c>
      <c r="Y136" s="1" t="s">
        <v>165</v>
      </c>
      <c r="Z136" s="1" t="s">
        <v>166</v>
      </c>
      <c r="AA136" s="1" t="s">
        <v>139</v>
      </c>
      <c r="AB136" s="1" t="s">
        <v>140</v>
      </c>
      <c r="AC136" s="1" t="s">
        <v>141</v>
      </c>
      <c r="AD136" s="1" t="s">
        <v>142</v>
      </c>
      <c r="AE136" s="1" t="s">
        <v>295</v>
      </c>
      <c r="AF136" s="1" t="s">
        <v>199</v>
      </c>
    </row>
    <row r="137" spans="3:32" ht="14.25" hidden="1" customHeight="1" outlineLevel="1" x14ac:dyDescent="0.2">
      <c r="D137" s="1">
        <v>1</v>
      </c>
      <c r="E137" s="6">
        <f>E$134*E$135^($D137-1)</f>
        <v>11.74</v>
      </c>
      <c r="F137" s="6">
        <f>F$134*F$135^($D137-1)</f>
        <v>836.28313787646516</v>
      </c>
      <c r="G137" s="6">
        <f>G$134*G$135^($D137-1)</f>
        <v>5</v>
      </c>
      <c r="H137" s="1">
        <v>0.4</v>
      </c>
      <c r="I137" s="1">
        <v>1.5</v>
      </c>
      <c r="J137" s="1">
        <v>1</v>
      </c>
      <c r="M137" s="1">
        <v>1</v>
      </c>
      <c r="N137" s="6">
        <f>E137*T137*$K$21/S137/(1+Q137*(R137-1))</f>
        <v>587.00000000000011</v>
      </c>
      <c r="O137" s="6">
        <f>F137*$K$21/(1+P137/$P$22)</f>
        <v>62486.909430371001</v>
      </c>
      <c r="P137" s="6">
        <f>G137*$K$21</f>
        <v>375</v>
      </c>
      <c r="Q137" s="1">
        <v>0.4</v>
      </c>
      <c r="R137" s="1">
        <v>1.5</v>
      </c>
      <c r="S137" s="1">
        <v>1</v>
      </c>
      <c r="T137" s="1">
        <v>0.8</v>
      </c>
      <c r="U137" s="1">
        <v>10</v>
      </c>
      <c r="V137" s="5">
        <f>E137*$K$21*(1-T137)/(1/U137)/(1+Q137*(R137-1))/N137</f>
        <v>2.4999999999999991</v>
      </c>
      <c r="X137" s="1">
        <v>1</v>
      </c>
      <c r="Y137" s="6">
        <f>2*N137/(1+$X$22)</f>
        <v>117.40000000000002</v>
      </c>
      <c r="Z137" s="6">
        <f>O137/$X$22</f>
        <v>6942.9899367078888</v>
      </c>
      <c r="AA137" s="6">
        <f>P137</f>
        <v>375</v>
      </c>
      <c r="AB137" s="1">
        <f>Q137</f>
        <v>0.4</v>
      </c>
      <c r="AC137" s="1">
        <f t="shared" ref="AC137:AC200" si="37">R137</f>
        <v>1.5</v>
      </c>
      <c r="AD137" s="1">
        <f t="shared" ref="AD137:AD200" si="38">S137</f>
        <v>1</v>
      </c>
      <c r="AE137" s="1">
        <f>U137</f>
        <v>10</v>
      </c>
      <c r="AF137" s="33">
        <f>V137</f>
        <v>2.4999999999999991</v>
      </c>
    </row>
    <row r="138" spans="3:32" ht="14.25" hidden="1" customHeight="1" outlineLevel="1" x14ac:dyDescent="0.2">
      <c r="D138" s="1">
        <v>2</v>
      </c>
      <c r="E138" s="6">
        <f t="shared" ref="E138:G169" si="39">E$134*E$135^($D138-1)</f>
        <v>12.327</v>
      </c>
      <c r="F138" s="6">
        <f t="shared" ref="F138:G152" si="40">F$134*F$135^($D138-1)</f>
        <v>878.0972947702885</v>
      </c>
      <c r="G138" s="6">
        <f t="shared" si="40"/>
        <v>5.25</v>
      </c>
      <c r="H138" s="1">
        <v>0.4</v>
      </c>
      <c r="I138" s="1">
        <v>1.5</v>
      </c>
      <c r="J138" s="1">
        <v>1</v>
      </c>
      <c r="M138" s="1">
        <v>2</v>
      </c>
      <c r="N138" s="6">
        <f>E138*T138*$K$21/S138/(1+Q138*(R138-1))</f>
        <v>616.35000000000014</v>
      </c>
      <c r="O138" s="6">
        <f t="shared" ref="O138:O201" si="41">F138*$K$21/(1+P138/$P$22)</f>
        <v>65599.001041172029</v>
      </c>
      <c r="P138" s="6">
        <f t="shared" ref="P138:P201" si="42">G138*$K$21</f>
        <v>393.75</v>
      </c>
      <c r="Q138" s="1">
        <v>0.4</v>
      </c>
      <c r="R138" s="1">
        <v>1.5</v>
      </c>
      <c r="S138" s="1">
        <v>1</v>
      </c>
      <c r="T138" s="1">
        <v>0.8</v>
      </c>
      <c r="U138" s="1">
        <v>10</v>
      </c>
      <c r="V138" s="5">
        <f t="shared" ref="V138:V201" si="43">E138*$K$21*(1-T138)/(1/U138)/(1+Q138*(R138-1))/N138</f>
        <v>2.4999999999999987</v>
      </c>
      <c r="X138" s="1">
        <v>2</v>
      </c>
      <c r="Y138" s="6">
        <f>2*N138/(1+$X$22)</f>
        <v>123.27000000000002</v>
      </c>
      <c r="Z138" s="6">
        <f>O138/$X$22</f>
        <v>7288.7778934635589</v>
      </c>
      <c r="AA138" s="6">
        <f>P138</f>
        <v>393.75</v>
      </c>
      <c r="AB138" s="1">
        <f>Q138</f>
        <v>0.4</v>
      </c>
      <c r="AC138" s="1">
        <f t="shared" si="37"/>
        <v>1.5</v>
      </c>
      <c r="AD138" s="1">
        <f t="shared" si="38"/>
        <v>1</v>
      </c>
      <c r="AE138" s="1">
        <f>U138</f>
        <v>10</v>
      </c>
      <c r="AF138" s="33">
        <f>V138</f>
        <v>2.4999999999999987</v>
      </c>
    </row>
    <row r="139" spans="3:32" ht="14.25" hidden="1" customHeight="1" outlineLevel="1" x14ac:dyDescent="0.2">
      <c r="D139" s="1">
        <v>3</v>
      </c>
      <c r="E139" s="6">
        <f t="shared" si="39"/>
        <v>12.943350000000001</v>
      </c>
      <c r="F139" s="6">
        <f t="shared" si="40"/>
        <v>922.00215950880283</v>
      </c>
      <c r="G139" s="6">
        <f t="shared" si="40"/>
        <v>5.5125000000000002</v>
      </c>
      <c r="H139" s="1">
        <v>0.4</v>
      </c>
      <c r="I139" s="1">
        <v>1.5</v>
      </c>
      <c r="J139" s="1">
        <v>1</v>
      </c>
      <c r="M139" s="1">
        <v>3</v>
      </c>
      <c r="N139" s="6">
        <f t="shared" ref="N139:N202" si="44">E139*T139*$K$21/S139/(1+Q139*(R139-1))</f>
        <v>647.16750000000013</v>
      </c>
      <c r="O139" s="6">
        <f t="shared" si="41"/>
        <v>68865.446383269373</v>
      </c>
      <c r="P139" s="6">
        <f t="shared" si="42"/>
        <v>413.4375</v>
      </c>
      <c r="Q139" s="1">
        <v>0.4</v>
      </c>
      <c r="R139" s="1">
        <v>1.5</v>
      </c>
      <c r="S139" s="1">
        <v>1</v>
      </c>
      <c r="T139" s="1">
        <v>0.8</v>
      </c>
      <c r="U139" s="1">
        <v>10</v>
      </c>
      <c r="V139" s="5">
        <f t="shared" si="43"/>
        <v>2.4999999999999991</v>
      </c>
      <c r="X139" s="1">
        <v>3</v>
      </c>
      <c r="Y139" s="6">
        <f t="shared" ref="Y139:Y202" si="45">2*N139/(1+$X$22)</f>
        <v>129.43350000000004</v>
      </c>
      <c r="Z139" s="6">
        <f t="shared" ref="Z139:Z202" si="46">O139/$X$22</f>
        <v>7651.7162648077083</v>
      </c>
      <c r="AA139" s="6">
        <f t="shared" ref="AA139:AA202" si="47">P139</f>
        <v>413.4375</v>
      </c>
      <c r="AB139" s="1">
        <f t="shared" ref="AB139:AB202" si="48">Q139</f>
        <v>0.4</v>
      </c>
      <c r="AC139" s="1">
        <f t="shared" si="37"/>
        <v>1.5</v>
      </c>
      <c r="AD139" s="1">
        <f t="shared" si="38"/>
        <v>1</v>
      </c>
      <c r="AE139" s="1">
        <f t="shared" ref="AE139:AE202" si="49">U139</f>
        <v>10</v>
      </c>
      <c r="AF139" s="33">
        <f t="shared" ref="AF139:AF202" si="50">V139</f>
        <v>2.4999999999999991</v>
      </c>
    </row>
    <row r="140" spans="3:32" ht="14.25" hidden="1" customHeight="1" outlineLevel="1" x14ac:dyDescent="0.2">
      <c r="D140" s="1">
        <v>4</v>
      </c>
      <c r="E140" s="6">
        <f t="shared" si="39"/>
        <v>13.590517500000002</v>
      </c>
      <c r="F140" s="6">
        <f t="shared" si="40"/>
        <v>968.10226748424304</v>
      </c>
      <c r="G140" s="6">
        <f t="shared" si="40"/>
        <v>5.7881250000000009</v>
      </c>
      <c r="H140" s="1">
        <v>0.4</v>
      </c>
      <c r="I140" s="1">
        <v>1.5</v>
      </c>
      <c r="J140" s="1">
        <v>1</v>
      </c>
      <c r="M140" s="1">
        <v>4</v>
      </c>
      <c r="N140" s="6">
        <f t="shared" si="44"/>
        <v>679.52587500000027</v>
      </c>
      <c r="O140" s="6">
        <f t="shared" si="41"/>
        <v>72293.8357428116</v>
      </c>
      <c r="P140" s="6">
        <f t="shared" si="42"/>
        <v>434.10937500000006</v>
      </c>
      <c r="Q140" s="1">
        <v>0.4</v>
      </c>
      <c r="R140" s="1">
        <v>1.5</v>
      </c>
      <c r="S140" s="1">
        <v>1</v>
      </c>
      <c r="T140" s="1">
        <v>0.8</v>
      </c>
      <c r="U140" s="1">
        <v>10</v>
      </c>
      <c r="V140" s="5">
        <f t="shared" si="43"/>
        <v>2.4999999999999987</v>
      </c>
      <c r="X140" s="1">
        <v>4</v>
      </c>
      <c r="Y140" s="6">
        <f t="shared" si="45"/>
        <v>135.90517500000004</v>
      </c>
      <c r="Z140" s="6">
        <f t="shared" si="46"/>
        <v>8032.6484158679559</v>
      </c>
      <c r="AA140" s="6">
        <f t="shared" si="47"/>
        <v>434.10937500000006</v>
      </c>
      <c r="AB140" s="1">
        <f t="shared" si="48"/>
        <v>0.4</v>
      </c>
      <c r="AC140" s="1">
        <f t="shared" si="37"/>
        <v>1.5</v>
      </c>
      <c r="AD140" s="1">
        <f t="shared" si="38"/>
        <v>1</v>
      </c>
      <c r="AE140" s="1">
        <f t="shared" si="49"/>
        <v>10</v>
      </c>
      <c r="AF140" s="33">
        <f t="shared" si="50"/>
        <v>2.4999999999999987</v>
      </c>
    </row>
    <row r="141" spans="3:32" ht="14.25" hidden="1" customHeight="1" outlineLevel="1" x14ac:dyDescent="0.2">
      <c r="D141" s="1">
        <v>5</v>
      </c>
      <c r="E141" s="6">
        <f t="shared" si="39"/>
        <v>14.270043375</v>
      </c>
      <c r="F141" s="6">
        <f t="shared" si="40"/>
        <v>1016.5073808584551</v>
      </c>
      <c r="G141" s="6">
        <f t="shared" si="40"/>
        <v>6.0775312499999998</v>
      </c>
      <c r="H141" s="1">
        <v>0.4</v>
      </c>
      <c r="I141" s="1">
        <v>1.5</v>
      </c>
      <c r="J141" s="1">
        <v>1</v>
      </c>
      <c r="M141" s="1">
        <v>5</v>
      </c>
      <c r="N141" s="6">
        <f t="shared" si="44"/>
        <v>713.50216875000001</v>
      </c>
      <c r="O141" s="6">
        <f t="shared" si="41"/>
        <v>75892.125988889326</v>
      </c>
      <c r="P141" s="6">
        <f t="shared" si="42"/>
        <v>455.81484374999997</v>
      </c>
      <c r="Q141" s="1">
        <v>0.4</v>
      </c>
      <c r="R141" s="1">
        <v>1.5</v>
      </c>
      <c r="S141" s="1">
        <v>1</v>
      </c>
      <c r="T141" s="1">
        <v>0.8</v>
      </c>
      <c r="U141" s="1">
        <v>10</v>
      </c>
      <c r="V141" s="5">
        <f t="shared" si="43"/>
        <v>2.4999999999999991</v>
      </c>
      <c r="X141" s="1">
        <v>5</v>
      </c>
      <c r="Y141" s="6">
        <f t="shared" si="45"/>
        <v>142.70043375</v>
      </c>
      <c r="Z141" s="6">
        <f t="shared" si="46"/>
        <v>8432.4584432099255</v>
      </c>
      <c r="AA141" s="6">
        <f t="shared" si="47"/>
        <v>455.81484374999997</v>
      </c>
      <c r="AB141" s="1">
        <f t="shared" si="48"/>
        <v>0.4</v>
      </c>
      <c r="AC141" s="1">
        <f t="shared" si="37"/>
        <v>1.5</v>
      </c>
      <c r="AD141" s="1">
        <f t="shared" si="38"/>
        <v>1</v>
      </c>
      <c r="AE141" s="1">
        <f t="shared" si="49"/>
        <v>10</v>
      </c>
      <c r="AF141" s="33">
        <f t="shared" si="50"/>
        <v>2.4999999999999991</v>
      </c>
    </row>
    <row r="142" spans="3:32" ht="14.25" hidden="1" customHeight="1" outlineLevel="1" x14ac:dyDescent="0.2">
      <c r="D142" s="1">
        <v>6</v>
      </c>
      <c r="E142" s="6">
        <f t="shared" si="39"/>
        <v>14.983545543750003</v>
      </c>
      <c r="F142" s="6">
        <f t="shared" si="40"/>
        <v>1067.3327499013781</v>
      </c>
      <c r="G142" s="6">
        <f t="shared" si="40"/>
        <v>6.3814078125000009</v>
      </c>
      <c r="H142" s="1">
        <v>0.4</v>
      </c>
      <c r="I142" s="1">
        <v>1.5</v>
      </c>
      <c r="J142" s="1">
        <v>1</v>
      </c>
      <c r="M142" s="1">
        <v>6</v>
      </c>
      <c r="N142" s="6">
        <f t="shared" si="44"/>
        <v>749.17727718750018</v>
      </c>
      <c r="O142" s="6">
        <f t="shared" si="41"/>
        <v>79668.657597102196</v>
      </c>
      <c r="P142" s="6">
        <f t="shared" si="42"/>
        <v>478.60558593750005</v>
      </c>
      <c r="Q142" s="1">
        <v>0.4</v>
      </c>
      <c r="R142" s="1">
        <v>1.5</v>
      </c>
      <c r="S142" s="1">
        <v>1</v>
      </c>
      <c r="T142" s="1">
        <v>0.8</v>
      </c>
      <c r="U142" s="1">
        <v>10</v>
      </c>
      <c r="V142" s="5">
        <f t="shared" si="43"/>
        <v>2.4999999999999996</v>
      </c>
      <c r="X142" s="1">
        <v>6</v>
      </c>
      <c r="Y142" s="6">
        <f t="shared" si="45"/>
        <v>149.83545543750003</v>
      </c>
      <c r="Z142" s="6">
        <f t="shared" si="46"/>
        <v>8852.0730663446884</v>
      </c>
      <c r="AA142" s="6">
        <f t="shared" si="47"/>
        <v>478.60558593750005</v>
      </c>
      <c r="AB142" s="1">
        <f t="shared" si="48"/>
        <v>0.4</v>
      </c>
      <c r="AC142" s="1">
        <f t="shared" si="37"/>
        <v>1.5</v>
      </c>
      <c r="AD142" s="1">
        <f t="shared" si="38"/>
        <v>1</v>
      </c>
      <c r="AE142" s="1">
        <f t="shared" si="49"/>
        <v>10</v>
      </c>
      <c r="AF142" s="33">
        <f t="shared" si="50"/>
        <v>2.4999999999999996</v>
      </c>
    </row>
    <row r="143" spans="3:32" ht="14.25" hidden="1" customHeight="1" outlineLevel="1" x14ac:dyDescent="0.2">
      <c r="D143" s="1">
        <v>7</v>
      </c>
      <c r="E143" s="6">
        <f t="shared" si="39"/>
        <v>15.7327228209375</v>
      </c>
      <c r="F143" s="6">
        <f t="shared" si="40"/>
        <v>1120.6993873964468</v>
      </c>
      <c r="G143" s="6">
        <f t="shared" si="40"/>
        <v>6.7004782031249999</v>
      </c>
      <c r="H143" s="1">
        <v>0.4</v>
      </c>
      <c r="I143" s="1">
        <v>1.5</v>
      </c>
      <c r="J143" s="1">
        <v>1</v>
      </c>
      <c r="M143" s="1">
        <v>7</v>
      </c>
      <c r="N143" s="6">
        <f t="shared" si="44"/>
        <v>786.63614104687508</v>
      </c>
      <c r="O143" s="6">
        <f t="shared" si="41"/>
        <v>83632.172393581131</v>
      </c>
      <c r="P143" s="6">
        <f t="shared" si="42"/>
        <v>502.53586523437497</v>
      </c>
      <c r="Q143" s="1">
        <v>0.4</v>
      </c>
      <c r="R143" s="1">
        <v>1.5</v>
      </c>
      <c r="S143" s="1">
        <v>1</v>
      </c>
      <c r="T143" s="1">
        <v>0.8</v>
      </c>
      <c r="U143" s="1">
        <v>10</v>
      </c>
      <c r="V143" s="5">
        <f t="shared" si="43"/>
        <v>2.4999999999999991</v>
      </c>
      <c r="X143" s="1">
        <v>7</v>
      </c>
      <c r="Y143" s="6">
        <f t="shared" si="45"/>
        <v>157.32722820937502</v>
      </c>
      <c r="Z143" s="6">
        <f t="shared" si="46"/>
        <v>9292.4635992867916</v>
      </c>
      <c r="AA143" s="6">
        <f t="shared" si="47"/>
        <v>502.53586523437497</v>
      </c>
      <c r="AB143" s="1">
        <f t="shared" si="48"/>
        <v>0.4</v>
      </c>
      <c r="AC143" s="1">
        <f t="shared" si="37"/>
        <v>1.5</v>
      </c>
      <c r="AD143" s="1">
        <f t="shared" si="38"/>
        <v>1</v>
      </c>
      <c r="AE143" s="1">
        <f t="shared" si="49"/>
        <v>10</v>
      </c>
      <c r="AF143" s="33">
        <f t="shared" si="50"/>
        <v>2.4999999999999991</v>
      </c>
    </row>
    <row r="144" spans="3:32" ht="14.25" hidden="1" customHeight="1" outlineLevel="1" x14ac:dyDescent="0.2">
      <c r="D144" s="1">
        <v>8</v>
      </c>
      <c r="E144" s="6">
        <f t="shared" si="39"/>
        <v>16.519358961984377</v>
      </c>
      <c r="F144" s="6">
        <f t="shared" si="40"/>
        <v>1176.7343567662692</v>
      </c>
      <c r="G144" s="6">
        <f t="shared" si="40"/>
        <v>7.0355021132812512</v>
      </c>
      <c r="H144" s="1">
        <v>0.4</v>
      </c>
      <c r="I144" s="1">
        <v>1.5</v>
      </c>
      <c r="J144" s="1">
        <v>1</v>
      </c>
      <c r="M144" s="1">
        <v>8</v>
      </c>
      <c r="N144" s="6">
        <f t="shared" si="44"/>
        <v>825.96794809921892</v>
      </c>
      <c r="O144" s="6">
        <f t="shared" si="41"/>
        <v>87791.832042571928</v>
      </c>
      <c r="P144" s="6">
        <f t="shared" si="42"/>
        <v>527.66265849609385</v>
      </c>
      <c r="Q144" s="1">
        <v>0.4</v>
      </c>
      <c r="R144" s="1">
        <v>1.5</v>
      </c>
      <c r="S144" s="1">
        <v>1</v>
      </c>
      <c r="T144" s="1">
        <v>0.8</v>
      </c>
      <c r="U144" s="1">
        <v>10</v>
      </c>
      <c r="V144" s="5">
        <f t="shared" si="43"/>
        <v>2.4999999999999991</v>
      </c>
      <c r="X144" s="1">
        <v>8</v>
      </c>
      <c r="Y144" s="6">
        <f t="shared" si="45"/>
        <v>165.19358961984378</v>
      </c>
      <c r="Z144" s="6">
        <f t="shared" si="46"/>
        <v>9754.6480047302139</v>
      </c>
      <c r="AA144" s="6">
        <f t="shared" si="47"/>
        <v>527.66265849609385</v>
      </c>
      <c r="AB144" s="1">
        <f t="shared" si="48"/>
        <v>0.4</v>
      </c>
      <c r="AC144" s="1">
        <f t="shared" si="37"/>
        <v>1.5</v>
      </c>
      <c r="AD144" s="1">
        <f t="shared" si="38"/>
        <v>1</v>
      </c>
      <c r="AE144" s="1">
        <f t="shared" si="49"/>
        <v>10</v>
      </c>
      <c r="AF144" s="33">
        <f t="shared" si="50"/>
        <v>2.4999999999999991</v>
      </c>
    </row>
    <row r="145" spans="4:32" ht="14.25" hidden="1" customHeight="1" outlineLevel="1" x14ac:dyDescent="0.2">
      <c r="D145" s="1">
        <v>9</v>
      </c>
      <c r="E145" s="6">
        <f t="shared" si="39"/>
        <v>17.345326910083596</v>
      </c>
      <c r="F145" s="6">
        <f t="shared" si="40"/>
        <v>1235.5710746045827</v>
      </c>
      <c r="G145" s="6">
        <f t="shared" si="40"/>
        <v>7.3872772189453126</v>
      </c>
      <c r="H145" s="1">
        <v>0.4</v>
      </c>
      <c r="I145" s="1">
        <v>1.5</v>
      </c>
      <c r="J145" s="1">
        <v>1</v>
      </c>
      <c r="M145" s="1">
        <v>9</v>
      </c>
      <c r="N145" s="6">
        <f t="shared" si="44"/>
        <v>867.26634550417987</v>
      </c>
      <c r="O145" s="6">
        <f t="shared" si="41"/>
        <v>92157.237300590015</v>
      </c>
      <c r="P145" s="6">
        <f t="shared" si="42"/>
        <v>554.04579142089847</v>
      </c>
      <c r="Q145" s="1">
        <v>0.4</v>
      </c>
      <c r="R145" s="1">
        <v>1.5</v>
      </c>
      <c r="S145" s="1">
        <v>1</v>
      </c>
      <c r="T145" s="1">
        <v>0.8</v>
      </c>
      <c r="U145" s="1">
        <v>10</v>
      </c>
      <c r="V145" s="5">
        <f t="shared" si="43"/>
        <v>2.4999999999999996</v>
      </c>
      <c r="X145" s="1">
        <v>9</v>
      </c>
      <c r="Y145" s="6">
        <f t="shared" si="45"/>
        <v>173.45326910083597</v>
      </c>
      <c r="Z145" s="6">
        <f t="shared" si="46"/>
        <v>10239.693033398891</v>
      </c>
      <c r="AA145" s="6">
        <f t="shared" si="47"/>
        <v>554.04579142089847</v>
      </c>
      <c r="AB145" s="1">
        <f t="shared" si="48"/>
        <v>0.4</v>
      </c>
      <c r="AC145" s="1">
        <f t="shared" si="37"/>
        <v>1.5</v>
      </c>
      <c r="AD145" s="1">
        <f t="shared" si="38"/>
        <v>1</v>
      </c>
      <c r="AE145" s="1">
        <f t="shared" si="49"/>
        <v>10</v>
      </c>
      <c r="AF145" s="33">
        <f t="shared" si="50"/>
        <v>2.4999999999999996</v>
      </c>
    </row>
    <row r="146" spans="4:32" ht="14.25" hidden="1" customHeight="1" outlineLevel="1" x14ac:dyDescent="0.2">
      <c r="D146" s="1">
        <v>10</v>
      </c>
      <c r="E146" s="6">
        <f t="shared" si="39"/>
        <v>18.212593255587777</v>
      </c>
      <c r="F146" s="6">
        <f t="shared" si="40"/>
        <v>1297.3496283348118</v>
      </c>
      <c r="G146" s="6">
        <f t="shared" si="40"/>
        <v>7.7566410798925789</v>
      </c>
      <c r="H146" s="1">
        <v>0.4</v>
      </c>
      <c r="I146" s="1">
        <v>1.5</v>
      </c>
      <c r="J146" s="1">
        <v>1</v>
      </c>
      <c r="M146" s="1">
        <v>10</v>
      </c>
      <c r="N146" s="6">
        <f t="shared" si="44"/>
        <v>910.62966277938892</v>
      </c>
      <c r="O146" s="6">
        <f t="shared" si="41"/>
        <v>96738.448059940798</v>
      </c>
      <c r="P146" s="6">
        <f t="shared" si="42"/>
        <v>581.74808099194343</v>
      </c>
      <c r="Q146" s="1">
        <v>0.4</v>
      </c>
      <c r="R146" s="1">
        <v>1.5</v>
      </c>
      <c r="S146" s="1">
        <v>1</v>
      </c>
      <c r="T146" s="1">
        <v>0.8</v>
      </c>
      <c r="U146" s="1">
        <v>10</v>
      </c>
      <c r="V146" s="5">
        <f t="shared" si="43"/>
        <v>2.4999999999999991</v>
      </c>
      <c r="X146" s="1">
        <v>10</v>
      </c>
      <c r="Y146" s="6">
        <f t="shared" si="45"/>
        <v>182.1259325558778</v>
      </c>
      <c r="Z146" s="6">
        <f t="shared" si="46"/>
        <v>10748.716451104534</v>
      </c>
      <c r="AA146" s="6">
        <f t="shared" si="47"/>
        <v>581.74808099194343</v>
      </c>
      <c r="AB146" s="1">
        <f t="shared" si="48"/>
        <v>0.4</v>
      </c>
      <c r="AC146" s="1">
        <f t="shared" si="37"/>
        <v>1.5</v>
      </c>
      <c r="AD146" s="1">
        <f t="shared" si="38"/>
        <v>1</v>
      </c>
      <c r="AE146" s="1">
        <f t="shared" si="49"/>
        <v>10</v>
      </c>
      <c r="AF146" s="33">
        <f t="shared" si="50"/>
        <v>2.4999999999999991</v>
      </c>
    </row>
    <row r="147" spans="4:32" ht="14.25" hidden="1" customHeight="1" outlineLevel="1" x14ac:dyDescent="0.2">
      <c r="D147" s="1">
        <v>11</v>
      </c>
      <c r="E147" s="6">
        <f t="shared" si="39"/>
        <v>19.123222918367166</v>
      </c>
      <c r="F147" s="6">
        <f t="shared" si="40"/>
        <v>1362.2171097515525</v>
      </c>
      <c r="G147" s="6">
        <f t="shared" si="40"/>
        <v>8.1444731338872085</v>
      </c>
      <c r="H147" s="1">
        <v>0.4</v>
      </c>
      <c r="I147" s="1">
        <v>1.5</v>
      </c>
      <c r="J147" s="1">
        <v>1</v>
      </c>
      <c r="M147" s="1">
        <v>11</v>
      </c>
      <c r="N147" s="6">
        <f t="shared" si="44"/>
        <v>956.16114591835833</v>
      </c>
      <c r="O147" s="6">
        <f t="shared" si="41"/>
        <v>101546.00420404634</v>
      </c>
      <c r="P147" s="6">
        <f t="shared" si="42"/>
        <v>610.83548504154066</v>
      </c>
      <c r="Q147" s="1">
        <v>0.4</v>
      </c>
      <c r="R147" s="1">
        <v>1.5</v>
      </c>
      <c r="S147" s="1">
        <v>1</v>
      </c>
      <c r="T147" s="1">
        <v>0.8</v>
      </c>
      <c r="U147" s="1">
        <v>10</v>
      </c>
      <c r="V147" s="5">
        <f t="shared" si="43"/>
        <v>2.4999999999999991</v>
      </c>
      <c r="X147" s="1">
        <v>11</v>
      </c>
      <c r="Y147" s="6">
        <f t="shared" si="45"/>
        <v>191.23222918367168</v>
      </c>
      <c r="Z147" s="6">
        <f t="shared" si="46"/>
        <v>11282.889356005149</v>
      </c>
      <c r="AA147" s="6">
        <f t="shared" si="47"/>
        <v>610.83548504154066</v>
      </c>
      <c r="AB147" s="1">
        <f t="shared" si="48"/>
        <v>0.4</v>
      </c>
      <c r="AC147" s="1">
        <f t="shared" si="37"/>
        <v>1.5</v>
      </c>
      <c r="AD147" s="1">
        <f t="shared" si="38"/>
        <v>1</v>
      </c>
      <c r="AE147" s="1">
        <f t="shared" si="49"/>
        <v>10</v>
      </c>
      <c r="AF147" s="33">
        <f t="shared" si="50"/>
        <v>2.4999999999999991</v>
      </c>
    </row>
    <row r="148" spans="4:32" ht="14.25" hidden="1" customHeight="1" outlineLevel="1" x14ac:dyDescent="0.2">
      <c r="D148" s="1">
        <v>12</v>
      </c>
      <c r="E148" s="6">
        <f t="shared" si="39"/>
        <v>20.079384064285524</v>
      </c>
      <c r="F148" s="6">
        <f t="shared" si="40"/>
        <v>1430.3279652391302</v>
      </c>
      <c r="G148" s="6">
        <f t="shared" si="40"/>
        <v>8.5516967905815697</v>
      </c>
      <c r="H148" s="1">
        <v>0.4</v>
      </c>
      <c r="I148" s="1">
        <v>1.5</v>
      </c>
      <c r="J148" s="1">
        <v>1</v>
      </c>
      <c r="M148" s="1">
        <v>12</v>
      </c>
      <c r="N148" s="6">
        <f t="shared" si="44"/>
        <v>1003.9692032142761</v>
      </c>
      <c r="O148" s="6">
        <f t="shared" si="41"/>
        <v>106590.94729650932</v>
      </c>
      <c r="P148" s="6">
        <f t="shared" si="42"/>
        <v>641.37725929361773</v>
      </c>
      <c r="Q148" s="1">
        <v>0.4</v>
      </c>
      <c r="R148" s="1">
        <v>1.5</v>
      </c>
      <c r="S148" s="1">
        <v>1</v>
      </c>
      <c r="T148" s="1">
        <v>0.8</v>
      </c>
      <c r="U148" s="1">
        <v>10</v>
      </c>
      <c r="V148" s="5">
        <f t="shared" si="43"/>
        <v>2.4999999999999991</v>
      </c>
      <c r="X148" s="1">
        <v>12</v>
      </c>
      <c r="Y148" s="6">
        <f t="shared" si="45"/>
        <v>200.79384064285523</v>
      </c>
      <c r="Z148" s="6">
        <f t="shared" si="46"/>
        <v>11843.438588501034</v>
      </c>
      <c r="AA148" s="6">
        <f t="shared" si="47"/>
        <v>641.37725929361773</v>
      </c>
      <c r="AB148" s="1">
        <f t="shared" si="48"/>
        <v>0.4</v>
      </c>
      <c r="AC148" s="1">
        <f t="shared" si="37"/>
        <v>1.5</v>
      </c>
      <c r="AD148" s="1">
        <f t="shared" si="38"/>
        <v>1</v>
      </c>
      <c r="AE148" s="1">
        <f t="shared" si="49"/>
        <v>10</v>
      </c>
      <c r="AF148" s="33">
        <f t="shared" si="50"/>
        <v>2.4999999999999991</v>
      </c>
    </row>
    <row r="149" spans="4:32" ht="14.25" hidden="1" customHeight="1" outlineLevel="1" x14ac:dyDescent="0.2">
      <c r="D149" s="1">
        <v>13</v>
      </c>
      <c r="E149" s="6">
        <f t="shared" si="39"/>
        <v>21.083353267499795</v>
      </c>
      <c r="F149" s="6">
        <f t="shared" si="40"/>
        <v>1501.8443635010865</v>
      </c>
      <c r="G149" s="6">
        <f t="shared" si="40"/>
        <v>8.9792816301106466</v>
      </c>
      <c r="H149" s="1">
        <v>0.4</v>
      </c>
      <c r="I149" s="1">
        <v>1.5</v>
      </c>
      <c r="J149" s="1">
        <v>1</v>
      </c>
      <c r="M149" s="1">
        <v>13</v>
      </c>
      <c r="N149" s="6">
        <f t="shared" si="44"/>
        <v>1054.1676633749898</v>
      </c>
      <c r="O149" s="6">
        <f t="shared" si="41"/>
        <v>111884.8431251603</v>
      </c>
      <c r="P149" s="6">
        <f t="shared" si="42"/>
        <v>673.44612225829849</v>
      </c>
      <c r="Q149" s="1">
        <v>0.4</v>
      </c>
      <c r="R149" s="1">
        <v>1.5</v>
      </c>
      <c r="S149" s="1">
        <v>1</v>
      </c>
      <c r="T149" s="1">
        <v>0.8</v>
      </c>
      <c r="U149" s="1">
        <v>10</v>
      </c>
      <c r="V149" s="5">
        <f t="shared" si="43"/>
        <v>2.4999999999999996</v>
      </c>
      <c r="X149" s="1">
        <v>13</v>
      </c>
      <c r="Y149" s="6">
        <f t="shared" si="45"/>
        <v>210.83353267499797</v>
      </c>
      <c r="Z149" s="6">
        <f t="shared" si="46"/>
        <v>12431.649236128922</v>
      </c>
      <c r="AA149" s="6">
        <f t="shared" si="47"/>
        <v>673.44612225829849</v>
      </c>
      <c r="AB149" s="1">
        <f t="shared" si="48"/>
        <v>0.4</v>
      </c>
      <c r="AC149" s="1">
        <f t="shared" si="37"/>
        <v>1.5</v>
      </c>
      <c r="AD149" s="1">
        <f t="shared" si="38"/>
        <v>1</v>
      </c>
      <c r="AE149" s="1">
        <f t="shared" si="49"/>
        <v>10</v>
      </c>
      <c r="AF149" s="33">
        <f t="shared" si="50"/>
        <v>2.4999999999999996</v>
      </c>
    </row>
    <row r="150" spans="4:32" ht="14.25" hidden="1" customHeight="1" outlineLevel="1" x14ac:dyDescent="0.2">
      <c r="D150" s="1">
        <v>14</v>
      </c>
      <c r="E150" s="6">
        <f t="shared" si="39"/>
        <v>22.137520930874793</v>
      </c>
      <c r="F150" s="6">
        <f t="shared" si="40"/>
        <v>1576.936581676141</v>
      </c>
      <c r="G150" s="6">
        <f t="shared" si="40"/>
        <v>9.4282457116161797</v>
      </c>
      <c r="H150" s="1">
        <v>0.4</v>
      </c>
      <c r="I150" s="1">
        <v>1.5</v>
      </c>
      <c r="J150" s="1">
        <v>1</v>
      </c>
      <c r="M150" s="1">
        <v>14</v>
      </c>
      <c r="N150" s="6">
        <f t="shared" si="44"/>
        <v>1106.8760465437399</v>
      </c>
      <c r="O150" s="6">
        <f t="shared" si="41"/>
        <v>117439.80512145354</v>
      </c>
      <c r="P150" s="6">
        <f t="shared" si="42"/>
        <v>707.11842837121344</v>
      </c>
      <c r="Q150" s="1">
        <v>0.4</v>
      </c>
      <c r="R150" s="1">
        <v>1.5</v>
      </c>
      <c r="S150" s="1">
        <v>1</v>
      </c>
      <c r="T150" s="1">
        <v>0.8</v>
      </c>
      <c r="U150" s="1">
        <v>10</v>
      </c>
      <c r="V150" s="5">
        <f t="shared" si="43"/>
        <v>2.4999999999999987</v>
      </c>
      <c r="X150" s="1">
        <v>14</v>
      </c>
      <c r="Y150" s="6">
        <f t="shared" si="45"/>
        <v>221.37520930874797</v>
      </c>
      <c r="Z150" s="6">
        <f t="shared" si="46"/>
        <v>13048.86723571706</v>
      </c>
      <c r="AA150" s="6">
        <f t="shared" si="47"/>
        <v>707.11842837121344</v>
      </c>
      <c r="AB150" s="1">
        <f t="shared" si="48"/>
        <v>0.4</v>
      </c>
      <c r="AC150" s="1">
        <f t="shared" si="37"/>
        <v>1.5</v>
      </c>
      <c r="AD150" s="1">
        <f t="shared" si="38"/>
        <v>1</v>
      </c>
      <c r="AE150" s="1">
        <f t="shared" si="49"/>
        <v>10</v>
      </c>
      <c r="AF150" s="33">
        <f t="shared" si="50"/>
        <v>2.4999999999999987</v>
      </c>
    </row>
    <row r="151" spans="4:32" ht="14.25" hidden="1" customHeight="1" outlineLevel="1" x14ac:dyDescent="0.2">
      <c r="D151" s="1">
        <v>15</v>
      </c>
      <c r="E151" s="6">
        <f t="shared" si="39"/>
        <v>23.244396977418525</v>
      </c>
      <c r="F151" s="6">
        <f t="shared" si="40"/>
        <v>1655.7834107599476</v>
      </c>
      <c r="G151" s="6">
        <f t="shared" si="40"/>
        <v>9.8996579971969858</v>
      </c>
      <c r="H151" s="1">
        <v>0.4</v>
      </c>
      <c r="I151" s="1">
        <v>1.5</v>
      </c>
      <c r="J151" s="1">
        <v>1</v>
      </c>
      <c r="M151" s="1">
        <v>15</v>
      </c>
      <c r="N151" s="6">
        <f t="shared" si="44"/>
        <v>1162.2198488709264</v>
      </c>
      <c r="O151" s="6">
        <f t="shared" si="41"/>
        <v>123268.51867447229</v>
      </c>
      <c r="P151" s="6">
        <f t="shared" si="42"/>
        <v>742.4743497897739</v>
      </c>
      <c r="Q151" s="1">
        <v>0.4</v>
      </c>
      <c r="R151" s="1">
        <v>1.5</v>
      </c>
      <c r="S151" s="1">
        <v>1</v>
      </c>
      <c r="T151" s="1">
        <v>0.8</v>
      </c>
      <c r="U151" s="1">
        <v>10</v>
      </c>
      <c r="V151" s="5">
        <f t="shared" si="43"/>
        <v>2.4999999999999991</v>
      </c>
      <c r="X151" s="1">
        <v>15</v>
      </c>
      <c r="Y151" s="6">
        <f t="shared" si="45"/>
        <v>232.44396977418529</v>
      </c>
      <c r="Z151" s="6">
        <f t="shared" si="46"/>
        <v>13696.502074941365</v>
      </c>
      <c r="AA151" s="6">
        <f t="shared" si="47"/>
        <v>742.4743497897739</v>
      </c>
      <c r="AB151" s="1">
        <f t="shared" si="48"/>
        <v>0.4</v>
      </c>
      <c r="AC151" s="1">
        <f t="shared" si="37"/>
        <v>1.5</v>
      </c>
      <c r="AD151" s="1">
        <f t="shared" si="38"/>
        <v>1</v>
      </c>
      <c r="AE151" s="1">
        <f t="shared" si="49"/>
        <v>10</v>
      </c>
      <c r="AF151" s="33">
        <f t="shared" si="50"/>
        <v>2.4999999999999991</v>
      </c>
    </row>
    <row r="152" spans="4:32" ht="14.25" hidden="1" customHeight="1" outlineLevel="1" x14ac:dyDescent="0.2">
      <c r="D152" s="1">
        <v>16</v>
      </c>
      <c r="E152" s="6">
        <f t="shared" si="39"/>
        <v>24.406616826289458</v>
      </c>
      <c r="F152" s="6">
        <f t="shared" si="40"/>
        <v>1738.5725812979456</v>
      </c>
      <c r="G152" s="6">
        <f t="shared" si="40"/>
        <v>10.394640897056838</v>
      </c>
      <c r="H152" s="1">
        <v>0.4</v>
      </c>
      <c r="I152" s="1">
        <v>1.5</v>
      </c>
      <c r="J152" s="1">
        <v>1</v>
      </c>
      <c r="M152" s="1">
        <v>16</v>
      </c>
      <c r="N152" s="6">
        <f t="shared" si="44"/>
        <v>1220.330841314473</v>
      </c>
      <c r="O152" s="6">
        <f t="shared" si="41"/>
        <v>129384.26635745972</v>
      </c>
      <c r="P152" s="6">
        <f t="shared" si="42"/>
        <v>779.59806727926286</v>
      </c>
      <c r="Q152" s="1">
        <v>0.4</v>
      </c>
      <c r="R152" s="1">
        <v>1.5</v>
      </c>
      <c r="S152" s="1">
        <v>1</v>
      </c>
      <c r="T152" s="1">
        <v>0.8</v>
      </c>
      <c r="U152" s="1">
        <v>10</v>
      </c>
      <c r="V152" s="5">
        <f t="shared" si="43"/>
        <v>2.4999999999999996</v>
      </c>
      <c r="X152" s="1">
        <v>16</v>
      </c>
      <c r="Y152" s="6">
        <f t="shared" si="45"/>
        <v>244.06616826289459</v>
      </c>
      <c r="Z152" s="6">
        <f t="shared" si="46"/>
        <v>14376.029595273303</v>
      </c>
      <c r="AA152" s="6">
        <f t="shared" si="47"/>
        <v>779.59806727926286</v>
      </c>
      <c r="AB152" s="1">
        <f t="shared" si="48"/>
        <v>0.4</v>
      </c>
      <c r="AC152" s="1">
        <f t="shared" si="37"/>
        <v>1.5</v>
      </c>
      <c r="AD152" s="1">
        <f t="shared" si="38"/>
        <v>1</v>
      </c>
      <c r="AE152" s="1">
        <f t="shared" si="49"/>
        <v>10</v>
      </c>
      <c r="AF152" s="33">
        <f t="shared" si="50"/>
        <v>2.4999999999999996</v>
      </c>
    </row>
    <row r="153" spans="4:32" ht="14.25" hidden="1" customHeight="1" outlineLevel="1" x14ac:dyDescent="0.2">
      <c r="D153" s="1">
        <v>17</v>
      </c>
      <c r="E153" s="6">
        <f t="shared" si="39"/>
        <v>25.626947667603929</v>
      </c>
      <c r="F153" s="6">
        <f t="shared" si="39"/>
        <v>1825.5012103628428</v>
      </c>
      <c r="G153" s="6">
        <f t="shared" si="39"/>
        <v>10.914372941909679</v>
      </c>
      <c r="H153" s="1">
        <v>0.4</v>
      </c>
      <c r="I153" s="1">
        <v>1.5</v>
      </c>
      <c r="J153" s="1">
        <v>1</v>
      </c>
      <c r="M153" s="1">
        <v>17</v>
      </c>
      <c r="N153" s="6">
        <f t="shared" si="44"/>
        <v>1281.3473833801966</v>
      </c>
      <c r="O153" s="6">
        <f t="shared" si="41"/>
        <v>135800.95408316512</v>
      </c>
      <c r="P153" s="6">
        <f t="shared" si="42"/>
        <v>818.57797064322597</v>
      </c>
      <c r="Q153" s="1">
        <v>0.4</v>
      </c>
      <c r="R153" s="1">
        <v>1.5</v>
      </c>
      <c r="S153" s="1">
        <v>1</v>
      </c>
      <c r="T153" s="1">
        <v>0.8</v>
      </c>
      <c r="U153" s="1">
        <v>10</v>
      </c>
      <c r="V153" s="5">
        <f t="shared" si="43"/>
        <v>2.4999999999999991</v>
      </c>
      <c r="X153" s="1">
        <v>17</v>
      </c>
      <c r="Y153" s="6">
        <f t="shared" si="45"/>
        <v>256.26947667603929</v>
      </c>
      <c r="Z153" s="6">
        <f t="shared" si="46"/>
        <v>15088.994898129458</v>
      </c>
      <c r="AA153" s="6">
        <f t="shared" si="47"/>
        <v>818.57797064322597</v>
      </c>
      <c r="AB153" s="1">
        <f t="shared" si="48"/>
        <v>0.4</v>
      </c>
      <c r="AC153" s="1">
        <f t="shared" si="37"/>
        <v>1.5</v>
      </c>
      <c r="AD153" s="1">
        <f t="shared" si="38"/>
        <v>1</v>
      </c>
      <c r="AE153" s="1">
        <f t="shared" si="49"/>
        <v>10</v>
      </c>
      <c r="AF153" s="33">
        <f t="shared" si="50"/>
        <v>2.4999999999999991</v>
      </c>
    </row>
    <row r="154" spans="4:32" ht="14.25" hidden="1" customHeight="1" outlineLevel="1" x14ac:dyDescent="0.2">
      <c r="D154" s="1">
        <v>18</v>
      </c>
      <c r="E154" s="6">
        <f t="shared" si="39"/>
        <v>26.90829505098413</v>
      </c>
      <c r="F154" s="6">
        <f t="shared" si="39"/>
        <v>1916.7762708809851</v>
      </c>
      <c r="G154" s="6">
        <f t="shared" si="39"/>
        <v>11.460091589005167</v>
      </c>
      <c r="H154" s="1">
        <v>0.4</v>
      </c>
      <c r="I154" s="1">
        <v>1.5</v>
      </c>
      <c r="J154" s="1">
        <v>1</v>
      </c>
      <c r="M154" s="1">
        <v>18</v>
      </c>
      <c r="N154" s="6">
        <f t="shared" si="44"/>
        <v>1345.4147525492067</v>
      </c>
      <c r="O154" s="6">
        <f t="shared" si="41"/>
        <v>142533.13820237323</v>
      </c>
      <c r="P154" s="6">
        <f t="shared" si="42"/>
        <v>859.50686917538746</v>
      </c>
      <c r="Q154" s="1">
        <v>0.4</v>
      </c>
      <c r="R154" s="1">
        <v>1.5</v>
      </c>
      <c r="S154" s="1">
        <v>1</v>
      </c>
      <c r="T154" s="1">
        <v>0.8</v>
      </c>
      <c r="U154" s="1">
        <v>10</v>
      </c>
      <c r="V154" s="5">
        <f t="shared" si="43"/>
        <v>2.4999999999999991</v>
      </c>
      <c r="X154" s="1">
        <v>18</v>
      </c>
      <c r="Y154" s="6">
        <f t="shared" si="45"/>
        <v>269.08295050984134</v>
      </c>
      <c r="Z154" s="6">
        <f t="shared" si="46"/>
        <v>15837.015355819247</v>
      </c>
      <c r="AA154" s="6">
        <f t="shared" si="47"/>
        <v>859.50686917538746</v>
      </c>
      <c r="AB154" s="1">
        <f t="shared" si="48"/>
        <v>0.4</v>
      </c>
      <c r="AC154" s="1">
        <f t="shared" si="37"/>
        <v>1.5</v>
      </c>
      <c r="AD154" s="1">
        <f t="shared" si="38"/>
        <v>1</v>
      </c>
      <c r="AE154" s="1">
        <f t="shared" si="49"/>
        <v>10</v>
      </c>
      <c r="AF154" s="33">
        <f t="shared" si="50"/>
        <v>2.4999999999999991</v>
      </c>
    </row>
    <row r="155" spans="4:32" ht="14.25" hidden="1" customHeight="1" outlineLevel="1" x14ac:dyDescent="0.2">
      <c r="D155" s="1">
        <v>19</v>
      </c>
      <c r="E155" s="6">
        <f t="shared" si="39"/>
        <v>28.253709803533336</v>
      </c>
      <c r="F155" s="6">
        <f t="shared" si="39"/>
        <v>2012.6150844250344</v>
      </c>
      <c r="G155" s="6">
        <f t="shared" si="39"/>
        <v>12.033096168455424</v>
      </c>
      <c r="H155" s="1">
        <v>0.4</v>
      </c>
      <c r="I155" s="1">
        <v>1.5</v>
      </c>
      <c r="J155" s="1">
        <v>1</v>
      </c>
      <c r="M155" s="1">
        <v>19</v>
      </c>
      <c r="N155" s="6">
        <f t="shared" si="44"/>
        <v>1412.6854901766669</v>
      </c>
      <c r="O155" s="6">
        <f t="shared" si="41"/>
        <v>149596.05355771651</v>
      </c>
      <c r="P155" s="6">
        <f t="shared" si="42"/>
        <v>902.48221263415678</v>
      </c>
      <c r="Q155" s="1">
        <v>0.4</v>
      </c>
      <c r="R155" s="1">
        <v>1.5</v>
      </c>
      <c r="S155" s="1">
        <v>1</v>
      </c>
      <c r="T155" s="1">
        <v>0.8</v>
      </c>
      <c r="U155" s="1">
        <v>10</v>
      </c>
      <c r="V155" s="5">
        <f t="shared" si="43"/>
        <v>2.4999999999999987</v>
      </c>
      <c r="X155" s="1">
        <v>19</v>
      </c>
      <c r="Y155" s="6">
        <f t="shared" si="45"/>
        <v>282.53709803533337</v>
      </c>
      <c r="Z155" s="6">
        <f t="shared" si="46"/>
        <v>16621.783728635168</v>
      </c>
      <c r="AA155" s="6">
        <f t="shared" si="47"/>
        <v>902.48221263415678</v>
      </c>
      <c r="AB155" s="1">
        <f t="shared" si="48"/>
        <v>0.4</v>
      </c>
      <c r="AC155" s="1">
        <f t="shared" si="37"/>
        <v>1.5</v>
      </c>
      <c r="AD155" s="1">
        <f t="shared" si="38"/>
        <v>1</v>
      </c>
      <c r="AE155" s="1">
        <f t="shared" si="49"/>
        <v>10</v>
      </c>
      <c r="AF155" s="33">
        <f t="shared" si="50"/>
        <v>2.4999999999999987</v>
      </c>
    </row>
    <row r="156" spans="4:32" ht="14.25" hidden="1" customHeight="1" outlineLevel="1" x14ac:dyDescent="0.2">
      <c r="D156" s="1">
        <v>20</v>
      </c>
      <c r="E156" s="6">
        <f t="shared" si="39"/>
        <v>29.666395293710004</v>
      </c>
      <c r="F156" s="6">
        <f t="shared" si="39"/>
        <v>2113.2458386462863</v>
      </c>
      <c r="G156" s="6">
        <f t="shared" si="39"/>
        <v>12.634750976878195</v>
      </c>
      <c r="H156" s="1">
        <v>0.4</v>
      </c>
      <c r="I156" s="1">
        <v>1.5</v>
      </c>
      <c r="J156" s="1">
        <v>1</v>
      </c>
      <c r="M156" s="1">
        <v>20</v>
      </c>
      <c r="N156" s="6">
        <f t="shared" si="44"/>
        <v>1483.3197646855003</v>
      </c>
      <c r="O156" s="6">
        <f t="shared" si="41"/>
        <v>157005.64250223609</v>
      </c>
      <c r="P156" s="6">
        <f t="shared" si="42"/>
        <v>947.6063232658646</v>
      </c>
      <c r="Q156" s="1">
        <v>0.4</v>
      </c>
      <c r="R156" s="1">
        <v>1.5</v>
      </c>
      <c r="S156" s="1">
        <v>1</v>
      </c>
      <c r="T156" s="1">
        <v>0.8</v>
      </c>
      <c r="U156" s="1">
        <v>10</v>
      </c>
      <c r="V156" s="5">
        <f t="shared" si="43"/>
        <v>2.4999999999999996</v>
      </c>
      <c r="X156" s="1">
        <v>20</v>
      </c>
      <c r="Y156" s="6">
        <f t="shared" si="45"/>
        <v>296.66395293710008</v>
      </c>
      <c r="Z156" s="6">
        <f t="shared" si="46"/>
        <v>17445.071389137345</v>
      </c>
      <c r="AA156" s="6">
        <f t="shared" si="47"/>
        <v>947.6063232658646</v>
      </c>
      <c r="AB156" s="1">
        <f t="shared" si="48"/>
        <v>0.4</v>
      </c>
      <c r="AC156" s="1">
        <f t="shared" si="37"/>
        <v>1.5</v>
      </c>
      <c r="AD156" s="1">
        <f t="shared" si="38"/>
        <v>1</v>
      </c>
      <c r="AE156" s="1">
        <f t="shared" si="49"/>
        <v>10</v>
      </c>
      <c r="AF156" s="33">
        <f t="shared" si="50"/>
        <v>2.4999999999999996</v>
      </c>
    </row>
    <row r="157" spans="4:32" ht="14.25" hidden="1" customHeight="1" outlineLevel="1" x14ac:dyDescent="0.2">
      <c r="D157" s="1">
        <v>21</v>
      </c>
      <c r="E157" s="6">
        <f t="shared" si="39"/>
        <v>31.1497150583955</v>
      </c>
      <c r="F157" s="6">
        <f t="shared" si="39"/>
        <v>2218.9081305786003</v>
      </c>
      <c r="G157" s="6">
        <f t="shared" si="39"/>
        <v>13.266488525722105</v>
      </c>
      <c r="H157" s="1">
        <v>0.4</v>
      </c>
      <c r="I157" s="1">
        <v>1.5</v>
      </c>
      <c r="J157" s="1">
        <v>1</v>
      </c>
      <c r="M157" s="1">
        <v>21</v>
      </c>
      <c r="N157" s="6">
        <f t="shared" si="44"/>
        <v>1557.4857529197752</v>
      </c>
      <c r="O157" s="6">
        <f t="shared" si="41"/>
        <v>164778.58488910797</v>
      </c>
      <c r="P157" s="6">
        <f t="shared" si="42"/>
        <v>994.98663942915789</v>
      </c>
      <c r="Q157" s="1">
        <v>0.4</v>
      </c>
      <c r="R157" s="1">
        <v>1.5</v>
      </c>
      <c r="S157" s="1">
        <v>1</v>
      </c>
      <c r="T157" s="1">
        <v>0.8</v>
      </c>
      <c r="U157" s="1">
        <v>10</v>
      </c>
      <c r="V157" s="5">
        <f t="shared" si="43"/>
        <v>2.4999999999999987</v>
      </c>
      <c r="X157" s="1">
        <v>21</v>
      </c>
      <c r="Y157" s="6">
        <f t="shared" si="45"/>
        <v>311.49715058395503</v>
      </c>
      <c r="Z157" s="6">
        <f t="shared" si="46"/>
        <v>18308.731654345331</v>
      </c>
      <c r="AA157" s="6">
        <f t="shared" si="47"/>
        <v>994.98663942915789</v>
      </c>
      <c r="AB157" s="1">
        <f t="shared" si="48"/>
        <v>0.4</v>
      </c>
      <c r="AC157" s="1">
        <f t="shared" si="37"/>
        <v>1.5</v>
      </c>
      <c r="AD157" s="1">
        <f t="shared" si="38"/>
        <v>1</v>
      </c>
      <c r="AE157" s="1">
        <f t="shared" si="49"/>
        <v>10</v>
      </c>
      <c r="AF157" s="33">
        <f t="shared" si="50"/>
        <v>2.4999999999999987</v>
      </c>
    </row>
    <row r="158" spans="4:32" ht="14.25" hidden="1" customHeight="1" outlineLevel="1" x14ac:dyDescent="0.2">
      <c r="D158" s="1">
        <v>22</v>
      </c>
      <c r="E158" s="6">
        <f t="shared" si="39"/>
        <v>32.707200811315275</v>
      </c>
      <c r="F158" s="6">
        <f t="shared" si="39"/>
        <v>2329.8535371075304</v>
      </c>
      <c r="G158" s="6">
        <f t="shared" si="39"/>
        <v>13.929812952008209</v>
      </c>
      <c r="H158" s="1">
        <v>0.4</v>
      </c>
      <c r="I158" s="1">
        <v>1.5</v>
      </c>
      <c r="J158" s="1">
        <v>1</v>
      </c>
      <c r="M158" s="1">
        <v>22</v>
      </c>
      <c r="N158" s="6">
        <f t="shared" si="44"/>
        <v>1635.3600405657639</v>
      </c>
      <c r="O158" s="6">
        <f t="shared" si="41"/>
        <v>172932.32903545053</v>
      </c>
      <c r="P158" s="6">
        <f t="shared" si="42"/>
        <v>1044.7359714006157</v>
      </c>
      <c r="Q158" s="1">
        <v>0.4</v>
      </c>
      <c r="R158" s="1">
        <v>1.5</v>
      </c>
      <c r="S158" s="1">
        <v>1</v>
      </c>
      <c r="T158" s="1">
        <v>0.8</v>
      </c>
      <c r="U158" s="1">
        <v>10</v>
      </c>
      <c r="V158" s="5">
        <f t="shared" si="43"/>
        <v>2.4999999999999991</v>
      </c>
      <c r="X158" s="1">
        <v>22</v>
      </c>
      <c r="Y158" s="6">
        <f t="shared" si="45"/>
        <v>327.07200811315278</v>
      </c>
      <c r="Z158" s="6">
        <f t="shared" si="46"/>
        <v>19214.703226161171</v>
      </c>
      <c r="AA158" s="6">
        <f t="shared" si="47"/>
        <v>1044.7359714006157</v>
      </c>
      <c r="AB158" s="1">
        <f t="shared" si="48"/>
        <v>0.4</v>
      </c>
      <c r="AC158" s="1">
        <f t="shared" si="37"/>
        <v>1.5</v>
      </c>
      <c r="AD158" s="1">
        <f t="shared" si="38"/>
        <v>1</v>
      </c>
      <c r="AE158" s="1">
        <f t="shared" si="49"/>
        <v>10</v>
      </c>
      <c r="AF158" s="33">
        <f t="shared" si="50"/>
        <v>2.4999999999999991</v>
      </c>
    </row>
    <row r="159" spans="4:32" ht="14.25" hidden="1" customHeight="1" outlineLevel="1" x14ac:dyDescent="0.2">
      <c r="D159" s="1">
        <v>23</v>
      </c>
      <c r="E159" s="6">
        <f t="shared" si="39"/>
        <v>34.342560851881039</v>
      </c>
      <c r="F159" s="6">
        <f t="shared" si="39"/>
        <v>2446.3462139629069</v>
      </c>
      <c r="G159" s="6">
        <f t="shared" si="39"/>
        <v>14.626303599608619</v>
      </c>
      <c r="H159" s="1">
        <v>0.4</v>
      </c>
      <c r="I159" s="1">
        <v>1.5</v>
      </c>
      <c r="J159" s="1">
        <v>1</v>
      </c>
      <c r="M159" s="1">
        <v>23</v>
      </c>
      <c r="N159" s="6">
        <f t="shared" si="44"/>
        <v>1717.1280425940522</v>
      </c>
      <c r="O159" s="6">
        <f t="shared" si="41"/>
        <v>181485.12365912981</v>
      </c>
      <c r="P159" s="6">
        <f t="shared" si="42"/>
        <v>1096.9727699706464</v>
      </c>
      <c r="Q159" s="1">
        <v>0.4</v>
      </c>
      <c r="R159" s="1">
        <v>1.5</v>
      </c>
      <c r="S159" s="1">
        <v>1</v>
      </c>
      <c r="T159" s="1">
        <v>0.8</v>
      </c>
      <c r="U159" s="1">
        <v>10</v>
      </c>
      <c r="V159" s="5">
        <f t="shared" si="43"/>
        <v>2.4999999999999987</v>
      </c>
      <c r="X159" s="1">
        <v>23</v>
      </c>
      <c r="Y159" s="6">
        <f t="shared" si="45"/>
        <v>343.42560851881046</v>
      </c>
      <c r="Z159" s="6">
        <f t="shared" si="46"/>
        <v>20165.013739903312</v>
      </c>
      <c r="AA159" s="6">
        <f t="shared" si="47"/>
        <v>1096.9727699706464</v>
      </c>
      <c r="AB159" s="1">
        <f t="shared" si="48"/>
        <v>0.4</v>
      </c>
      <c r="AC159" s="1">
        <f t="shared" si="37"/>
        <v>1.5</v>
      </c>
      <c r="AD159" s="1">
        <f t="shared" si="38"/>
        <v>1</v>
      </c>
      <c r="AE159" s="1">
        <f t="shared" si="49"/>
        <v>10</v>
      </c>
      <c r="AF159" s="33">
        <f t="shared" si="50"/>
        <v>2.4999999999999987</v>
      </c>
    </row>
    <row r="160" spans="4:32" ht="14.25" hidden="1" customHeight="1" outlineLevel="1" x14ac:dyDescent="0.2">
      <c r="D160" s="1">
        <v>24</v>
      </c>
      <c r="E160" s="6">
        <f t="shared" si="39"/>
        <v>36.059688894475094</v>
      </c>
      <c r="F160" s="6">
        <f t="shared" si="39"/>
        <v>2568.6635246610526</v>
      </c>
      <c r="G160" s="6">
        <f t="shared" si="39"/>
        <v>15.357618779589053</v>
      </c>
      <c r="H160" s="1">
        <v>0.4</v>
      </c>
      <c r="I160" s="1">
        <v>1.5</v>
      </c>
      <c r="J160" s="1">
        <v>1</v>
      </c>
      <c r="M160" s="1">
        <v>24</v>
      </c>
      <c r="N160" s="6">
        <f t="shared" si="44"/>
        <v>1802.9844447237551</v>
      </c>
      <c r="O160" s="6">
        <f t="shared" si="41"/>
        <v>190456.05078293613</v>
      </c>
      <c r="P160" s="6">
        <f t="shared" si="42"/>
        <v>1151.821408469179</v>
      </c>
      <c r="Q160" s="1">
        <v>0.4</v>
      </c>
      <c r="R160" s="1">
        <v>1.5</v>
      </c>
      <c r="S160" s="1">
        <v>1</v>
      </c>
      <c r="T160" s="1">
        <v>0.8</v>
      </c>
      <c r="U160" s="1">
        <v>10</v>
      </c>
      <c r="V160" s="5">
        <f t="shared" si="43"/>
        <v>2.4999999999999987</v>
      </c>
      <c r="X160" s="1">
        <v>24</v>
      </c>
      <c r="Y160" s="6">
        <f t="shared" si="45"/>
        <v>360.59688894475102</v>
      </c>
      <c r="Z160" s="6">
        <f t="shared" si="46"/>
        <v>21161.783420326236</v>
      </c>
      <c r="AA160" s="6">
        <f t="shared" si="47"/>
        <v>1151.821408469179</v>
      </c>
      <c r="AB160" s="1">
        <f t="shared" si="48"/>
        <v>0.4</v>
      </c>
      <c r="AC160" s="1">
        <f t="shared" si="37"/>
        <v>1.5</v>
      </c>
      <c r="AD160" s="1">
        <f t="shared" si="38"/>
        <v>1</v>
      </c>
      <c r="AE160" s="1">
        <f t="shared" si="49"/>
        <v>10</v>
      </c>
      <c r="AF160" s="33">
        <f t="shared" si="50"/>
        <v>2.4999999999999987</v>
      </c>
    </row>
    <row r="161" spans="4:32" ht="14.25" hidden="1" customHeight="1" outlineLevel="1" x14ac:dyDescent="0.2">
      <c r="D161" s="1">
        <v>25</v>
      </c>
      <c r="E161" s="6">
        <f t="shared" si="39"/>
        <v>37.862673339198849</v>
      </c>
      <c r="F161" s="6">
        <f t="shared" si="39"/>
        <v>2697.0967008941047</v>
      </c>
      <c r="G161" s="6">
        <f t="shared" si="39"/>
        <v>16.125499718568502</v>
      </c>
      <c r="H161" s="1">
        <v>0.4</v>
      </c>
      <c r="I161" s="1">
        <v>1.5</v>
      </c>
      <c r="J161" s="1">
        <v>1</v>
      </c>
      <c r="M161" s="1">
        <v>25</v>
      </c>
      <c r="N161" s="6">
        <f t="shared" si="44"/>
        <v>1893.1336669599425</v>
      </c>
      <c r="O161" s="6">
        <f t="shared" si="41"/>
        <v>199865.05959536531</v>
      </c>
      <c r="P161" s="6">
        <f t="shared" si="42"/>
        <v>1209.4124788926376</v>
      </c>
      <c r="Q161" s="1">
        <v>0.4</v>
      </c>
      <c r="R161" s="1">
        <v>1.5</v>
      </c>
      <c r="S161" s="1">
        <v>1</v>
      </c>
      <c r="T161" s="1">
        <v>0.8</v>
      </c>
      <c r="U161" s="1">
        <v>10</v>
      </c>
      <c r="V161" s="5">
        <f t="shared" si="43"/>
        <v>2.4999999999999991</v>
      </c>
      <c r="X161" s="1">
        <v>25</v>
      </c>
      <c r="Y161" s="6">
        <f t="shared" si="45"/>
        <v>378.62673339198852</v>
      </c>
      <c r="Z161" s="6">
        <f t="shared" si="46"/>
        <v>22207.228843929479</v>
      </c>
      <c r="AA161" s="6">
        <f t="shared" si="47"/>
        <v>1209.4124788926376</v>
      </c>
      <c r="AB161" s="1">
        <f t="shared" si="48"/>
        <v>0.4</v>
      </c>
      <c r="AC161" s="1">
        <f t="shared" si="37"/>
        <v>1.5</v>
      </c>
      <c r="AD161" s="1">
        <f t="shared" si="38"/>
        <v>1</v>
      </c>
      <c r="AE161" s="1">
        <f t="shared" si="49"/>
        <v>10</v>
      </c>
      <c r="AF161" s="33">
        <f t="shared" si="50"/>
        <v>2.4999999999999991</v>
      </c>
    </row>
    <row r="162" spans="4:32" ht="14.25" hidden="1" customHeight="1" outlineLevel="1" x14ac:dyDescent="0.2">
      <c r="D162" s="1">
        <v>26</v>
      </c>
      <c r="E162" s="6">
        <f t="shared" si="39"/>
        <v>39.75580700615879</v>
      </c>
      <c r="F162" s="6">
        <f t="shared" si="39"/>
        <v>2831.9515359388101</v>
      </c>
      <c r="G162" s="6">
        <f t="shared" si="39"/>
        <v>16.931774704496931</v>
      </c>
      <c r="H162" s="1">
        <v>0.4</v>
      </c>
      <c r="I162" s="1">
        <v>1.5</v>
      </c>
      <c r="J162" s="1">
        <v>1</v>
      </c>
      <c r="M162" s="1">
        <v>26</v>
      </c>
      <c r="N162" s="6">
        <f t="shared" si="44"/>
        <v>1987.7903503079397</v>
      </c>
      <c r="O162" s="6">
        <f t="shared" si="41"/>
        <v>209733.00125144518</v>
      </c>
      <c r="P162" s="6">
        <f t="shared" si="42"/>
        <v>1269.8831028372699</v>
      </c>
      <c r="Q162" s="1">
        <v>0.4</v>
      </c>
      <c r="R162" s="1">
        <v>1.5</v>
      </c>
      <c r="S162" s="1">
        <v>1</v>
      </c>
      <c r="T162" s="1">
        <v>0.8</v>
      </c>
      <c r="U162" s="1">
        <v>10</v>
      </c>
      <c r="V162" s="5">
        <f t="shared" si="43"/>
        <v>2.4999999999999991</v>
      </c>
      <c r="X162" s="1">
        <v>26</v>
      </c>
      <c r="Y162" s="6">
        <f t="shared" si="45"/>
        <v>397.55807006158796</v>
      </c>
      <c r="Z162" s="6">
        <f t="shared" si="46"/>
        <v>23303.66680571613</v>
      </c>
      <c r="AA162" s="6">
        <f t="shared" si="47"/>
        <v>1269.8831028372699</v>
      </c>
      <c r="AB162" s="1">
        <f t="shared" si="48"/>
        <v>0.4</v>
      </c>
      <c r="AC162" s="1">
        <f t="shared" si="37"/>
        <v>1.5</v>
      </c>
      <c r="AD162" s="1">
        <f t="shared" si="38"/>
        <v>1</v>
      </c>
      <c r="AE162" s="1">
        <f t="shared" si="49"/>
        <v>10</v>
      </c>
      <c r="AF162" s="33">
        <f t="shared" si="50"/>
        <v>2.4999999999999991</v>
      </c>
    </row>
    <row r="163" spans="4:32" ht="14.25" hidden="1" customHeight="1" outlineLevel="1" x14ac:dyDescent="0.2">
      <c r="D163" s="1">
        <v>27</v>
      </c>
      <c r="E163" s="6">
        <f t="shared" si="39"/>
        <v>41.743597356466729</v>
      </c>
      <c r="F163" s="6">
        <f t="shared" si="39"/>
        <v>2973.5491127357509</v>
      </c>
      <c r="G163" s="6">
        <f t="shared" si="39"/>
        <v>17.778363439721776</v>
      </c>
      <c r="H163" s="1">
        <v>0.4</v>
      </c>
      <c r="I163" s="1">
        <v>1.5</v>
      </c>
      <c r="J163" s="1">
        <v>1</v>
      </c>
      <c r="M163" s="1">
        <v>27</v>
      </c>
      <c r="N163" s="6">
        <f t="shared" si="44"/>
        <v>2087.1798678233367</v>
      </c>
      <c r="O163" s="6">
        <f t="shared" si="41"/>
        <v>220081.66459054901</v>
      </c>
      <c r="P163" s="6">
        <f t="shared" si="42"/>
        <v>1333.3772579791332</v>
      </c>
      <c r="Q163" s="1">
        <v>0.4</v>
      </c>
      <c r="R163" s="1">
        <v>1.5</v>
      </c>
      <c r="S163" s="1">
        <v>1</v>
      </c>
      <c r="T163" s="1">
        <v>0.8</v>
      </c>
      <c r="U163" s="1">
        <v>10</v>
      </c>
      <c r="V163" s="5">
        <f t="shared" si="43"/>
        <v>2.4999999999999991</v>
      </c>
      <c r="X163" s="1">
        <v>27</v>
      </c>
      <c r="Y163" s="6">
        <f t="shared" si="45"/>
        <v>417.43597356466734</v>
      </c>
      <c r="Z163" s="6">
        <f t="shared" si="46"/>
        <v>24453.518287838779</v>
      </c>
      <c r="AA163" s="6">
        <f t="shared" si="47"/>
        <v>1333.3772579791332</v>
      </c>
      <c r="AB163" s="1">
        <f t="shared" si="48"/>
        <v>0.4</v>
      </c>
      <c r="AC163" s="1">
        <f t="shared" si="37"/>
        <v>1.5</v>
      </c>
      <c r="AD163" s="1">
        <f t="shared" si="38"/>
        <v>1</v>
      </c>
      <c r="AE163" s="1">
        <f t="shared" si="49"/>
        <v>10</v>
      </c>
      <c r="AF163" s="33">
        <f t="shared" si="50"/>
        <v>2.4999999999999991</v>
      </c>
    </row>
    <row r="164" spans="4:32" ht="14.25" hidden="1" customHeight="1" outlineLevel="1" x14ac:dyDescent="0.2">
      <c r="D164" s="1">
        <v>28</v>
      </c>
      <c r="E164" s="6">
        <f t="shared" si="39"/>
        <v>43.830777224290074</v>
      </c>
      <c r="F164" s="6">
        <f t="shared" si="39"/>
        <v>3122.2265683725386</v>
      </c>
      <c r="G164" s="6">
        <f t="shared" si="39"/>
        <v>18.667281611707867</v>
      </c>
      <c r="H164" s="1">
        <v>0.4</v>
      </c>
      <c r="I164" s="1">
        <v>1.5</v>
      </c>
      <c r="J164" s="1">
        <v>1</v>
      </c>
      <c r="M164" s="1">
        <v>28</v>
      </c>
      <c r="N164" s="6">
        <f t="shared" si="44"/>
        <v>2191.5388612145039</v>
      </c>
      <c r="O164" s="6">
        <f t="shared" si="41"/>
        <v>230933.81274086604</v>
      </c>
      <c r="P164" s="6">
        <f t="shared" si="42"/>
        <v>1400.0461208780901</v>
      </c>
      <c r="Q164" s="1">
        <v>0.4</v>
      </c>
      <c r="R164" s="1">
        <v>1.5</v>
      </c>
      <c r="S164" s="1">
        <v>1</v>
      </c>
      <c r="T164" s="1">
        <v>0.8</v>
      </c>
      <c r="U164" s="1">
        <v>10</v>
      </c>
      <c r="V164" s="5">
        <f t="shared" si="43"/>
        <v>2.4999999999999996</v>
      </c>
      <c r="X164" s="1">
        <v>28</v>
      </c>
      <c r="Y164" s="6">
        <f t="shared" si="45"/>
        <v>438.3077722429008</v>
      </c>
      <c r="Z164" s="6">
        <f t="shared" si="46"/>
        <v>25659.312526762893</v>
      </c>
      <c r="AA164" s="6">
        <f t="shared" si="47"/>
        <v>1400.0461208780901</v>
      </c>
      <c r="AB164" s="1">
        <f t="shared" si="48"/>
        <v>0.4</v>
      </c>
      <c r="AC164" s="1">
        <f t="shared" si="37"/>
        <v>1.5</v>
      </c>
      <c r="AD164" s="1">
        <f t="shared" si="38"/>
        <v>1</v>
      </c>
      <c r="AE164" s="1">
        <f t="shared" si="49"/>
        <v>10</v>
      </c>
      <c r="AF164" s="33">
        <f t="shared" si="50"/>
        <v>2.4999999999999996</v>
      </c>
    </row>
    <row r="165" spans="4:32" ht="14.25" hidden="1" customHeight="1" outlineLevel="1" x14ac:dyDescent="0.2">
      <c r="D165" s="1">
        <v>29</v>
      </c>
      <c r="E165" s="6">
        <f t="shared" si="39"/>
        <v>46.022316085504571</v>
      </c>
      <c r="F165" s="6">
        <f t="shared" si="39"/>
        <v>3278.3378967911649</v>
      </c>
      <c r="G165" s="6">
        <f t="shared" si="39"/>
        <v>19.600645692293256</v>
      </c>
      <c r="H165" s="1">
        <v>0.4</v>
      </c>
      <c r="I165" s="1">
        <v>1.5</v>
      </c>
      <c r="J165" s="1">
        <v>1</v>
      </c>
      <c r="M165" s="1">
        <v>29</v>
      </c>
      <c r="N165" s="6">
        <f t="shared" si="44"/>
        <v>2301.1158042752286</v>
      </c>
      <c r="O165" s="6">
        <f t="shared" si="41"/>
        <v>242313.22057209327</v>
      </c>
      <c r="P165" s="6">
        <f t="shared" si="42"/>
        <v>1470.0484269219942</v>
      </c>
      <c r="Q165" s="1">
        <v>0.4</v>
      </c>
      <c r="R165" s="1">
        <v>1.5</v>
      </c>
      <c r="S165" s="1">
        <v>1</v>
      </c>
      <c r="T165" s="1">
        <v>0.8</v>
      </c>
      <c r="U165" s="1">
        <v>10</v>
      </c>
      <c r="V165" s="5">
        <f t="shared" si="43"/>
        <v>2.4999999999999996</v>
      </c>
      <c r="X165" s="1">
        <v>29</v>
      </c>
      <c r="Y165" s="6">
        <f t="shared" si="45"/>
        <v>460.22316085504571</v>
      </c>
      <c r="Z165" s="6">
        <f t="shared" si="46"/>
        <v>26923.691174677031</v>
      </c>
      <c r="AA165" s="6">
        <f t="shared" si="47"/>
        <v>1470.0484269219942</v>
      </c>
      <c r="AB165" s="1">
        <f t="shared" si="48"/>
        <v>0.4</v>
      </c>
      <c r="AC165" s="1">
        <f t="shared" si="37"/>
        <v>1.5</v>
      </c>
      <c r="AD165" s="1">
        <f t="shared" si="38"/>
        <v>1</v>
      </c>
      <c r="AE165" s="1">
        <f t="shared" si="49"/>
        <v>10</v>
      </c>
      <c r="AF165" s="33">
        <f t="shared" si="50"/>
        <v>2.4999999999999996</v>
      </c>
    </row>
    <row r="166" spans="4:32" ht="14.25" hidden="1" customHeight="1" outlineLevel="1" x14ac:dyDescent="0.2">
      <c r="D166" s="1">
        <v>30</v>
      </c>
      <c r="E166" s="6">
        <f t="shared" si="39"/>
        <v>48.323431889779805</v>
      </c>
      <c r="F166" s="6">
        <f t="shared" si="39"/>
        <v>3442.254791630724</v>
      </c>
      <c r="G166" s="6">
        <f t="shared" si="39"/>
        <v>20.580677976907925</v>
      </c>
      <c r="H166" s="1">
        <v>0.4</v>
      </c>
      <c r="I166" s="1">
        <v>1.5</v>
      </c>
      <c r="J166" s="1">
        <v>1</v>
      </c>
      <c r="M166" s="1">
        <v>30</v>
      </c>
      <c r="N166" s="6">
        <f t="shared" si="44"/>
        <v>2416.1715944889906</v>
      </c>
      <c r="O166" s="6">
        <f t="shared" si="41"/>
        <v>254244.71294890469</v>
      </c>
      <c r="P166" s="6">
        <f t="shared" si="42"/>
        <v>1543.5508482680943</v>
      </c>
      <c r="Q166" s="1">
        <v>0.4</v>
      </c>
      <c r="R166" s="1">
        <v>1.5</v>
      </c>
      <c r="S166" s="1">
        <v>1</v>
      </c>
      <c r="T166" s="1">
        <v>0.8</v>
      </c>
      <c r="U166" s="1">
        <v>10</v>
      </c>
      <c r="V166" s="5">
        <f t="shared" si="43"/>
        <v>2.4999999999999991</v>
      </c>
      <c r="X166" s="1">
        <v>30</v>
      </c>
      <c r="Y166" s="6">
        <f t="shared" si="45"/>
        <v>483.23431889779812</v>
      </c>
      <c r="Z166" s="6">
        <f t="shared" si="46"/>
        <v>28249.4125498783</v>
      </c>
      <c r="AA166" s="6">
        <f t="shared" si="47"/>
        <v>1543.5508482680943</v>
      </c>
      <c r="AB166" s="1">
        <f t="shared" si="48"/>
        <v>0.4</v>
      </c>
      <c r="AC166" s="1">
        <f t="shared" si="37"/>
        <v>1.5</v>
      </c>
      <c r="AD166" s="1">
        <f t="shared" si="38"/>
        <v>1</v>
      </c>
      <c r="AE166" s="1">
        <f t="shared" si="49"/>
        <v>10</v>
      </c>
      <c r="AF166" s="33">
        <f t="shared" si="50"/>
        <v>2.4999999999999991</v>
      </c>
    </row>
    <row r="167" spans="4:32" ht="14.25" hidden="1" customHeight="1" outlineLevel="1" x14ac:dyDescent="0.2">
      <c r="D167" s="1">
        <v>31</v>
      </c>
      <c r="E167" s="6">
        <f t="shared" si="39"/>
        <v>50.739603484268777</v>
      </c>
      <c r="F167" s="6">
        <f t="shared" si="39"/>
        <v>3614.3675312122587</v>
      </c>
      <c r="G167" s="6">
        <f t="shared" si="39"/>
        <v>21.609711875753312</v>
      </c>
      <c r="H167" s="1">
        <v>0.4</v>
      </c>
      <c r="I167" s="1">
        <v>1.5</v>
      </c>
      <c r="J167" s="1">
        <v>1</v>
      </c>
      <c r="M167" s="1">
        <v>31</v>
      </c>
      <c r="N167" s="6">
        <f t="shared" si="44"/>
        <v>2536.9801742134391</v>
      </c>
      <c r="O167" s="6">
        <f t="shared" si="41"/>
        <v>266754.2037277671</v>
      </c>
      <c r="P167" s="6">
        <f t="shared" si="42"/>
        <v>1620.7283906814985</v>
      </c>
      <c r="Q167" s="1">
        <v>0.4</v>
      </c>
      <c r="R167" s="1">
        <v>1.5</v>
      </c>
      <c r="S167" s="1">
        <v>1</v>
      </c>
      <c r="T167" s="1">
        <v>0.8</v>
      </c>
      <c r="U167" s="1">
        <v>10</v>
      </c>
      <c r="V167" s="5">
        <f t="shared" si="43"/>
        <v>2.4999999999999991</v>
      </c>
      <c r="X167" s="1">
        <v>31</v>
      </c>
      <c r="Y167" s="6">
        <f t="shared" si="45"/>
        <v>507.39603484268781</v>
      </c>
      <c r="Z167" s="6">
        <f t="shared" si="46"/>
        <v>29639.355969751901</v>
      </c>
      <c r="AA167" s="6">
        <f t="shared" si="47"/>
        <v>1620.7283906814985</v>
      </c>
      <c r="AB167" s="1">
        <f t="shared" si="48"/>
        <v>0.4</v>
      </c>
      <c r="AC167" s="1">
        <f t="shared" si="37"/>
        <v>1.5</v>
      </c>
      <c r="AD167" s="1">
        <f t="shared" si="38"/>
        <v>1</v>
      </c>
      <c r="AE167" s="1">
        <f t="shared" si="49"/>
        <v>10</v>
      </c>
      <c r="AF167" s="33">
        <f t="shared" si="50"/>
        <v>2.4999999999999991</v>
      </c>
    </row>
    <row r="168" spans="4:32" ht="14.25" hidden="1" customHeight="1" outlineLevel="1" x14ac:dyDescent="0.2">
      <c r="D168" s="1">
        <v>32</v>
      </c>
      <c r="E168" s="6">
        <f t="shared" si="39"/>
        <v>53.276583658482238</v>
      </c>
      <c r="F168" s="6">
        <f t="shared" si="39"/>
        <v>3795.0859077728733</v>
      </c>
      <c r="G168" s="6">
        <f t="shared" si="39"/>
        <v>22.690197469540987</v>
      </c>
      <c r="H168" s="1">
        <v>0.4</v>
      </c>
      <c r="I168" s="1">
        <v>1.5</v>
      </c>
      <c r="J168" s="1">
        <v>1</v>
      </c>
      <c r="M168" s="1">
        <v>32</v>
      </c>
      <c r="N168" s="6">
        <f t="shared" si="44"/>
        <v>2663.829182924112</v>
      </c>
      <c r="O168" s="6">
        <f t="shared" si="41"/>
        <v>279868.73542864545</v>
      </c>
      <c r="P168" s="6">
        <f t="shared" si="42"/>
        <v>1701.764810215574</v>
      </c>
      <c r="Q168" s="1">
        <v>0.4</v>
      </c>
      <c r="R168" s="1">
        <v>1.5</v>
      </c>
      <c r="S168" s="1">
        <v>1</v>
      </c>
      <c r="T168" s="1">
        <v>0.8</v>
      </c>
      <c r="U168" s="1">
        <v>10</v>
      </c>
      <c r="V168" s="5">
        <f t="shared" si="43"/>
        <v>2.4999999999999991</v>
      </c>
      <c r="X168" s="1">
        <v>32</v>
      </c>
      <c r="Y168" s="6">
        <f t="shared" si="45"/>
        <v>532.76583658482241</v>
      </c>
      <c r="Z168" s="6">
        <f t="shared" si="46"/>
        <v>31096.526158738383</v>
      </c>
      <c r="AA168" s="6">
        <f t="shared" si="47"/>
        <v>1701.764810215574</v>
      </c>
      <c r="AB168" s="1">
        <f t="shared" si="48"/>
        <v>0.4</v>
      </c>
      <c r="AC168" s="1">
        <f t="shared" si="37"/>
        <v>1.5</v>
      </c>
      <c r="AD168" s="1">
        <f t="shared" si="38"/>
        <v>1</v>
      </c>
      <c r="AE168" s="1">
        <f t="shared" si="49"/>
        <v>10</v>
      </c>
      <c r="AF168" s="33">
        <f t="shared" si="50"/>
        <v>2.4999999999999991</v>
      </c>
    </row>
    <row r="169" spans="4:32" ht="14.25" hidden="1" customHeight="1" outlineLevel="1" x14ac:dyDescent="0.2">
      <c r="D169" s="1">
        <v>33</v>
      </c>
      <c r="E169" s="6">
        <f t="shared" si="39"/>
        <v>55.940412841406349</v>
      </c>
      <c r="F169" s="6">
        <f t="shared" si="39"/>
        <v>3984.8402031615165</v>
      </c>
      <c r="G169" s="6">
        <f t="shared" si="39"/>
        <v>23.824707343018034</v>
      </c>
      <c r="H169" s="1">
        <v>0.4</v>
      </c>
      <c r="I169" s="1">
        <v>1.5</v>
      </c>
      <c r="J169" s="1">
        <v>1</v>
      </c>
      <c r="M169" s="1">
        <v>33</v>
      </c>
      <c r="N169" s="6">
        <f t="shared" si="44"/>
        <v>2797.0206420703175</v>
      </c>
      <c r="O169" s="6">
        <f t="shared" si="41"/>
        <v>293616.5195009741</v>
      </c>
      <c r="P169" s="6">
        <f t="shared" si="42"/>
        <v>1786.8530507263524</v>
      </c>
      <c r="Q169" s="1">
        <v>0.4</v>
      </c>
      <c r="R169" s="1">
        <v>1.5</v>
      </c>
      <c r="S169" s="1">
        <v>1</v>
      </c>
      <c r="T169" s="1">
        <v>0.8</v>
      </c>
      <c r="U169" s="1">
        <v>10</v>
      </c>
      <c r="V169" s="5">
        <f t="shared" si="43"/>
        <v>2.4999999999999996</v>
      </c>
      <c r="X169" s="1">
        <v>33</v>
      </c>
      <c r="Y169" s="6">
        <f t="shared" si="45"/>
        <v>559.40412841406351</v>
      </c>
      <c r="Z169" s="6">
        <f t="shared" si="46"/>
        <v>32624.057722330457</v>
      </c>
      <c r="AA169" s="6">
        <f t="shared" si="47"/>
        <v>1786.8530507263524</v>
      </c>
      <c r="AB169" s="1">
        <f t="shared" si="48"/>
        <v>0.4</v>
      </c>
      <c r="AC169" s="1">
        <f t="shared" si="37"/>
        <v>1.5</v>
      </c>
      <c r="AD169" s="1">
        <f t="shared" si="38"/>
        <v>1</v>
      </c>
      <c r="AE169" s="1">
        <f t="shared" si="49"/>
        <v>10</v>
      </c>
      <c r="AF169" s="33">
        <f t="shared" si="50"/>
        <v>2.4999999999999996</v>
      </c>
    </row>
    <row r="170" spans="4:32" ht="14.25" hidden="1" customHeight="1" outlineLevel="1" x14ac:dyDescent="0.2">
      <c r="D170" s="1">
        <v>34</v>
      </c>
      <c r="E170" s="6">
        <f t="shared" ref="E170:G201" si="51">E$134*E$135^($D170-1)</f>
        <v>58.737433483476664</v>
      </c>
      <c r="F170" s="6">
        <f t="shared" si="51"/>
        <v>4184.0822133195925</v>
      </c>
      <c r="G170" s="6">
        <f t="shared" si="51"/>
        <v>25.015942710168936</v>
      </c>
      <c r="H170" s="1">
        <v>0.4</v>
      </c>
      <c r="I170" s="1">
        <v>1.5</v>
      </c>
      <c r="J170" s="1">
        <v>1</v>
      </c>
      <c r="M170" s="1">
        <v>34</v>
      </c>
      <c r="N170" s="6">
        <f t="shared" si="44"/>
        <v>2936.8716741738331</v>
      </c>
      <c r="O170" s="6">
        <f t="shared" si="41"/>
        <v>308026.97708991851</v>
      </c>
      <c r="P170" s="6">
        <f t="shared" si="42"/>
        <v>1876.1957032626701</v>
      </c>
      <c r="Q170" s="1">
        <v>0.4</v>
      </c>
      <c r="R170" s="1">
        <v>1.5</v>
      </c>
      <c r="S170" s="1">
        <v>1</v>
      </c>
      <c r="T170" s="1">
        <v>0.8</v>
      </c>
      <c r="U170" s="1">
        <v>10</v>
      </c>
      <c r="V170" s="5">
        <f t="shared" si="43"/>
        <v>2.4999999999999996</v>
      </c>
      <c r="X170" s="1">
        <v>34</v>
      </c>
      <c r="Y170" s="6">
        <f t="shared" si="45"/>
        <v>587.37433483476661</v>
      </c>
      <c r="Z170" s="6">
        <f t="shared" si="46"/>
        <v>34225.219676657609</v>
      </c>
      <c r="AA170" s="6">
        <f t="shared" si="47"/>
        <v>1876.1957032626701</v>
      </c>
      <c r="AB170" s="1">
        <f t="shared" si="48"/>
        <v>0.4</v>
      </c>
      <c r="AC170" s="1">
        <f t="shared" si="37"/>
        <v>1.5</v>
      </c>
      <c r="AD170" s="1">
        <f t="shared" si="38"/>
        <v>1</v>
      </c>
      <c r="AE170" s="1">
        <f t="shared" si="49"/>
        <v>10</v>
      </c>
      <c r="AF170" s="33">
        <f t="shared" si="50"/>
        <v>2.4999999999999996</v>
      </c>
    </row>
    <row r="171" spans="4:32" ht="14.25" hidden="1" customHeight="1" outlineLevel="1" x14ac:dyDescent="0.2">
      <c r="D171" s="1">
        <v>35</v>
      </c>
      <c r="E171" s="6">
        <f t="shared" si="51"/>
        <v>61.674305157650494</v>
      </c>
      <c r="F171" s="6">
        <f t="shared" si="51"/>
        <v>4393.2863239855724</v>
      </c>
      <c r="G171" s="6">
        <f t="shared" si="51"/>
        <v>26.266739845677382</v>
      </c>
      <c r="H171" s="1">
        <v>0.4</v>
      </c>
      <c r="I171" s="1">
        <v>1.5</v>
      </c>
      <c r="J171" s="1">
        <v>1</v>
      </c>
      <c r="M171" s="1">
        <v>35</v>
      </c>
      <c r="N171" s="6">
        <f t="shared" si="44"/>
        <v>3083.7152578825248</v>
      </c>
      <c r="O171" s="6">
        <f t="shared" si="41"/>
        <v>323130.78019429714</v>
      </c>
      <c r="P171" s="6">
        <f t="shared" si="42"/>
        <v>1970.0054884258036</v>
      </c>
      <c r="Q171" s="1">
        <v>0.4</v>
      </c>
      <c r="R171" s="1">
        <v>1.5</v>
      </c>
      <c r="S171" s="1">
        <v>1</v>
      </c>
      <c r="T171" s="1">
        <v>0.8</v>
      </c>
      <c r="U171" s="1">
        <v>10</v>
      </c>
      <c r="V171" s="5">
        <f t="shared" si="43"/>
        <v>2.4999999999999996</v>
      </c>
      <c r="X171" s="1">
        <v>35</v>
      </c>
      <c r="Y171" s="6">
        <f t="shared" si="45"/>
        <v>616.74305157650497</v>
      </c>
      <c r="Z171" s="6">
        <f t="shared" si="46"/>
        <v>35903.420021588572</v>
      </c>
      <c r="AA171" s="6">
        <f t="shared" si="47"/>
        <v>1970.0054884258036</v>
      </c>
      <c r="AB171" s="1">
        <f t="shared" si="48"/>
        <v>0.4</v>
      </c>
      <c r="AC171" s="1">
        <f t="shared" si="37"/>
        <v>1.5</v>
      </c>
      <c r="AD171" s="1">
        <f t="shared" si="38"/>
        <v>1</v>
      </c>
      <c r="AE171" s="1">
        <f t="shared" si="49"/>
        <v>10</v>
      </c>
      <c r="AF171" s="33">
        <f t="shared" si="50"/>
        <v>2.4999999999999996</v>
      </c>
    </row>
    <row r="172" spans="4:32" ht="14.25" hidden="1" customHeight="1" outlineLevel="1" x14ac:dyDescent="0.2">
      <c r="D172" s="1">
        <v>36</v>
      </c>
      <c r="E172" s="6">
        <f t="shared" si="51"/>
        <v>64.758020415533025</v>
      </c>
      <c r="F172" s="6">
        <f t="shared" si="51"/>
        <v>4612.9506401848512</v>
      </c>
      <c r="G172" s="6">
        <f t="shared" si="51"/>
        <v>27.580076837961258</v>
      </c>
      <c r="H172" s="1">
        <v>0.4</v>
      </c>
      <c r="I172" s="1">
        <v>1.5</v>
      </c>
      <c r="J172" s="1">
        <v>1</v>
      </c>
      <c r="M172" s="1">
        <v>36</v>
      </c>
      <c r="N172" s="6">
        <f t="shared" si="44"/>
        <v>3237.9010207766514</v>
      </c>
      <c r="O172" s="6">
        <f t="shared" si="41"/>
        <v>338959.8930915253</v>
      </c>
      <c r="P172" s="6">
        <f t="shared" si="42"/>
        <v>2068.5057628470945</v>
      </c>
      <c r="Q172" s="1">
        <v>0.4</v>
      </c>
      <c r="R172" s="1">
        <v>1.5</v>
      </c>
      <c r="S172" s="1">
        <v>1</v>
      </c>
      <c r="T172" s="1">
        <v>0.8</v>
      </c>
      <c r="U172" s="1">
        <v>10</v>
      </c>
      <c r="V172" s="5">
        <f t="shared" si="43"/>
        <v>2.4999999999999991</v>
      </c>
      <c r="X172" s="1">
        <v>36</v>
      </c>
      <c r="Y172" s="6">
        <f t="shared" si="45"/>
        <v>647.58020415533031</v>
      </c>
      <c r="Z172" s="6">
        <f t="shared" si="46"/>
        <v>37662.210343502811</v>
      </c>
      <c r="AA172" s="6">
        <f t="shared" si="47"/>
        <v>2068.5057628470945</v>
      </c>
      <c r="AB172" s="1">
        <f t="shared" si="48"/>
        <v>0.4</v>
      </c>
      <c r="AC172" s="1">
        <f t="shared" si="37"/>
        <v>1.5</v>
      </c>
      <c r="AD172" s="1">
        <f t="shared" si="38"/>
        <v>1</v>
      </c>
      <c r="AE172" s="1">
        <f t="shared" si="49"/>
        <v>10</v>
      </c>
      <c r="AF172" s="33">
        <f t="shared" si="50"/>
        <v>2.4999999999999991</v>
      </c>
    </row>
    <row r="173" spans="4:32" ht="14.25" hidden="1" customHeight="1" outlineLevel="1" x14ac:dyDescent="0.2">
      <c r="D173" s="1">
        <v>37</v>
      </c>
      <c r="E173" s="6">
        <f t="shared" si="51"/>
        <v>67.995921436309672</v>
      </c>
      <c r="F173" s="6">
        <f t="shared" si="51"/>
        <v>4843.5981721940934</v>
      </c>
      <c r="G173" s="6">
        <f t="shared" si="51"/>
        <v>28.959080679859316</v>
      </c>
      <c r="H173" s="1">
        <v>0.4</v>
      </c>
      <c r="I173" s="1">
        <v>1.5</v>
      </c>
      <c r="J173" s="1">
        <v>1</v>
      </c>
      <c r="M173" s="1">
        <v>37</v>
      </c>
      <c r="N173" s="6">
        <f t="shared" si="44"/>
        <v>3399.7960718154836</v>
      </c>
      <c r="O173" s="6">
        <f t="shared" si="41"/>
        <v>355547.61388748267</v>
      </c>
      <c r="P173" s="6">
        <f t="shared" si="42"/>
        <v>2171.9310509894485</v>
      </c>
      <c r="Q173" s="1">
        <v>0.4</v>
      </c>
      <c r="R173" s="1">
        <v>1.5</v>
      </c>
      <c r="S173" s="1">
        <v>1</v>
      </c>
      <c r="T173" s="1">
        <v>0.8</v>
      </c>
      <c r="U173" s="1">
        <v>10</v>
      </c>
      <c r="V173" s="5">
        <f t="shared" si="43"/>
        <v>2.4999999999999987</v>
      </c>
      <c r="X173" s="1">
        <v>37</v>
      </c>
      <c r="Y173" s="6">
        <f t="shared" si="45"/>
        <v>679.95921436309675</v>
      </c>
      <c r="Z173" s="6">
        <f t="shared" si="46"/>
        <v>39505.290431942522</v>
      </c>
      <c r="AA173" s="6">
        <f t="shared" si="47"/>
        <v>2171.9310509894485</v>
      </c>
      <c r="AB173" s="1">
        <f t="shared" si="48"/>
        <v>0.4</v>
      </c>
      <c r="AC173" s="1">
        <f t="shared" si="37"/>
        <v>1.5</v>
      </c>
      <c r="AD173" s="1">
        <f t="shared" si="38"/>
        <v>1</v>
      </c>
      <c r="AE173" s="1">
        <f t="shared" si="49"/>
        <v>10</v>
      </c>
      <c r="AF173" s="33">
        <f t="shared" si="50"/>
        <v>2.4999999999999987</v>
      </c>
    </row>
    <row r="174" spans="4:32" ht="14.25" hidden="1" customHeight="1" outlineLevel="1" x14ac:dyDescent="0.2">
      <c r="D174" s="1">
        <v>38</v>
      </c>
      <c r="E174" s="6">
        <f t="shared" si="51"/>
        <v>71.395717508125159</v>
      </c>
      <c r="F174" s="6">
        <f t="shared" si="51"/>
        <v>5085.7780808037987</v>
      </c>
      <c r="G174" s="6">
        <f t="shared" si="51"/>
        <v>30.407034713852283</v>
      </c>
      <c r="H174" s="1">
        <v>0.4</v>
      </c>
      <c r="I174" s="1">
        <v>1.5</v>
      </c>
      <c r="J174" s="1">
        <v>1</v>
      </c>
      <c r="M174" s="1">
        <v>38</v>
      </c>
      <c r="N174" s="6">
        <f t="shared" si="44"/>
        <v>3569.7858754062586</v>
      </c>
      <c r="O174" s="6">
        <f t="shared" si="41"/>
        <v>372928.61603022006</v>
      </c>
      <c r="P174" s="6">
        <f t="shared" si="42"/>
        <v>2280.5276035389211</v>
      </c>
      <c r="Q174" s="1">
        <v>0.4</v>
      </c>
      <c r="R174" s="1">
        <v>1.5</v>
      </c>
      <c r="S174" s="1">
        <v>1</v>
      </c>
      <c r="T174" s="1">
        <v>0.8</v>
      </c>
      <c r="U174" s="1">
        <v>10</v>
      </c>
      <c r="V174" s="5">
        <f t="shared" si="43"/>
        <v>2.4999999999999991</v>
      </c>
      <c r="X174" s="1">
        <v>38</v>
      </c>
      <c r="Y174" s="6">
        <f t="shared" si="45"/>
        <v>713.95717508125176</v>
      </c>
      <c r="Z174" s="6">
        <f t="shared" si="46"/>
        <v>41436.512892246676</v>
      </c>
      <c r="AA174" s="6">
        <f t="shared" si="47"/>
        <v>2280.5276035389211</v>
      </c>
      <c r="AB174" s="1">
        <f t="shared" si="48"/>
        <v>0.4</v>
      </c>
      <c r="AC174" s="1">
        <f t="shared" si="37"/>
        <v>1.5</v>
      </c>
      <c r="AD174" s="1">
        <f t="shared" si="38"/>
        <v>1</v>
      </c>
      <c r="AE174" s="1">
        <f t="shared" si="49"/>
        <v>10</v>
      </c>
      <c r="AF174" s="33">
        <f t="shared" si="50"/>
        <v>2.4999999999999991</v>
      </c>
    </row>
    <row r="175" spans="4:32" ht="14.25" hidden="1" customHeight="1" outlineLevel="1" x14ac:dyDescent="0.2">
      <c r="D175" s="1">
        <v>39</v>
      </c>
      <c r="E175" s="6">
        <f t="shared" si="51"/>
        <v>74.965503383531413</v>
      </c>
      <c r="F175" s="6">
        <f t="shared" si="51"/>
        <v>5340.0669848439875</v>
      </c>
      <c r="G175" s="6">
        <f t="shared" si="51"/>
        <v>31.92738644954489</v>
      </c>
      <c r="H175" s="1">
        <v>0.4</v>
      </c>
      <c r="I175" s="1">
        <v>1.5</v>
      </c>
      <c r="J175" s="1">
        <v>1</v>
      </c>
      <c r="M175" s="1">
        <v>39</v>
      </c>
      <c r="N175" s="6">
        <f t="shared" si="44"/>
        <v>3748.2751691765711</v>
      </c>
      <c r="O175" s="6">
        <f t="shared" si="41"/>
        <v>391138.98960582673</v>
      </c>
      <c r="P175" s="6">
        <f t="shared" si="42"/>
        <v>2394.5539837158667</v>
      </c>
      <c r="Q175" s="1">
        <v>0.4</v>
      </c>
      <c r="R175" s="1">
        <v>1.5</v>
      </c>
      <c r="S175" s="1">
        <v>1</v>
      </c>
      <c r="T175" s="1">
        <v>0.8</v>
      </c>
      <c r="U175" s="1">
        <v>10</v>
      </c>
      <c r="V175" s="5">
        <f t="shared" si="43"/>
        <v>2.4999999999999987</v>
      </c>
      <c r="X175" s="1">
        <v>39</v>
      </c>
      <c r="Y175" s="6">
        <f t="shared" si="45"/>
        <v>749.65503383531427</v>
      </c>
      <c r="Z175" s="6">
        <f t="shared" si="46"/>
        <v>43459.887733980751</v>
      </c>
      <c r="AA175" s="6">
        <f t="shared" si="47"/>
        <v>2394.5539837158667</v>
      </c>
      <c r="AB175" s="1">
        <f t="shared" si="48"/>
        <v>0.4</v>
      </c>
      <c r="AC175" s="1">
        <f t="shared" si="37"/>
        <v>1.5</v>
      </c>
      <c r="AD175" s="1">
        <f t="shared" si="38"/>
        <v>1</v>
      </c>
      <c r="AE175" s="1">
        <f t="shared" si="49"/>
        <v>10</v>
      </c>
      <c r="AF175" s="33">
        <f t="shared" si="50"/>
        <v>2.4999999999999987</v>
      </c>
    </row>
    <row r="176" spans="4:32" ht="14.25" hidden="1" customHeight="1" outlineLevel="1" x14ac:dyDescent="0.2">
      <c r="D176" s="1">
        <v>40</v>
      </c>
      <c r="E176" s="6">
        <f t="shared" si="51"/>
        <v>78.713778552707993</v>
      </c>
      <c r="F176" s="6">
        <f t="shared" si="51"/>
        <v>5607.0703340861874</v>
      </c>
      <c r="G176" s="6">
        <f t="shared" si="51"/>
        <v>33.523755772022142</v>
      </c>
      <c r="H176" s="1">
        <v>0.4</v>
      </c>
      <c r="I176" s="1">
        <v>1.5</v>
      </c>
      <c r="J176" s="1">
        <v>1</v>
      </c>
      <c r="M176" s="1">
        <v>40</v>
      </c>
      <c r="N176" s="6">
        <f t="shared" si="44"/>
        <v>3935.6889276354</v>
      </c>
      <c r="O176" s="6">
        <f t="shared" si="41"/>
        <v>410216.2822125146</v>
      </c>
      <c r="P176" s="6">
        <f t="shared" si="42"/>
        <v>2514.2816829016606</v>
      </c>
      <c r="Q176" s="1">
        <v>0.4</v>
      </c>
      <c r="R176" s="1">
        <v>1.5</v>
      </c>
      <c r="S176" s="1">
        <v>1</v>
      </c>
      <c r="T176" s="1">
        <v>0.8</v>
      </c>
      <c r="U176" s="1">
        <v>10</v>
      </c>
      <c r="V176" s="5">
        <f t="shared" si="43"/>
        <v>2.4999999999999991</v>
      </c>
      <c r="X176" s="1">
        <v>40</v>
      </c>
      <c r="Y176" s="6">
        <f t="shared" si="45"/>
        <v>787.13778552708004</v>
      </c>
      <c r="Z176" s="6">
        <f t="shared" si="46"/>
        <v>45579.586912501625</v>
      </c>
      <c r="AA176" s="6">
        <f t="shared" si="47"/>
        <v>2514.2816829016606</v>
      </c>
      <c r="AB176" s="1">
        <f t="shared" si="48"/>
        <v>0.4</v>
      </c>
      <c r="AC176" s="1">
        <f t="shared" si="37"/>
        <v>1.5</v>
      </c>
      <c r="AD176" s="1">
        <f t="shared" si="38"/>
        <v>1</v>
      </c>
      <c r="AE176" s="1">
        <f t="shared" si="49"/>
        <v>10</v>
      </c>
      <c r="AF176" s="33">
        <f t="shared" si="50"/>
        <v>2.4999999999999991</v>
      </c>
    </row>
    <row r="177" spans="4:32" ht="14.25" hidden="1" customHeight="1" outlineLevel="1" x14ac:dyDescent="0.2">
      <c r="D177" s="1">
        <v>41</v>
      </c>
      <c r="E177" s="6">
        <f t="shared" si="51"/>
        <v>82.64946748034339</v>
      </c>
      <c r="F177" s="6">
        <f t="shared" si="51"/>
        <v>5887.4238507904965</v>
      </c>
      <c r="G177" s="6">
        <f t="shared" si="51"/>
        <v>35.199943560623247</v>
      </c>
      <c r="H177" s="1">
        <v>0.4</v>
      </c>
      <c r="I177" s="1">
        <v>1.5</v>
      </c>
      <c r="J177" s="1">
        <v>1</v>
      </c>
      <c r="M177" s="1">
        <v>41</v>
      </c>
      <c r="N177" s="6">
        <f t="shared" si="44"/>
        <v>4132.4733740171696</v>
      </c>
      <c r="O177" s="6">
        <f t="shared" si="41"/>
        <v>430199.53918494994</v>
      </c>
      <c r="P177" s="6">
        <f t="shared" si="42"/>
        <v>2639.9957670467434</v>
      </c>
      <c r="Q177" s="1">
        <v>0.4</v>
      </c>
      <c r="R177" s="1">
        <v>1.5</v>
      </c>
      <c r="S177" s="1">
        <v>1</v>
      </c>
      <c r="T177" s="1">
        <v>0.8</v>
      </c>
      <c r="U177" s="1">
        <v>10</v>
      </c>
      <c r="V177" s="5">
        <f t="shared" si="43"/>
        <v>2.4999999999999991</v>
      </c>
      <c r="X177" s="1">
        <v>41</v>
      </c>
      <c r="Y177" s="6">
        <f t="shared" si="45"/>
        <v>826.4946748034339</v>
      </c>
      <c r="Z177" s="6">
        <f t="shared" si="46"/>
        <v>47799.948798327772</v>
      </c>
      <c r="AA177" s="6">
        <f t="shared" si="47"/>
        <v>2639.9957670467434</v>
      </c>
      <c r="AB177" s="1">
        <f t="shared" si="48"/>
        <v>0.4</v>
      </c>
      <c r="AC177" s="1">
        <f t="shared" si="37"/>
        <v>1.5</v>
      </c>
      <c r="AD177" s="1">
        <f t="shared" si="38"/>
        <v>1</v>
      </c>
      <c r="AE177" s="1">
        <f t="shared" si="49"/>
        <v>10</v>
      </c>
      <c r="AF177" s="33">
        <f t="shared" si="50"/>
        <v>2.4999999999999991</v>
      </c>
    </row>
    <row r="178" spans="4:32" ht="14.25" hidden="1" customHeight="1" outlineLevel="1" x14ac:dyDescent="0.2">
      <c r="D178" s="1">
        <v>42</v>
      </c>
      <c r="E178" s="6">
        <f t="shared" si="51"/>
        <v>86.781940854360556</v>
      </c>
      <c r="F178" s="6">
        <f t="shared" si="51"/>
        <v>6181.7950433300221</v>
      </c>
      <c r="G178" s="6">
        <f t="shared" si="51"/>
        <v>36.95994073865441</v>
      </c>
      <c r="H178" s="1">
        <v>0.4</v>
      </c>
      <c r="I178" s="1">
        <v>1.5</v>
      </c>
      <c r="J178" s="1">
        <v>1</v>
      </c>
      <c r="M178" s="1">
        <v>42</v>
      </c>
      <c r="N178" s="6">
        <f t="shared" si="44"/>
        <v>4339.0970427180282</v>
      </c>
      <c r="O178" s="6">
        <f t="shared" si="41"/>
        <v>451129.34291504545</v>
      </c>
      <c r="P178" s="6">
        <f t="shared" si="42"/>
        <v>2771.9955553990808</v>
      </c>
      <c r="Q178" s="1">
        <v>0.4</v>
      </c>
      <c r="R178" s="1">
        <v>1.5</v>
      </c>
      <c r="S178" s="1">
        <v>1</v>
      </c>
      <c r="T178" s="1">
        <v>0.8</v>
      </c>
      <c r="U178" s="1">
        <v>10</v>
      </c>
      <c r="V178" s="5">
        <f t="shared" si="43"/>
        <v>2.4999999999999991</v>
      </c>
      <c r="X178" s="1">
        <v>42</v>
      </c>
      <c r="Y178" s="6">
        <f t="shared" si="45"/>
        <v>867.81940854360562</v>
      </c>
      <c r="Z178" s="6">
        <f t="shared" si="46"/>
        <v>50125.48254611616</v>
      </c>
      <c r="AA178" s="6">
        <f t="shared" si="47"/>
        <v>2771.9955553990808</v>
      </c>
      <c r="AB178" s="1">
        <f t="shared" si="48"/>
        <v>0.4</v>
      </c>
      <c r="AC178" s="1">
        <f t="shared" si="37"/>
        <v>1.5</v>
      </c>
      <c r="AD178" s="1">
        <f t="shared" si="38"/>
        <v>1</v>
      </c>
      <c r="AE178" s="1">
        <f t="shared" si="49"/>
        <v>10</v>
      </c>
      <c r="AF178" s="33">
        <f t="shared" si="50"/>
        <v>2.4999999999999991</v>
      </c>
    </row>
    <row r="179" spans="4:32" ht="14.25" hidden="1" customHeight="1" outlineLevel="1" x14ac:dyDescent="0.2">
      <c r="D179" s="1">
        <v>43</v>
      </c>
      <c r="E179" s="6">
        <f t="shared" si="51"/>
        <v>91.12103789707858</v>
      </c>
      <c r="F179" s="6">
        <f t="shared" si="51"/>
        <v>6490.8847954965231</v>
      </c>
      <c r="G179" s="6">
        <f t="shared" si="51"/>
        <v>38.807937775587135</v>
      </c>
      <c r="H179" s="1">
        <v>0.4</v>
      </c>
      <c r="I179" s="1">
        <v>1.5</v>
      </c>
      <c r="J179" s="1">
        <v>1</v>
      </c>
      <c r="M179" s="1">
        <v>43</v>
      </c>
      <c r="N179" s="6">
        <f t="shared" si="44"/>
        <v>4556.0518948539293</v>
      </c>
      <c r="O179" s="6">
        <f t="shared" si="41"/>
        <v>473047.85098773381</v>
      </c>
      <c r="P179" s="6">
        <f t="shared" si="42"/>
        <v>2910.5953331690353</v>
      </c>
      <c r="Q179" s="1">
        <v>0.4</v>
      </c>
      <c r="R179" s="1">
        <v>1.5</v>
      </c>
      <c r="S179" s="1">
        <v>1</v>
      </c>
      <c r="T179" s="1">
        <v>0.8</v>
      </c>
      <c r="U179" s="1">
        <v>10</v>
      </c>
      <c r="V179" s="5">
        <f t="shared" si="43"/>
        <v>2.4999999999999991</v>
      </c>
      <c r="X179" s="1">
        <v>43</v>
      </c>
      <c r="Y179" s="6">
        <f t="shared" si="45"/>
        <v>911.21037897078588</v>
      </c>
      <c r="Z179" s="6">
        <f t="shared" si="46"/>
        <v>52560.872331970422</v>
      </c>
      <c r="AA179" s="6">
        <f t="shared" si="47"/>
        <v>2910.5953331690353</v>
      </c>
      <c r="AB179" s="1">
        <f t="shared" si="48"/>
        <v>0.4</v>
      </c>
      <c r="AC179" s="1">
        <f t="shared" si="37"/>
        <v>1.5</v>
      </c>
      <c r="AD179" s="1">
        <f t="shared" si="38"/>
        <v>1</v>
      </c>
      <c r="AE179" s="1">
        <f t="shared" si="49"/>
        <v>10</v>
      </c>
      <c r="AF179" s="33">
        <f t="shared" si="50"/>
        <v>2.4999999999999991</v>
      </c>
    </row>
    <row r="180" spans="4:32" ht="14.25" hidden="1" customHeight="1" outlineLevel="1" x14ac:dyDescent="0.2">
      <c r="D180" s="1">
        <v>44</v>
      </c>
      <c r="E180" s="6">
        <f t="shared" si="51"/>
        <v>95.677089791932531</v>
      </c>
      <c r="F180" s="6">
        <f t="shared" si="51"/>
        <v>6815.4290352713497</v>
      </c>
      <c r="G180" s="6">
        <f t="shared" si="51"/>
        <v>40.748334664366496</v>
      </c>
      <c r="H180" s="1">
        <v>0.4</v>
      </c>
      <c r="I180" s="1">
        <v>1.5</v>
      </c>
      <c r="J180" s="1">
        <v>1</v>
      </c>
      <c r="M180" s="1">
        <v>44</v>
      </c>
      <c r="N180" s="6">
        <f t="shared" si="44"/>
        <v>4783.8544895966279</v>
      </c>
      <c r="O180" s="6">
        <f t="shared" si="41"/>
        <v>495998.83282066742</v>
      </c>
      <c r="P180" s="6">
        <f t="shared" si="42"/>
        <v>3056.1250998274872</v>
      </c>
      <c r="Q180" s="1">
        <v>0.4</v>
      </c>
      <c r="R180" s="1">
        <v>1.5</v>
      </c>
      <c r="S180" s="1">
        <v>1</v>
      </c>
      <c r="T180" s="1">
        <v>0.8</v>
      </c>
      <c r="U180" s="1">
        <v>10</v>
      </c>
      <c r="V180" s="5">
        <f t="shared" si="43"/>
        <v>2.4999999999999987</v>
      </c>
      <c r="X180" s="1">
        <v>44</v>
      </c>
      <c r="Y180" s="6">
        <f t="shared" si="45"/>
        <v>956.77089791932553</v>
      </c>
      <c r="Z180" s="6">
        <f t="shared" si="46"/>
        <v>55110.981424518599</v>
      </c>
      <c r="AA180" s="6">
        <f t="shared" si="47"/>
        <v>3056.1250998274872</v>
      </c>
      <c r="AB180" s="1">
        <f t="shared" si="48"/>
        <v>0.4</v>
      </c>
      <c r="AC180" s="1">
        <f t="shared" si="37"/>
        <v>1.5</v>
      </c>
      <c r="AD180" s="1">
        <f t="shared" si="38"/>
        <v>1</v>
      </c>
      <c r="AE180" s="1">
        <f t="shared" si="49"/>
        <v>10</v>
      </c>
      <c r="AF180" s="33">
        <f t="shared" si="50"/>
        <v>2.4999999999999987</v>
      </c>
    </row>
    <row r="181" spans="4:32" ht="14.25" hidden="1" customHeight="1" outlineLevel="1" x14ac:dyDescent="0.2">
      <c r="D181" s="1">
        <v>45</v>
      </c>
      <c r="E181" s="6">
        <f t="shared" si="51"/>
        <v>100.46094428152914</v>
      </c>
      <c r="F181" s="6">
        <f t="shared" si="51"/>
        <v>7156.2004870349165</v>
      </c>
      <c r="G181" s="6">
        <f t="shared" si="51"/>
        <v>42.785751397584811</v>
      </c>
      <c r="H181" s="1">
        <v>0.4</v>
      </c>
      <c r="I181" s="1">
        <v>1.5</v>
      </c>
      <c r="J181" s="1">
        <v>1</v>
      </c>
      <c r="M181" s="1">
        <v>45</v>
      </c>
      <c r="N181" s="6">
        <f t="shared" si="44"/>
        <v>5023.0472140764577</v>
      </c>
      <c r="O181" s="6">
        <f t="shared" si="41"/>
        <v>520027.70446528745</v>
      </c>
      <c r="P181" s="6">
        <f t="shared" si="42"/>
        <v>3208.9313548188607</v>
      </c>
      <c r="Q181" s="1">
        <v>0.4</v>
      </c>
      <c r="R181" s="1">
        <v>1.5</v>
      </c>
      <c r="S181" s="1">
        <v>1</v>
      </c>
      <c r="T181" s="1">
        <v>0.8</v>
      </c>
      <c r="U181" s="1">
        <v>10</v>
      </c>
      <c r="V181" s="5">
        <f t="shared" si="43"/>
        <v>2.4999999999999991</v>
      </c>
      <c r="X181" s="1">
        <v>45</v>
      </c>
      <c r="Y181" s="6">
        <f t="shared" si="45"/>
        <v>1004.6094428152916</v>
      </c>
      <c r="Z181" s="6">
        <f t="shared" si="46"/>
        <v>57780.856051698604</v>
      </c>
      <c r="AA181" s="6">
        <f t="shared" si="47"/>
        <v>3208.9313548188607</v>
      </c>
      <c r="AB181" s="1">
        <f t="shared" si="48"/>
        <v>0.4</v>
      </c>
      <c r="AC181" s="1">
        <f t="shared" si="37"/>
        <v>1.5</v>
      </c>
      <c r="AD181" s="1">
        <f t="shared" si="38"/>
        <v>1</v>
      </c>
      <c r="AE181" s="1">
        <f t="shared" si="49"/>
        <v>10</v>
      </c>
      <c r="AF181" s="33">
        <f t="shared" si="50"/>
        <v>2.4999999999999991</v>
      </c>
    </row>
    <row r="182" spans="4:32" ht="14.25" hidden="1" customHeight="1" outlineLevel="1" x14ac:dyDescent="0.2">
      <c r="D182" s="1">
        <v>46</v>
      </c>
      <c r="E182" s="6">
        <f t="shared" si="51"/>
        <v>105.48399149560562</v>
      </c>
      <c r="F182" s="6">
        <f t="shared" si="51"/>
        <v>7514.0105113866639</v>
      </c>
      <c r="G182" s="6">
        <f t="shared" si="51"/>
        <v>44.925038967464062</v>
      </c>
      <c r="H182" s="1">
        <v>0.4</v>
      </c>
      <c r="I182" s="1">
        <v>1.5</v>
      </c>
      <c r="J182" s="1">
        <v>1</v>
      </c>
      <c r="M182" s="1">
        <v>46</v>
      </c>
      <c r="N182" s="6">
        <f t="shared" si="44"/>
        <v>5274.1995747802812</v>
      </c>
      <c r="O182" s="6">
        <f t="shared" si="41"/>
        <v>545181.56119328644</v>
      </c>
      <c r="P182" s="6">
        <f t="shared" si="42"/>
        <v>3369.3779225598046</v>
      </c>
      <c r="Q182" s="1">
        <v>0.4</v>
      </c>
      <c r="R182" s="1">
        <v>1.5</v>
      </c>
      <c r="S182" s="1">
        <v>1</v>
      </c>
      <c r="T182" s="1">
        <v>0.8</v>
      </c>
      <c r="U182" s="1">
        <v>10</v>
      </c>
      <c r="V182" s="5">
        <f t="shared" si="43"/>
        <v>2.4999999999999991</v>
      </c>
      <c r="X182" s="1">
        <v>46</v>
      </c>
      <c r="Y182" s="6">
        <f t="shared" si="45"/>
        <v>1054.8399149560562</v>
      </c>
      <c r="Z182" s="6">
        <f t="shared" si="46"/>
        <v>60575.729021476269</v>
      </c>
      <c r="AA182" s="6">
        <f t="shared" si="47"/>
        <v>3369.3779225598046</v>
      </c>
      <c r="AB182" s="1">
        <f t="shared" si="48"/>
        <v>0.4</v>
      </c>
      <c r="AC182" s="1">
        <f t="shared" si="37"/>
        <v>1.5</v>
      </c>
      <c r="AD182" s="1">
        <f t="shared" si="38"/>
        <v>1</v>
      </c>
      <c r="AE182" s="1">
        <f t="shared" si="49"/>
        <v>10</v>
      </c>
      <c r="AF182" s="33">
        <f t="shared" si="50"/>
        <v>2.4999999999999991</v>
      </c>
    </row>
    <row r="183" spans="4:32" ht="14.25" hidden="1" customHeight="1" outlineLevel="1" x14ac:dyDescent="0.2">
      <c r="D183" s="1">
        <v>47</v>
      </c>
      <c r="E183" s="6">
        <f t="shared" si="51"/>
        <v>110.75819107038588</v>
      </c>
      <c r="F183" s="6">
        <f t="shared" si="51"/>
        <v>7889.711036955995</v>
      </c>
      <c r="G183" s="6">
        <f t="shared" si="51"/>
        <v>47.171290915837254</v>
      </c>
      <c r="H183" s="1">
        <v>0.4</v>
      </c>
      <c r="I183" s="1">
        <v>1.5</v>
      </c>
      <c r="J183" s="1">
        <v>1</v>
      </c>
      <c r="M183" s="1">
        <v>47</v>
      </c>
      <c r="N183" s="6">
        <f t="shared" si="44"/>
        <v>5537.9095535192946</v>
      </c>
      <c r="O183" s="6">
        <f t="shared" si="41"/>
        <v>571509.20745716849</v>
      </c>
      <c r="P183" s="6">
        <f t="shared" si="42"/>
        <v>3537.846818687794</v>
      </c>
      <c r="Q183" s="1">
        <v>0.4</v>
      </c>
      <c r="R183" s="1">
        <v>1.5</v>
      </c>
      <c r="S183" s="1">
        <v>1</v>
      </c>
      <c r="T183" s="1">
        <v>0.8</v>
      </c>
      <c r="U183" s="1">
        <v>10</v>
      </c>
      <c r="V183" s="5">
        <f t="shared" si="43"/>
        <v>2.4999999999999987</v>
      </c>
      <c r="X183" s="1">
        <v>47</v>
      </c>
      <c r="Y183" s="6">
        <f t="shared" si="45"/>
        <v>1107.581910703859</v>
      </c>
      <c r="Z183" s="6">
        <f t="shared" si="46"/>
        <v>63501.023050796503</v>
      </c>
      <c r="AA183" s="6">
        <f t="shared" si="47"/>
        <v>3537.846818687794</v>
      </c>
      <c r="AB183" s="1">
        <f t="shared" si="48"/>
        <v>0.4</v>
      </c>
      <c r="AC183" s="1">
        <f t="shared" si="37"/>
        <v>1.5</v>
      </c>
      <c r="AD183" s="1">
        <f t="shared" si="38"/>
        <v>1</v>
      </c>
      <c r="AE183" s="1">
        <f t="shared" si="49"/>
        <v>10</v>
      </c>
      <c r="AF183" s="33">
        <f t="shared" si="50"/>
        <v>2.4999999999999987</v>
      </c>
    </row>
    <row r="184" spans="4:32" ht="14.25" hidden="1" customHeight="1" outlineLevel="1" x14ac:dyDescent="0.2">
      <c r="D184" s="1">
        <v>48</v>
      </c>
      <c r="E184" s="6">
        <f t="shared" si="51"/>
        <v>116.2961006239052</v>
      </c>
      <c r="F184" s="6">
        <f t="shared" si="51"/>
        <v>8284.1965888037976</v>
      </c>
      <c r="G184" s="6">
        <f t="shared" si="51"/>
        <v>49.529855461629133</v>
      </c>
      <c r="H184" s="1">
        <v>0.4</v>
      </c>
      <c r="I184" s="1">
        <v>1.5</v>
      </c>
      <c r="J184" s="1">
        <v>1</v>
      </c>
      <c r="M184" s="1">
        <v>48</v>
      </c>
      <c r="N184" s="6">
        <f t="shared" si="44"/>
        <v>5814.8050311952602</v>
      </c>
      <c r="O184" s="6">
        <f t="shared" si="41"/>
        <v>599061.18377644499</v>
      </c>
      <c r="P184" s="6">
        <f t="shared" si="42"/>
        <v>3714.7391596221851</v>
      </c>
      <c r="Q184" s="1">
        <v>0.4</v>
      </c>
      <c r="R184" s="1">
        <v>1.5</v>
      </c>
      <c r="S184" s="1">
        <v>1</v>
      </c>
      <c r="T184" s="1">
        <v>0.8</v>
      </c>
      <c r="U184" s="1">
        <v>10</v>
      </c>
      <c r="V184" s="5">
        <f t="shared" si="43"/>
        <v>2.4999999999999996</v>
      </c>
      <c r="X184" s="1">
        <v>48</v>
      </c>
      <c r="Y184" s="6">
        <f t="shared" si="45"/>
        <v>1162.961006239052</v>
      </c>
      <c r="Z184" s="6">
        <f t="shared" si="46"/>
        <v>66562.353752938332</v>
      </c>
      <c r="AA184" s="6">
        <f t="shared" si="47"/>
        <v>3714.7391596221851</v>
      </c>
      <c r="AB184" s="1">
        <f t="shared" si="48"/>
        <v>0.4</v>
      </c>
      <c r="AC184" s="1">
        <f t="shared" si="37"/>
        <v>1.5</v>
      </c>
      <c r="AD184" s="1">
        <f t="shared" si="38"/>
        <v>1</v>
      </c>
      <c r="AE184" s="1">
        <f t="shared" si="49"/>
        <v>10</v>
      </c>
      <c r="AF184" s="33">
        <f t="shared" si="50"/>
        <v>2.4999999999999996</v>
      </c>
    </row>
    <row r="185" spans="4:32" ht="14.25" hidden="1" customHeight="1" outlineLevel="1" x14ac:dyDescent="0.2">
      <c r="D185" s="1">
        <v>49</v>
      </c>
      <c r="E185" s="6">
        <f t="shared" si="51"/>
        <v>122.11090565510045</v>
      </c>
      <c r="F185" s="6">
        <f t="shared" si="51"/>
        <v>8698.406418243987</v>
      </c>
      <c r="G185" s="6">
        <f t="shared" si="51"/>
        <v>52.006348234710586</v>
      </c>
      <c r="H185" s="1">
        <v>0.4</v>
      </c>
      <c r="I185" s="1">
        <v>1.5</v>
      </c>
      <c r="J185" s="1">
        <v>1</v>
      </c>
      <c r="M185" s="1">
        <v>49</v>
      </c>
      <c r="N185" s="6">
        <f t="shared" si="44"/>
        <v>6105.5452827550234</v>
      </c>
      <c r="O185" s="6">
        <f t="shared" si="41"/>
        <v>627889.79006205895</v>
      </c>
      <c r="P185" s="6">
        <f t="shared" si="42"/>
        <v>3900.4761176032939</v>
      </c>
      <c r="Q185" s="1">
        <v>0.4</v>
      </c>
      <c r="R185" s="1">
        <v>1.5</v>
      </c>
      <c r="S185" s="1">
        <v>1</v>
      </c>
      <c r="T185" s="1">
        <v>0.8</v>
      </c>
      <c r="U185" s="1">
        <v>10</v>
      </c>
      <c r="V185" s="5">
        <f t="shared" si="43"/>
        <v>2.4999999999999991</v>
      </c>
      <c r="X185" s="1">
        <v>49</v>
      </c>
      <c r="Y185" s="6">
        <f t="shared" si="45"/>
        <v>1221.1090565510046</v>
      </c>
      <c r="Z185" s="6">
        <f t="shared" si="46"/>
        <v>69765.532229117656</v>
      </c>
      <c r="AA185" s="6">
        <f t="shared" si="47"/>
        <v>3900.4761176032939</v>
      </c>
      <c r="AB185" s="1">
        <f t="shared" si="48"/>
        <v>0.4</v>
      </c>
      <c r="AC185" s="1">
        <f t="shared" si="37"/>
        <v>1.5</v>
      </c>
      <c r="AD185" s="1">
        <f t="shared" si="38"/>
        <v>1</v>
      </c>
      <c r="AE185" s="1">
        <f t="shared" si="49"/>
        <v>10</v>
      </c>
      <c r="AF185" s="33">
        <f t="shared" si="50"/>
        <v>2.4999999999999991</v>
      </c>
    </row>
    <row r="186" spans="4:32" ht="14.25" hidden="1" customHeight="1" outlineLevel="1" x14ac:dyDescent="0.2">
      <c r="D186" s="1">
        <v>50</v>
      </c>
      <c r="E186" s="6">
        <f t="shared" si="51"/>
        <v>128.21645093785548</v>
      </c>
      <c r="F186" s="6">
        <f t="shared" si="51"/>
        <v>9133.3267391561858</v>
      </c>
      <c r="G186" s="6">
        <f t="shared" si="51"/>
        <v>54.606665646446118</v>
      </c>
      <c r="H186" s="1">
        <v>0.4</v>
      </c>
      <c r="I186" s="1">
        <v>1.5</v>
      </c>
      <c r="J186" s="1">
        <v>1</v>
      </c>
      <c r="M186" s="1">
        <v>50</v>
      </c>
      <c r="N186" s="6">
        <f t="shared" si="44"/>
        <v>6410.8225468927749</v>
      </c>
      <c r="O186" s="6">
        <f t="shared" si="41"/>
        <v>658049.10485105531</v>
      </c>
      <c r="P186" s="6">
        <f t="shared" si="42"/>
        <v>4095.4999234834586</v>
      </c>
      <c r="Q186" s="1">
        <v>0.4</v>
      </c>
      <c r="R186" s="1">
        <v>1.5</v>
      </c>
      <c r="S186" s="1">
        <v>1</v>
      </c>
      <c r="T186" s="1">
        <v>0.8</v>
      </c>
      <c r="U186" s="1">
        <v>10</v>
      </c>
      <c r="V186" s="5">
        <f t="shared" si="43"/>
        <v>2.4999999999999987</v>
      </c>
      <c r="X186" s="1">
        <v>50</v>
      </c>
      <c r="Y186" s="6">
        <f t="shared" si="45"/>
        <v>1282.1645093785551</v>
      </c>
      <c r="Z186" s="6">
        <f t="shared" si="46"/>
        <v>73116.567205672807</v>
      </c>
      <c r="AA186" s="6">
        <f t="shared" si="47"/>
        <v>4095.4999234834586</v>
      </c>
      <c r="AB186" s="1">
        <f t="shared" si="48"/>
        <v>0.4</v>
      </c>
      <c r="AC186" s="1">
        <f t="shared" si="37"/>
        <v>1.5</v>
      </c>
      <c r="AD186" s="1">
        <f t="shared" si="38"/>
        <v>1</v>
      </c>
      <c r="AE186" s="1">
        <f t="shared" si="49"/>
        <v>10</v>
      </c>
      <c r="AF186" s="33">
        <f t="shared" si="50"/>
        <v>2.4999999999999987</v>
      </c>
    </row>
    <row r="187" spans="4:32" ht="14.25" hidden="1" customHeight="1" outlineLevel="1" x14ac:dyDescent="0.2">
      <c r="D187" s="1">
        <v>51</v>
      </c>
      <c r="E187" s="6">
        <f t="shared" si="51"/>
        <v>134.62727348474826</v>
      </c>
      <c r="F187" s="6">
        <f t="shared" si="51"/>
        <v>9589.9930761139949</v>
      </c>
      <c r="G187" s="6">
        <f t="shared" si="51"/>
        <v>57.336998928768423</v>
      </c>
      <c r="H187" s="1">
        <v>0.4</v>
      </c>
      <c r="I187" s="1">
        <v>1.5</v>
      </c>
      <c r="J187" s="1">
        <v>1</v>
      </c>
      <c r="M187" s="1">
        <v>51</v>
      </c>
      <c r="N187" s="6">
        <f t="shared" si="44"/>
        <v>6731.3636742374138</v>
      </c>
      <c r="O187" s="6">
        <f t="shared" si="41"/>
        <v>689594.99988143519</v>
      </c>
      <c r="P187" s="6">
        <f t="shared" si="42"/>
        <v>4300.2749196576315</v>
      </c>
      <c r="Q187" s="1">
        <v>0.4</v>
      </c>
      <c r="R187" s="1">
        <v>1.5</v>
      </c>
      <c r="S187" s="1">
        <v>1</v>
      </c>
      <c r="T187" s="1">
        <v>0.8</v>
      </c>
      <c r="U187" s="1">
        <v>10</v>
      </c>
      <c r="V187" s="5">
        <f t="shared" si="43"/>
        <v>2.5</v>
      </c>
      <c r="X187" s="1">
        <v>51</v>
      </c>
      <c r="Y187" s="6">
        <f t="shared" si="45"/>
        <v>1346.2727348474828</v>
      </c>
      <c r="Z187" s="6">
        <f t="shared" si="46"/>
        <v>76621.666653492794</v>
      </c>
      <c r="AA187" s="6">
        <f t="shared" si="47"/>
        <v>4300.2749196576315</v>
      </c>
      <c r="AB187" s="1">
        <f t="shared" si="48"/>
        <v>0.4</v>
      </c>
      <c r="AC187" s="1">
        <f t="shared" si="37"/>
        <v>1.5</v>
      </c>
      <c r="AD187" s="1">
        <f t="shared" si="38"/>
        <v>1</v>
      </c>
      <c r="AE187" s="1">
        <f t="shared" si="49"/>
        <v>10</v>
      </c>
      <c r="AF187" s="33">
        <f t="shared" si="50"/>
        <v>2.5</v>
      </c>
    </row>
    <row r="188" spans="4:32" ht="14.25" hidden="1" customHeight="1" outlineLevel="1" x14ac:dyDescent="0.2">
      <c r="D188" s="1">
        <v>52</v>
      </c>
      <c r="E188" s="6">
        <f t="shared" si="51"/>
        <v>141.35863715898569</v>
      </c>
      <c r="F188" s="6">
        <f t="shared" si="51"/>
        <v>10069.492729919695</v>
      </c>
      <c r="G188" s="6">
        <f t="shared" si="51"/>
        <v>60.203848875206845</v>
      </c>
      <c r="H188" s="1">
        <v>0.4</v>
      </c>
      <c r="I188" s="1">
        <v>1.5</v>
      </c>
      <c r="J188" s="1">
        <v>1</v>
      </c>
      <c r="M188" s="1">
        <v>52</v>
      </c>
      <c r="N188" s="6">
        <f t="shared" si="44"/>
        <v>7067.9318579492856</v>
      </c>
      <c r="O188" s="6">
        <f t="shared" si="41"/>
        <v>722585.1493937975</v>
      </c>
      <c r="P188" s="6">
        <f t="shared" si="42"/>
        <v>4515.2886656405135</v>
      </c>
      <c r="Q188" s="1">
        <v>0.4</v>
      </c>
      <c r="R188" s="1">
        <v>1.5</v>
      </c>
      <c r="S188" s="1">
        <v>1</v>
      </c>
      <c r="T188" s="1">
        <v>0.8</v>
      </c>
      <c r="U188" s="1">
        <v>10</v>
      </c>
      <c r="V188" s="5">
        <f t="shared" si="43"/>
        <v>2.4999999999999987</v>
      </c>
      <c r="X188" s="1">
        <v>52</v>
      </c>
      <c r="Y188" s="6">
        <f t="shared" si="45"/>
        <v>1413.5863715898572</v>
      </c>
      <c r="Z188" s="6">
        <f t="shared" si="46"/>
        <v>80287.238821533057</v>
      </c>
      <c r="AA188" s="6">
        <f t="shared" si="47"/>
        <v>4515.2886656405135</v>
      </c>
      <c r="AB188" s="1">
        <f t="shared" si="48"/>
        <v>0.4</v>
      </c>
      <c r="AC188" s="1">
        <f t="shared" si="37"/>
        <v>1.5</v>
      </c>
      <c r="AD188" s="1">
        <f t="shared" si="38"/>
        <v>1</v>
      </c>
      <c r="AE188" s="1">
        <f t="shared" si="49"/>
        <v>10</v>
      </c>
      <c r="AF188" s="33">
        <f t="shared" si="50"/>
        <v>2.4999999999999987</v>
      </c>
    </row>
    <row r="189" spans="4:32" ht="14.25" hidden="1" customHeight="1" outlineLevel="1" x14ac:dyDescent="0.2">
      <c r="D189" s="1">
        <v>53</v>
      </c>
      <c r="E189" s="6">
        <f t="shared" si="51"/>
        <v>148.42656901693496</v>
      </c>
      <c r="F189" s="6">
        <f t="shared" si="51"/>
        <v>10572.96736641568</v>
      </c>
      <c r="G189" s="6">
        <f t="shared" si="51"/>
        <v>63.21404131896719</v>
      </c>
      <c r="H189" s="1">
        <v>0.4</v>
      </c>
      <c r="I189" s="1">
        <v>1.5</v>
      </c>
      <c r="J189" s="1">
        <v>1</v>
      </c>
      <c r="M189" s="1">
        <v>53</v>
      </c>
      <c r="N189" s="6">
        <f t="shared" si="44"/>
        <v>7421.3284508467486</v>
      </c>
      <c r="O189" s="6">
        <f t="shared" si="41"/>
        <v>757079.03350203496</v>
      </c>
      <c r="P189" s="6">
        <f t="shared" si="42"/>
        <v>4741.053098922539</v>
      </c>
      <c r="Q189" s="1">
        <v>0.4</v>
      </c>
      <c r="R189" s="1">
        <v>1.5</v>
      </c>
      <c r="S189" s="1">
        <v>1</v>
      </c>
      <c r="T189" s="1">
        <v>0.8</v>
      </c>
      <c r="U189" s="1">
        <v>10</v>
      </c>
      <c r="V189" s="5">
        <f t="shared" si="43"/>
        <v>2.4999999999999991</v>
      </c>
      <c r="X189" s="1">
        <v>53</v>
      </c>
      <c r="Y189" s="6">
        <f t="shared" si="45"/>
        <v>1484.2656901693497</v>
      </c>
      <c r="Z189" s="6">
        <f t="shared" si="46"/>
        <v>84119.892611337214</v>
      </c>
      <c r="AA189" s="6">
        <f t="shared" si="47"/>
        <v>4741.053098922539</v>
      </c>
      <c r="AB189" s="1">
        <f t="shared" si="48"/>
        <v>0.4</v>
      </c>
      <c r="AC189" s="1">
        <f t="shared" si="37"/>
        <v>1.5</v>
      </c>
      <c r="AD189" s="1">
        <f t="shared" si="38"/>
        <v>1</v>
      </c>
      <c r="AE189" s="1">
        <f t="shared" si="49"/>
        <v>10</v>
      </c>
      <c r="AF189" s="33">
        <f t="shared" si="50"/>
        <v>2.4999999999999991</v>
      </c>
    </row>
    <row r="190" spans="4:32" ht="14.25" hidden="1" customHeight="1" outlineLevel="1" x14ac:dyDescent="0.2">
      <c r="D190" s="1">
        <v>54</v>
      </c>
      <c r="E190" s="6">
        <f t="shared" si="51"/>
        <v>155.84789746778168</v>
      </c>
      <c r="F190" s="6">
        <f t="shared" si="51"/>
        <v>11101.615734736462</v>
      </c>
      <c r="G190" s="6">
        <f t="shared" si="51"/>
        <v>66.374743384915547</v>
      </c>
      <c r="H190" s="1">
        <v>0.4</v>
      </c>
      <c r="I190" s="1">
        <v>1.5</v>
      </c>
      <c r="J190" s="1">
        <v>1</v>
      </c>
      <c r="M190" s="1">
        <v>54</v>
      </c>
      <c r="N190" s="6">
        <f t="shared" si="44"/>
        <v>7792.3948733890848</v>
      </c>
      <c r="O190" s="6">
        <f t="shared" si="41"/>
        <v>793137.9349303518</v>
      </c>
      <c r="P190" s="6">
        <f t="shared" si="42"/>
        <v>4978.1057538686664</v>
      </c>
      <c r="Q190" s="1">
        <v>0.4</v>
      </c>
      <c r="R190" s="1">
        <v>1.5</v>
      </c>
      <c r="S190" s="1">
        <v>1</v>
      </c>
      <c r="T190" s="1">
        <v>0.8</v>
      </c>
      <c r="U190" s="1">
        <v>10</v>
      </c>
      <c r="V190" s="5">
        <f t="shared" si="43"/>
        <v>2.4999999999999991</v>
      </c>
      <c r="X190" s="1">
        <v>54</v>
      </c>
      <c r="Y190" s="6">
        <f t="shared" si="45"/>
        <v>1558.478974677817</v>
      </c>
      <c r="Z190" s="6">
        <f t="shared" si="46"/>
        <v>88126.437214483536</v>
      </c>
      <c r="AA190" s="6">
        <f t="shared" si="47"/>
        <v>4978.1057538686664</v>
      </c>
      <c r="AB190" s="1">
        <f t="shared" si="48"/>
        <v>0.4</v>
      </c>
      <c r="AC190" s="1">
        <f t="shared" si="37"/>
        <v>1.5</v>
      </c>
      <c r="AD190" s="1">
        <f t="shared" si="38"/>
        <v>1</v>
      </c>
      <c r="AE190" s="1">
        <f t="shared" si="49"/>
        <v>10</v>
      </c>
      <c r="AF190" s="33">
        <f t="shared" si="50"/>
        <v>2.4999999999999991</v>
      </c>
    </row>
    <row r="191" spans="4:32" ht="14.25" hidden="1" customHeight="1" outlineLevel="1" x14ac:dyDescent="0.2">
      <c r="D191" s="1">
        <v>55</v>
      </c>
      <c r="E191" s="6">
        <f t="shared" si="51"/>
        <v>163.64029234117078</v>
      </c>
      <c r="F191" s="6">
        <f t="shared" si="51"/>
        <v>11656.696521473286</v>
      </c>
      <c r="G191" s="6">
        <f t="shared" si="51"/>
        <v>69.693480554161312</v>
      </c>
      <c r="H191" s="1">
        <v>0.4</v>
      </c>
      <c r="I191" s="1">
        <v>1.5</v>
      </c>
      <c r="J191" s="1">
        <v>1</v>
      </c>
      <c r="M191" s="1">
        <v>55</v>
      </c>
      <c r="N191" s="6">
        <f t="shared" si="44"/>
        <v>8182.0146170585394</v>
      </c>
      <c r="O191" s="6">
        <f t="shared" si="41"/>
        <v>830824.92836861848</v>
      </c>
      <c r="P191" s="6">
        <f t="shared" si="42"/>
        <v>5227.0110415620984</v>
      </c>
      <c r="Q191" s="1">
        <v>0.4</v>
      </c>
      <c r="R191" s="1">
        <v>1.5</v>
      </c>
      <c r="S191" s="1">
        <v>1</v>
      </c>
      <c r="T191" s="1">
        <v>0.8</v>
      </c>
      <c r="U191" s="1">
        <v>10</v>
      </c>
      <c r="V191" s="5">
        <f t="shared" si="43"/>
        <v>2.4999999999999991</v>
      </c>
      <c r="X191" s="1">
        <v>55</v>
      </c>
      <c r="Y191" s="6">
        <f t="shared" si="45"/>
        <v>1636.4029234117079</v>
      </c>
      <c r="Z191" s="6">
        <f t="shared" si="46"/>
        <v>92313.880929846491</v>
      </c>
      <c r="AA191" s="6">
        <f t="shared" si="47"/>
        <v>5227.0110415620984</v>
      </c>
      <c r="AB191" s="1">
        <f t="shared" si="48"/>
        <v>0.4</v>
      </c>
      <c r="AC191" s="1">
        <f t="shared" si="37"/>
        <v>1.5</v>
      </c>
      <c r="AD191" s="1">
        <f t="shared" si="38"/>
        <v>1</v>
      </c>
      <c r="AE191" s="1">
        <f t="shared" si="49"/>
        <v>10</v>
      </c>
      <c r="AF191" s="33">
        <f t="shared" si="50"/>
        <v>2.4999999999999991</v>
      </c>
    </row>
    <row r="192" spans="4:32" ht="14.25" hidden="1" customHeight="1" outlineLevel="1" x14ac:dyDescent="0.2">
      <c r="D192" s="1">
        <v>56</v>
      </c>
      <c r="E192" s="6">
        <f t="shared" si="51"/>
        <v>171.82230695822935</v>
      </c>
      <c r="F192" s="6">
        <f t="shared" si="51"/>
        <v>12239.531347546952</v>
      </c>
      <c r="G192" s="6">
        <f t="shared" si="51"/>
        <v>73.178154581869393</v>
      </c>
      <c r="H192" s="1">
        <v>0.4</v>
      </c>
      <c r="I192" s="1">
        <v>1.5</v>
      </c>
      <c r="J192" s="1">
        <v>1</v>
      </c>
      <c r="M192" s="1">
        <v>56</v>
      </c>
      <c r="N192" s="6">
        <f t="shared" si="44"/>
        <v>8591.1153479114673</v>
      </c>
      <c r="O192" s="6">
        <f t="shared" si="41"/>
        <v>870204.86165306461</v>
      </c>
      <c r="P192" s="6">
        <f t="shared" si="42"/>
        <v>5488.3615936402048</v>
      </c>
      <c r="Q192" s="1">
        <v>0.4</v>
      </c>
      <c r="R192" s="1">
        <v>1.5</v>
      </c>
      <c r="S192" s="1">
        <v>1</v>
      </c>
      <c r="T192" s="1">
        <v>0.8</v>
      </c>
      <c r="U192" s="1">
        <v>10</v>
      </c>
      <c r="V192" s="5">
        <f t="shared" si="43"/>
        <v>2.5</v>
      </c>
      <c r="X192" s="1">
        <v>56</v>
      </c>
      <c r="Y192" s="6">
        <f t="shared" si="45"/>
        <v>1718.2230695822934</v>
      </c>
      <c r="Z192" s="6">
        <f t="shared" si="46"/>
        <v>96689.429072562736</v>
      </c>
      <c r="AA192" s="6">
        <f t="shared" si="47"/>
        <v>5488.3615936402048</v>
      </c>
      <c r="AB192" s="1">
        <f t="shared" si="48"/>
        <v>0.4</v>
      </c>
      <c r="AC192" s="1">
        <f t="shared" si="37"/>
        <v>1.5</v>
      </c>
      <c r="AD192" s="1">
        <f t="shared" si="38"/>
        <v>1</v>
      </c>
      <c r="AE192" s="1">
        <f t="shared" si="49"/>
        <v>10</v>
      </c>
      <c r="AF192" s="33">
        <f t="shared" si="50"/>
        <v>2.5</v>
      </c>
    </row>
    <row r="193" spans="4:32" ht="14.25" hidden="1" customHeight="1" outlineLevel="1" x14ac:dyDescent="0.2">
      <c r="D193" s="1">
        <v>57</v>
      </c>
      <c r="E193" s="6">
        <f t="shared" si="51"/>
        <v>180.41342230614077</v>
      </c>
      <c r="F193" s="6">
        <f t="shared" si="51"/>
        <v>12851.507914924297</v>
      </c>
      <c r="G193" s="6">
        <f t="shared" si="51"/>
        <v>76.83706231096285</v>
      </c>
      <c r="H193" s="1">
        <v>0.4</v>
      </c>
      <c r="I193" s="1">
        <v>1.5</v>
      </c>
      <c r="J193" s="1">
        <v>1</v>
      </c>
      <c r="M193" s="1">
        <v>57</v>
      </c>
      <c r="N193" s="6">
        <f t="shared" si="44"/>
        <v>9020.6711153070391</v>
      </c>
      <c r="O193" s="6">
        <f t="shared" si="41"/>
        <v>911344.32793510321</v>
      </c>
      <c r="P193" s="6">
        <f t="shared" si="42"/>
        <v>5762.779673322214</v>
      </c>
      <c r="Q193" s="1">
        <v>0.4</v>
      </c>
      <c r="R193" s="1">
        <v>1.5</v>
      </c>
      <c r="S193" s="1">
        <v>1</v>
      </c>
      <c r="T193" s="1">
        <v>0.8</v>
      </c>
      <c r="U193" s="1">
        <v>10</v>
      </c>
      <c r="V193" s="5">
        <f t="shared" si="43"/>
        <v>2.4999999999999991</v>
      </c>
      <c r="X193" s="1">
        <v>57</v>
      </c>
      <c r="Y193" s="6">
        <f t="shared" si="45"/>
        <v>1804.1342230614077</v>
      </c>
      <c r="Z193" s="6">
        <f t="shared" si="46"/>
        <v>101260.48088167813</v>
      </c>
      <c r="AA193" s="6">
        <f t="shared" si="47"/>
        <v>5762.779673322214</v>
      </c>
      <c r="AB193" s="1">
        <f t="shared" si="48"/>
        <v>0.4</v>
      </c>
      <c r="AC193" s="1">
        <f t="shared" si="37"/>
        <v>1.5</v>
      </c>
      <c r="AD193" s="1">
        <f t="shared" si="38"/>
        <v>1</v>
      </c>
      <c r="AE193" s="1">
        <f t="shared" si="49"/>
        <v>10</v>
      </c>
      <c r="AF193" s="33">
        <f t="shared" si="50"/>
        <v>2.4999999999999991</v>
      </c>
    </row>
    <row r="194" spans="4:32" ht="14.25" hidden="1" customHeight="1" outlineLevel="1" x14ac:dyDescent="0.2">
      <c r="D194" s="1">
        <v>58</v>
      </c>
      <c r="E194" s="6">
        <f t="shared" si="51"/>
        <v>189.43409342144784</v>
      </c>
      <c r="F194" s="6">
        <f t="shared" si="51"/>
        <v>13494.083310670514</v>
      </c>
      <c r="G194" s="6">
        <f t="shared" si="51"/>
        <v>80.678915426510997</v>
      </c>
      <c r="H194" s="1">
        <v>0.4</v>
      </c>
      <c r="I194" s="1">
        <v>1.5</v>
      </c>
      <c r="J194" s="1">
        <v>1</v>
      </c>
      <c r="M194" s="1">
        <v>58</v>
      </c>
      <c r="N194" s="6">
        <f t="shared" si="44"/>
        <v>9471.7046710723935</v>
      </c>
      <c r="O194" s="6">
        <f t="shared" si="41"/>
        <v>954311.6279583479</v>
      </c>
      <c r="P194" s="6">
        <f t="shared" si="42"/>
        <v>6050.918656988325</v>
      </c>
      <c r="Q194" s="1">
        <v>0.4</v>
      </c>
      <c r="R194" s="1">
        <v>1.5</v>
      </c>
      <c r="S194" s="1">
        <v>1</v>
      </c>
      <c r="T194" s="1">
        <v>0.8</v>
      </c>
      <c r="U194" s="1">
        <v>10</v>
      </c>
      <c r="V194" s="5">
        <f t="shared" si="43"/>
        <v>2.4999999999999987</v>
      </c>
      <c r="X194" s="1">
        <v>58</v>
      </c>
      <c r="Y194" s="6">
        <f t="shared" si="45"/>
        <v>1894.3409342144787</v>
      </c>
      <c r="Z194" s="6">
        <f t="shared" si="46"/>
        <v>106034.62532870533</v>
      </c>
      <c r="AA194" s="6">
        <f t="shared" si="47"/>
        <v>6050.918656988325</v>
      </c>
      <c r="AB194" s="1">
        <f t="shared" si="48"/>
        <v>0.4</v>
      </c>
      <c r="AC194" s="1">
        <f t="shared" si="37"/>
        <v>1.5</v>
      </c>
      <c r="AD194" s="1">
        <f t="shared" si="38"/>
        <v>1</v>
      </c>
      <c r="AE194" s="1">
        <f t="shared" si="49"/>
        <v>10</v>
      </c>
      <c r="AF194" s="33">
        <f t="shared" si="50"/>
        <v>2.4999999999999987</v>
      </c>
    </row>
    <row r="195" spans="4:32" ht="14.25" hidden="1" customHeight="1" outlineLevel="1" x14ac:dyDescent="0.2">
      <c r="D195" s="1">
        <v>59</v>
      </c>
      <c r="E195" s="6">
        <f t="shared" si="51"/>
        <v>198.90579809252026</v>
      </c>
      <c r="F195" s="6">
        <f t="shared" si="51"/>
        <v>14168.787476204041</v>
      </c>
      <c r="G195" s="6">
        <f t="shared" si="51"/>
        <v>84.71286119783656</v>
      </c>
      <c r="H195" s="1">
        <v>0.4</v>
      </c>
      <c r="I195" s="1">
        <v>1.5</v>
      </c>
      <c r="J195" s="1">
        <v>1</v>
      </c>
      <c r="M195" s="1">
        <v>59</v>
      </c>
      <c r="N195" s="6">
        <f t="shared" si="44"/>
        <v>9945.2899046260136</v>
      </c>
      <c r="O195" s="6">
        <f t="shared" si="41"/>
        <v>999176.72152341146</v>
      </c>
      <c r="P195" s="6">
        <f t="shared" si="42"/>
        <v>6353.4645898377421</v>
      </c>
      <c r="Q195" s="1">
        <v>0.4</v>
      </c>
      <c r="R195" s="1">
        <v>1.5</v>
      </c>
      <c r="S195" s="1">
        <v>1</v>
      </c>
      <c r="T195" s="1">
        <v>0.8</v>
      </c>
      <c r="U195" s="1">
        <v>10</v>
      </c>
      <c r="V195" s="5">
        <f t="shared" si="43"/>
        <v>2.4999999999999991</v>
      </c>
      <c r="X195" s="1">
        <v>59</v>
      </c>
      <c r="Y195" s="6">
        <f t="shared" si="45"/>
        <v>1989.0579809252026</v>
      </c>
      <c r="Z195" s="6">
        <f t="shared" si="46"/>
        <v>111019.6357248235</v>
      </c>
      <c r="AA195" s="6">
        <f t="shared" si="47"/>
        <v>6353.4645898377421</v>
      </c>
      <c r="AB195" s="1">
        <f t="shared" si="48"/>
        <v>0.4</v>
      </c>
      <c r="AC195" s="1">
        <f t="shared" si="37"/>
        <v>1.5</v>
      </c>
      <c r="AD195" s="1">
        <f t="shared" si="38"/>
        <v>1</v>
      </c>
      <c r="AE195" s="1">
        <f t="shared" si="49"/>
        <v>10</v>
      </c>
      <c r="AF195" s="33">
        <f t="shared" si="50"/>
        <v>2.4999999999999991</v>
      </c>
    </row>
    <row r="196" spans="4:32" ht="14.25" hidden="1" customHeight="1" outlineLevel="1" x14ac:dyDescent="0.2">
      <c r="D196" s="1">
        <v>60</v>
      </c>
      <c r="E196" s="6">
        <f t="shared" si="51"/>
        <v>208.85108799714627</v>
      </c>
      <c r="F196" s="6">
        <f t="shared" si="51"/>
        <v>14877.226850014244</v>
      </c>
      <c r="G196" s="6">
        <f t="shared" si="51"/>
        <v>88.948504257728388</v>
      </c>
      <c r="H196" s="1">
        <v>0.4</v>
      </c>
      <c r="I196" s="1">
        <v>1.5</v>
      </c>
      <c r="J196" s="1">
        <v>1</v>
      </c>
      <c r="M196" s="1">
        <v>60</v>
      </c>
      <c r="N196" s="6">
        <f t="shared" si="44"/>
        <v>10442.554399857316</v>
      </c>
      <c r="O196" s="6">
        <f t="shared" si="41"/>
        <v>1046011.16718273</v>
      </c>
      <c r="P196" s="6">
        <f t="shared" si="42"/>
        <v>6671.1378193296287</v>
      </c>
      <c r="Q196" s="1">
        <v>0.4</v>
      </c>
      <c r="R196" s="1">
        <v>1.5</v>
      </c>
      <c r="S196" s="1">
        <v>1</v>
      </c>
      <c r="T196" s="1">
        <v>0.8</v>
      </c>
      <c r="U196" s="1">
        <v>10</v>
      </c>
      <c r="V196" s="5">
        <f t="shared" si="43"/>
        <v>2.4999999999999987</v>
      </c>
      <c r="X196" s="1">
        <v>60</v>
      </c>
      <c r="Y196" s="6">
        <f t="shared" si="45"/>
        <v>2088.5108799714631</v>
      </c>
      <c r="Z196" s="6">
        <f t="shared" si="46"/>
        <v>116223.46302030334</v>
      </c>
      <c r="AA196" s="6">
        <f t="shared" si="47"/>
        <v>6671.1378193296287</v>
      </c>
      <c r="AB196" s="1">
        <f t="shared" si="48"/>
        <v>0.4</v>
      </c>
      <c r="AC196" s="1">
        <f t="shared" si="37"/>
        <v>1.5</v>
      </c>
      <c r="AD196" s="1">
        <f t="shared" si="38"/>
        <v>1</v>
      </c>
      <c r="AE196" s="1">
        <f t="shared" si="49"/>
        <v>10</v>
      </c>
      <c r="AF196" s="33">
        <f t="shared" si="50"/>
        <v>2.4999999999999987</v>
      </c>
    </row>
    <row r="197" spans="4:32" ht="14.25" hidden="1" customHeight="1" outlineLevel="1" x14ac:dyDescent="0.2">
      <c r="D197" s="1">
        <v>61</v>
      </c>
      <c r="E197" s="6">
        <f t="shared" si="51"/>
        <v>219.29364239700354</v>
      </c>
      <c r="F197" s="6">
        <f t="shared" si="51"/>
        <v>15621.088192514953</v>
      </c>
      <c r="G197" s="6">
        <f t="shared" si="51"/>
        <v>93.395929470614789</v>
      </c>
      <c r="H197" s="1">
        <v>0.4</v>
      </c>
      <c r="I197" s="1">
        <v>1.5</v>
      </c>
      <c r="J197" s="1">
        <v>1</v>
      </c>
      <c r="M197" s="1">
        <v>61</v>
      </c>
      <c r="N197" s="6">
        <f t="shared" si="44"/>
        <v>10964.682119850178</v>
      </c>
      <c r="O197" s="6">
        <f t="shared" si="41"/>
        <v>1094888.0491744357</v>
      </c>
      <c r="P197" s="6">
        <f t="shared" si="42"/>
        <v>7004.6947102961094</v>
      </c>
      <c r="Q197" s="1">
        <v>0.4</v>
      </c>
      <c r="R197" s="1">
        <v>1.5</v>
      </c>
      <c r="S197" s="1">
        <v>1</v>
      </c>
      <c r="T197" s="1">
        <v>0.8</v>
      </c>
      <c r="U197" s="1">
        <v>10</v>
      </c>
      <c r="V197" s="5">
        <f t="shared" si="43"/>
        <v>2.4999999999999991</v>
      </c>
      <c r="X197" s="1">
        <v>61</v>
      </c>
      <c r="Y197" s="6">
        <f t="shared" si="45"/>
        <v>2192.9364239700358</v>
      </c>
      <c r="Z197" s="6">
        <f t="shared" si="46"/>
        <v>121654.22768604841</v>
      </c>
      <c r="AA197" s="6">
        <f t="shared" si="47"/>
        <v>7004.6947102961094</v>
      </c>
      <c r="AB197" s="1">
        <f t="shared" si="48"/>
        <v>0.4</v>
      </c>
      <c r="AC197" s="1">
        <f t="shared" si="37"/>
        <v>1.5</v>
      </c>
      <c r="AD197" s="1">
        <f t="shared" si="38"/>
        <v>1</v>
      </c>
      <c r="AE197" s="1">
        <f t="shared" si="49"/>
        <v>10</v>
      </c>
      <c r="AF197" s="33">
        <f t="shared" si="50"/>
        <v>2.4999999999999991</v>
      </c>
    </row>
    <row r="198" spans="4:32" ht="14.25" hidden="1" customHeight="1" outlineLevel="1" x14ac:dyDescent="0.2">
      <c r="D198" s="1">
        <v>62</v>
      </c>
      <c r="E198" s="6">
        <f t="shared" si="51"/>
        <v>230.25832451685378</v>
      </c>
      <c r="F198" s="6">
        <f t="shared" si="51"/>
        <v>16402.142602140706</v>
      </c>
      <c r="G198" s="6">
        <f t="shared" si="51"/>
        <v>98.065725944145555</v>
      </c>
      <c r="H198" s="1">
        <v>0.4</v>
      </c>
      <c r="I198" s="1">
        <v>1.5</v>
      </c>
      <c r="J198" s="1">
        <v>1</v>
      </c>
      <c r="M198" s="1">
        <v>62</v>
      </c>
      <c r="N198" s="6">
        <f t="shared" si="44"/>
        <v>11512.91622584269</v>
      </c>
      <c r="O198" s="6">
        <f t="shared" si="41"/>
        <v>1145881.8905763389</v>
      </c>
      <c r="P198" s="6">
        <f t="shared" si="42"/>
        <v>7354.9294458109171</v>
      </c>
      <c r="Q198" s="1">
        <v>0.4</v>
      </c>
      <c r="R198" s="1">
        <v>1.5</v>
      </c>
      <c r="S198" s="1">
        <v>1</v>
      </c>
      <c r="T198" s="1">
        <v>0.8</v>
      </c>
      <c r="U198" s="1">
        <v>10</v>
      </c>
      <c r="V198" s="5">
        <f t="shared" si="43"/>
        <v>2.4999999999999991</v>
      </c>
      <c r="X198" s="1">
        <v>62</v>
      </c>
      <c r="Y198" s="6">
        <f t="shared" si="45"/>
        <v>2302.5832451685378</v>
      </c>
      <c r="Z198" s="6">
        <f t="shared" si="46"/>
        <v>127320.21006403764</v>
      </c>
      <c r="AA198" s="6">
        <f t="shared" si="47"/>
        <v>7354.9294458109171</v>
      </c>
      <c r="AB198" s="1">
        <f t="shared" si="48"/>
        <v>0.4</v>
      </c>
      <c r="AC198" s="1">
        <f t="shared" si="37"/>
        <v>1.5</v>
      </c>
      <c r="AD198" s="1">
        <f t="shared" si="38"/>
        <v>1</v>
      </c>
      <c r="AE198" s="1">
        <f t="shared" si="49"/>
        <v>10</v>
      </c>
      <c r="AF198" s="33">
        <f t="shared" si="50"/>
        <v>2.4999999999999991</v>
      </c>
    </row>
    <row r="199" spans="4:32" ht="14.25" hidden="1" customHeight="1" outlineLevel="1" x14ac:dyDescent="0.2">
      <c r="D199" s="1">
        <v>63</v>
      </c>
      <c r="E199" s="6">
        <f t="shared" si="51"/>
        <v>241.77124074269636</v>
      </c>
      <c r="F199" s="6">
        <f t="shared" si="51"/>
        <v>17222.249732247732</v>
      </c>
      <c r="G199" s="6">
        <f t="shared" si="51"/>
        <v>102.9690122413528</v>
      </c>
      <c r="H199" s="1">
        <v>0.4</v>
      </c>
      <c r="I199" s="1">
        <v>1.5</v>
      </c>
      <c r="J199" s="1">
        <v>1</v>
      </c>
      <c r="M199" s="1">
        <v>63</v>
      </c>
      <c r="N199" s="6">
        <f t="shared" si="44"/>
        <v>12088.56203713482</v>
      </c>
      <c r="O199" s="6">
        <f t="shared" si="41"/>
        <v>1199068.551639582</v>
      </c>
      <c r="P199" s="6">
        <f t="shared" si="42"/>
        <v>7722.6759181014604</v>
      </c>
      <c r="Q199" s="1">
        <v>0.4</v>
      </c>
      <c r="R199" s="1">
        <v>1.5</v>
      </c>
      <c r="S199" s="1">
        <v>1</v>
      </c>
      <c r="T199" s="1">
        <v>0.8</v>
      </c>
      <c r="U199" s="1">
        <v>10</v>
      </c>
      <c r="V199" s="5">
        <f t="shared" si="43"/>
        <v>2.4999999999999991</v>
      </c>
      <c r="X199" s="1">
        <v>63</v>
      </c>
      <c r="Y199" s="6">
        <f t="shared" si="45"/>
        <v>2417.7124074269641</v>
      </c>
      <c r="Z199" s="6">
        <f t="shared" si="46"/>
        <v>133229.83907106466</v>
      </c>
      <c r="AA199" s="6">
        <f t="shared" si="47"/>
        <v>7722.6759181014604</v>
      </c>
      <c r="AB199" s="1">
        <f t="shared" si="48"/>
        <v>0.4</v>
      </c>
      <c r="AC199" s="1">
        <f t="shared" si="37"/>
        <v>1.5</v>
      </c>
      <c r="AD199" s="1">
        <f t="shared" si="38"/>
        <v>1</v>
      </c>
      <c r="AE199" s="1">
        <f t="shared" si="49"/>
        <v>10</v>
      </c>
      <c r="AF199" s="33">
        <f t="shared" si="50"/>
        <v>2.4999999999999991</v>
      </c>
    </row>
    <row r="200" spans="4:32" ht="14.25" hidden="1" customHeight="1" outlineLevel="1" x14ac:dyDescent="0.2">
      <c r="D200" s="1">
        <v>64</v>
      </c>
      <c r="E200" s="6">
        <f t="shared" si="51"/>
        <v>253.85980277983128</v>
      </c>
      <c r="F200" s="6">
        <f t="shared" si="51"/>
        <v>18083.362218860129</v>
      </c>
      <c r="G200" s="6">
        <f t="shared" si="51"/>
        <v>108.11746285342048</v>
      </c>
      <c r="H200" s="1">
        <v>0.4</v>
      </c>
      <c r="I200" s="1">
        <v>1.5</v>
      </c>
      <c r="J200" s="1">
        <v>1</v>
      </c>
      <c r="M200" s="1">
        <v>64</v>
      </c>
      <c r="N200" s="6">
        <f t="shared" si="44"/>
        <v>12692.990138991565</v>
      </c>
      <c r="O200" s="6">
        <f t="shared" si="41"/>
        <v>1254525.1122479006</v>
      </c>
      <c r="P200" s="6">
        <f t="shared" si="42"/>
        <v>8108.8097140065356</v>
      </c>
      <c r="Q200" s="1">
        <v>0.4</v>
      </c>
      <c r="R200" s="1">
        <v>1.5</v>
      </c>
      <c r="S200" s="1">
        <v>1</v>
      </c>
      <c r="T200" s="1">
        <v>0.8</v>
      </c>
      <c r="U200" s="1">
        <v>10</v>
      </c>
      <c r="V200" s="5">
        <f t="shared" si="43"/>
        <v>2.4999999999999991</v>
      </c>
      <c r="X200" s="1">
        <v>64</v>
      </c>
      <c r="Y200" s="6">
        <f t="shared" si="45"/>
        <v>2538.5980277983131</v>
      </c>
      <c r="Z200" s="6">
        <f t="shared" si="46"/>
        <v>139391.67913865563</v>
      </c>
      <c r="AA200" s="6">
        <f t="shared" si="47"/>
        <v>8108.8097140065356</v>
      </c>
      <c r="AB200" s="1">
        <f t="shared" si="48"/>
        <v>0.4</v>
      </c>
      <c r="AC200" s="1">
        <f t="shared" si="37"/>
        <v>1.5</v>
      </c>
      <c r="AD200" s="1">
        <f t="shared" si="38"/>
        <v>1</v>
      </c>
      <c r="AE200" s="1">
        <f t="shared" si="49"/>
        <v>10</v>
      </c>
      <c r="AF200" s="33">
        <f t="shared" si="50"/>
        <v>2.4999999999999991</v>
      </c>
    </row>
    <row r="201" spans="4:32" ht="14.25" hidden="1" customHeight="1" outlineLevel="1" x14ac:dyDescent="0.2">
      <c r="D201" s="1">
        <v>65</v>
      </c>
      <c r="E201" s="6">
        <f t="shared" si="51"/>
        <v>266.55279291882283</v>
      </c>
      <c r="F201" s="6">
        <f t="shared" si="51"/>
        <v>18987.530329803132</v>
      </c>
      <c r="G201" s="6">
        <f t="shared" si="51"/>
        <v>113.5233359960915</v>
      </c>
      <c r="H201" s="1">
        <v>0.4</v>
      </c>
      <c r="I201" s="1">
        <v>1.5</v>
      </c>
      <c r="J201" s="1">
        <v>1</v>
      </c>
      <c r="M201" s="1">
        <v>65</v>
      </c>
      <c r="N201" s="6">
        <f t="shared" si="44"/>
        <v>13327.639645941143</v>
      </c>
      <c r="O201" s="6">
        <f t="shared" si="41"/>
        <v>1312329.737444089</v>
      </c>
      <c r="P201" s="6">
        <f t="shared" si="42"/>
        <v>8514.250199706863</v>
      </c>
      <c r="Q201" s="1">
        <v>0.4</v>
      </c>
      <c r="R201" s="1">
        <v>1.5</v>
      </c>
      <c r="S201" s="1">
        <v>1</v>
      </c>
      <c r="T201" s="1">
        <v>0.8</v>
      </c>
      <c r="U201" s="1">
        <v>10</v>
      </c>
      <c r="V201" s="5">
        <f t="shared" si="43"/>
        <v>2.4999999999999996</v>
      </c>
      <c r="X201" s="1">
        <v>65</v>
      </c>
      <c r="Y201" s="6">
        <f t="shared" si="45"/>
        <v>2665.5279291882284</v>
      </c>
      <c r="Z201" s="6">
        <f t="shared" si="46"/>
        <v>145814.41527156543</v>
      </c>
      <c r="AA201" s="6">
        <f t="shared" si="47"/>
        <v>8514.250199706863</v>
      </c>
      <c r="AB201" s="1">
        <f t="shared" si="48"/>
        <v>0.4</v>
      </c>
      <c r="AC201" s="1">
        <f t="shared" ref="AC201:AC236" si="52">R201</f>
        <v>1.5</v>
      </c>
      <c r="AD201" s="1">
        <f t="shared" ref="AD201:AD236" si="53">S201</f>
        <v>1</v>
      </c>
      <c r="AE201" s="1">
        <f t="shared" si="49"/>
        <v>10</v>
      </c>
      <c r="AF201" s="33">
        <f t="shared" si="50"/>
        <v>2.4999999999999996</v>
      </c>
    </row>
    <row r="202" spans="4:32" ht="14.25" hidden="1" customHeight="1" outlineLevel="1" x14ac:dyDescent="0.2">
      <c r="D202" s="1">
        <v>66</v>
      </c>
      <c r="E202" s="6">
        <f t="shared" ref="E202:G236" si="54">E$134*E$135^($D202-1)</f>
        <v>279.88043256476402</v>
      </c>
      <c r="F202" s="6">
        <f t="shared" si="54"/>
        <v>19936.906846293292</v>
      </c>
      <c r="G202" s="6">
        <f t="shared" si="54"/>
        <v>119.19950279589608</v>
      </c>
      <c r="H202" s="1">
        <v>0.4</v>
      </c>
      <c r="I202" s="1">
        <v>1.5</v>
      </c>
      <c r="J202" s="1">
        <v>1</v>
      </c>
      <c r="M202" s="1">
        <v>66</v>
      </c>
      <c r="N202" s="6">
        <f t="shared" si="44"/>
        <v>13994.021628238201</v>
      </c>
      <c r="O202" s="6">
        <f t="shared" ref="O202:O236" si="55">F202*$K$21/(1+P202/$P$22)</f>
        <v>1372561.524971924</v>
      </c>
      <c r="P202" s="6">
        <f t="shared" ref="P202:P236" si="56">G202*$K$21</f>
        <v>8939.9627096922068</v>
      </c>
      <c r="Q202" s="1">
        <v>0.4</v>
      </c>
      <c r="R202" s="1">
        <v>1.5</v>
      </c>
      <c r="S202" s="1">
        <v>1</v>
      </c>
      <c r="T202" s="1">
        <v>0.8</v>
      </c>
      <c r="U202" s="1">
        <v>10</v>
      </c>
      <c r="V202" s="5">
        <f t="shared" ref="V202:V236" si="57">E202*$K$21*(1-T202)/(1/U202)/(1+Q202*(R202-1))/N202</f>
        <v>2.4999999999999991</v>
      </c>
      <c r="X202" s="1">
        <v>66</v>
      </c>
      <c r="Y202" s="6">
        <f t="shared" si="45"/>
        <v>2798.8043256476403</v>
      </c>
      <c r="Z202" s="6">
        <f t="shared" si="46"/>
        <v>152506.83610799155</v>
      </c>
      <c r="AA202" s="6">
        <f t="shared" si="47"/>
        <v>8939.9627096922068</v>
      </c>
      <c r="AB202" s="1">
        <f t="shared" si="48"/>
        <v>0.4</v>
      </c>
      <c r="AC202" s="1">
        <f t="shared" si="52"/>
        <v>1.5</v>
      </c>
      <c r="AD202" s="1">
        <f t="shared" si="53"/>
        <v>1</v>
      </c>
      <c r="AE202" s="1">
        <f t="shared" si="49"/>
        <v>10</v>
      </c>
      <c r="AF202" s="33">
        <f t="shared" si="50"/>
        <v>2.4999999999999991</v>
      </c>
    </row>
    <row r="203" spans="4:32" ht="14.25" hidden="1" customHeight="1" outlineLevel="1" x14ac:dyDescent="0.2">
      <c r="D203" s="1">
        <v>67</v>
      </c>
      <c r="E203" s="6">
        <f t="shared" si="54"/>
        <v>293.87445419300218</v>
      </c>
      <c r="F203" s="6">
        <f t="shared" si="54"/>
        <v>20933.752188607956</v>
      </c>
      <c r="G203" s="6">
        <f t="shared" si="54"/>
        <v>125.15947793569089</v>
      </c>
      <c r="H203" s="1">
        <v>0.4</v>
      </c>
      <c r="I203" s="1">
        <v>1.5</v>
      </c>
      <c r="J203" s="1">
        <v>1</v>
      </c>
      <c r="M203" s="1">
        <v>67</v>
      </c>
      <c r="N203" s="6">
        <f t="shared" ref="N203:N236" si="58">E203*T203*$K$21/S203/(1+Q203*(R203-1))</f>
        <v>14693.72270965011</v>
      </c>
      <c r="O203" s="6">
        <f t="shared" si="55"/>
        <v>1435300.3338010046</v>
      </c>
      <c r="P203" s="6">
        <f t="shared" si="56"/>
        <v>9386.9608451768163</v>
      </c>
      <c r="Q203" s="1">
        <v>0.4</v>
      </c>
      <c r="R203" s="1">
        <v>1.5</v>
      </c>
      <c r="S203" s="1">
        <v>1</v>
      </c>
      <c r="T203" s="1">
        <v>0.8</v>
      </c>
      <c r="U203" s="1">
        <v>10</v>
      </c>
      <c r="V203" s="5">
        <f t="shared" si="57"/>
        <v>2.4999999999999991</v>
      </c>
      <c r="X203" s="1">
        <v>67</v>
      </c>
      <c r="Y203" s="6">
        <f t="shared" ref="Y203:Y236" si="59">2*N203/(1+$X$22)</f>
        <v>2938.744541930022</v>
      </c>
      <c r="Z203" s="6">
        <f t="shared" ref="Z203:Z236" si="60">O203/$X$22</f>
        <v>159477.8148667783</v>
      </c>
      <c r="AA203" s="6">
        <f t="shared" ref="AA203:AA236" si="61">P203</f>
        <v>9386.9608451768163</v>
      </c>
      <c r="AB203" s="1">
        <f t="shared" ref="AB203:AB236" si="62">Q203</f>
        <v>0.4</v>
      </c>
      <c r="AC203" s="1">
        <f t="shared" si="52"/>
        <v>1.5</v>
      </c>
      <c r="AD203" s="1">
        <f t="shared" si="53"/>
        <v>1</v>
      </c>
      <c r="AE203" s="1">
        <f t="shared" ref="AE203:AE236" si="63">U203</f>
        <v>10</v>
      </c>
      <c r="AF203" s="33">
        <f t="shared" ref="AF203:AF236" si="64">V203</f>
        <v>2.4999999999999991</v>
      </c>
    </row>
    <row r="204" spans="4:32" ht="14.25" hidden="1" customHeight="1" outlineLevel="1" x14ac:dyDescent="0.2">
      <c r="D204" s="1">
        <v>68</v>
      </c>
      <c r="E204" s="6">
        <f t="shared" si="54"/>
        <v>308.56817690265234</v>
      </c>
      <c r="F204" s="6">
        <f t="shared" si="54"/>
        <v>21980.439798038355</v>
      </c>
      <c r="G204" s="6">
        <f t="shared" si="54"/>
        <v>131.41745183247542</v>
      </c>
      <c r="H204" s="1">
        <v>0.4</v>
      </c>
      <c r="I204" s="1">
        <v>1.5</v>
      </c>
      <c r="J204" s="1">
        <v>1</v>
      </c>
      <c r="M204" s="1">
        <v>68</v>
      </c>
      <c r="N204" s="6">
        <f t="shared" si="58"/>
        <v>15428.408845132617</v>
      </c>
      <c r="O204" s="6">
        <f t="shared" si="55"/>
        <v>1500626.5926357012</v>
      </c>
      <c r="P204" s="6">
        <f t="shared" si="56"/>
        <v>9856.3088874356563</v>
      </c>
      <c r="Q204" s="1">
        <v>0.4</v>
      </c>
      <c r="R204" s="1">
        <v>1.5</v>
      </c>
      <c r="S204" s="1">
        <v>1</v>
      </c>
      <c r="T204" s="1">
        <v>0.8</v>
      </c>
      <c r="U204" s="1">
        <v>10</v>
      </c>
      <c r="V204" s="5">
        <f t="shared" si="57"/>
        <v>2.4999999999999991</v>
      </c>
      <c r="X204" s="1">
        <v>68</v>
      </c>
      <c r="Y204" s="6">
        <f t="shared" si="59"/>
        <v>3085.6817690265234</v>
      </c>
      <c r="Z204" s="6">
        <f t="shared" si="60"/>
        <v>166736.28807063345</v>
      </c>
      <c r="AA204" s="6">
        <f t="shared" si="61"/>
        <v>9856.3088874356563</v>
      </c>
      <c r="AB204" s="1">
        <f t="shared" si="62"/>
        <v>0.4</v>
      </c>
      <c r="AC204" s="1">
        <f t="shared" si="52"/>
        <v>1.5</v>
      </c>
      <c r="AD204" s="1">
        <f t="shared" si="53"/>
        <v>1</v>
      </c>
      <c r="AE204" s="1">
        <f t="shared" si="63"/>
        <v>10</v>
      </c>
      <c r="AF204" s="33">
        <f t="shared" si="64"/>
        <v>2.4999999999999991</v>
      </c>
    </row>
    <row r="205" spans="4:32" ht="14.25" hidden="1" customHeight="1" outlineLevel="1" x14ac:dyDescent="0.2">
      <c r="D205" s="1">
        <v>69</v>
      </c>
      <c r="E205" s="6">
        <f t="shared" si="54"/>
        <v>323.99658574778493</v>
      </c>
      <c r="F205" s="6">
        <f t="shared" si="54"/>
        <v>23079.461787940269</v>
      </c>
      <c r="G205" s="6">
        <f t="shared" si="54"/>
        <v>137.9883244240992</v>
      </c>
      <c r="H205" s="1">
        <v>0.4</v>
      </c>
      <c r="I205" s="1">
        <v>1.5</v>
      </c>
      <c r="J205" s="1">
        <v>1</v>
      </c>
      <c r="M205" s="1">
        <v>69</v>
      </c>
      <c r="N205" s="6">
        <f t="shared" si="58"/>
        <v>16199.829287389246</v>
      </c>
      <c r="O205" s="6">
        <f t="shared" si="55"/>
        <v>1568621.0874593973</v>
      </c>
      <c r="P205" s="6">
        <f t="shared" si="56"/>
        <v>10349.124331807441</v>
      </c>
      <c r="Q205" s="1">
        <v>0.4</v>
      </c>
      <c r="R205" s="1">
        <v>1.5</v>
      </c>
      <c r="S205" s="1">
        <v>1</v>
      </c>
      <c r="T205" s="1">
        <v>0.8</v>
      </c>
      <c r="U205" s="1">
        <v>10</v>
      </c>
      <c r="V205" s="5">
        <f t="shared" si="57"/>
        <v>2.5</v>
      </c>
      <c r="X205" s="1">
        <v>69</v>
      </c>
      <c r="Y205" s="6">
        <f t="shared" si="59"/>
        <v>3239.9658574778491</v>
      </c>
      <c r="Z205" s="6">
        <f t="shared" si="60"/>
        <v>174291.23193993303</v>
      </c>
      <c r="AA205" s="6">
        <f t="shared" si="61"/>
        <v>10349.124331807441</v>
      </c>
      <c r="AB205" s="1">
        <f t="shared" si="62"/>
        <v>0.4</v>
      </c>
      <c r="AC205" s="1">
        <f t="shared" si="52"/>
        <v>1.5</v>
      </c>
      <c r="AD205" s="1">
        <f t="shared" si="53"/>
        <v>1</v>
      </c>
      <c r="AE205" s="1">
        <f t="shared" si="63"/>
        <v>10</v>
      </c>
      <c r="AF205" s="33">
        <f t="shared" si="64"/>
        <v>2.5</v>
      </c>
    </row>
    <row r="206" spans="4:32" ht="14.25" hidden="1" customHeight="1" outlineLevel="1" x14ac:dyDescent="0.2">
      <c r="D206" s="1">
        <v>70</v>
      </c>
      <c r="E206" s="6">
        <f t="shared" si="54"/>
        <v>340.1964150351742</v>
      </c>
      <c r="F206" s="6">
        <f t="shared" si="54"/>
        <v>24233.434877337284</v>
      </c>
      <c r="G206" s="6">
        <f t="shared" si="54"/>
        <v>144.88774064530415</v>
      </c>
      <c r="H206" s="1">
        <v>0.4</v>
      </c>
      <c r="I206" s="1">
        <v>1.5</v>
      </c>
      <c r="J206" s="1">
        <v>1</v>
      </c>
      <c r="M206" s="1">
        <v>70</v>
      </c>
      <c r="N206" s="6">
        <f t="shared" si="58"/>
        <v>17009.820751758711</v>
      </c>
      <c r="O206" s="6">
        <f t="shared" si="55"/>
        <v>1639364.7272334511</v>
      </c>
      <c r="P206" s="6">
        <f t="shared" si="56"/>
        <v>10866.580548397811</v>
      </c>
      <c r="Q206" s="1">
        <v>0.4</v>
      </c>
      <c r="R206" s="1">
        <v>1.5</v>
      </c>
      <c r="S206" s="1">
        <v>1</v>
      </c>
      <c r="T206" s="1">
        <v>0.8</v>
      </c>
      <c r="U206" s="1">
        <v>10</v>
      </c>
      <c r="V206" s="5">
        <f t="shared" si="57"/>
        <v>2.4999999999999996</v>
      </c>
      <c r="X206" s="1">
        <v>70</v>
      </c>
      <c r="Y206" s="6">
        <f t="shared" si="59"/>
        <v>3401.9641503517423</v>
      </c>
      <c r="Z206" s="6">
        <f t="shared" si="60"/>
        <v>182151.63635927235</v>
      </c>
      <c r="AA206" s="6">
        <f t="shared" si="61"/>
        <v>10866.580548397811</v>
      </c>
      <c r="AB206" s="1">
        <f t="shared" si="62"/>
        <v>0.4</v>
      </c>
      <c r="AC206" s="1">
        <f t="shared" si="52"/>
        <v>1.5</v>
      </c>
      <c r="AD206" s="1">
        <f t="shared" si="53"/>
        <v>1</v>
      </c>
      <c r="AE206" s="1">
        <f t="shared" si="63"/>
        <v>10</v>
      </c>
      <c r="AF206" s="33">
        <f t="shared" si="64"/>
        <v>2.4999999999999996</v>
      </c>
    </row>
    <row r="207" spans="4:32" ht="14.25" hidden="1" customHeight="1" outlineLevel="1" x14ac:dyDescent="0.2">
      <c r="D207" s="1">
        <v>71</v>
      </c>
      <c r="E207" s="6">
        <f t="shared" si="54"/>
        <v>357.20623578693284</v>
      </c>
      <c r="F207" s="6">
        <f t="shared" si="54"/>
        <v>25445.106621204148</v>
      </c>
      <c r="G207" s="6">
        <f t="shared" si="54"/>
        <v>152.13212767756937</v>
      </c>
      <c r="H207" s="1">
        <v>0.4</v>
      </c>
      <c r="I207" s="1">
        <v>1.5</v>
      </c>
      <c r="J207" s="1">
        <v>1</v>
      </c>
      <c r="M207" s="1">
        <v>71</v>
      </c>
      <c r="N207" s="6">
        <f t="shared" si="58"/>
        <v>17860.311789346644</v>
      </c>
      <c r="O207" s="6">
        <f t="shared" si="55"/>
        <v>1712938.2869587562</v>
      </c>
      <c r="P207" s="6">
        <f t="shared" si="56"/>
        <v>11409.909575817703</v>
      </c>
      <c r="Q207" s="1">
        <v>0.4</v>
      </c>
      <c r="R207" s="1">
        <v>1.5</v>
      </c>
      <c r="S207" s="1">
        <v>1</v>
      </c>
      <c r="T207" s="1">
        <v>0.8</v>
      </c>
      <c r="U207" s="1">
        <v>10</v>
      </c>
      <c r="V207" s="5">
        <f t="shared" si="57"/>
        <v>2.4999999999999991</v>
      </c>
      <c r="X207" s="1">
        <v>71</v>
      </c>
      <c r="Y207" s="6">
        <f t="shared" si="59"/>
        <v>3572.0623578693289</v>
      </c>
      <c r="Z207" s="6">
        <f t="shared" si="60"/>
        <v>190326.47632875069</v>
      </c>
      <c r="AA207" s="6">
        <f t="shared" si="61"/>
        <v>11409.909575817703</v>
      </c>
      <c r="AB207" s="1">
        <f t="shared" si="62"/>
        <v>0.4</v>
      </c>
      <c r="AC207" s="1">
        <f t="shared" si="52"/>
        <v>1.5</v>
      </c>
      <c r="AD207" s="1">
        <f t="shared" si="53"/>
        <v>1</v>
      </c>
      <c r="AE207" s="1">
        <f t="shared" si="63"/>
        <v>10</v>
      </c>
      <c r="AF207" s="33">
        <f t="shared" si="64"/>
        <v>2.4999999999999991</v>
      </c>
    </row>
    <row r="208" spans="4:32" ht="14.25" hidden="1" customHeight="1" outlineLevel="1" x14ac:dyDescent="0.2">
      <c r="D208" s="1">
        <v>72</v>
      </c>
      <c r="E208" s="6">
        <f t="shared" si="54"/>
        <v>375.06654757627956</v>
      </c>
      <c r="F208" s="6">
        <f t="shared" si="54"/>
        <v>26717.361952264357</v>
      </c>
      <c r="G208" s="6">
        <f t="shared" si="54"/>
        <v>159.73873406144784</v>
      </c>
      <c r="H208" s="1">
        <v>0.4</v>
      </c>
      <c r="I208" s="1">
        <v>1.5</v>
      </c>
      <c r="J208" s="1">
        <v>1</v>
      </c>
      <c r="M208" s="1">
        <v>72</v>
      </c>
      <c r="N208" s="6">
        <f t="shared" si="58"/>
        <v>18753.327378813978</v>
      </c>
      <c r="O208" s="6">
        <f t="shared" si="55"/>
        <v>1789422.1274183181</v>
      </c>
      <c r="P208" s="6">
        <f t="shared" si="56"/>
        <v>11980.405054608589</v>
      </c>
      <c r="Q208" s="1">
        <v>0.4</v>
      </c>
      <c r="R208" s="1">
        <v>1.5</v>
      </c>
      <c r="S208" s="1">
        <v>1</v>
      </c>
      <c r="T208" s="1">
        <v>0.8</v>
      </c>
      <c r="U208" s="1">
        <v>10</v>
      </c>
      <c r="V208" s="5">
        <f t="shared" si="57"/>
        <v>2.4999999999999996</v>
      </c>
      <c r="X208" s="1">
        <v>72</v>
      </c>
      <c r="Y208" s="6">
        <f t="shared" si="59"/>
        <v>3750.6654757627957</v>
      </c>
      <c r="Z208" s="6">
        <f t="shared" si="60"/>
        <v>198824.68082425755</v>
      </c>
      <c r="AA208" s="6">
        <f t="shared" si="61"/>
        <v>11980.405054608589</v>
      </c>
      <c r="AB208" s="1">
        <f t="shared" si="62"/>
        <v>0.4</v>
      </c>
      <c r="AC208" s="1">
        <f t="shared" si="52"/>
        <v>1.5</v>
      </c>
      <c r="AD208" s="1">
        <f t="shared" si="53"/>
        <v>1</v>
      </c>
      <c r="AE208" s="1">
        <f t="shared" si="63"/>
        <v>10</v>
      </c>
      <c r="AF208" s="33">
        <f t="shared" si="64"/>
        <v>2.4999999999999996</v>
      </c>
    </row>
    <row r="209" spans="4:32" ht="14.25" hidden="1" customHeight="1" outlineLevel="1" x14ac:dyDescent="0.2">
      <c r="D209" s="1">
        <v>73</v>
      </c>
      <c r="E209" s="6">
        <f t="shared" si="54"/>
        <v>393.81987495509355</v>
      </c>
      <c r="F209" s="6">
        <f t="shared" si="54"/>
        <v>28053.230049877577</v>
      </c>
      <c r="G209" s="6">
        <f t="shared" si="54"/>
        <v>167.72567076452023</v>
      </c>
      <c r="H209" s="1">
        <v>0.4</v>
      </c>
      <c r="I209" s="1">
        <v>1.5</v>
      </c>
      <c r="J209" s="1">
        <v>1</v>
      </c>
      <c r="M209" s="1">
        <v>73</v>
      </c>
      <c r="N209" s="6">
        <f t="shared" si="58"/>
        <v>19690.993747754681</v>
      </c>
      <c r="O209" s="6">
        <f t="shared" si="55"/>
        <v>1868895.89105378</v>
      </c>
      <c r="P209" s="6">
        <f t="shared" si="56"/>
        <v>12579.425307339017</v>
      </c>
      <c r="Q209" s="1">
        <v>0.4</v>
      </c>
      <c r="R209" s="1">
        <v>1.5</v>
      </c>
      <c r="S209" s="1">
        <v>1</v>
      </c>
      <c r="T209" s="1">
        <v>0.8</v>
      </c>
      <c r="U209" s="1">
        <v>10</v>
      </c>
      <c r="V209" s="5">
        <f t="shared" si="57"/>
        <v>2.4999999999999991</v>
      </c>
      <c r="X209" s="1">
        <v>73</v>
      </c>
      <c r="Y209" s="6">
        <f t="shared" si="59"/>
        <v>3938.1987495509361</v>
      </c>
      <c r="Z209" s="6">
        <f t="shared" si="60"/>
        <v>207655.09900597556</v>
      </c>
      <c r="AA209" s="6">
        <f t="shared" si="61"/>
        <v>12579.425307339017</v>
      </c>
      <c r="AB209" s="1">
        <f t="shared" si="62"/>
        <v>0.4</v>
      </c>
      <c r="AC209" s="1">
        <f t="shared" si="52"/>
        <v>1.5</v>
      </c>
      <c r="AD209" s="1">
        <f t="shared" si="53"/>
        <v>1</v>
      </c>
      <c r="AE209" s="1">
        <f t="shared" si="63"/>
        <v>10</v>
      </c>
      <c r="AF209" s="33">
        <f t="shared" si="64"/>
        <v>2.4999999999999991</v>
      </c>
    </row>
    <row r="210" spans="4:32" ht="14.25" hidden="1" customHeight="1" outlineLevel="1" x14ac:dyDescent="0.2">
      <c r="D210" s="1">
        <v>74</v>
      </c>
      <c r="E210" s="6">
        <f t="shared" si="54"/>
        <v>413.51086870284814</v>
      </c>
      <c r="F210" s="6">
        <f t="shared" si="54"/>
        <v>29455.891552371453</v>
      </c>
      <c r="G210" s="6">
        <f t="shared" si="54"/>
        <v>176.11195430274623</v>
      </c>
      <c r="H210" s="1">
        <v>0.4</v>
      </c>
      <c r="I210" s="1">
        <v>1.5</v>
      </c>
      <c r="J210" s="1">
        <v>1</v>
      </c>
      <c r="M210" s="1">
        <v>74</v>
      </c>
      <c r="N210" s="6">
        <f t="shared" si="58"/>
        <v>20675.543435142408</v>
      </c>
      <c r="O210" s="6">
        <f t="shared" si="55"/>
        <v>1951438.1735890473</v>
      </c>
      <c r="P210" s="6">
        <f t="shared" si="56"/>
        <v>13208.396572705968</v>
      </c>
      <c r="Q210" s="1">
        <v>0.4</v>
      </c>
      <c r="R210" s="1">
        <v>1.5</v>
      </c>
      <c r="S210" s="1">
        <v>1</v>
      </c>
      <c r="T210" s="1">
        <v>0.8</v>
      </c>
      <c r="U210" s="1">
        <v>10</v>
      </c>
      <c r="V210" s="5">
        <f t="shared" si="57"/>
        <v>2.4999999999999991</v>
      </c>
      <c r="X210" s="1">
        <v>74</v>
      </c>
      <c r="Y210" s="6">
        <f t="shared" si="59"/>
        <v>4135.1086870284817</v>
      </c>
      <c r="Z210" s="6">
        <f t="shared" si="60"/>
        <v>216826.46373211636</v>
      </c>
      <c r="AA210" s="6">
        <f t="shared" si="61"/>
        <v>13208.396572705968</v>
      </c>
      <c r="AB210" s="1">
        <f t="shared" si="62"/>
        <v>0.4</v>
      </c>
      <c r="AC210" s="1">
        <f t="shared" si="52"/>
        <v>1.5</v>
      </c>
      <c r="AD210" s="1">
        <f t="shared" si="53"/>
        <v>1</v>
      </c>
      <c r="AE210" s="1">
        <f t="shared" si="63"/>
        <v>10</v>
      </c>
      <c r="AF210" s="33">
        <f t="shared" si="64"/>
        <v>2.4999999999999991</v>
      </c>
    </row>
    <row r="211" spans="4:32" ht="14.25" hidden="1" customHeight="1" outlineLevel="1" x14ac:dyDescent="0.2">
      <c r="D211" s="1">
        <v>75</v>
      </c>
      <c r="E211" s="6">
        <f t="shared" si="54"/>
        <v>434.18641213799054</v>
      </c>
      <c r="F211" s="6">
        <f t="shared" si="54"/>
        <v>30928.686129990023</v>
      </c>
      <c r="G211" s="6">
        <f t="shared" si="54"/>
        <v>184.91755201788354</v>
      </c>
      <c r="H211" s="1">
        <v>0.4</v>
      </c>
      <c r="I211" s="1">
        <v>1.5</v>
      </c>
      <c r="J211" s="1">
        <v>1</v>
      </c>
      <c r="M211" s="1">
        <v>75</v>
      </c>
      <c r="N211" s="6">
        <f t="shared" si="58"/>
        <v>21709.320606899528</v>
      </c>
      <c r="O211" s="6">
        <f t="shared" si="55"/>
        <v>2037126.1712016251</v>
      </c>
      <c r="P211" s="6">
        <f t="shared" si="56"/>
        <v>13868.816401341266</v>
      </c>
      <c r="Q211" s="1">
        <v>0.4</v>
      </c>
      <c r="R211" s="1">
        <v>1.5</v>
      </c>
      <c r="S211" s="1">
        <v>1</v>
      </c>
      <c r="T211" s="1">
        <v>0.8</v>
      </c>
      <c r="U211" s="1">
        <v>10</v>
      </c>
      <c r="V211" s="5">
        <f t="shared" si="57"/>
        <v>2.4999999999999991</v>
      </c>
      <c r="X211" s="1">
        <v>75</v>
      </c>
      <c r="Y211" s="6">
        <f t="shared" si="59"/>
        <v>4341.8641213799056</v>
      </c>
      <c r="Z211" s="6">
        <f t="shared" si="60"/>
        <v>226347.35235573613</v>
      </c>
      <c r="AA211" s="6">
        <f t="shared" si="61"/>
        <v>13868.816401341266</v>
      </c>
      <c r="AB211" s="1">
        <f t="shared" si="62"/>
        <v>0.4</v>
      </c>
      <c r="AC211" s="1">
        <f t="shared" si="52"/>
        <v>1.5</v>
      </c>
      <c r="AD211" s="1">
        <f t="shared" si="53"/>
        <v>1</v>
      </c>
      <c r="AE211" s="1">
        <f t="shared" si="63"/>
        <v>10</v>
      </c>
      <c r="AF211" s="33">
        <f t="shared" si="64"/>
        <v>2.4999999999999991</v>
      </c>
    </row>
    <row r="212" spans="4:32" ht="14.25" hidden="1" customHeight="1" outlineLevel="1" x14ac:dyDescent="0.2">
      <c r="D212" s="1">
        <v>76</v>
      </c>
      <c r="E212" s="6">
        <f t="shared" si="54"/>
        <v>455.89573274489015</v>
      </c>
      <c r="F212" s="6">
        <f t="shared" si="54"/>
        <v>32475.120436489527</v>
      </c>
      <c r="G212" s="6">
        <f t="shared" si="54"/>
        <v>194.16342961877774</v>
      </c>
      <c r="H212" s="1">
        <v>0.4</v>
      </c>
      <c r="I212" s="1">
        <v>1.5</v>
      </c>
      <c r="J212" s="1">
        <v>1</v>
      </c>
      <c r="M212" s="1">
        <v>76</v>
      </c>
      <c r="N212" s="6">
        <f t="shared" si="58"/>
        <v>22794.78663724451</v>
      </c>
      <c r="O212" s="6">
        <f t="shared" si="55"/>
        <v>2126035.3032582928</v>
      </c>
      <c r="P212" s="6">
        <f t="shared" si="56"/>
        <v>14562.25722140833</v>
      </c>
      <c r="Q212" s="1">
        <v>0.4</v>
      </c>
      <c r="R212" s="1">
        <v>1.5</v>
      </c>
      <c r="S212" s="1">
        <v>1</v>
      </c>
      <c r="T212" s="1">
        <v>0.8</v>
      </c>
      <c r="U212" s="1">
        <v>10</v>
      </c>
      <c r="V212" s="5">
        <f t="shared" si="57"/>
        <v>2.4999999999999996</v>
      </c>
      <c r="X212" s="1">
        <v>76</v>
      </c>
      <c r="Y212" s="6">
        <f t="shared" si="59"/>
        <v>4558.9573274489021</v>
      </c>
      <c r="Z212" s="6">
        <f t="shared" si="60"/>
        <v>236226.14480647698</v>
      </c>
      <c r="AA212" s="6">
        <f t="shared" si="61"/>
        <v>14562.25722140833</v>
      </c>
      <c r="AB212" s="1">
        <f t="shared" si="62"/>
        <v>0.4</v>
      </c>
      <c r="AC212" s="1">
        <f t="shared" si="52"/>
        <v>1.5</v>
      </c>
      <c r="AD212" s="1">
        <f t="shared" si="53"/>
        <v>1</v>
      </c>
      <c r="AE212" s="1">
        <f t="shared" si="63"/>
        <v>10</v>
      </c>
      <c r="AF212" s="33">
        <f t="shared" si="64"/>
        <v>2.4999999999999996</v>
      </c>
    </row>
    <row r="213" spans="4:32" ht="14.25" hidden="1" customHeight="1" outlineLevel="1" x14ac:dyDescent="0.2">
      <c r="D213" s="1">
        <v>77</v>
      </c>
      <c r="E213" s="6">
        <f t="shared" si="54"/>
        <v>478.6905193821346</v>
      </c>
      <c r="F213" s="6">
        <f t="shared" si="54"/>
        <v>34098.876458314</v>
      </c>
      <c r="G213" s="6">
        <f t="shared" si="54"/>
        <v>203.8716010997166</v>
      </c>
      <c r="H213" s="1">
        <v>0.4</v>
      </c>
      <c r="I213" s="1">
        <v>1.5</v>
      </c>
      <c r="J213" s="1">
        <v>1</v>
      </c>
      <c r="M213" s="1">
        <v>77</v>
      </c>
      <c r="N213" s="6">
        <f t="shared" si="58"/>
        <v>23934.525969106729</v>
      </c>
      <c r="O213" s="6">
        <f t="shared" si="55"/>
        <v>2218238.810877244</v>
      </c>
      <c r="P213" s="6">
        <f t="shared" si="56"/>
        <v>15290.370082478745</v>
      </c>
      <c r="Q213" s="1">
        <v>0.4</v>
      </c>
      <c r="R213" s="1">
        <v>1.5</v>
      </c>
      <c r="S213" s="1">
        <v>1</v>
      </c>
      <c r="T213" s="1">
        <v>0.8</v>
      </c>
      <c r="U213" s="1">
        <v>10</v>
      </c>
      <c r="V213" s="5">
        <f t="shared" si="57"/>
        <v>2.4999999999999996</v>
      </c>
      <c r="X213" s="1">
        <v>77</v>
      </c>
      <c r="Y213" s="6">
        <f t="shared" si="59"/>
        <v>4786.9051938213461</v>
      </c>
      <c r="Z213" s="6">
        <f t="shared" si="60"/>
        <v>246470.97898636045</v>
      </c>
      <c r="AA213" s="6">
        <f t="shared" si="61"/>
        <v>15290.370082478745</v>
      </c>
      <c r="AB213" s="1">
        <f t="shared" si="62"/>
        <v>0.4</v>
      </c>
      <c r="AC213" s="1">
        <f t="shared" si="52"/>
        <v>1.5</v>
      </c>
      <c r="AD213" s="1">
        <f t="shared" si="53"/>
        <v>1</v>
      </c>
      <c r="AE213" s="1">
        <f t="shared" si="63"/>
        <v>10</v>
      </c>
      <c r="AF213" s="33">
        <f t="shared" si="64"/>
        <v>2.4999999999999996</v>
      </c>
    </row>
    <row r="214" spans="4:32" ht="14.25" hidden="1" customHeight="1" outlineLevel="1" x14ac:dyDescent="0.2">
      <c r="D214" s="1">
        <v>78</v>
      </c>
      <c r="E214" s="6">
        <f t="shared" si="54"/>
        <v>502.62504535124145</v>
      </c>
      <c r="F214" s="6">
        <f t="shared" si="54"/>
        <v>35803.82028122971</v>
      </c>
      <c r="G214" s="6">
        <f t="shared" si="54"/>
        <v>214.06518115470249</v>
      </c>
      <c r="H214" s="1">
        <v>0.4</v>
      </c>
      <c r="I214" s="1">
        <v>1.5</v>
      </c>
      <c r="J214" s="1">
        <v>1</v>
      </c>
      <c r="M214" s="1">
        <v>78</v>
      </c>
      <c r="N214" s="6">
        <f t="shared" si="58"/>
        <v>25131.252267562078</v>
      </c>
      <c r="O214" s="6">
        <f t="shared" si="55"/>
        <v>2313807.3318543653</v>
      </c>
      <c r="P214" s="6">
        <f t="shared" si="56"/>
        <v>16054.888586602687</v>
      </c>
      <c r="Q214" s="1">
        <v>0.4</v>
      </c>
      <c r="R214" s="1">
        <v>1.5</v>
      </c>
      <c r="S214" s="1">
        <v>1</v>
      </c>
      <c r="T214" s="1">
        <v>0.8</v>
      </c>
      <c r="U214" s="1">
        <v>10</v>
      </c>
      <c r="V214" s="5">
        <f t="shared" si="57"/>
        <v>2.4999999999999982</v>
      </c>
      <c r="X214" s="1">
        <v>78</v>
      </c>
      <c r="Y214" s="6">
        <f t="shared" si="59"/>
        <v>5026.2504535124153</v>
      </c>
      <c r="Z214" s="6">
        <f t="shared" si="60"/>
        <v>257089.70353937394</v>
      </c>
      <c r="AA214" s="6">
        <f t="shared" si="61"/>
        <v>16054.888586602687</v>
      </c>
      <c r="AB214" s="1">
        <f t="shared" si="62"/>
        <v>0.4</v>
      </c>
      <c r="AC214" s="1">
        <f t="shared" si="52"/>
        <v>1.5</v>
      </c>
      <c r="AD214" s="1">
        <f t="shared" si="53"/>
        <v>1</v>
      </c>
      <c r="AE214" s="1">
        <f t="shared" si="63"/>
        <v>10</v>
      </c>
      <c r="AF214" s="33">
        <f t="shared" si="64"/>
        <v>2.4999999999999982</v>
      </c>
    </row>
    <row r="215" spans="4:32" ht="14.25" hidden="1" customHeight="1" outlineLevel="1" x14ac:dyDescent="0.2">
      <c r="D215" s="1">
        <v>79</v>
      </c>
      <c r="E215" s="6">
        <f t="shared" si="54"/>
        <v>527.75629761880339</v>
      </c>
      <c r="F215" s="6">
        <f t="shared" si="54"/>
        <v>37594.01129529118</v>
      </c>
      <c r="G215" s="6">
        <f t="shared" si="54"/>
        <v>224.76844021243753</v>
      </c>
      <c r="H215" s="1">
        <v>0.4</v>
      </c>
      <c r="I215" s="1">
        <v>1.5</v>
      </c>
      <c r="J215" s="1">
        <v>1</v>
      </c>
      <c r="M215" s="1">
        <v>79</v>
      </c>
      <c r="N215" s="6">
        <f t="shared" si="58"/>
        <v>26387.814880940168</v>
      </c>
      <c r="O215" s="6">
        <f t="shared" si="55"/>
        <v>2412808.4527969263</v>
      </c>
      <c r="P215" s="6">
        <f t="shared" si="56"/>
        <v>16857.633015932814</v>
      </c>
      <c r="Q215" s="1">
        <v>0.4</v>
      </c>
      <c r="R215" s="1">
        <v>1.5</v>
      </c>
      <c r="S215" s="1">
        <v>1</v>
      </c>
      <c r="T215" s="1">
        <v>0.8</v>
      </c>
      <c r="U215" s="1">
        <v>10</v>
      </c>
      <c r="V215" s="5">
        <f t="shared" si="57"/>
        <v>2.5</v>
      </c>
      <c r="X215" s="1">
        <v>79</v>
      </c>
      <c r="Y215" s="6">
        <f t="shared" si="59"/>
        <v>5277.5629761880336</v>
      </c>
      <c r="Z215" s="6">
        <f t="shared" si="60"/>
        <v>268089.82808854734</v>
      </c>
      <c r="AA215" s="6">
        <f t="shared" si="61"/>
        <v>16857.633015932814</v>
      </c>
      <c r="AB215" s="1">
        <f t="shared" si="62"/>
        <v>0.4</v>
      </c>
      <c r="AC215" s="1">
        <f t="shared" si="52"/>
        <v>1.5</v>
      </c>
      <c r="AD215" s="1">
        <f t="shared" si="53"/>
        <v>1</v>
      </c>
      <c r="AE215" s="1">
        <f t="shared" si="63"/>
        <v>10</v>
      </c>
      <c r="AF215" s="33">
        <f t="shared" si="64"/>
        <v>2.5</v>
      </c>
    </row>
    <row r="216" spans="4:32" ht="14.25" hidden="1" customHeight="1" outlineLevel="1" x14ac:dyDescent="0.2">
      <c r="D216" s="1">
        <v>80</v>
      </c>
      <c r="E216" s="6">
        <f t="shared" si="54"/>
        <v>554.14411249974364</v>
      </c>
      <c r="F216" s="6">
        <f t="shared" si="54"/>
        <v>39473.711860055759</v>
      </c>
      <c r="G216" s="6">
        <f t="shared" si="54"/>
        <v>236.0068622230595</v>
      </c>
      <c r="H216" s="1">
        <v>0.4</v>
      </c>
      <c r="I216" s="1">
        <v>1.5</v>
      </c>
      <c r="J216" s="1">
        <v>1</v>
      </c>
      <c r="M216" s="1">
        <v>80</v>
      </c>
      <c r="N216" s="6">
        <f t="shared" si="58"/>
        <v>27707.205624987182</v>
      </c>
      <c r="O216" s="6">
        <f t="shared" si="55"/>
        <v>2515306.2396430094</v>
      </c>
      <c r="P216" s="6">
        <f t="shared" si="56"/>
        <v>17700.514666729461</v>
      </c>
      <c r="Q216" s="1">
        <v>0.4</v>
      </c>
      <c r="R216" s="1">
        <v>1.5</v>
      </c>
      <c r="S216" s="1">
        <v>1</v>
      </c>
      <c r="T216" s="1">
        <v>0.8</v>
      </c>
      <c r="U216" s="1">
        <v>10</v>
      </c>
      <c r="V216" s="5">
        <f t="shared" si="57"/>
        <v>2.4999999999999991</v>
      </c>
      <c r="X216" s="1">
        <v>80</v>
      </c>
      <c r="Y216" s="6">
        <f t="shared" si="59"/>
        <v>5541.4411249974364</v>
      </c>
      <c r="Z216" s="6">
        <f t="shared" si="60"/>
        <v>279478.4710714455</v>
      </c>
      <c r="AA216" s="6">
        <f t="shared" si="61"/>
        <v>17700.514666729461</v>
      </c>
      <c r="AB216" s="1">
        <f t="shared" si="62"/>
        <v>0.4</v>
      </c>
      <c r="AC216" s="1">
        <f t="shared" si="52"/>
        <v>1.5</v>
      </c>
      <c r="AD216" s="1">
        <f t="shared" si="53"/>
        <v>1</v>
      </c>
      <c r="AE216" s="1">
        <f t="shared" si="63"/>
        <v>10</v>
      </c>
      <c r="AF216" s="33">
        <f t="shared" si="64"/>
        <v>2.4999999999999991</v>
      </c>
    </row>
    <row r="217" spans="4:32" ht="14.25" hidden="1" customHeight="1" outlineLevel="1" x14ac:dyDescent="0.2">
      <c r="D217" s="1">
        <v>81</v>
      </c>
      <c r="E217" s="6">
        <f t="shared" si="54"/>
        <v>581.85131812473082</v>
      </c>
      <c r="F217" s="6">
        <f t="shared" si="54"/>
        <v>41447.39745305854</v>
      </c>
      <c r="G217" s="6">
        <f t="shared" si="54"/>
        <v>247.80720533421245</v>
      </c>
      <c r="H217" s="1">
        <v>0.4</v>
      </c>
      <c r="I217" s="1">
        <v>1.5</v>
      </c>
      <c r="J217" s="1">
        <v>1</v>
      </c>
      <c r="M217" s="1">
        <v>81</v>
      </c>
      <c r="N217" s="6">
        <f t="shared" si="58"/>
        <v>29092.565906236541</v>
      </c>
      <c r="O217" s="6">
        <f t="shared" si="55"/>
        <v>2621360.7481082599</v>
      </c>
      <c r="P217" s="6">
        <f t="shared" si="56"/>
        <v>18585.540400065933</v>
      </c>
      <c r="Q217" s="1">
        <v>0.4</v>
      </c>
      <c r="R217" s="1">
        <v>1.5</v>
      </c>
      <c r="S217" s="1">
        <v>1</v>
      </c>
      <c r="T217" s="1">
        <v>0.8</v>
      </c>
      <c r="U217" s="1">
        <v>10</v>
      </c>
      <c r="V217" s="5">
        <f t="shared" si="57"/>
        <v>2.4999999999999996</v>
      </c>
      <c r="X217" s="1">
        <v>81</v>
      </c>
      <c r="Y217" s="6">
        <f t="shared" si="59"/>
        <v>5818.5131812473082</v>
      </c>
      <c r="Z217" s="6">
        <f t="shared" si="60"/>
        <v>291262.30534536223</v>
      </c>
      <c r="AA217" s="6">
        <f t="shared" si="61"/>
        <v>18585.540400065933</v>
      </c>
      <c r="AB217" s="1">
        <f t="shared" si="62"/>
        <v>0.4</v>
      </c>
      <c r="AC217" s="1">
        <f t="shared" si="52"/>
        <v>1.5</v>
      </c>
      <c r="AD217" s="1">
        <f t="shared" si="53"/>
        <v>1</v>
      </c>
      <c r="AE217" s="1">
        <f t="shared" si="63"/>
        <v>10</v>
      </c>
      <c r="AF217" s="33">
        <f t="shared" si="64"/>
        <v>2.4999999999999996</v>
      </c>
    </row>
    <row r="218" spans="4:32" ht="14.25" hidden="1" customHeight="1" outlineLevel="1" x14ac:dyDescent="0.2">
      <c r="D218" s="1">
        <v>82</v>
      </c>
      <c r="E218" s="6">
        <f t="shared" si="54"/>
        <v>610.94388403096752</v>
      </c>
      <c r="F218" s="6">
        <f t="shared" si="54"/>
        <v>43519.767325711473</v>
      </c>
      <c r="G218" s="6">
        <f t="shared" si="54"/>
        <v>260.1975656009231</v>
      </c>
      <c r="H218" s="1">
        <v>0.4</v>
      </c>
      <c r="I218" s="1">
        <v>1.5</v>
      </c>
      <c r="J218" s="1">
        <v>1</v>
      </c>
      <c r="M218" s="1">
        <v>82</v>
      </c>
      <c r="N218" s="6">
        <f t="shared" si="58"/>
        <v>30547.19420154838</v>
      </c>
      <c r="O218" s="6">
        <f t="shared" si="55"/>
        <v>2731027.5159908868</v>
      </c>
      <c r="P218" s="6">
        <f t="shared" si="56"/>
        <v>19514.817420069234</v>
      </c>
      <c r="Q218" s="1">
        <v>0.4</v>
      </c>
      <c r="R218" s="1">
        <v>1.5</v>
      </c>
      <c r="S218" s="1">
        <v>1</v>
      </c>
      <c r="T218" s="1">
        <v>0.8</v>
      </c>
      <c r="U218" s="1">
        <v>10</v>
      </c>
      <c r="V218" s="5">
        <f t="shared" si="57"/>
        <v>2.4999999999999991</v>
      </c>
      <c r="X218" s="1">
        <v>82</v>
      </c>
      <c r="Y218" s="6">
        <f t="shared" si="59"/>
        <v>6109.4388403096764</v>
      </c>
      <c r="Z218" s="6">
        <f t="shared" si="60"/>
        <v>303447.50177676522</v>
      </c>
      <c r="AA218" s="6">
        <f t="shared" si="61"/>
        <v>19514.817420069234</v>
      </c>
      <c r="AB218" s="1">
        <f t="shared" si="62"/>
        <v>0.4</v>
      </c>
      <c r="AC218" s="1">
        <f t="shared" si="52"/>
        <v>1.5</v>
      </c>
      <c r="AD218" s="1">
        <f t="shared" si="53"/>
        <v>1</v>
      </c>
      <c r="AE218" s="1">
        <f t="shared" si="63"/>
        <v>10</v>
      </c>
      <c r="AF218" s="33">
        <f t="shared" si="64"/>
        <v>2.4999999999999991</v>
      </c>
    </row>
    <row r="219" spans="4:32" ht="14.25" hidden="1" customHeight="1" outlineLevel="1" x14ac:dyDescent="0.2">
      <c r="D219" s="1">
        <v>83</v>
      </c>
      <c r="E219" s="6">
        <f t="shared" si="54"/>
        <v>641.49107823251586</v>
      </c>
      <c r="F219" s="6">
        <f t="shared" si="54"/>
        <v>45695.755691997045</v>
      </c>
      <c r="G219" s="6">
        <f t="shared" si="54"/>
        <v>273.20744388096927</v>
      </c>
      <c r="H219" s="1">
        <v>0.4</v>
      </c>
      <c r="I219" s="1">
        <v>1.5</v>
      </c>
      <c r="J219" s="1">
        <v>1</v>
      </c>
      <c r="M219" s="1">
        <v>83</v>
      </c>
      <c r="N219" s="6">
        <f t="shared" si="58"/>
        <v>32074.55391162579</v>
      </c>
      <c r="O219" s="6">
        <f t="shared" si="55"/>
        <v>2844357.0396782723</v>
      </c>
      <c r="P219" s="6">
        <f t="shared" si="56"/>
        <v>20490.558291072695</v>
      </c>
      <c r="Q219" s="1">
        <v>0.4</v>
      </c>
      <c r="R219" s="1">
        <v>1.5</v>
      </c>
      <c r="S219" s="1">
        <v>1</v>
      </c>
      <c r="T219" s="1">
        <v>0.8</v>
      </c>
      <c r="U219" s="1">
        <v>10</v>
      </c>
      <c r="V219" s="5">
        <f t="shared" si="57"/>
        <v>2.4999999999999991</v>
      </c>
      <c r="X219" s="1">
        <v>83</v>
      </c>
      <c r="Y219" s="6">
        <f t="shared" si="59"/>
        <v>6414.9107823251579</v>
      </c>
      <c r="Z219" s="6">
        <f t="shared" si="60"/>
        <v>316039.67107536359</v>
      </c>
      <c r="AA219" s="6">
        <f t="shared" si="61"/>
        <v>20490.558291072695</v>
      </c>
      <c r="AB219" s="1">
        <f t="shared" si="62"/>
        <v>0.4</v>
      </c>
      <c r="AC219" s="1">
        <f t="shared" si="52"/>
        <v>1.5</v>
      </c>
      <c r="AD219" s="1">
        <f t="shared" si="53"/>
        <v>1</v>
      </c>
      <c r="AE219" s="1">
        <f t="shared" si="63"/>
        <v>10</v>
      </c>
      <c r="AF219" s="33">
        <f t="shared" si="64"/>
        <v>2.4999999999999991</v>
      </c>
    </row>
    <row r="220" spans="4:32" ht="14.25" hidden="1" customHeight="1" outlineLevel="1" x14ac:dyDescent="0.2">
      <c r="D220" s="1">
        <v>84</v>
      </c>
      <c r="E220" s="6">
        <f t="shared" si="54"/>
        <v>673.56563214414166</v>
      </c>
      <c r="F220" s="6">
        <f t="shared" si="54"/>
        <v>47980.543476596897</v>
      </c>
      <c r="G220" s="6">
        <f t="shared" si="54"/>
        <v>286.86781607501769</v>
      </c>
      <c r="H220" s="1">
        <v>0.4</v>
      </c>
      <c r="I220" s="1">
        <v>1.5</v>
      </c>
      <c r="J220" s="1">
        <v>1</v>
      </c>
      <c r="M220" s="1">
        <v>84</v>
      </c>
      <c r="N220" s="6">
        <f t="shared" si="58"/>
        <v>33678.281607207085</v>
      </c>
      <c r="O220" s="6">
        <f t="shared" si="55"/>
        <v>2961394.2376301829</v>
      </c>
      <c r="P220" s="6">
        <f t="shared" si="56"/>
        <v>21515.086205626325</v>
      </c>
      <c r="Q220" s="1">
        <v>0.4</v>
      </c>
      <c r="R220" s="1">
        <v>1.5</v>
      </c>
      <c r="S220" s="1">
        <v>1</v>
      </c>
      <c r="T220" s="1">
        <v>0.8</v>
      </c>
      <c r="U220" s="1">
        <v>10</v>
      </c>
      <c r="V220" s="5">
        <f t="shared" si="57"/>
        <v>2.4999999999999996</v>
      </c>
      <c r="X220" s="1">
        <v>84</v>
      </c>
      <c r="Y220" s="6">
        <f t="shared" si="59"/>
        <v>6735.6563214414173</v>
      </c>
      <c r="Z220" s="6">
        <f t="shared" si="60"/>
        <v>329043.80418113142</v>
      </c>
      <c r="AA220" s="6">
        <f t="shared" si="61"/>
        <v>21515.086205626325</v>
      </c>
      <c r="AB220" s="1">
        <f t="shared" si="62"/>
        <v>0.4</v>
      </c>
      <c r="AC220" s="1">
        <f t="shared" si="52"/>
        <v>1.5</v>
      </c>
      <c r="AD220" s="1">
        <f t="shared" si="53"/>
        <v>1</v>
      </c>
      <c r="AE220" s="1">
        <f t="shared" si="63"/>
        <v>10</v>
      </c>
      <c r="AF220" s="33">
        <f t="shared" si="64"/>
        <v>2.4999999999999996</v>
      </c>
    </row>
    <row r="221" spans="4:32" ht="14.25" hidden="1" customHeight="1" outlineLevel="1" x14ac:dyDescent="0.2">
      <c r="D221" s="1">
        <v>85</v>
      </c>
      <c r="E221" s="6">
        <f t="shared" si="54"/>
        <v>707.24391375134871</v>
      </c>
      <c r="F221" s="6">
        <f t="shared" si="54"/>
        <v>50379.570650426744</v>
      </c>
      <c r="G221" s="6">
        <f t="shared" si="54"/>
        <v>301.21120687876862</v>
      </c>
      <c r="H221" s="1">
        <v>0.4</v>
      </c>
      <c r="I221" s="1">
        <v>1.5</v>
      </c>
      <c r="J221" s="1">
        <v>1</v>
      </c>
      <c r="M221" s="1">
        <v>85</v>
      </c>
      <c r="N221" s="6">
        <f t="shared" si="58"/>
        <v>35362.195687567437</v>
      </c>
      <c r="O221" s="6">
        <f t="shared" si="55"/>
        <v>3082177.9040594012</v>
      </c>
      <c r="P221" s="6">
        <f t="shared" si="56"/>
        <v>22590.840515907646</v>
      </c>
      <c r="Q221" s="1">
        <v>0.4</v>
      </c>
      <c r="R221" s="1">
        <v>1.5</v>
      </c>
      <c r="S221" s="1">
        <v>1</v>
      </c>
      <c r="T221" s="1">
        <v>0.8</v>
      </c>
      <c r="U221" s="1">
        <v>10</v>
      </c>
      <c r="V221" s="5">
        <f t="shared" si="57"/>
        <v>2.4999999999999996</v>
      </c>
      <c r="X221" s="1">
        <v>85</v>
      </c>
      <c r="Y221" s="6">
        <f t="shared" si="59"/>
        <v>7072.4391375134874</v>
      </c>
      <c r="Z221" s="6">
        <f t="shared" si="60"/>
        <v>342464.21156215569</v>
      </c>
      <c r="AA221" s="6">
        <f t="shared" si="61"/>
        <v>22590.840515907646</v>
      </c>
      <c r="AB221" s="1">
        <f t="shared" si="62"/>
        <v>0.4</v>
      </c>
      <c r="AC221" s="1">
        <f t="shared" si="52"/>
        <v>1.5</v>
      </c>
      <c r="AD221" s="1">
        <f t="shared" si="53"/>
        <v>1</v>
      </c>
      <c r="AE221" s="1">
        <f t="shared" si="63"/>
        <v>10</v>
      </c>
      <c r="AF221" s="33">
        <f t="shared" si="64"/>
        <v>2.4999999999999996</v>
      </c>
    </row>
    <row r="222" spans="4:32" ht="14.25" hidden="1" customHeight="1" outlineLevel="1" x14ac:dyDescent="0.2">
      <c r="D222" s="1">
        <v>86</v>
      </c>
      <c r="E222" s="6">
        <f t="shared" si="54"/>
        <v>742.60610943891606</v>
      </c>
      <c r="F222" s="6">
        <f t="shared" si="54"/>
        <v>52898.549182948074</v>
      </c>
      <c r="G222" s="6">
        <f t="shared" si="54"/>
        <v>316.27176722270701</v>
      </c>
      <c r="H222" s="1">
        <v>0.4</v>
      </c>
      <c r="I222" s="1">
        <v>1.5</v>
      </c>
      <c r="J222" s="1">
        <v>1</v>
      </c>
      <c r="M222" s="1">
        <v>86</v>
      </c>
      <c r="N222" s="6">
        <f t="shared" si="58"/>
        <v>37130.305471945809</v>
      </c>
      <c r="O222" s="6">
        <f t="shared" si="55"/>
        <v>3206740.156484561</v>
      </c>
      <c r="P222" s="6">
        <f t="shared" si="56"/>
        <v>23720.382541703028</v>
      </c>
      <c r="Q222" s="1">
        <v>0.4</v>
      </c>
      <c r="R222" s="1">
        <v>1.5</v>
      </c>
      <c r="S222" s="1">
        <v>1</v>
      </c>
      <c r="T222" s="1">
        <v>0.8</v>
      </c>
      <c r="U222" s="1">
        <v>10</v>
      </c>
      <c r="V222" s="5">
        <f t="shared" si="57"/>
        <v>2.4999999999999991</v>
      </c>
      <c r="X222" s="1">
        <v>86</v>
      </c>
      <c r="Y222" s="6">
        <f t="shared" si="59"/>
        <v>7426.0610943891616</v>
      </c>
      <c r="Z222" s="6">
        <f t="shared" si="60"/>
        <v>356304.46183161787</v>
      </c>
      <c r="AA222" s="6">
        <f t="shared" si="61"/>
        <v>23720.382541703028</v>
      </c>
      <c r="AB222" s="1">
        <f t="shared" si="62"/>
        <v>0.4</v>
      </c>
      <c r="AC222" s="1">
        <f t="shared" si="52"/>
        <v>1.5</v>
      </c>
      <c r="AD222" s="1">
        <f t="shared" si="53"/>
        <v>1</v>
      </c>
      <c r="AE222" s="1">
        <f t="shared" si="63"/>
        <v>10</v>
      </c>
      <c r="AF222" s="33">
        <f t="shared" si="64"/>
        <v>2.4999999999999991</v>
      </c>
    </row>
    <row r="223" spans="4:32" ht="14.25" hidden="1" customHeight="1" outlineLevel="1" x14ac:dyDescent="0.2">
      <c r="D223" s="1">
        <v>87</v>
      </c>
      <c r="E223" s="6">
        <f t="shared" si="54"/>
        <v>779.73641491086187</v>
      </c>
      <c r="F223" s="6">
        <f t="shared" si="54"/>
        <v>55543.476642095477</v>
      </c>
      <c r="G223" s="6">
        <f t="shared" si="54"/>
        <v>332.08535558384233</v>
      </c>
      <c r="H223" s="1">
        <v>0.4</v>
      </c>
      <c r="I223" s="1">
        <v>1.5</v>
      </c>
      <c r="J223" s="1">
        <v>1</v>
      </c>
      <c r="M223" s="1">
        <v>87</v>
      </c>
      <c r="N223" s="6">
        <f t="shared" si="58"/>
        <v>38986.820745543104</v>
      </c>
      <c r="O223" s="6">
        <f t="shared" si="55"/>
        <v>3335105.8812849531</v>
      </c>
      <c r="P223" s="6">
        <f t="shared" si="56"/>
        <v>24906.401668788174</v>
      </c>
      <c r="Q223" s="1">
        <v>0.4</v>
      </c>
      <c r="R223" s="1">
        <v>1.5</v>
      </c>
      <c r="S223" s="1">
        <v>1</v>
      </c>
      <c r="T223" s="1">
        <v>0.8</v>
      </c>
      <c r="U223" s="1">
        <v>10</v>
      </c>
      <c r="V223" s="5">
        <f t="shared" si="57"/>
        <v>2.4999999999999987</v>
      </c>
      <c r="X223" s="1">
        <v>87</v>
      </c>
      <c r="Y223" s="6">
        <f t="shared" si="59"/>
        <v>7797.3641491086209</v>
      </c>
      <c r="Z223" s="6">
        <f t="shared" si="60"/>
        <v>370567.32014277257</v>
      </c>
      <c r="AA223" s="6">
        <f t="shared" si="61"/>
        <v>24906.401668788174</v>
      </c>
      <c r="AB223" s="1">
        <f t="shared" si="62"/>
        <v>0.4</v>
      </c>
      <c r="AC223" s="1">
        <f t="shared" si="52"/>
        <v>1.5</v>
      </c>
      <c r="AD223" s="1">
        <f t="shared" si="53"/>
        <v>1</v>
      </c>
      <c r="AE223" s="1">
        <f t="shared" si="63"/>
        <v>10</v>
      </c>
      <c r="AF223" s="33">
        <f t="shared" si="64"/>
        <v>2.4999999999999987</v>
      </c>
    </row>
    <row r="224" spans="4:32" ht="14.25" hidden="1" customHeight="1" outlineLevel="1" x14ac:dyDescent="0.2">
      <c r="D224" s="1">
        <v>88</v>
      </c>
      <c r="E224" s="6">
        <f t="shared" si="54"/>
        <v>818.72323565640511</v>
      </c>
      <c r="F224" s="6">
        <f t="shared" si="54"/>
        <v>58320.650474200265</v>
      </c>
      <c r="G224" s="6">
        <f t="shared" si="54"/>
        <v>348.68962336303457</v>
      </c>
      <c r="H224" s="1">
        <v>0.4</v>
      </c>
      <c r="I224" s="1">
        <v>1.5</v>
      </c>
      <c r="J224" s="1">
        <v>1</v>
      </c>
      <c r="M224" s="1">
        <v>88</v>
      </c>
      <c r="N224" s="6">
        <f t="shared" si="58"/>
        <v>40936.161782820258</v>
      </c>
      <c r="O224" s="6">
        <f t="shared" si="55"/>
        <v>3467292.1818348328</v>
      </c>
      <c r="P224" s="6">
        <f t="shared" si="56"/>
        <v>26151.721752227593</v>
      </c>
      <c r="Q224" s="1">
        <v>0.4</v>
      </c>
      <c r="R224" s="1">
        <v>1.5</v>
      </c>
      <c r="S224" s="1">
        <v>1</v>
      </c>
      <c r="T224" s="1">
        <v>0.8</v>
      </c>
      <c r="U224" s="1">
        <v>10</v>
      </c>
      <c r="V224" s="5">
        <f t="shared" si="57"/>
        <v>2.4999999999999987</v>
      </c>
      <c r="X224" s="1">
        <v>88</v>
      </c>
      <c r="Y224" s="6">
        <f t="shared" si="59"/>
        <v>8187.2323565640518</v>
      </c>
      <c r="Z224" s="6">
        <f t="shared" si="60"/>
        <v>385254.686870537</v>
      </c>
      <c r="AA224" s="6">
        <f t="shared" si="61"/>
        <v>26151.721752227593</v>
      </c>
      <c r="AB224" s="1">
        <f t="shared" si="62"/>
        <v>0.4</v>
      </c>
      <c r="AC224" s="1">
        <f t="shared" si="52"/>
        <v>1.5</v>
      </c>
      <c r="AD224" s="1">
        <f t="shared" si="53"/>
        <v>1</v>
      </c>
      <c r="AE224" s="1">
        <f t="shared" si="63"/>
        <v>10</v>
      </c>
      <c r="AF224" s="33">
        <f t="shared" si="64"/>
        <v>2.4999999999999987</v>
      </c>
    </row>
    <row r="225" spans="3:32" ht="14.25" hidden="1" customHeight="1" outlineLevel="1" x14ac:dyDescent="0.2">
      <c r="D225" s="1">
        <v>89</v>
      </c>
      <c r="E225" s="6">
        <f t="shared" si="54"/>
        <v>859.65939743922524</v>
      </c>
      <c r="F225" s="6">
        <f t="shared" si="54"/>
        <v>61236.682997910269</v>
      </c>
      <c r="G225" s="6">
        <f t="shared" si="54"/>
        <v>366.12410453118622</v>
      </c>
      <c r="H225" s="1">
        <v>0.4</v>
      </c>
      <c r="I225" s="1">
        <v>1.5</v>
      </c>
      <c r="J225" s="1">
        <v>1</v>
      </c>
      <c r="M225" s="1">
        <v>89</v>
      </c>
      <c r="N225" s="6">
        <f t="shared" si="58"/>
        <v>42982.969871961272</v>
      </c>
      <c r="O225" s="6">
        <f t="shared" si="55"/>
        <v>3603307.8342260928</v>
      </c>
      <c r="P225" s="6">
        <f t="shared" si="56"/>
        <v>27459.307839838966</v>
      </c>
      <c r="Q225" s="1">
        <v>0.4</v>
      </c>
      <c r="R225" s="1">
        <v>1.5</v>
      </c>
      <c r="S225" s="1">
        <v>1</v>
      </c>
      <c r="T225" s="1">
        <v>0.8</v>
      </c>
      <c r="U225" s="1">
        <v>10</v>
      </c>
      <c r="V225" s="5">
        <f t="shared" si="57"/>
        <v>2.4999999999999991</v>
      </c>
      <c r="X225" s="1">
        <v>89</v>
      </c>
      <c r="Y225" s="6">
        <f t="shared" si="59"/>
        <v>8596.5939743922536</v>
      </c>
      <c r="Z225" s="6">
        <f t="shared" si="60"/>
        <v>400367.53713623254</v>
      </c>
      <c r="AA225" s="6">
        <f t="shared" si="61"/>
        <v>27459.307839838966</v>
      </c>
      <c r="AB225" s="1">
        <f t="shared" si="62"/>
        <v>0.4</v>
      </c>
      <c r="AC225" s="1">
        <f t="shared" si="52"/>
        <v>1.5</v>
      </c>
      <c r="AD225" s="1">
        <f t="shared" si="53"/>
        <v>1</v>
      </c>
      <c r="AE225" s="1">
        <f t="shared" si="63"/>
        <v>10</v>
      </c>
      <c r="AF225" s="33">
        <f t="shared" si="64"/>
        <v>2.4999999999999991</v>
      </c>
    </row>
    <row r="226" spans="3:32" ht="14.25" hidden="1" customHeight="1" outlineLevel="1" x14ac:dyDescent="0.2">
      <c r="D226" s="1">
        <v>90</v>
      </c>
      <c r="E226" s="6">
        <f t="shared" si="54"/>
        <v>902.6423673111866</v>
      </c>
      <c r="F226" s="6">
        <f t="shared" si="54"/>
        <v>64298.517147805789</v>
      </c>
      <c r="G226" s="6">
        <f t="shared" si="54"/>
        <v>384.43030975774553</v>
      </c>
      <c r="H226" s="1">
        <v>0.4</v>
      </c>
      <c r="I226" s="1">
        <v>1.5</v>
      </c>
      <c r="J226" s="1">
        <v>1</v>
      </c>
      <c r="M226" s="1">
        <v>90</v>
      </c>
      <c r="N226" s="6">
        <f t="shared" si="58"/>
        <v>45132.118365559341</v>
      </c>
      <c r="O226" s="6">
        <f t="shared" si="55"/>
        <v>3743152.7559927856</v>
      </c>
      <c r="P226" s="6">
        <f t="shared" si="56"/>
        <v>28832.273231830914</v>
      </c>
      <c r="Q226" s="1">
        <v>0.4</v>
      </c>
      <c r="R226" s="1">
        <v>1.5</v>
      </c>
      <c r="S226" s="1">
        <v>1</v>
      </c>
      <c r="T226" s="1">
        <v>0.8</v>
      </c>
      <c r="U226" s="1">
        <v>10</v>
      </c>
      <c r="V226" s="5">
        <f t="shared" si="57"/>
        <v>2.4999999999999987</v>
      </c>
      <c r="X226" s="1">
        <v>90</v>
      </c>
      <c r="Y226" s="6">
        <f t="shared" si="59"/>
        <v>9026.423673111869</v>
      </c>
      <c r="Z226" s="6">
        <f t="shared" si="60"/>
        <v>415905.86177697615</v>
      </c>
      <c r="AA226" s="6">
        <f t="shared" si="61"/>
        <v>28832.273231830914</v>
      </c>
      <c r="AB226" s="1">
        <f t="shared" si="62"/>
        <v>0.4</v>
      </c>
      <c r="AC226" s="1">
        <f t="shared" si="52"/>
        <v>1.5</v>
      </c>
      <c r="AD226" s="1">
        <f t="shared" si="53"/>
        <v>1</v>
      </c>
      <c r="AE226" s="1">
        <f t="shared" si="63"/>
        <v>10</v>
      </c>
      <c r="AF226" s="33">
        <f t="shared" si="64"/>
        <v>2.4999999999999987</v>
      </c>
    </row>
    <row r="227" spans="3:32" ht="14.25" hidden="1" customHeight="1" outlineLevel="1" x14ac:dyDescent="0.2">
      <c r="D227" s="1">
        <v>91</v>
      </c>
      <c r="E227" s="6">
        <f t="shared" si="54"/>
        <v>947.77448567674583</v>
      </c>
      <c r="F227" s="6">
        <f t="shared" si="54"/>
        <v>67513.443005196066</v>
      </c>
      <c r="G227" s="6">
        <f t="shared" si="54"/>
        <v>403.65182524563284</v>
      </c>
      <c r="H227" s="1">
        <v>0.4</v>
      </c>
      <c r="I227" s="1">
        <v>1.5</v>
      </c>
      <c r="J227" s="1">
        <v>1</v>
      </c>
      <c r="M227" s="1">
        <v>91</v>
      </c>
      <c r="N227" s="6">
        <f t="shared" si="58"/>
        <v>47388.724283837291</v>
      </c>
      <c r="O227" s="6">
        <f t="shared" si="55"/>
        <v>3886817.4936180254</v>
      </c>
      <c r="P227" s="6">
        <f t="shared" si="56"/>
        <v>30273.886893422463</v>
      </c>
      <c r="Q227" s="1">
        <v>0.4</v>
      </c>
      <c r="R227" s="1">
        <v>1.5</v>
      </c>
      <c r="S227" s="1">
        <v>1</v>
      </c>
      <c r="T227" s="1">
        <v>0.8</v>
      </c>
      <c r="U227" s="1">
        <v>10</v>
      </c>
      <c r="V227" s="5">
        <f t="shared" si="57"/>
        <v>2.4999999999999991</v>
      </c>
      <c r="X227" s="1">
        <v>91</v>
      </c>
      <c r="Y227" s="6">
        <f t="shared" si="59"/>
        <v>9477.7448567674583</v>
      </c>
      <c r="Z227" s="6">
        <f t="shared" si="60"/>
        <v>431868.61040200281</v>
      </c>
      <c r="AA227" s="6">
        <f t="shared" si="61"/>
        <v>30273.886893422463</v>
      </c>
      <c r="AB227" s="1">
        <f t="shared" si="62"/>
        <v>0.4</v>
      </c>
      <c r="AC227" s="1">
        <f t="shared" si="52"/>
        <v>1.5</v>
      </c>
      <c r="AD227" s="1">
        <f t="shared" si="53"/>
        <v>1</v>
      </c>
      <c r="AE227" s="1">
        <f t="shared" si="63"/>
        <v>10</v>
      </c>
      <c r="AF227" s="33">
        <f t="shared" si="64"/>
        <v>2.4999999999999991</v>
      </c>
    </row>
    <row r="228" spans="3:32" ht="14.25" hidden="1" customHeight="1" outlineLevel="1" x14ac:dyDescent="0.2">
      <c r="D228" s="1">
        <v>92</v>
      </c>
      <c r="E228" s="6">
        <f t="shared" si="54"/>
        <v>995.16320996058334</v>
      </c>
      <c r="F228" s="6">
        <f t="shared" si="54"/>
        <v>70889.115155455889</v>
      </c>
      <c r="G228" s="6">
        <f t="shared" si="54"/>
        <v>423.83441650791451</v>
      </c>
      <c r="H228" s="1">
        <v>0.4</v>
      </c>
      <c r="I228" s="1">
        <v>1.5</v>
      </c>
      <c r="J228" s="1">
        <v>1</v>
      </c>
      <c r="M228" s="1">
        <v>92</v>
      </c>
      <c r="N228" s="6">
        <f t="shared" si="58"/>
        <v>49758.160498029167</v>
      </c>
      <c r="O228" s="6">
        <f t="shared" si="55"/>
        <v>4034282.7349216039</v>
      </c>
      <c r="P228" s="6">
        <f t="shared" si="56"/>
        <v>31787.581238093589</v>
      </c>
      <c r="Q228" s="1">
        <v>0.4</v>
      </c>
      <c r="R228" s="1">
        <v>1.5</v>
      </c>
      <c r="S228" s="1">
        <v>1</v>
      </c>
      <c r="T228" s="1">
        <v>0.8</v>
      </c>
      <c r="U228" s="1">
        <v>10</v>
      </c>
      <c r="V228" s="5">
        <f t="shared" si="57"/>
        <v>2.4999999999999996</v>
      </c>
      <c r="X228" s="1">
        <v>92</v>
      </c>
      <c r="Y228" s="6">
        <f t="shared" si="59"/>
        <v>9951.632099605833</v>
      </c>
      <c r="Z228" s="6">
        <f t="shared" si="60"/>
        <v>448253.63721351157</v>
      </c>
      <c r="AA228" s="6">
        <f t="shared" si="61"/>
        <v>31787.581238093589</v>
      </c>
      <c r="AB228" s="1">
        <f t="shared" si="62"/>
        <v>0.4</v>
      </c>
      <c r="AC228" s="1">
        <f t="shared" si="52"/>
        <v>1.5</v>
      </c>
      <c r="AD228" s="1">
        <f t="shared" si="53"/>
        <v>1</v>
      </c>
      <c r="AE228" s="1">
        <f t="shared" si="63"/>
        <v>10</v>
      </c>
      <c r="AF228" s="33">
        <f t="shared" si="64"/>
        <v>2.4999999999999996</v>
      </c>
    </row>
    <row r="229" spans="3:32" ht="14.25" hidden="1" customHeight="1" outlineLevel="1" x14ac:dyDescent="0.2">
      <c r="D229" s="1">
        <v>93</v>
      </c>
      <c r="E229" s="6">
        <f t="shared" si="54"/>
        <v>1044.9213704586123</v>
      </c>
      <c r="F229" s="6">
        <f t="shared" si="54"/>
        <v>74433.570913228672</v>
      </c>
      <c r="G229" s="6">
        <f t="shared" si="54"/>
        <v>445.0261373333102</v>
      </c>
      <c r="H229" s="1">
        <v>0.4</v>
      </c>
      <c r="I229" s="1">
        <v>1.5</v>
      </c>
      <c r="J229" s="1">
        <v>1</v>
      </c>
      <c r="M229" s="1">
        <v>93</v>
      </c>
      <c r="N229" s="6">
        <f t="shared" si="58"/>
        <v>52246.068522930611</v>
      </c>
      <c r="O229" s="6">
        <f t="shared" si="55"/>
        <v>4185518.8526831516</v>
      </c>
      <c r="P229" s="6">
        <f t="shared" si="56"/>
        <v>33376.960299998267</v>
      </c>
      <c r="Q229" s="1">
        <v>0.4</v>
      </c>
      <c r="R229" s="1">
        <v>1.5</v>
      </c>
      <c r="S229" s="1">
        <v>1</v>
      </c>
      <c r="T229" s="1">
        <v>0.8</v>
      </c>
      <c r="U229" s="1">
        <v>10</v>
      </c>
      <c r="V229" s="5">
        <f t="shared" si="57"/>
        <v>2.4999999999999996</v>
      </c>
      <c r="X229" s="1">
        <v>93</v>
      </c>
      <c r="Y229" s="6">
        <f t="shared" si="59"/>
        <v>10449.213704586122</v>
      </c>
      <c r="Z229" s="6">
        <f t="shared" si="60"/>
        <v>465057.65029812796</v>
      </c>
      <c r="AA229" s="6">
        <f t="shared" si="61"/>
        <v>33376.960299998267</v>
      </c>
      <c r="AB229" s="1">
        <f t="shared" si="62"/>
        <v>0.4</v>
      </c>
      <c r="AC229" s="1">
        <f t="shared" si="52"/>
        <v>1.5</v>
      </c>
      <c r="AD229" s="1">
        <f t="shared" si="53"/>
        <v>1</v>
      </c>
      <c r="AE229" s="1">
        <f t="shared" si="63"/>
        <v>10</v>
      </c>
      <c r="AF229" s="33">
        <f t="shared" si="64"/>
        <v>2.4999999999999996</v>
      </c>
    </row>
    <row r="230" spans="3:32" ht="14.25" hidden="1" customHeight="1" outlineLevel="1" x14ac:dyDescent="0.2">
      <c r="D230" s="1">
        <v>94</v>
      </c>
      <c r="E230" s="6">
        <f t="shared" si="54"/>
        <v>1097.1674389815432</v>
      </c>
      <c r="F230" s="6">
        <f t="shared" si="54"/>
        <v>78155.249458890117</v>
      </c>
      <c r="G230" s="6">
        <f t="shared" si="54"/>
        <v>467.27744419997578</v>
      </c>
      <c r="H230" s="1">
        <v>0.4</v>
      </c>
      <c r="I230" s="1">
        <v>1.5</v>
      </c>
      <c r="J230" s="1">
        <v>1</v>
      </c>
      <c r="M230" s="1">
        <v>94</v>
      </c>
      <c r="N230" s="6">
        <f t="shared" si="58"/>
        <v>54858.371949077169</v>
      </c>
      <c r="O230" s="6">
        <f t="shared" si="55"/>
        <v>4340485.4860391589</v>
      </c>
      <c r="P230" s="6">
        <f t="shared" si="56"/>
        <v>35045.808314998183</v>
      </c>
      <c r="Q230" s="1">
        <v>0.4</v>
      </c>
      <c r="R230" s="1">
        <v>1.5</v>
      </c>
      <c r="S230" s="1">
        <v>1</v>
      </c>
      <c r="T230" s="1">
        <v>0.8</v>
      </c>
      <c r="U230" s="1">
        <v>10</v>
      </c>
      <c r="V230" s="5">
        <f t="shared" si="57"/>
        <v>2.4999999999999987</v>
      </c>
      <c r="X230" s="1">
        <v>94</v>
      </c>
      <c r="Y230" s="6">
        <f t="shared" si="59"/>
        <v>10971.674389815435</v>
      </c>
      <c r="Z230" s="6">
        <f t="shared" si="60"/>
        <v>482276.16511546209</v>
      </c>
      <c r="AA230" s="6">
        <f t="shared" si="61"/>
        <v>35045.808314998183</v>
      </c>
      <c r="AB230" s="1">
        <f t="shared" si="62"/>
        <v>0.4</v>
      </c>
      <c r="AC230" s="1">
        <f t="shared" si="52"/>
        <v>1.5</v>
      </c>
      <c r="AD230" s="1">
        <f t="shared" si="53"/>
        <v>1</v>
      </c>
      <c r="AE230" s="1">
        <f t="shared" si="63"/>
        <v>10</v>
      </c>
      <c r="AF230" s="33">
        <f t="shared" si="64"/>
        <v>2.4999999999999987</v>
      </c>
    </row>
    <row r="231" spans="3:32" ht="14.25" hidden="1" customHeight="1" outlineLevel="1" x14ac:dyDescent="0.2">
      <c r="D231" s="1">
        <v>95</v>
      </c>
      <c r="E231" s="6">
        <f t="shared" si="54"/>
        <v>1152.0258109306199</v>
      </c>
      <c r="F231" s="6">
        <f t="shared" si="54"/>
        <v>82063.011931834597</v>
      </c>
      <c r="G231" s="6">
        <f t="shared" si="54"/>
        <v>490.64131640997437</v>
      </c>
      <c r="H231" s="1">
        <v>0.4</v>
      </c>
      <c r="I231" s="1">
        <v>1.5</v>
      </c>
      <c r="J231" s="1">
        <v>1</v>
      </c>
      <c r="M231" s="1">
        <v>95</v>
      </c>
      <c r="N231" s="6">
        <f t="shared" si="58"/>
        <v>57601.290546530996</v>
      </c>
      <c r="O231" s="6">
        <f t="shared" si="55"/>
        <v>4499131.1662902506</v>
      </c>
      <c r="P231" s="6">
        <f t="shared" si="56"/>
        <v>36798.098730748075</v>
      </c>
      <c r="Q231" s="1">
        <v>0.4</v>
      </c>
      <c r="R231" s="1">
        <v>1.5</v>
      </c>
      <c r="S231" s="1">
        <v>1</v>
      </c>
      <c r="T231" s="1">
        <v>0.8</v>
      </c>
      <c r="U231" s="1">
        <v>10</v>
      </c>
      <c r="V231" s="5">
        <f t="shared" si="57"/>
        <v>2.4999999999999991</v>
      </c>
      <c r="X231" s="1">
        <v>95</v>
      </c>
      <c r="Y231" s="6">
        <f t="shared" si="59"/>
        <v>11520.2581093062</v>
      </c>
      <c r="Z231" s="6">
        <f t="shared" si="60"/>
        <v>499903.46292113897</v>
      </c>
      <c r="AA231" s="6">
        <f t="shared" si="61"/>
        <v>36798.098730748075</v>
      </c>
      <c r="AB231" s="1">
        <f t="shared" si="62"/>
        <v>0.4</v>
      </c>
      <c r="AC231" s="1">
        <f t="shared" si="52"/>
        <v>1.5</v>
      </c>
      <c r="AD231" s="1">
        <f t="shared" si="53"/>
        <v>1</v>
      </c>
      <c r="AE231" s="1">
        <f t="shared" si="63"/>
        <v>10</v>
      </c>
      <c r="AF231" s="33">
        <f t="shared" si="64"/>
        <v>2.4999999999999991</v>
      </c>
    </row>
    <row r="232" spans="3:32" ht="14.25" hidden="1" customHeight="1" outlineLevel="1" x14ac:dyDescent="0.2">
      <c r="D232" s="1">
        <v>96</v>
      </c>
      <c r="E232" s="6">
        <f t="shared" si="54"/>
        <v>1209.6271014771514</v>
      </c>
      <c r="F232" s="6">
        <f t="shared" si="54"/>
        <v>86166.162528426357</v>
      </c>
      <c r="G232" s="6">
        <f t="shared" si="54"/>
        <v>515.17338223047329</v>
      </c>
      <c r="H232" s="1">
        <v>0.4</v>
      </c>
      <c r="I232" s="1">
        <v>1.5</v>
      </c>
      <c r="J232" s="1">
        <v>1</v>
      </c>
      <c r="M232" s="1">
        <v>96</v>
      </c>
      <c r="N232" s="6">
        <f t="shared" si="58"/>
        <v>60481.355073857572</v>
      </c>
      <c r="O232" s="6">
        <f t="shared" si="55"/>
        <v>4661392.9937574025</v>
      </c>
      <c r="P232" s="6">
        <f t="shared" si="56"/>
        <v>38638.003667285499</v>
      </c>
      <c r="Q232" s="1">
        <v>0.4</v>
      </c>
      <c r="R232" s="1">
        <v>1.5</v>
      </c>
      <c r="S232" s="1">
        <v>1</v>
      </c>
      <c r="T232" s="1">
        <v>0.8</v>
      </c>
      <c r="U232" s="1">
        <v>10</v>
      </c>
      <c r="V232" s="5">
        <f t="shared" si="57"/>
        <v>2.4999999999999996</v>
      </c>
      <c r="X232" s="1">
        <v>96</v>
      </c>
      <c r="Y232" s="6">
        <f t="shared" si="59"/>
        <v>12096.271014771515</v>
      </c>
      <c r="Z232" s="6">
        <f t="shared" si="60"/>
        <v>517932.55486193363</v>
      </c>
      <c r="AA232" s="6">
        <f t="shared" si="61"/>
        <v>38638.003667285499</v>
      </c>
      <c r="AB232" s="1">
        <f t="shared" si="62"/>
        <v>0.4</v>
      </c>
      <c r="AC232" s="1">
        <f t="shared" si="52"/>
        <v>1.5</v>
      </c>
      <c r="AD232" s="1">
        <f t="shared" si="53"/>
        <v>1</v>
      </c>
      <c r="AE232" s="1">
        <f t="shared" si="63"/>
        <v>10</v>
      </c>
      <c r="AF232" s="33">
        <f t="shared" si="64"/>
        <v>2.4999999999999996</v>
      </c>
    </row>
    <row r="233" spans="3:32" ht="14.25" hidden="1" customHeight="1" outlineLevel="1" x14ac:dyDescent="0.2">
      <c r="D233" s="1">
        <v>97</v>
      </c>
      <c r="E233" s="6">
        <f t="shared" si="54"/>
        <v>1270.1084565510089</v>
      </c>
      <c r="F233" s="6">
        <f t="shared" si="54"/>
        <v>90474.470654847668</v>
      </c>
      <c r="G233" s="6">
        <f t="shared" si="54"/>
        <v>540.93205134199695</v>
      </c>
      <c r="H233" s="1">
        <v>0.4</v>
      </c>
      <c r="I233" s="1">
        <v>1.5</v>
      </c>
      <c r="J233" s="1">
        <v>1</v>
      </c>
      <c r="M233" s="1">
        <v>97</v>
      </c>
      <c r="N233" s="6">
        <f t="shared" si="58"/>
        <v>63505.422827550457</v>
      </c>
      <c r="O233" s="6">
        <f t="shared" si="55"/>
        <v>4827196.3722213283</v>
      </c>
      <c r="P233" s="6">
        <f t="shared" si="56"/>
        <v>40569.903850649775</v>
      </c>
      <c r="Q233" s="1">
        <v>0.4</v>
      </c>
      <c r="R233" s="1">
        <v>1.5</v>
      </c>
      <c r="S233" s="1">
        <v>1</v>
      </c>
      <c r="T233" s="1">
        <v>0.8</v>
      </c>
      <c r="U233" s="1">
        <v>10</v>
      </c>
      <c r="V233" s="5">
        <f t="shared" si="57"/>
        <v>2.4999999999999991</v>
      </c>
      <c r="X233" s="1">
        <v>97</v>
      </c>
      <c r="Y233" s="6">
        <f t="shared" si="59"/>
        <v>12701.084565510091</v>
      </c>
      <c r="Z233" s="6">
        <f t="shared" si="60"/>
        <v>536355.15246903652</v>
      </c>
      <c r="AA233" s="6">
        <f t="shared" si="61"/>
        <v>40569.903850649775</v>
      </c>
      <c r="AB233" s="1">
        <f t="shared" si="62"/>
        <v>0.4</v>
      </c>
      <c r="AC233" s="1">
        <f t="shared" si="52"/>
        <v>1.5</v>
      </c>
      <c r="AD233" s="1">
        <f t="shared" si="53"/>
        <v>1</v>
      </c>
      <c r="AE233" s="1">
        <f t="shared" si="63"/>
        <v>10</v>
      </c>
      <c r="AF233" s="33">
        <f t="shared" si="64"/>
        <v>2.4999999999999991</v>
      </c>
    </row>
    <row r="234" spans="3:32" ht="14.25" hidden="1" customHeight="1" outlineLevel="1" x14ac:dyDescent="0.2">
      <c r="D234" s="1">
        <v>98</v>
      </c>
      <c r="E234" s="6">
        <f t="shared" si="54"/>
        <v>1333.6138793785592</v>
      </c>
      <c r="F234" s="6">
        <f t="shared" si="54"/>
        <v>94998.194187590052</v>
      </c>
      <c r="G234" s="6">
        <f t="shared" si="54"/>
        <v>567.97865390909681</v>
      </c>
      <c r="H234" s="1">
        <v>0.4</v>
      </c>
      <c r="I234" s="1">
        <v>1.5</v>
      </c>
      <c r="J234" s="1">
        <v>1</v>
      </c>
      <c r="M234" s="1">
        <v>98</v>
      </c>
      <c r="N234" s="6">
        <f t="shared" si="58"/>
        <v>66680.693968927968</v>
      </c>
      <c r="O234" s="6">
        <f t="shared" si="55"/>
        <v>4996454.8072602637</v>
      </c>
      <c r="P234" s="6">
        <f t="shared" si="56"/>
        <v>42598.39904318226</v>
      </c>
      <c r="Q234" s="1">
        <v>0.4</v>
      </c>
      <c r="R234" s="1">
        <v>1.5</v>
      </c>
      <c r="S234" s="1">
        <v>1</v>
      </c>
      <c r="T234" s="1">
        <v>0.8</v>
      </c>
      <c r="U234" s="1">
        <v>10</v>
      </c>
      <c r="V234" s="5">
        <f t="shared" si="57"/>
        <v>2.4999999999999996</v>
      </c>
      <c r="X234" s="1">
        <v>98</v>
      </c>
      <c r="Y234" s="6">
        <f t="shared" si="59"/>
        <v>13336.138793785594</v>
      </c>
      <c r="Z234" s="6">
        <f t="shared" si="60"/>
        <v>555161.64525114046</v>
      </c>
      <c r="AA234" s="6">
        <f t="shared" si="61"/>
        <v>42598.39904318226</v>
      </c>
      <c r="AB234" s="1">
        <f t="shared" si="62"/>
        <v>0.4</v>
      </c>
      <c r="AC234" s="1">
        <f t="shared" si="52"/>
        <v>1.5</v>
      </c>
      <c r="AD234" s="1">
        <f t="shared" si="53"/>
        <v>1</v>
      </c>
      <c r="AE234" s="1">
        <f t="shared" si="63"/>
        <v>10</v>
      </c>
      <c r="AF234" s="33">
        <f t="shared" si="64"/>
        <v>2.4999999999999996</v>
      </c>
    </row>
    <row r="235" spans="3:32" ht="14.25" hidden="1" customHeight="1" outlineLevel="1" x14ac:dyDescent="0.2">
      <c r="D235" s="1">
        <v>99</v>
      </c>
      <c r="E235" s="6">
        <f t="shared" si="54"/>
        <v>1400.2945733474871</v>
      </c>
      <c r="F235" s="6">
        <f t="shared" si="54"/>
        <v>99748.103896969551</v>
      </c>
      <c r="G235" s="6">
        <f t="shared" si="54"/>
        <v>596.37758660455165</v>
      </c>
      <c r="H235" s="1">
        <v>0.4</v>
      </c>
      <c r="I235" s="1">
        <v>1.5</v>
      </c>
      <c r="J235" s="1">
        <v>1</v>
      </c>
      <c r="M235" s="1">
        <v>99</v>
      </c>
      <c r="N235" s="6">
        <f t="shared" si="58"/>
        <v>70014.728667374351</v>
      </c>
      <c r="O235" s="6">
        <f t="shared" si="55"/>
        <v>5169069.7744603278</v>
      </c>
      <c r="P235" s="6">
        <f t="shared" si="56"/>
        <v>44728.318995341375</v>
      </c>
      <c r="Q235" s="1">
        <v>0.4</v>
      </c>
      <c r="R235" s="1">
        <v>1.5</v>
      </c>
      <c r="S235" s="1">
        <v>1</v>
      </c>
      <c r="T235" s="1">
        <v>0.8</v>
      </c>
      <c r="U235" s="1">
        <v>10</v>
      </c>
      <c r="V235" s="5">
        <f t="shared" si="57"/>
        <v>2.4999999999999996</v>
      </c>
      <c r="X235" s="1">
        <v>99</v>
      </c>
      <c r="Y235" s="6">
        <f t="shared" si="59"/>
        <v>14002.945733474869</v>
      </c>
      <c r="Z235" s="6">
        <f t="shared" si="60"/>
        <v>574341.08605114755</v>
      </c>
      <c r="AA235" s="6">
        <f t="shared" si="61"/>
        <v>44728.318995341375</v>
      </c>
      <c r="AB235" s="1">
        <f t="shared" si="62"/>
        <v>0.4</v>
      </c>
      <c r="AC235" s="1">
        <f t="shared" si="52"/>
        <v>1.5</v>
      </c>
      <c r="AD235" s="1">
        <f t="shared" si="53"/>
        <v>1</v>
      </c>
      <c r="AE235" s="1">
        <f t="shared" si="63"/>
        <v>10</v>
      </c>
      <c r="AF235" s="33">
        <f t="shared" si="64"/>
        <v>2.4999999999999996</v>
      </c>
    </row>
    <row r="236" spans="3:32" ht="14.25" hidden="1" customHeight="1" outlineLevel="1" x14ac:dyDescent="0.2">
      <c r="D236" s="1">
        <v>100</v>
      </c>
      <c r="E236" s="6">
        <f t="shared" si="54"/>
        <v>1470.3093020148619</v>
      </c>
      <c r="F236" s="6">
        <f t="shared" si="54"/>
        <v>104735.50909181805</v>
      </c>
      <c r="G236" s="6">
        <f t="shared" si="54"/>
        <v>626.19646593477933</v>
      </c>
      <c r="H236" s="1">
        <v>0.4</v>
      </c>
      <c r="I236" s="1">
        <v>1.5</v>
      </c>
      <c r="J236" s="1">
        <v>1</v>
      </c>
      <c r="M236" s="1">
        <v>100</v>
      </c>
      <c r="N236" s="6">
        <f t="shared" si="58"/>
        <v>73515.465100743095</v>
      </c>
      <c r="O236" s="6">
        <f t="shared" si="55"/>
        <v>5344930.6630058354</v>
      </c>
      <c r="P236" s="6">
        <f t="shared" si="56"/>
        <v>46964.734945108452</v>
      </c>
      <c r="Q236" s="1">
        <v>0.4</v>
      </c>
      <c r="R236" s="1">
        <v>1.5</v>
      </c>
      <c r="S236" s="1">
        <v>1</v>
      </c>
      <c r="T236" s="1">
        <v>0.8</v>
      </c>
      <c r="U236" s="1">
        <v>10</v>
      </c>
      <c r="V236" s="5">
        <f t="shared" si="57"/>
        <v>2.4999999999999996</v>
      </c>
      <c r="X236" s="1">
        <v>100</v>
      </c>
      <c r="Y236" s="6">
        <f t="shared" si="59"/>
        <v>14703.093020148619</v>
      </c>
      <c r="Z236" s="6">
        <f t="shared" si="60"/>
        <v>593881.18477842619</v>
      </c>
      <c r="AA236" s="6">
        <f t="shared" si="61"/>
        <v>46964.734945108452</v>
      </c>
      <c r="AB236" s="1">
        <f t="shared" si="62"/>
        <v>0.4</v>
      </c>
      <c r="AC236" s="1">
        <f t="shared" si="52"/>
        <v>1.5</v>
      </c>
      <c r="AD236" s="1">
        <f t="shared" si="53"/>
        <v>1</v>
      </c>
      <c r="AE236" s="1">
        <f t="shared" si="63"/>
        <v>10</v>
      </c>
      <c r="AF236" s="33">
        <f t="shared" si="64"/>
        <v>2.4999999999999996</v>
      </c>
    </row>
    <row r="238" spans="3:32" ht="14.25" customHeight="1" x14ac:dyDescent="0.2">
      <c r="C238" s="3" t="s">
        <v>290</v>
      </c>
      <c r="D238" s="2" t="s">
        <v>300</v>
      </c>
      <c r="I238" s="3" t="s">
        <v>291</v>
      </c>
      <c r="Q238" s="2"/>
    </row>
    <row r="239" spans="3:32" ht="14.25" customHeight="1" x14ac:dyDescent="0.2">
      <c r="D239" s="3" t="s">
        <v>289</v>
      </c>
      <c r="E239" s="3" t="s">
        <v>146</v>
      </c>
      <c r="F239" s="3" t="s">
        <v>147</v>
      </c>
      <c r="G239" s="3" t="s">
        <v>124</v>
      </c>
      <c r="H239" s="75" t="s">
        <v>15</v>
      </c>
      <c r="J239" s="24" t="s">
        <v>13</v>
      </c>
      <c r="K239" s="3" t="s">
        <v>147</v>
      </c>
    </row>
    <row r="240" spans="3:32" ht="14.25" customHeight="1" x14ac:dyDescent="0.2">
      <c r="D240" s="1">
        <v>5</v>
      </c>
      <c r="H240" s="6">
        <f>F240/(J240-G240)</f>
        <v>0</v>
      </c>
      <c r="J240" s="1">
        <v>14.666</v>
      </c>
      <c r="K240" s="6">
        <f>E240*H240</f>
        <v>0</v>
      </c>
    </row>
    <row r="241" spans="3:32" ht="14.25" customHeight="1" x14ac:dyDescent="0.2">
      <c r="D241" s="1">
        <v>4</v>
      </c>
      <c r="E241" s="1">
        <f>SUM(E7:E10)</f>
        <v>31.88</v>
      </c>
      <c r="F241" s="1">
        <f>F8</f>
        <v>100</v>
      </c>
      <c r="G241" s="1">
        <f>SUM(G7:G10)</f>
        <v>8</v>
      </c>
      <c r="H241" s="6">
        <f t="shared" ref="H241:H244" si="65">F241/(J241-G241)</f>
        <v>15.001500150015001</v>
      </c>
      <c r="J241" s="1">
        <f>J240</f>
        <v>14.666</v>
      </c>
      <c r="K241" s="6">
        <f>E241*H241</f>
        <v>478.24782478247823</v>
      </c>
    </row>
    <row r="242" spans="3:32" ht="14.25" customHeight="1" x14ac:dyDescent="0.2">
      <c r="D242" s="1">
        <v>3</v>
      </c>
      <c r="E242" s="1">
        <f>E241-E8</f>
        <v>26.88</v>
      </c>
      <c r="F242" s="1">
        <f>F7</f>
        <v>36.36363636363636</v>
      </c>
      <c r="G242" s="1">
        <f>G241-G8</f>
        <v>6</v>
      </c>
      <c r="H242" s="6">
        <f t="shared" si="65"/>
        <v>4.1961269748022572</v>
      </c>
      <c r="J242" s="1">
        <f t="shared" ref="J242:J244" si="66">J241</f>
        <v>14.666</v>
      </c>
      <c r="K242" s="6">
        <f t="shared" ref="K242:K244" si="67">E242*H242</f>
        <v>112.79189308268467</v>
      </c>
    </row>
    <row r="243" spans="3:32" ht="14.25" customHeight="1" x14ac:dyDescent="0.2">
      <c r="D243" s="1">
        <v>2</v>
      </c>
      <c r="E243" s="1">
        <f>E242-E7</f>
        <v>15.879999999999999</v>
      </c>
      <c r="F243" s="1">
        <f>F9</f>
        <v>33.333333333333336</v>
      </c>
      <c r="G243" s="1">
        <f>G242-G7</f>
        <v>6</v>
      </c>
      <c r="H243" s="6">
        <f t="shared" si="65"/>
        <v>3.8464497269020694</v>
      </c>
      <c r="J243" s="1">
        <f t="shared" si="66"/>
        <v>14.666</v>
      </c>
      <c r="K243" s="6">
        <f t="shared" si="67"/>
        <v>61.081621663204857</v>
      </c>
    </row>
    <row r="244" spans="3:32" ht="14.25" customHeight="1" x14ac:dyDescent="0.2">
      <c r="D244" s="1">
        <v>1</v>
      </c>
      <c r="E244" s="1">
        <f>E10</f>
        <v>3.88</v>
      </c>
      <c r="F244" s="1">
        <f>F10</f>
        <v>48.5</v>
      </c>
      <c r="G244" s="1">
        <f>G10</f>
        <v>6</v>
      </c>
      <c r="H244" s="6">
        <f t="shared" si="65"/>
        <v>5.5965843526425108</v>
      </c>
      <c r="J244" s="1">
        <f t="shared" si="66"/>
        <v>14.666</v>
      </c>
      <c r="K244" s="6">
        <f t="shared" si="67"/>
        <v>21.714747288252941</v>
      </c>
    </row>
    <row r="245" spans="3:32" ht="14.25" customHeight="1" x14ac:dyDescent="0.2">
      <c r="H245" s="6">
        <f>SUM(H240:H244)</f>
        <v>28.640661204361841</v>
      </c>
      <c r="I245" s="1" t="s">
        <v>292</v>
      </c>
      <c r="J245" s="1">
        <f>MAX(J240:J244)</f>
        <v>14.666</v>
      </c>
      <c r="K245" s="6">
        <f>SUM(K240:K244)</f>
        <v>673.83608681662065</v>
      </c>
    </row>
    <row r="247" spans="3:32" ht="14.25" customHeight="1" collapsed="1" x14ac:dyDescent="0.2">
      <c r="C247" s="3" t="s">
        <v>162</v>
      </c>
      <c r="E247" s="1">
        <f>J245</f>
        <v>14.666</v>
      </c>
      <c r="F247" s="6">
        <f>K245</f>
        <v>673.83608681662065</v>
      </c>
      <c r="G247" s="17">
        <v>5</v>
      </c>
      <c r="J247" s="1" t="s">
        <v>294</v>
      </c>
      <c r="K247" s="1">
        <f>K21</f>
        <v>75</v>
      </c>
      <c r="L247" s="3" t="s">
        <v>293</v>
      </c>
      <c r="P247" s="6">
        <f>MAX(P250:P349)</f>
        <v>46964.734945108452</v>
      </c>
      <c r="X247" s="1" t="s">
        <v>297</v>
      </c>
    </row>
    <row r="248" spans="3:32" ht="14.25" hidden="1" customHeight="1" outlineLevel="1" x14ac:dyDescent="0.2">
      <c r="E248" s="1">
        <f>E22</f>
        <v>1.05</v>
      </c>
      <c r="F248" s="1">
        <f t="shared" ref="F248:G248" si="68">F22</f>
        <v>1.05</v>
      </c>
      <c r="G248" s="1">
        <f t="shared" si="68"/>
        <v>1.05</v>
      </c>
      <c r="O248" s="6">
        <f>F250*K247</f>
        <v>50537.70651124655</v>
      </c>
      <c r="P248" s="1">
        <f>10000</f>
        <v>10000</v>
      </c>
      <c r="X248" s="1">
        <v>9</v>
      </c>
    </row>
    <row r="249" spans="3:32" ht="14.25" hidden="1" customHeight="1" outlineLevel="1" x14ac:dyDescent="0.2">
      <c r="D249" s="1" t="s">
        <v>186</v>
      </c>
      <c r="E249" s="1" t="s">
        <v>146</v>
      </c>
      <c r="F249" s="1" t="s">
        <v>147</v>
      </c>
      <c r="G249" s="1" t="s">
        <v>139</v>
      </c>
      <c r="H249" s="17" t="s">
        <v>140</v>
      </c>
      <c r="I249" s="17" t="s">
        <v>141</v>
      </c>
      <c r="J249" s="17" t="s">
        <v>142</v>
      </c>
      <c r="M249" s="1" t="s">
        <v>164</v>
      </c>
      <c r="N249" s="1" t="s">
        <v>165</v>
      </c>
      <c r="O249" s="1" t="s">
        <v>166</v>
      </c>
      <c r="P249" s="1" t="s">
        <v>139</v>
      </c>
      <c r="Q249" s="17" t="s">
        <v>140</v>
      </c>
      <c r="R249" s="17" t="s">
        <v>141</v>
      </c>
      <c r="S249" s="17" t="s">
        <v>142</v>
      </c>
      <c r="T249" s="17" t="s">
        <v>167</v>
      </c>
      <c r="U249" s="17" t="s">
        <v>198</v>
      </c>
      <c r="V249" s="1" t="s">
        <v>296</v>
      </c>
      <c r="X249" s="1" t="s">
        <v>164</v>
      </c>
      <c r="Y249" s="1" t="s">
        <v>165</v>
      </c>
      <c r="Z249" s="1" t="s">
        <v>166</v>
      </c>
      <c r="AA249" s="1" t="s">
        <v>139</v>
      </c>
      <c r="AB249" s="1" t="s">
        <v>140</v>
      </c>
      <c r="AC249" s="1" t="s">
        <v>141</v>
      </c>
      <c r="AD249" s="1" t="s">
        <v>142</v>
      </c>
      <c r="AE249" s="1" t="s">
        <v>295</v>
      </c>
      <c r="AF249" s="1" t="s">
        <v>199</v>
      </c>
    </row>
    <row r="250" spans="3:32" ht="14.25" hidden="1" customHeight="1" outlineLevel="1" x14ac:dyDescent="0.2">
      <c r="D250" s="1">
        <v>1</v>
      </c>
      <c r="E250" s="6">
        <f>E$247*E$248^($D250-1)</f>
        <v>14.666</v>
      </c>
      <c r="F250" s="6">
        <f t="shared" ref="F250:G265" si="69">F$247*F$248^($D250-1)</f>
        <v>673.83608681662065</v>
      </c>
      <c r="G250" s="6">
        <f t="shared" si="69"/>
        <v>5</v>
      </c>
      <c r="H250" s="1">
        <v>0.4</v>
      </c>
      <c r="I250" s="1">
        <v>1.5</v>
      </c>
      <c r="J250" s="1">
        <v>1</v>
      </c>
      <c r="M250" s="1">
        <v>1</v>
      </c>
      <c r="N250" s="6">
        <f>E250*T250*$K$21/S250/(1+Q250*(R250-1))</f>
        <v>733.30000000000007</v>
      </c>
      <c r="O250" s="6">
        <f>F250*$K$21/(1+P250/$P$22)</f>
        <v>50348.898143209517</v>
      </c>
      <c r="P250" s="6">
        <f>G250*$K$21</f>
        <v>375</v>
      </c>
      <c r="Q250" s="1">
        <v>0.4</v>
      </c>
      <c r="R250" s="1">
        <v>1.5</v>
      </c>
      <c r="S250" s="1">
        <v>1</v>
      </c>
      <c r="T250" s="1">
        <v>0.8</v>
      </c>
      <c r="U250" s="1">
        <v>10</v>
      </c>
      <c r="V250" s="5">
        <f>E250*$K$21*(1-T250)/(1/U250)/(1+Q250*(R250-1))/N250</f>
        <v>2.4999999999999987</v>
      </c>
      <c r="X250" s="1">
        <v>1</v>
      </c>
      <c r="Y250" s="6">
        <f>2*N250/(1+$X$22)</f>
        <v>146.66000000000003</v>
      </c>
      <c r="Z250" s="6">
        <f>O250/$X$22</f>
        <v>5594.3220159121684</v>
      </c>
      <c r="AA250" s="6">
        <f>P250</f>
        <v>375</v>
      </c>
      <c r="AB250" s="1">
        <f>Q250</f>
        <v>0.4</v>
      </c>
      <c r="AC250" s="1">
        <f t="shared" ref="AC250:AC313" si="70">R250</f>
        <v>1.5</v>
      </c>
      <c r="AD250" s="1">
        <f t="shared" ref="AD250:AD313" si="71">S250</f>
        <v>1</v>
      </c>
      <c r="AE250" s="1">
        <f>U250</f>
        <v>10</v>
      </c>
      <c r="AF250" s="33">
        <f>V250</f>
        <v>2.4999999999999987</v>
      </c>
    </row>
    <row r="251" spans="3:32" ht="14.25" hidden="1" customHeight="1" outlineLevel="1" x14ac:dyDescent="0.2">
      <c r="D251" s="1">
        <v>2</v>
      </c>
      <c r="E251" s="6">
        <f t="shared" ref="E251:G282" si="72">E$247*E$248^($D251-1)</f>
        <v>15.3993</v>
      </c>
      <c r="F251" s="6">
        <f t="shared" si="69"/>
        <v>707.52789115745168</v>
      </c>
      <c r="G251" s="6">
        <f t="shared" si="69"/>
        <v>5.25</v>
      </c>
      <c r="H251" s="1">
        <v>0.4</v>
      </c>
      <c r="I251" s="1">
        <v>1.5</v>
      </c>
      <c r="J251" s="1">
        <v>1</v>
      </c>
      <c r="M251" s="1">
        <v>2</v>
      </c>
      <c r="N251" s="6">
        <f>E251*T251*$K$21/S251/(1+Q251*(R251-1))</f>
        <v>769.96500000000003</v>
      </c>
      <c r="O251" s="6">
        <f t="shared" ref="O251:O314" si="73">F251*$K$21/(1+P251/$P$22)</f>
        <v>52856.469488199094</v>
      </c>
      <c r="P251" s="6">
        <f t="shared" ref="P251:P314" si="74">G251*$K$21</f>
        <v>393.75</v>
      </c>
      <c r="Q251" s="1">
        <v>0.4</v>
      </c>
      <c r="R251" s="1">
        <v>1.5</v>
      </c>
      <c r="S251" s="1">
        <v>1</v>
      </c>
      <c r="T251" s="1">
        <v>0.8</v>
      </c>
      <c r="U251" s="1">
        <v>10</v>
      </c>
      <c r="V251" s="5">
        <f t="shared" ref="V251:V314" si="75">E251*$K$21*(1-T251)/(1/U251)/(1+Q251*(R251-1))/N251</f>
        <v>2.4999999999999991</v>
      </c>
      <c r="X251" s="1">
        <v>2</v>
      </c>
      <c r="Y251" s="6">
        <f>2*N251/(1+$X$22)</f>
        <v>153.99299999999999</v>
      </c>
      <c r="Z251" s="6">
        <f>O251/$X$22</f>
        <v>5872.9410542443438</v>
      </c>
      <c r="AA251" s="6">
        <f>P251</f>
        <v>393.75</v>
      </c>
      <c r="AB251" s="1">
        <f>Q251</f>
        <v>0.4</v>
      </c>
      <c r="AC251" s="1">
        <f t="shared" si="70"/>
        <v>1.5</v>
      </c>
      <c r="AD251" s="1">
        <f t="shared" si="71"/>
        <v>1</v>
      </c>
      <c r="AE251" s="1">
        <f>U251</f>
        <v>10</v>
      </c>
      <c r="AF251" s="33">
        <f>V251</f>
        <v>2.4999999999999991</v>
      </c>
    </row>
    <row r="252" spans="3:32" ht="14.25" hidden="1" customHeight="1" outlineLevel="1" x14ac:dyDescent="0.2">
      <c r="D252" s="1">
        <v>3</v>
      </c>
      <c r="E252" s="6">
        <f t="shared" si="72"/>
        <v>16.169264999999999</v>
      </c>
      <c r="F252" s="6">
        <f t="shared" si="69"/>
        <v>742.90428571532425</v>
      </c>
      <c r="G252" s="6">
        <f t="shared" si="69"/>
        <v>5.5125000000000002</v>
      </c>
      <c r="H252" s="1">
        <v>0.4</v>
      </c>
      <c r="I252" s="1">
        <v>1.5</v>
      </c>
      <c r="J252" s="1">
        <v>1</v>
      </c>
      <c r="M252" s="1">
        <v>3</v>
      </c>
      <c r="N252" s="6">
        <f t="shared" ref="N252:N315" si="76">E252*T252*$K$21/S252/(1+Q252*(R252-1))</f>
        <v>808.46325000000002</v>
      </c>
      <c r="O252" s="6">
        <f t="shared" si="73"/>
        <v>55488.411527241376</v>
      </c>
      <c r="P252" s="6">
        <f t="shared" si="74"/>
        <v>413.4375</v>
      </c>
      <c r="Q252" s="1">
        <v>0.4</v>
      </c>
      <c r="R252" s="1">
        <v>1.5</v>
      </c>
      <c r="S252" s="1">
        <v>1</v>
      </c>
      <c r="T252" s="1">
        <v>0.8</v>
      </c>
      <c r="U252" s="1">
        <v>10</v>
      </c>
      <c r="V252" s="5">
        <f t="shared" si="75"/>
        <v>2.4999999999999991</v>
      </c>
      <c r="X252" s="1">
        <v>3</v>
      </c>
      <c r="Y252" s="6">
        <f t="shared" ref="Y252:Y315" si="77">2*N252/(1+$X$22)</f>
        <v>161.69265000000001</v>
      </c>
      <c r="Z252" s="6">
        <f t="shared" ref="Z252:Z315" si="78">O252/$X$22</f>
        <v>6165.3790585823754</v>
      </c>
      <c r="AA252" s="6">
        <f t="shared" ref="AA252:AA315" si="79">P252</f>
        <v>413.4375</v>
      </c>
      <c r="AB252" s="1">
        <f t="shared" ref="AB252:AB315" si="80">Q252</f>
        <v>0.4</v>
      </c>
      <c r="AC252" s="1">
        <f t="shared" si="70"/>
        <v>1.5</v>
      </c>
      <c r="AD252" s="1">
        <f t="shared" si="71"/>
        <v>1</v>
      </c>
      <c r="AE252" s="1">
        <f t="shared" ref="AE252:AE315" si="81">U252</f>
        <v>10</v>
      </c>
      <c r="AF252" s="33">
        <f t="shared" ref="AF252:AF315" si="82">V252</f>
        <v>2.4999999999999991</v>
      </c>
    </row>
    <row r="253" spans="3:32" ht="14.25" hidden="1" customHeight="1" outlineLevel="1" x14ac:dyDescent="0.2">
      <c r="D253" s="1">
        <v>4</v>
      </c>
      <c r="E253" s="6">
        <f t="shared" si="72"/>
        <v>16.977728250000002</v>
      </c>
      <c r="F253" s="6">
        <f t="shared" si="69"/>
        <v>780.04950000109056</v>
      </c>
      <c r="G253" s="6">
        <f t="shared" si="69"/>
        <v>5.7881250000000009</v>
      </c>
      <c r="H253" s="1">
        <v>0.4</v>
      </c>
      <c r="I253" s="1">
        <v>1.5</v>
      </c>
      <c r="J253" s="1">
        <v>1</v>
      </c>
      <c r="M253" s="1">
        <v>4</v>
      </c>
      <c r="N253" s="6">
        <f t="shared" si="76"/>
        <v>848.88641250000023</v>
      </c>
      <c r="O253" s="6">
        <f t="shared" si="73"/>
        <v>58250.840142009074</v>
      </c>
      <c r="P253" s="6">
        <f t="shared" si="74"/>
        <v>434.10937500000006</v>
      </c>
      <c r="Q253" s="1">
        <v>0.4</v>
      </c>
      <c r="R253" s="1">
        <v>1.5</v>
      </c>
      <c r="S253" s="1">
        <v>1</v>
      </c>
      <c r="T253" s="1">
        <v>0.8</v>
      </c>
      <c r="U253" s="1">
        <v>10</v>
      </c>
      <c r="V253" s="5">
        <f t="shared" si="75"/>
        <v>2.4999999999999987</v>
      </c>
      <c r="X253" s="1">
        <v>4</v>
      </c>
      <c r="Y253" s="6">
        <f t="shared" si="77"/>
        <v>169.77728250000004</v>
      </c>
      <c r="Z253" s="6">
        <f t="shared" si="78"/>
        <v>6472.3155713343413</v>
      </c>
      <c r="AA253" s="6">
        <f t="shared" si="79"/>
        <v>434.10937500000006</v>
      </c>
      <c r="AB253" s="1">
        <f t="shared" si="80"/>
        <v>0.4</v>
      </c>
      <c r="AC253" s="1">
        <f t="shared" si="70"/>
        <v>1.5</v>
      </c>
      <c r="AD253" s="1">
        <f t="shared" si="71"/>
        <v>1</v>
      </c>
      <c r="AE253" s="1">
        <f t="shared" si="81"/>
        <v>10</v>
      </c>
      <c r="AF253" s="33">
        <f t="shared" si="82"/>
        <v>2.4999999999999987</v>
      </c>
    </row>
    <row r="254" spans="3:32" ht="14.25" hidden="1" customHeight="1" outlineLevel="1" x14ac:dyDescent="0.2">
      <c r="D254" s="1">
        <v>5</v>
      </c>
      <c r="E254" s="6">
        <f t="shared" si="72"/>
        <v>17.826614662499999</v>
      </c>
      <c r="F254" s="6">
        <f t="shared" si="69"/>
        <v>819.05197500114502</v>
      </c>
      <c r="G254" s="6">
        <f t="shared" si="69"/>
        <v>6.0775312499999998</v>
      </c>
      <c r="H254" s="1">
        <v>0.4</v>
      </c>
      <c r="I254" s="1">
        <v>1.5</v>
      </c>
      <c r="J254" s="1">
        <v>1</v>
      </c>
      <c r="M254" s="1">
        <v>5</v>
      </c>
      <c r="N254" s="6">
        <f t="shared" si="76"/>
        <v>891.33073312500005</v>
      </c>
      <c r="O254" s="6">
        <f t="shared" si="73"/>
        <v>61150.166588796295</v>
      </c>
      <c r="P254" s="6">
        <f t="shared" si="74"/>
        <v>455.81484374999997</v>
      </c>
      <c r="Q254" s="1">
        <v>0.4</v>
      </c>
      <c r="R254" s="1">
        <v>1.5</v>
      </c>
      <c r="S254" s="1">
        <v>1</v>
      </c>
      <c r="T254" s="1">
        <v>0.8</v>
      </c>
      <c r="U254" s="1">
        <v>10</v>
      </c>
      <c r="V254" s="5">
        <f t="shared" si="75"/>
        <v>2.4999999999999987</v>
      </c>
      <c r="X254" s="1">
        <v>5</v>
      </c>
      <c r="Y254" s="6">
        <f t="shared" si="77"/>
        <v>178.266146625</v>
      </c>
      <c r="Z254" s="6">
        <f t="shared" si="78"/>
        <v>6794.4629543106994</v>
      </c>
      <c r="AA254" s="6">
        <f t="shared" si="79"/>
        <v>455.81484374999997</v>
      </c>
      <c r="AB254" s="1">
        <f t="shared" si="80"/>
        <v>0.4</v>
      </c>
      <c r="AC254" s="1">
        <f t="shared" si="70"/>
        <v>1.5</v>
      </c>
      <c r="AD254" s="1">
        <f t="shared" si="71"/>
        <v>1</v>
      </c>
      <c r="AE254" s="1">
        <f t="shared" si="81"/>
        <v>10</v>
      </c>
      <c r="AF254" s="33">
        <f t="shared" si="82"/>
        <v>2.4999999999999987</v>
      </c>
    </row>
    <row r="255" spans="3:32" ht="14.25" hidden="1" customHeight="1" outlineLevel="1" x14ac:dyDescent="0.2">
      <c r="D255" s="1">
        <v>6</v>
      </c>
      <c r="E255" s="6">
        <f t="shared" si="72"/>
        <v>18.717945395625001</v>
      </c>
      <c r="F255" s="6">
        <f t="shared" si="69"/>
        <v>860.00457375120232</v>
      </c>
      <c r="G255" s="6">
        <f t="shared" si="69"/>
        <v>6.3814078125000009</v>
      </c>
      <c r="H255" s="1">
        <v>0.4</v>
      </c>
      <c r="I255" s="1">
        <v>1.5</v>
      </c>
      <c r="J255" s="1">
        <v>1</v>
      </c>
      <c r="M255" s="1">
        <v>6</v>
      </c>
      <c r="N255" s="6">
        <f t="shared" si="76"/>
        <v>935.89726978125009</v>
      </c>
      <c r="O255" s="6">
        <f t="shared" si="73"/>
        <v>64193.111215276782</v>
      </c>
      <c r="P255" s="6">
        <f t="shared" si="74"/>
        <v>478.60558593750005</v>
      </c>
      <c r="Q255" s="1">
        <v>0.4</v>
      </c>
      <c r="R255" s="1">
        <v>1.5</v>
      </c>
      <c r="S255" s="1">
        <v>1</v>
      </c>
      <c r="T255" s="1">
        <v>0.8</v>
      </c>
      <c r="U255" s="1">
        <v>10</v>
      </c>
      <c r="V255" s="5">
        <f t="shared" si="75"/>
        <v>2.4999999999999991</v>
      </c>
      <c r="X255" s="1">
        <v>6</v>
      </c>
      <c r="Y255" s="6">
        <f t="shared" si="77"/>
        <v>187.17945395625003</v>
      </c>
      <c r="Z255" s="6">
        <f t="shared" si="78"/>
        <v>7132.5679128085312</v>
      </c>
      <c r="AA255" s="6">
        <f t="shared" si="79"/>
        <v>478.60558593750005</v>
      </c>
      <c r="AB255" s="1">
        <f t="shared" si="80"/>
        <v>0.4</v>
      </c>
      <c r="AC255" s="1">
        <f t="shared" si="70"/>
        <v>1.5</v>
      </c>
      <c r="AD255" s="1">
        <f t="shared" si="71"/>
        <v>1</v>
      </c>
      <c r="AE255" s="1">
        <f t="shared" si="81"/>
        <v>10</v>
      </c>
      <c r="AF255" s="33">
        <f t="shared" si="82"/>
        <v>2.4999999999999991</v>
      </c>
    </row>
    <row r="256" spans="3:32" ht="14.25" hidden="1" customHeight="1" outlineLevel="1" x14ac:dyDescent="0.2">
      <c r="D256" s="1">
        <v>7</v>
      </c>
      <c r="E256" s="6">
        <f t="shared" si="72"/>
        <v>19.653842665406248</v>
      </c>
      <c r="F256" s="6">
        <f t="shared" si="69"/>
        <v>903.00480243876234</v>
      </c>
      <c r="G256" s="6">
        <f t="shared" si="69"/>
        <v>6.7004782031249999</v>
      </c>
      <c r="H256" s="1">
        <v>0.4</v>
      </c>
      <c r="I256" s="1">
        <v>1.5</v>
      </c>
      <c r="J256" s="1">
        <v>1</v>
      </c>
      <c r="M256" s="1">
        <v>7</v>
      </c>
      <c r="N256" s="6">
        <f t="shared" si="76"/>
        <v>982.69213327031252</v>
      </c>
      <c r="O256" s="6">
        <f t="shared" si="73"/>
        <v>67386.717757770122</v>
      </c>
      <c r="P256" s="6">
        <f t="shared" si="74"/>
        <v>502.53586523437497</v>
      </c>
      <c r="Q256" s="1">
        <v>0.4</v>
      </c>
      <c r="R256" s="1">
        <v>1.5</v>
      </c>
      <c r="S256" s="1">
        <v>1</v>
      </c>
      <c r="T256" s="1">
        <v>0.8</v>
      </c>
      <c r="U256" s="1">
        <v>10</v>
      </c>
      <c r="V256" s="5">
        <f t="shared" si="75"/>
        <v>2.4999999999999991</v>
      </c>
      <c r="X256" s="1">
        <v>7</v>
      </c>
      <c r="Y256" s="6">
        <f t="shared" si="77"/>
        <v>196.5384266540625</v>
      </c>
      <c r="Z256" s="6">
        <f t="shared" si="78"/>
        <v>7487.4130841966798</v>
      </c>
      <c r="AA256" s="6">
        <f t="shared" si="79"/>
        <v>502.53586523437497</v>
      </c>
      <c r="AB256" s="1">
        <f t="shared" si="80"/>
        <v>0.4</v>
      </c>
      <c r="AC256" s="1">
        <f t="shared" si="70"/>
        <v>1.5</v>
      </c>
      <c r="AD256" s="1">
        <f t="shared" si="71"/>
        <v>1</v>
      </c>
      <c r="AE256" s="1">
        <f t="shared" si="81"/>
        <v>10</v>
      </c>
      <c r="AF256" s="33">
        <f t="shared" si="82"/>
        <v>2.4999999999999991</v>
      </c>
    </row>
    <row r="257" spans="4:32" ht="14.25" hidden="1" customHeight="1" outlineLevel="1" x14ac:dyDescent="0.2">
      <c r="D257" s="1">
        <v>8</v>
      </c>
      <c r="E257" s="6">
        <f t="shared" si="72"/>
        <v>20.636534798676568</v>
      </c>
      <c r="F257" s="6">
        <f t="shared" si="69"/>
        <v>948.15504256070062</v>
      </c>
      <c r="G257" s="6">
        <f t="shared" si="69"/>
        <v>7.0355021132812512</v>
      </c>
      <c r="H257" s="1">
        <v>0.4</v>
      </c>
      <c r="I257" s="1">
        <v>1.5</v>
      </c>
      <c r="J257" s="1">
        <v>1</v>
      </c>
      <c r="M257" s="1">
        <v>8</v>
      </c>
      <c r="N257" s="6">
        <f t="shared" si="76"/>
        <v>1031.8267399338285</v>
      </c>
      <c r="O257" s="6">
        <f t="shared" si="73"/>
        <v>70738.368237633098</v>
      </c>
      <c r="P257" s="6">
        <f t="shared" si="74"/>
        <v>527.66265849609385</v>
      </c>
      <c r="Q257" s="1">
        <v>0.4</v>
      </c>
      <c r="R257" s="1">
        <v>1.5</v>
      </c>
      <c r="S257" s="1">
        <v>1</v>
      </c>
      <c r="T257" s="1">
        <v>0.8</v>
      </c>
      <c r="U257" s="1">
        <v>10</v>
      </c>
      <c r="V257" s="5">
        <f t="shared" si="75"/>
        <v>2.4999999999999991</v>
      </c>
      <c r="X257" s="1">
        <v>8</v>
      </c>
      <c r="Y257" s="6">
        <f t="shared" si="77"/>
        <v>206.3653479867657</v>
      </c>
      <c r="Z257" s="6">
        <f t="shared" si="78"/>
        <v>7859.8186930703441</v>
      </c>
      <c r="AA257" s="6">
        <f t="shared" si="79"/>
        <v>527.66265849609385</v>
      </c>
      <c r="AB257" s="1">
        <f t="shared" si="80"/>
        <v>0.4</v>
      </c>
      <c r="AC257" s="1">
        <f t="shared" si="70"/>
        <v>1.5</v>
      </c>
      <c r="AD257" s="1">
        <f t="shared" si="71"/>
        <v>1</v>
      </c>
      <c r="AE257" s="1">
        <f t="shared" si="81"/>
        <v>10</v>
      </c>
      <c r="AF257" s="33">
        <f t="shared" si="82"/>
        <v>2.4999999999999991</v>
      </c>
    </row>
    <row r="258" spans="4:32" ht="14.25" hidden="1" customHeight="1" outlineLevel="1" x14ac:dyDescent="0.2">
      <c r="D258" s="1">
        <v>9</v>
      </c>
      <c r="E258" s="6">
        <f t="shared" si="72"/>
        <v>21.668361538610391</v>
      </c>
      <c r="F258" s="6">
        <f t="shared" si="69"/>
        <v>995.56279468873561</v>
      </c>
      <c r="G258" s="6">
        <f t="shared" si="69"/>
        <v>7.3872772189453126</v>
      </c>
      <c r="H258" s="1">
        <v>0.4</v>
      </c>
      <c r="I258" s="1">
        <v>1.5</v>
      </c>
      <c r="J258" s="1">
        <v>1</v>
      </c>
      <c r="M258" s="1">
        <v>9</v>
      </c>
      <c r="N258" s="6">
        <f t="shared" si="76"/>
        <v>1083.4180769305196</v>
      </c>
      <c r="O258" s="6">
        <f t="shared" si="73"/>
        <v>74255.798475316682</v>
      </c>
      <c r="P258" s="6">
        <f t="shared" si="74"/>
        <v>554.04579142089847</v>
      </c>
      <c r="Q258" s="1">
        <v>0.4</v>
      </c>
      <c r="R258" s="1">
        <v>1.5</v>
      </c>
      <c r="S258" s="1">
        <v>1</v>
      </c>
      <c r="T258" s="1">
        <v>0.8</v>
      </c>
      <c r="U258" s="1">
        <v>10</v>
      </c>
      <c r="V258" s="5">
        <f t="shared" si="75"/>
        <v>2.4999999999999991</v>
      </c>
      <c r="X258" s="1">
        <v>9</v>
      </c>
      <c r="Y258" s="6">
        <f t="shared" si="77"/>
        <v>216.68361538610392</v>
      </c>
      <c r="Z258" s="6">
        <f t="shared" si="78"/>
        <v>8250.6442750351871</v>
      </c>
      <c r="AA258" s="6">
        <f t="shared" si="79"/>
        <v>554.04579142089847</v>
      </c>
      <c r="AB258" s="1">
        <f t="shared" si="80"/>
        <v>0.4</v>
      </c>
      <c r="AC258" s="1">
        <f t="shared" si="70"/>
        <v>1.5</v>
      </c>
      <c r="AD258" s="1">
        <f t="shared" si="71"/>
        <v>1</v>
      </c>
      <c r="AE258" s="1">
        <f t="shared" si="81"/>
        <v>10</v>
      </c>
      <c r="AF258" s="33">
        <f t="shared" si="82"/>
        <v>2.4999999999999991</v>
      </c>
    </row>
    <row r="259" spans="4:32" ht="14.25" hidden="1" customHeight="1" outlineLevel="1" x14ac:dyDescent="0.2">
      <c r="D259" s="1">
        <v>10</v>
      </c>
      <c r="E259" s="6">
        <f t="shared" si="72"/>
        <v>22.751779615540912</v>
      </c>
      <c r="F259" s="6">
        <f t="shared" si="69"/>
        <v>1045.3409344231725</v>
      </c>
      <c r="G259" s="6">
        <f t="shared" si="69"/>
        <v>7.7566410798925789</v>
      </c>
      <c r="H259" s="1">
        <v>0.4</v>
      </c>
      <c r="I259" s="1">
        <v>1.5</v>
      </c>
      <c r="J259" s="1">
        <v>1</v>
      </c>
      <c r="M259" s="1">
        <v>10</v>
      </c>
      <c r="N259" s="6">
        <f t="shared" si="76"/>
        <v>1137.5889807770457</v>
      </c>
      <c r="O259" s="6">
        <f t="shared" si="73"/>
        <v>77947.114240455499</v>
      </c>
      <c r="P259" s="6">
        <f t="shared" si="74"/>
        <v>581.74808099194343</v>
      </c>
      <c r="Q259" s="1">
        <v>0.4</v>
      </c>
      <c r="R259" s="1">
        <v>1.5</v>
      </c>
      <c r="S259" s="1">
        <v>1</v>
      </c>
      <c r="T259" s="1">
        <v>0.8</v>
      </c>
      <c r="U259" s="1">
        <v>10</v>
      </c>
      <c r="V259" s="5">
        <f t="shared" si="75"/>
        <v>2.4999999999999991</v>
      </c>
      <c r="X259" s="1">
        <v>10</v>
      </c>
      <c r="Y259" s="6">
        <f t="shared" si="77"/>
        <v>227.51779615540914</v>
      </c>
      <c r="Z259" s="6">
        <f t="shared" si="78"/>
        <v>8660.790471161723</v>
      </c>
      <c r="AA259" s="6">
        <f t="shared" si="79"/>
        <v>581.74808099194343</v>
      </c>
      <c r="AB259" s="1">
        <f t="shared" si="80"/>
        <v>0.4</v>
      </c>
      <c r="AC259" s="1">
        <f t="shared" si="70"/>
        <v>1.5</v>
      </c>
      <c r="AD259" s="1">
        <f t="shared" si="71"/>
        <v>1</v>
      </c>
      <c r="AE259" s="1">
        <f t="shared" si="81"/>
        <v>10</v>
      </c>
      <c r="AF259" s="33">
        <f t="shared" si="82"/>
        <v>2.4999999999999991</v>
      </c>
    </row>
    <row r="260" spans="4:32" ht="14.25" hidden="1" customHeight="1" outlineLevel="1" x14ac:dyDescent="0.2">
      <c r="D260" s="1">
        <v>11</v>
      </c>
      <c r="E260" s="6">
        <f t="shared" si="72"/>
        <v>23.889368596317958</v>
      </c>
      <c r="F260" s="6">
        <f t="shared" si="69"/>
        <v>1097.607981144331</v>
      </c>
      <c r="G260" s="6">
        <f t="shared" si="69"/>
        <v>8.1444731338872085</v>
      </c>
      <c r="H260" s="1">
        <v>0.4</v>
      </c>
      <c r="I260" s="1">
        <v>1.5</v>
      </c>
      <c r="J260" s="1">
        <v>1</v>
      </c>
      <c r="M260" s="1">
        <v>11</v>
      </c>
      <c r="N260" s="6">
        <f t="shared" si="76"/>
        <v>1194.4684298158979</v>
      </c>
      <c r="O260" s="6">
        <f t="shared" si="73"/>
        <v>81820.808056070615</v>
      </c>
      <c r="P260" s="6">
        <f t="shared" si="74"/>
        <v>610.83548504154066</v>
      </c>
      <c r="Q260" s="1">
        <v>0.4</v>
      </c>
      <c r="R260" s="1">
        <v>1.5</v>
      </c>
      <c r="S260" s="1">
        <v>1</v>
      </c>
      <c r="T260" s="1">
        <v>0.8</v>
      </c>
      <c r="U260" s="1">
        <v>10</v>
      </c>
      <c r="V260" s="5">
        <f t="shared" si="75"/>
        <v>2.4999999999999991</v>
      </c>
      <c r="X260" s="1">
        <v>11</v>
      </c>
      <c r="Y260" s="6">
        <f t="shared" si="77"/>
        <v>238.89368596317959</v>
      </c>
      <c r="Z260" s="6">
        <f t="shared" si="78"/>
        <v>9091.2008951189564</v>
      </c>
      <c r="AA260" s="6">
        <f t="shared" si="79"/>
        <v>610.83548504154066</v>
      </c>
      <c r="AB260" s="1">
        <f t="shared" si="80"/>
        <v>0.4</v>
      </c>
      <c r="AC260" s="1">
        <f t="shared" si="70"/>
        <v>1.5</v>
      </c>
      <c r="AD260" s="1">
        <f t="shared" si="71"/>
        <v>1</v>
      </c>
      <c r="AE260" s="1">
        <f t="shared" si="81"/>
        <v>10</v>
      </c>
      <c r="AF260" s="33">
        <f t="shared" si="82"/>
        <v>2.4999999999999991</v>
      </c>
    </row>
    <row r="261" spans="4:32" ht="14.25" hidden="1" customHeight="1" outlineLevel="1" x14ac:dyDescent="0.2">
      <c r="D261" s="1">
        <v>12</v>
      </c>
      <c r="E261" s="6">
        <f t="shared" si="72"/>
        <v>25.083837026133857</v>
      </c>
      <c r="F261" s="6">
        <f t="shared" si="69"/>
        <v>1152.4883802015477</v>
      </c>
      <c r="G261" s="6">
        <f t="shared" si="69"/>
        <v>8.5516967905815697</v>
      </c>
      <c r="H261" s="1">
        <v>0.4</v>
      </c>
      <c r="I261" s="1">
        <v>1.5</v>
      </c>
      <c r="J261" s="1">
        <v>1</v>
      </c>
      <c r="M261" s="1">
        <v>12</v>
      </c>
      <c r="N261" s="6">
        <f t="shared" si="76"/>
        <v>1254.191851306693</v>
      </c>
      <c r="O261" s="6">
        <f t="shared" si="73"/>
        <v>85885.776674557768</v>
      </c>
      <c r="P261" s="6">
        <f t="shared" si="74"/>
        <v>641.37725929361773</v>
      </c>
      <c r="Q261" s="1">
        <v>0.4</v>
      </c>
      <c r="R261" s="1">
        <v>1.5</v>
      </c>
      <c r="S261" s="1">
        <v>1</v>
      </c>
      <c r="T261" s="1">
        <v>0.8</v>
      </c>
      <c r="U261" s="1">
        <v>10</v>
      </c>
      <c r="V261" s="5">
        <f t="shared" si="75"/>
        <v>2.4999999999999991</v>
      </c>
      <c r="X261" s="1">
        <v>12</v>
      </c>
      <c r="Y261" s="6">
        <f t="shared" si="77"/>
        <v>250.83837026133861</v>
      </c>
      <c r="Z261" s="6">
        <f t="shared" si="78"/>
        <v>9542.8640749508631</v>
      </c>
      <c r="AA261" s="6">
        <f t="shared" si="79"/>
        <v>641.37725929361773</v>
      </c>
      <c r="AB261" s="1">
        <f t="shared" si="80"/>
        <v>0.4</v>
      </c>
      <c r="AC261" s="1">
        <f t="shared" si="70"/>
        <v>1.5</v>
      </c>
      <c r="AD261" s="1">
        <f t="shared" si="71"/>
        <v>1</v>
      </c>
      <c r="AE261" s="1">
        <f t="shared" si="81"/>
        <v>10</v>
      </c>
      <c r="AF261" s="33">
        <f t="shared" si="82"/>
        <v>2.4999999999999991</v>
      </c>
    </row>
    <row r="262" spans="4:32" ht="14.25" hidden="1" customHeight="1" outlineLevel="1" x14ac:dyDescent="0.2">
      <c r="D262" s="1">
        <v>13</v>
      </c>
      <c r="E262" s="6">
        <f t="shared" si="72"/>
        <v>26.338028877440546</v>
      </c>
      <c r="F262" s="6">
        <f t="shared" si="69"/>
        <v>1210.1127992116249</v>
      </c>
      <c r="G262" s="6">
        <f t="shared" si="69"/>
        <v>8.9792816301106466</v>
      </c>
      <c r="H262" s="1">
        <v>0.4</v>
      </c>
      <c r="I262" s="1">
        <v>1.5</v>
      </c>
      <c r="J262" s="1">
        <v>1</v>
      </c>
      <c r="M262" s="1">
        <v>13</v>
      </c>
      <c r="N262" s="6">
        <f t="shared" si="76"/>
        <v>1316.9014438720276</v>
      </c>
      <c r="O262" s="6">
        <f t="shared" si="73"/>
        <v>90151.33924257879</v>
      </c>
      <c r="P262" s="6">
        <f t="shared" si="74"/>
        <v>673.44612225829849</v>
      </c>
      <c r="Q262" s="1">
        <v>0.4</v>
      </c>
      <c r="R262" s="1">
        <v>1.5</v>
      </c>
      <c r="S262" s="1">
        <v>1</v>
      </c>
      <c r="T262" s="1">
        <v>0.8</v>
      </c>
      <c r="U262" s="1">
        <v>10</v>
      </c>
      <c r="V262" s="5">
        <f t="shared" si="75"/>
        <v>2.4999999999999987</v>
      </c>
      <c r="X262" s="1">
        <v>13</v>
      </c>
      <c r="Y262" s="6">
        <f t="shared" si="77"/>
        <v>263.38028877440553</v>
      </c>
      <c r="Z262" s="6">
        <f t="shared" si="78"/>
        <v>10016.815471397644</v>
      </c>
      <c r="AA262" s="6">
        <f t="shared" si="79"/>
        <v>673.44612225829849</v>
      </c>
      <c r="AB262" s="1">
        <f t="shared" si="80"/>
        <v>0.4</v>
      </c>
      <c r="AC262" s="1">
        <f t="shared" si="70"/>
        <v>1.5</v>
      </c>
      <c r="AD262" s="1">
        <f t="shared" si="71"/>
        <v>1</v>
      </c>
      <c r="AE262" s="1">
        <f t="shared" si="81"/>
        <v>10</v>
      </c>
      <c r="AF262" s="33">
        <f t="shared" si="82"/>
        <v>2.4999999999999987</v>
      </c>
    </row>
    <row r="263" spans="4:32" ht="14.25" hidden="1" customHeight="1" outlineLevel="1" x14ac:dyDescent="0.2">
      <c r="D263" s="1">
        <v>14</v>
      </c>
      <c r="E263" s="6">
        <f t="shared" si="72"/>
        <v>27.65493032131258</v>
      </c>
      <c r="F263" s="6">
        <f t="shared" si="69"/>
        <v>1270.6184391722063</v>
      </c>
      <c r="G263" s="6">
        <f t="shared" si="69"/>
        <v>9.4282457116161797</v>
      </c>
      <c r="H263" s="1">
        <v>0.4</v>
      </c>
      <c r="I263" s="1">
        <v>1.5</v>
      </c>
      <c r="J263" s="1">
        <v>1</v>
      </c>
      <c r="M263" s="1">
        <v>14</v>
      </c>
      <c r="N263" s="6">
        <f t="shared" si="76"/>
        <v>1382.7465160656293</v>
      </c>
      <c r="O263" s="6">
        <f t="shared" si="73"/>
        <v>94627.256171266417</v>
      </c>
      <c r="P263" s="6">
        <f t="shared" si="74"/>
        <v>707.11842837121344</v>
      </c>
      <c r="Q263" s="1">
        <v>0.4</v>
      </c>
      <c r="R263" s="1">
        <v>1.5</v>
      </c>
      <c r="S263" s="1">
        <v>1</v>
      </c>
      <c r="T263" s="1">
        <v>0.8</v>
      </c>
      <c r="U263" s="1">
        <v>10</v>
      </c>
      <c r="V263" s="5">
        <f t="shared" si="75"/>
        <v>2.4999999999999991</v>
      </c>
      <c r="X263" s="1">
        <v>14</v>
      </c>
      <c r="Y263" s="6">
        <f t="shared" si="77"/>
        <v>276.54930321312588</v>
      </c>
      <c r="Z263" s="6">
        <f t="shared" si="78"/>
        <v>10514.139574585157</v>
      </c>
      <c r="AA263" s="6">
        <f t="shared" si="79"/>
        <v>707.11842837121344</v>
      </c>
      <c r="AB263" s="1">
        <f t="shared" si="80"/>
        <v>0.4</v>
      </c>
      <c r="AC263" s="1">
        <f t="shared" si="70"/>
        <v>1.5</v>
      </c>
      <c r="AD263" s="1">
        <f t="shared" si="71"/>
        <v>1</v>
      </c>
      <c r="AE263" s="1">
        <f t="shared" si="81"/>
        <v>10</v>
      </c>
      <c r="AF263" s="33">
        <f t="shared" si="82"/>
        <v>2.4999999999999991</v>
      </c>
    </row>
    <row r="264" spans="4:32" ht="14.25" hidden="1" customHeight="1" outlineLevel="1" x14ac:dyDescent="0.2">
      <c r="D264" s="1">
        <v>15</v>
      </c>
      <c r="E264" s="6">
        <f t="shared" si="72"/>
        <v>29.037676837378203</v>
      </c>
      <c r="F264" s="6">
        <f t="shared" si="69"/>
        <v>1334.1493611308163</v>
      </c>
      <c r="G264" s="6">
        <f t="shared" si="69"/>
        <v>9.8996579971969858</v>
      </c>
      <c r="H264" s="1">
        <v>0.4</v>
      </c>
      <c r="I264" s="1">
        <v>1.5</v>
      </c>
      <c r="J264" s="1">
        <v>1</v>
      </c>
      <c r="M264" s="1">
        <v>15</v>
      </c>
      <c r="N264" s="6">
        <f t="shared" si="76"/>
        <v>1451.8838418689102</v>
      </c>
      <c r="O264" s="6">
        <f t="shared" si="73"/>
        <v>99323.748727261642</v>
      </c>
      <c r="P264" s="6">
        <f t="shared" si="74"/>
        <v>742.4743497897739</v>
      </c>
      <c r="Q264" s="1">
        <v>0.4</v>
      </c>
      <c r="R264" s="1">
        <v>1.5</v>
      </c>
      <c r="S264" s="1">
        <v>1</v>
      </c>
      <c r="T264" s="1">
        <v>0.8</v>
      </c>
      <c r="U264" s="1">
        <v>10</v>
      </c>
      <c r="V264" s="5">
        <f t="shared" si="75"/>
        <v>2.4999999999999996</v>
      </c>
      <c r="X264" s="1">
        <v>15</v>
      </c>
      <c r="Y264" s="6">
        <f t="shared" si="77"/>
        <v>290.37676837378206</v>
      </c>
      <c r="Z264" s="6">
        <f t="shared" si="78"/>
        <v>11035.972080806849</v>
      </c>
      <c r="AA264" s="6">
        <f t="shared" si="79"/>
        <v>742.4743497897739</v>
      </c>
      <c r="AB264" s="1">
        <f t="shared" si="80"/>
        <v>0.4</v>
      </c>
      <c r="AC264" s="1">
        <f t="shared" si="70"/>
        <v>1.5</v>
      </c>
      <c r="AD264" s="1">
        <f t="shared" si="71"/>
        <v>1</v>
      </c>
      <c r="AE264" s="1">
        <f t="shared" si="81"/>
        <v>10</v>
      </c>
      <c r="AF264" s="33">
        <f t="shared" si="82"/>
        <v>2.4999999999999996</v>
      </c>
    </row>
    <row r="265" spans="4:32" ht="14.25" hidden="1" customHeight="1" outlineLevel="1" x14ac:dyDescent="0.2">
      <c r="D265" s="1">
        <v>16</v>
      </c>
      <c r="E265" s="6">
        <f t="shared" si="72"/>
        <v>30.489560679247123</v>
      </c>
      <c r="F265" s="6">
        <f t="shared" si="69"/>
        <v>1400.8568291873576</v>
      </c>
      <c r="G265" s="6">
        <f t="shared" si="69"/>
        <v>10.394640897056838</v>
      </c>
      <c r="H265" s="1">
        <v>0.4</v>
      </c>
      <c r="I265" s="1">
        <v>1.5</v>
      </c>
      <c r="J265" s="1">
        <v>1</v>
      </c>
      <c r="M265" s="1">
        <v>16</v>
      </c>
      <c r="N265" s="6">
        <f t="shared" si="76"/>
        <v>1524.4780339623562</v>
      </c>
      <c r="O265" s="6">
        <f t="shared" si="73"/>
        <v>104251.51935901964</v>
      </c>
      <c r="P265" s="6">
        <f t="shared" si="74"/>
        <v>779.59806727926286</v>
      </c>
      <c r="Q265" s="1">
        <v>0.4</v>
      </c>
      <c r="R265" s="1">
        <v>1.5</v>
      </c>
      <c r="S265" s="1">
        <v>1</v>
      </c>
      <c r="T265" s="1">
        <v>0.8</v>
      </c>
      <c r="U265" s="1">
        <v>10</v>
      </c>
      <c r="V265" s="5">
        <f t="shared" si="75"/>
        <v>2.4999999999999991</v>
      </c>
      <c r="X265" s="1">
        <v>16</v>
      </c>
      <c r="Y265" s="6">
        <f t="shared" si="77"/>
        <v>304.89560679247126</v>
      </c>
      <c r="Z265" s="6">
        <f t="shared" si="78"/>
        <v>11583.502151002183</v>
      </c>
      <c r="AA265" s="6">
        <f t="shared" si="79"/>
        <v>779.59806727926286</v>
      </c>
      <c r="AB265" s="1">
        <f t="shared" si="80"/>
        <v>0.4</v>
      </c>
      <c r="AC265" s="1">
        <f t="shared" si="70"/>
        <v>1.5</v>
      </c>
      <c r="AD265" s="1">
        <f t="shared" si="71"/>
        <v>1</v>
      </c>
      <c r="AE265" s="1">
        <f t="shared" si="81"/>
        <v>10</v>
      </c>
      <c r="AF265" s="33">
        <f t="shared" si="82"/>
        <v>2.4999999999999991</v>
      </c>
    </row>
    <row r="266" spans="4:32" ht="14.25" hidden="1" customHeight="1" outlineLevel="1" x14ac:dyDescent="0.2">
      <c r="D266" s="1">
        <v>17</v>
      </c>
      <c r="E266" s="6">
        <f t="shared" si="72"/>
        <v>32.014038713209473</v>
      </c>
      <c r="F266" s="6">
        <f t="shared" si="72"/>
        <v>1470.8996706467253</v>
      </c>
      <c r="G266" s="6">
        <f t="shared" si="72"/>
        <v>10.914372941909679</v>
      </c>
      <c r="H266" s="1">
        <v>0.4</v>
      </c>
      <c r="I266" s="1">
        <v>1.5</v>
      </c>
      <c r="J266" s="1">
        <v>1</v>
      </c>
      <c r="M266" s="1">
        <v>17</v>
      </c>
      <c r="N266" s="6">
        <f t="shared" si="76"/>
        <v>1600.7019356604737</v>
      </c>
      <c r="O266" s="6">
        <f t="shared" si="73"/>
        <v>109421.77277150954</v>
      </c>
      <c r="P266" s="6">
        <f t="shared" si="74"/>
        <v>818.57797064322597</v>
      </c>
      <c r="Q266" s="1">
        <v>0.4</v>
      </c>
      <c r="R266" s="1">
        <v>1.5</v>
      </c>
      <c r="S266" s="1">
        <v>1</v>
      </c>
      <c r="T266" s="1">
        <v>0.8</v>
      </c>
      <c r="U266" s="1">
        <v>10</v>
      </c>
      <c r="V266" s="5">
        <f t="shared" si="75"/>
        <v>2.4999999999999991</v>
      </c>
      <c r="X266" s="1">
        <v>17</v>
      </c>
      <c r="Y266" s="6">
        <f t="shared" si="77"/>
        <v>320.14038713209476</v>
      </c>
      <c r="Z266" s="6">
        <f t="shared" si="78"/>
        <v>12157.97475238995</v>
      </c>
      <c r="AA266" s="6">
        <f t="shared" si="79"/>
        <v>818.57797064322597</v>
      </c>
      <c r="AB266" s="1">
        <f t="shared" si="80"/>
        <v>0.4</v>
      </c>
      <c r="AC266" s="1">
        <f t="shared" si="70"/>
        <v>1.5</v>
      </c>
      <c r="AD266" s="1">
        <f t="shared" si="71"/>
        <v>1</v>
      </c>
      <c r="AE266" s="1">
        <f t="shared" si="81"/>
        <v>10</v>
      </c>
      <c r="AF266" s="33">
        <f t="shared" si="82"/>
        <v>2.4999999999999991</v>
      </c>
    </row>
    <row r="267" spans="4:32" ht="14.25" hidden="1" customHeight="1" outlineLevel="1" x14ac:dyDescent="0.2">
      <c r="D267" s="1">
        <v>18</v>
      </c>
      <c r="E267" s="6">
        <f t="shared" si="72"/>
        <v>33.614740648869954</v>
      </c>
      <c r="F267" s="6">
        <f t="shared" si="72"/>
        <v>1544.4446541790619</v>
      </c>
      <c r="G267" s="6">
        <f t="shared" si="72"/>
        <v>11.460091589005167</v>
      </c>
      <c r="H267" s="1">
        <v>0.4</v>
      </c>
      <c r="I267" s="1">
        <v>1.5</v>
      </c>
      <c r="J267" s="1">
        <v>1</v>
      </c>
      <c r="M267" s="1">
        <v>18</v>
      </c>
      <c r="N267" s="6">
        <f t="shared" si="76"/>
        <v>1680.7370324434978</v>
      </c>
      <c r="O267" s="6">
        <f t="shared" si="73"/>
        <v>114846.23776088533</v>
      </c>
      <c r="P267" s="6">
        <f t="shared" si="74"/>
        <v>859.50686917538746</v>
      </c>
      <c r="Q267" s="1">
        <v>0.4</v>
      </c>
      <c r="R267" s="1">
        <v>1.5</v>
      </c>
      <c r="S267" s="1">
        <v>1</v>
      </c>
      <c r="T267" s="1">
        <v>0.8</v>
      </c>
      <c r="U267" s="1">
        <v>10</v>
      </c>
      <c r="V267" s="5">
        <f t="shared" si="75"/>
        <v>2.4999999999999996</v>
      </c>
      <c r="X267" s="1">
        <v>18</v>
      </c>
      <c r="Y267" s="6">
        <f t="shared" si="77"/>
        <v>336.14740648869957</v>
      </c>
      <c r="Z267" s="6">
        <f t="shared" si="78"/>
        <v>12760.693084542814</v>
      </c>
      <c r="AA267" s="6">
        <f t="shared" si="79"/>
        <v>859.50686917538746</v>
      </c>
      <c r="AB267" s="1">
        <f t="shared" si="80"/>
        <v>0.4</v>
      </c>
      <c r="AC267" s="1">
        <f t="shared" si="70"/>
        <v>1.5</v>
      </c>
      <c r="AD267" s="1">
        <f t="shared" si="71"/>
        <v>1</v>
      </c>
      <c r="AE267" s="1">
        <f t="shared" si="81"/>
        <v>10</v>
      </c>
      <c r="AF267" s="33">
        <f t="shared" si="82"/>
        <v>2.4999999999999996</v>
      </c>
    </row>
    <row r="268" spans="4:32" ht="14.25" hidden="1" customHeight="1" outlineLevel="1" x14ac:dyDescent="0.2">
      <c r="D268" s="1">
        <v>19</v>
      </c>
      <c r="E268" s="6">
        <f t="shared" si="72"/>
        <v>35.29547768131345</v>
      </c>
      <c r="F268" s="6">
        <f t="shared" si="72"/>
        <v>1621.6668868880149</v>
      </c>
      <c r="G268" s="6">
        <f t="shared" si="72"/>
        <v>12.033096168455424</v>
      </c>
      <c r="H268" s="1">
        <v>0.4</v>
      </c>
      <c r="I268" s="1">
        <v>1.5</v>
      </c>
      <c r="J268" s="1">
        <v>1</v>
      </c>
      <c r="M268" s="1">
        <v>19</v>
      </c>
      <c r="N268" s="6">
        <f t="shared" si="76"/>
        <v>1764.7738840656727</v>
      </c>
      <c r="O268" s="6">
        <f t="shared" si="73"/>
        <v>120537.18981887668</v>
      </c>
      <c r="P268" s="6">
        <f t="shared" si="74"/>
        <v>902.48221263415678</v>
      </c>
      <c r="Q268" s="1">
        <v>0.4</v>
      </c>
      <c r="R268" s="1">
        <v>1.5</v>
      </c>
      <c r="S268" s="1">
        <v>1</v>
      </c>
      <c r="T268" s="1">
        <v>0.8</v>
      </c>
      <c r="U268" s="1">
        <v>10</v>
      </c>
      <c r="V268" s="5">
        <f t="shared" si="75"/>
        <v>2.4999999999999987</v>
      </c>
      <c r="X268" s="1">
        <v>19</v>
      </c>
      <c r="Y268" s="6">
        <f t="shared" si="77"/>
        <v>352.95477681313457</v>
      </c>
      <c r="Z268" s="6">
        <f t="shared" si="78"/>
        <v>13393.021090986298</v>
      </c>
      <c r="AA268" s="6">
        <f t="shared" si="79"/>
        <v>902.48221263415678</v>
      </c>
      <c r="AB268" s="1">
        <f t="shared" si="80"/>
        <v>0.4</v>
      </c>
      <c r="AC268" s="1">
        <f t="shared" si="70"/>
        <v>1.5</v>
      </c>
      <c r="AD268" s="1">
        <f t="shared" si="71"/>
        <v>1</v>
      </c>
      <c r="AE268" s="1">
        <f t="shared" si="81"/>
        <v>10</v>
      </c>
      <c r="AF268" s="33">
        <f t="shared" si="82"/>
        <v>2.4999999999999987</v>
      </c>
    </row>
    <row r="269" spans="4:32" ht="14.25" hidden="1" customHeight="1" outlineLevel="1" x14ac:dyDescent="0.2">
      <c r="D269" s="1">
        <v>20</v>
      </c>
      <c r="E269" s="6">
        <f t="shared" si="72"/>
        <v>37.060251565379126</v>
      </c>
      <c r="F269" s="6">
        <f t="shared" si="72"/>
        <v>1702.7502312324157</v>
      </c>
      <c r="G269" s="6">
        <f t="shared" si="72"/>
        <v>12.634750976878195</v>
      </c>
      <c r="H269" s="1">
        <v>0.4</v>
      </c>
      <c r="I269" s="1">
        <v>1.5</v>
      </c>
      <c r="J269" s="1">
        <v>1</v>
      </c>
      <c r="M269" s="1">
        <v>20</v>
      </c>
      <c r="N269" s="6">
        <f t="shared" si="76"/>
        <v>1853.0125782689565</v>
      </c>
      <c r="O269" s="6">
        <f t="shared" si="73"/>
        <v>126507.47451452755</v>
      </c>
      <c r="P269" s="6">
        <f t="shared" si="74"/>
        <v>947.6063232658646</v>
      </c>
      <c r="Q269" s="1">
        <v>0.4</v>
      </c>
      <c r="R269" s="1">
        <v>1.5</v>
      </c>
      <c r="S269" s="1">
        <v>1</v>
      </c>
      <c r="T269" s="1">
        <v>0.8</v>
      </c>
      <c r="U269" s="1">
        <v>10</v>
      </c>
      <c r="V269" s="5">
        <f t="shared" si="75"/>
        <v>2.4999999999999987</v>
      </c>
      <c r="X269" s="1">
        <v>20</v>
      </c>
      <c r="Y269" s="6">
        <f t="shared" si="77"/>
        <v>370.60251565379133</v>
      </c>
      <c r="Z269" s="6">
        <f t="shared" si="78"/>
        <v>14056.386057169728</v>
      </c>
      <c r="AA269" s="6">
        <f t="shared" si="79"/>
        <v>947.6063232658646</v>
      </c>
      <c r="AB269" s="1">
        <f t="shared" si="80"/>
        <v>0.4</v>
      </c>
      <c r="AC269" s="1">
        <f t="shared" si="70"/>
        <v>1.5</v>
      </c>
      <c r="AD269" s="1">
        <f t="shared" si="71"/>
        <v>1</v>
      </c>
      <c r="AE269" s="1">
        <f t="shared" si="81"/>
        <v>10</v>
      </c>
      <c r="AF269" s="33">
        <f t="shared" si="82"/>
        <v>2.4999999999999987</v>
      </c>
    </row>
    <row r="270" spans="4:32" ht="14.25" hidden="1" customHeight="1" outlineLevel="1" x14ac:dyDescent="0.2">
      <c r="D270" s="1">
        <v>21</v>
      </c>
      <c r="E270" s="6">
        <f t="shared" si="72"/>
        <v>38.913264143648078</v>
      </c>
      <c r="F270" s="6">
        <f t="shared" si="72"/>
        <v>1787.8877427940363</v>
      </c>
      <c r="G270" s="6">
        <f t="shared" si="72"/>
        <v>13.266488525722105</v>
      </c>
      <c r="H270" s="1">
        <v>0.4</v>
      </c>
      <c r="I270" s="1">
        <v>1.5</v>
      </c>
      <c r="J270" s="1">
        <v>1</v>
      </c>
      <c r="M270" s="1">
        <v>21</v>
      </c>
      <c r="N270" s="6">
        <f t="shared" si="76"/>
        <v>1945.6632071824042</v>
      </c>
      <c r="O270" s="6">
        <f t="shared" si="73"/>
        <v>132770.53165845203</v>
      </c>
      <c r="P270" s="6">
        <f t="shared" si="74"/>
        <v>994.98663942915789</v>
      </c>
      <c r="Q270" s="1">
        <v>0.4</v>
      </c>
      <c r="R270" s="1">
        <v>1.5</v>
      </c>
      <c r="S270" s="1">
        <v>1</v>
      </c>
      <c r="T270" s="1">
        <v>0.8</v>
      </c>
      <c r="U270" s="1">
        <v>10</v>
      </c>
      <c r="V270" s="5">
        <f t="shared" si="75"/>
        <v>2.4999999999999991</v>
      </c>
      <c r="X270" s="1">
        <v>21</v>
      </c>
      <c r="Y270" s="6">
        <f t="shared" si="77"/>
        <v>389.13264143648087</v>
      </c>
      <c r="Z270" s="6">
        <f t="shared" si="78"/>
        <v>14752.28129538356</v>
      </c>
      <c r="AA270" s="6">
        <f t="shared" si="79"/>
        <v>994.98663942915789</v>
      </c>
      <c r="AB270" s="1">
        <f t="shared" si="80"/>
        <v>0.4</v>
      </c>
      <c r="AC270" s="1">
        <f t="shared" si="70"/>
        <v>1.5</v>
      </c>
      <c r="AD270" s="1">
        <f t="shared" si="71"/>
        <v>1</v>
      </c>
      <c r="AE270" s="1">
        <f t="shared" si="81"/>
        <v>10</v>
      </c>
      <c r="AF270" s="33">
        <f t="shared" si="82"/>
        <v>2.4999999999999991</v>
      </c>
    </row>
    <row r="271" spans="4:32" ht="14.25" hidden="1" customHeight="1" outlineLevel="1" x14ac:dyDescent="0.2">
      <c r="D271" s="1">
        <v>22</v>
      </c>
      <c r="E271" s="6">
        <f t="shared" si="72"/>
        <v>40.858927350830477</v>
      </c>
      <c r="F271" s="6">
        <f t="shared" si="72"/>
        <v>1877.2821299337381</v>
      </c>
      <c r="G271" s="6">
        <f t="shared" si="72"/>
        <v>13.929812952008209</v>
      </c>
      <c r="H271" s="1">
        <v>0.4</v>
      </c>
      <c r="I271" s="1">
        <v>1.5</v>
      </c>
      <c r="J271" s="1">
        <v>1</v>
      </c>
      <c r="M271" s="1">
        <v>22</v>
      </c>
      <c r="N271" s="6">
        <f t="shared" si="76"/>
        <v>2042.9463675415241</v>
      </c>
      <c r="O271" s="6">
        <f t="shared" si="73"/>
        <v>139340.42025195737</v>
      </c>
      <c r="P271" s="6">
        <f t="shared" si="74"/>
        <v>1044.7359714006157</v>
      </c>
      <c r="Q271" s="1">
        <v>0.4</v>
      </c>
      <c r="R271" s="1">
        <v>1.5</v>
      </c>
      <c r="S271" s="1">
        <v>1</v>
      </c>
      <c r="T271" s="1">
        <v>0.8</v>
      </c>
      <c r="U271" s="1">
        <v>10</v>
      </c>
      <c r="V271" s="5">
        <f t="shared" si="75"/>
        <v>2.4999999999999991</v>
      </c>
      <c r="X271" s="1">
        <v>22</v>
      </c>
      <c r="Y271" s="6">
        <f t="shared" si="77"/>
        <v>408.58927350830481</v>
      </c>
      <c r="Z271" s="6">
        <f t="shared" si="78"/>
        <v>15482.268916884153</v>
      </c>
      <c r="AA271" s="6">
        <f t="shared" si="79"/>
        <v>1044.7359714006157</v>
      </c>
      <c r="AB271" s="1">
        <f t="shared" si="80"/>
        <v>0.4</v>
      </c>
      <c r="AC271" s="1">
        <f t="shared" si="70"/>
        <v>1.5</v>
      </c>
      <c r="AD271" s="1">
        <f t="shared" si="71"/>
        <v>1</v>
      </c>
      <c r="AE271" s="1">
        <f t="shared" si="81"/>
        <v>10</v>
      </c>
      <c r="AF271" s="33">
        <f t="shared" si="82"/>
        <v>2.4999999999999991</v>
      </c>
    </row>
    <row r="272" spans="4:32" ht="14.25" hidden="1" customHeight="1" outlineLevel="1" x14ac:dyDescent="0.2">
      <c r="D272" s="1">
        <v>23</v>
      </c>
      <c r="E272" s="6">
        <f t="shared" si="72"/>
        <v>42.901873718372002</v>
      </c>
      <c r="F272" s="6">
        <f t="shared" si="72"/>
        <v>1971.1462364304248</v>
      </c>
      <c r="G272" s="6">
        <f t="shared" si="72"/>
        <v>14.626303599608619</v>
      </c>
      <c r="H272" s="1">
        <v>0.4</v>
      </c>
      <c r="I272" s="1">
        <v>1.5</v>
      </c>
      <c r="J272" s="1">
        <v>1</v>
      </c>
      <c r="M272" s="1">
        <v>23</v>
      </c>
      <c r="N272" s="6">
        <f t="shared" si="76"/>
        <v>2145.0936859186004</v>
      </c>
      <c r="O272" s="6">
        <f t="shared" si="73"/>
        <v>146231.8442201608</v>
      </c>
      <c r="P272" s="6">
        <f t="shared" si="74"/>
        <v>1096.9727699706464</v>
      </c>
      <c r="Q272" s="1">
        <v>0.4</v>
      </c>
      <c r="R272" s="1">
        <v>1.5</v>
      </c>
      <c r="S272" s="1">
        <v>1</v>
      </c>
      <c r="T272" s="1">
        <v>0.8</v>
      </c>
      <c r="U272" s="1">
        <v>10</v>
      </c>
      <c r="V272" s="5">
        <f t="shared" si="75"/>
        <v>2.4999999999999991</v>
      </c>
      <c r="X272" s="1">
        <v>23</v>
      </c>
      <c r="Y272" s="6">
        <f t="shared" si="77"/>
        <v>429.01873718372008</v>
      </c>
      <c r="Z272" s="6">
        <f t="shared" si="78"/>
        <v>16247.982691128978</v>
      </c>
      <c r="AA272" s="6">
        <f t="shared" si="79"/>
        <v>1096.9727699706464</v>
      </c>
      <c r="AB272" s="1">
        <f t="shared" si="80"/>
        <v>0.4</v>
      </c>
      <c r="AC272" s="1">
        <f t="shared" si="70"/>
        <v>1.5</v>
      </c>
      <c r="AD272" s="1">
        <f t="shared" si="71"/>
        <v>1</v>
      </c>
      <c r="AE272" s="1">
        <f t="shared" si="81"/>
        <v>10</v>
      </c>
      <c r="AF272" s="33">
        <f t="shared" si="82"/>
        <v>2.4999999999999991</v>
      </c>
    </row>
    <row r="273" spans="4:32" ht="14.25" hidden="1" customHeight="1" outlineLevel="1" x14ac:dyDescent="0.2">
      <c r="D273" s="1">
        <v>24</v>
      </c>
      <c r="E273" s="6">
        <f t="shared" si="72"/>
        <v>45.046967404290612</v>
      </c>
      <c r="F273" s="6">
        <f t="shared" si="72"/>
        <v>2069.7035482519464</v>
      </c>
      <c r="G273" s="6">
        <f t="shared" si="72"/>
        <v>15.357618779589053</v>
      </c>
      <c r="H273" s="1">
        <v>0.4</v>
      </c>
      <c r="I273" s="1">
        <v>1.5</v>
      </c>
      <c r="J273" s="1">
        <v>1</v>
      </c>
      <c r="M273" s="1">
        <v>24</v>
      </c>
      <c r="N273" s="6">
        <f t="shared" si="76"/>
        <v>2252.3483702145309</v>
      </c>
      <c r="O273" s="6">
        <f t="shared" si="73"/>
        <v>153460.17892456771</v>
      </c>
      <c r="P273" s="6">
        <f t="shared" si="74"/>
        <v>1151.821408469179</v>
      </c>
      <c r="Q273" s="1">
        <v>0.4</v>
      </c>
      <c r="R273" s="1">
        <v>1.5</v>
      </c>
      <c r="S273" s="1">
        <v>1</v>
      </c>
      <c r="T273" s="1">
        <v>0.8</v>
      </c>
      <c r="U273" s="1">
        <v>10</v>
      </c>
      <c r="V273" s="5">
        <f t="shared" si="75"/>
        <v>2.4999999999999991</v>
      </c>
      <c r="X273" s="1">
        <v>24</v>
      </c>
      <c r="Y273" s="6">
        <f t="shared" si="77"/>
        <v>450.46967404290615</v>
      </c>
      <c r="Z273" s="6">
        <f t="shared" si="78"/>
        <v>17051.130991618633</v>
      </c>
      <c r="AA273" s="6">
        <f t="shared" si="79"/>
        <v>1151.821408469179</v>
      </c>
      <c r="AB273" s="1">
        <f t="shared" si="80"/>
        <v>0.4</v>
      </c>
      <c r="AC273" s="1">
        <f t="shared" si="70"/>
        <v>1.5</v>
      </c>
      <c r="AD273" s="1">
        <f t="shared" si="71"/>
        <v>1</v>
      </c>
      <c r="AE273" s="1">
        <f t="shared" si="81"/>
        <v>10</v>
      </c>
      <c r="AF273" s="33">
        <f t="shared" si="82"/>
        <v>2.4999999999999991</v>
      </c>
    </row>
    <row r="274" spans="4:32" ht="14.25" hidden="1" customHeight="1" outlineLevel="1" x14ac:dyDescent="0.2">
      <c r="D274" s="1">
        <v>25</v>
      </c>
      <c r="E274" s="6">
        <f t="shared" si="72"/>
        <v>47.299315774505132</v>
      </c>
      <c r="F274" s="6">
        <f t="shared" si="72"/>
        <v>2173.1887256645437</v>
      </c>
      <c r="G274" s="6">
        <f t="shared" si="72"/>
        <v>16.125499718568502</v>
      </c>
      <c r="H274" s="1">
        <v>0.4</v>
      </c>
      <c r="I274" s="1">
        <v>1.5</v>
      </c>
      <c r="J274" s="1">
        <v>1</v>
      </c>
      <c r="M274" s="1">
        <v>25</v>
      </c>
      <c r="N274" s="6">
        <f t="shared" si="76"/>
        <v>2364.965788725257</v>
      </c>
      <c r="O274" s="6">
        <f t="shared" si="73"/>
        <v>161041.49844643392</v>
      </c>
      <c r="P274" s="6">
        <f t="shared" si="74"/>
        <v>1209.4124788926376</v>
      </c>
      <c r="Q274" s="1">
        <v>0.4</v>
      </c>
      <c r="R274" s="1">
        <v>1.5</v>
      </c>
      <c r="S274" s="1">
        <v>1</v>
      </c>
      <c r="T274" s="1">
        <v>0.8</v>
      </c>
      <c r="U274" s="1">
        <v>10</v>
      </c>
      <c r="V274" s="5">
        <f t="shared" si="75"/>
        <v>2.4999999999999987</v>
      </c>
      <c r="X274" s="1">
        <v>25</v>
      </c>
      <c r="Y274" s="6">
        <f t="shared" si="77"/>
        <v>472.99315774505141</v>
      </c>
      <c r="Z274" s="6">
        <f t="shared" si="78"/>
        <v>17893.499827381547</v>
      </c>
      <c r="AA274" s="6">
        <f t="shared" si="79"/>
        <v>1209.4124788926376</v>
      </c>
      <c r="AB274" s="1">
        <f t="shared" si="80"/>
        <v>0.4</v>
      </c>
      <c r="AC274" s="1">
        <f t="shared" si="70"/>
        <v>1.5</v>
      </c>
      <c r="AD274" s="1">
        <f t="shared" si="71"/>
        <v>1</v>
      </c>
      <c r="AE274" s="1">
        <f t="shared" si="81"/>
        <v>10</v>
      </c>
      <c r="AF274" s="33">
        <f t="shared" si="82"/>
        <v>2.4999999999999987</v>
      </c>
    </row>
    <row r="275" spans="4:32" ht="14.25" hidden="1" customHeight="1" outlineLevel="1" x14ac:dyDescent="0.2">
      <c r="D275" s="1">
        <v>26</v>
      </c>
      <c r="E275" s="6">
        <f t="shared" si="72"/>
        <v>49.664281563230396</v>
      </c>
      <c r="F275" s="6">
        <f t="shared" si="72"/>
        <v>2281.8481619477707</v>
      </c>
      <c r="G275" s="6">
        <f t="shared" si="72"/>
        <v>16.931774704496931</v>
      </c>
      <c r="H275" s="1">
        <v>0.4</v>
      </c>
      <c r="I275" s="1">
        <v>1.5</v>
      </c>
      <c r="J275" s="1">
        <v>1</v>
      </c>
      <c r="M275" s="1">
        <v>26</v>
      </c>
      <c r="N275" s="6">
        <f t="shared" si="76"/>
        <v>2483.2140781615203</v>
      </c>
      <c r="O275" s="6">
        <f t="shared" si="73"/>
        <v>168992.60362757152</v>
      </c>
      <c r="P275" s="6">
        <f t="shared" si="74"/>
        <v>1269.8831028372699</v>
      </c>
      <c r="Q275" s="1">
        <v>0.4</v>
      </c>
      <c r="R275" s="1">
        <v>1.5</v>
      </c>
      <c r="S275" s="1">
        <v>1</v>
      </c>
      <c r="T275" s="1">
        <v>0.8</v>
      </c>
      <c r="U275" s="1">
        <v>10</v>
      </c>
      <c r="V275" s="5">
        <f t="shared" si="75"/>
        <v>2.4999999999999987</v>
      </c>
      <c r="X275" s="1">
        <v>26</v>
      </c>
      <c r="Y275" s="6">
        <f t="shared" si="77"/>
        <v>496.64281563230406</v>
      </c>
      <c r="Z275" s="6">
        <f t="shared" si="78"/>
        <v>18776.955958619059</v>
      </c>
      <c r="AA275" s="6">
        <f t="shared" si="79"/>
        <v>1269.8831028372699</v>
      </c>
      <c r="AB275" s="1">
        <f t="shared" si="80"/>
        <v>0.4</v>
      </c>
      <c r="AC275" s="1">
        <f t="shared" si="70"/>
        <v>1.5</v>
      </c>
      <c r="AD275" s="1">
        <f t="shared" si="71"/>
        <v>1</v>
      </c>
      <c r="AE275" s="1">
        <f t="shared" si="81"/>
        <v>10</v>
      </c>
      <c r="AF275" s="33">
        <f t="shared" si="82"/>
        <v>2.4999999999999987</v>
      </c>
    </row>
    <row r="276" spans="4:32" ht="14.25" hidden="1" customHeight="1" outlineLevel="1" x14ac:dyDescent="0.2">
      <c r="D276" s="1">
        <v>27</v>
      </c>
      <c r="E276" s="6">
        <f t="shared" si="72"/>
        <v>52.147495641391913</v>
      </c>
      <c r="F276" s="6">
        <f t="shared" si="72"/>
        <v>2395.9405700451593</v>
      </c>
      <c r="G276" s="6">
        <f t="shared" si="72"/>
        <v>17.778363439721776</v>
      </c>
      <c r="H276" s="1">
        <v>0.4</v>
      </c>
      <c r="I276" s="1">
        <v>1.5</v>
      </c>
      <c r="J276" s="1">
        <v>1</v>
      </c>
      <c r="M276" s="1">
        <v>27</v>
      </c>
      <c r="N276" s="6">
        <f t="shared" si="76"/>
        <v>2607.3747820695958</v>
      </c>
      <c r="O276" s="6">
        <f t="shared" si="73"/>
        <v>177331.0508500174</v>
      </c>
      <c r="P276" s="6">
        <f t="shared" si="74"/>
        <v>1333.3772579791332</v>
      </c>
      <c r="Q276" s="1">
        <v>0.4</v>
      </c>
      <c r="R276" s="1">
        <v>1.5</v>
      </c>
      <c r="S276" s="1">
        <v>1</v>
      </c>
      <c r="T276" s="1">
        <v>0.8</v>
      </c>
      <c r="U276" s="1">
        <v>10</v>
      </c>
      <c r="V276" s="5">
        <f t="shared" si="75"/>
        <v>2.4999999999999991</v>
      </c>
      <c r="X276" s="1">
        <v>27</v>
      </c>
      <c r="Y276" s="6">
        <f t="shared" si="77"/>
        <v>521.47495641391913</v>
      </c>
      <c r="Z276" s="6">
        <f t="shared" si="78"/>
        <v>19703.45009444638</v>
      </c>
      <c r="AA276" s="6">
        <f t="shared" si="79"/>
        <v>1333.3772579791332</v>
      </c>
      <c r="AB276" s="1">
        <f t="shared" si="80"/>
        <v>0.4</v>
      </c>
      <c r="AC276" s="1">
        <f t="shared" si="70"/>
        <v>1.5</v>
      </c>
      <c r="AD276" s="1">
        <f t="shared" si="71"/>
        <v>1</v>
      </c>
      <c r="AE276" s="1">
        <f t="shared" si="81"/>
        <v>10</v>
      </c>
      <c r="AF276" s="33">
        <f t="shared" si="82"/>
        <v>2.4999999999999991</v>
      </c>
    </row>
    <row r="277" spans="4:32" ht="14.25" hidden="1" customHeight="1" outlineLevel="1" x14ac:dyDescent="0.2">
      <c r="D277" s="1">
        <v>28</v>
      </c>
      <c r="E277" s="6">
        <f t="shared" si="72"/>
        <v>54.754870423461519</v>
      </c>
      <c r="F277" s="6">
        <f t="shared" si="72"/>
        <v>2515.7375985474177</v>
      </c>
      <c r="G277" s="6">
        <f t="shared" si="72"/>
        <v>18.667281611707867</v>
      </c>
      <c r="H277" s="1">
        <v>0.4</v>
      </c>
      <c r="I277" s="1">
        <v>1.5</v>
      </c>
      <c r="J277" s="1">
        <v>1</v>
      </c>
      <c r="M277" s="1">
        <v>28</v>
      </c>
      <c r="N277" s="6">
        <f t="shared" si="76"/>
        <v>2737.7435211730763</v>
      </c>
      <c r="O277" s="6">
        <f t="shared" si="73"/>
        <v>186075.18153012692</v>
      </c>
      <c r="P277" s="6">
        <f t="shared" si="74"/>
        <v>1400.0461208780901</v>
      </c>
      <c r="Q277" s="1">
        <v>0.4</v>
      </c>
      <c r="R277" s="1">
        <v>1.5</v>
      </c>
      <c r="S277" s="1">
        <v>1</v>
      </c>
      <c r="T277" s="1">
        <v>0.8</v>
      </c>
      <c r="U277" s="1">
        <v>10</v>
      </c>
      <c r="V277" s="5">
        <f t="shared" si="75"/>
        <v>2.4999999999999987</v>
      </c>
      <c r="X277" s="1">
        <v>28</v>
      </c>
      <c r="Y277" s="6">
        <f t="shared" si="77"/>
        <v>547.54870423461523</v>
      </c>
      <c r="Z277" s="6">
        <f t="shared" si="78"/>
        <v>20675.020170014104</v>
      </c>
      <c r="AA277" s="6">
        <f t="shared" si="79"/>
        <v>1400.0461208780901</v>
      </c>
      <c r="AB277" s="1">
        <f t="shared" si="80"/>
        <v>0.4</v>
      </c>
      <c r="AC277" s="1">
        <f t="shared" si="70"/>
        <v>1.5</v>
      </c>
      <c r="AD277" s="1">
        <f t="shared" si="71"/>
        <v>1</v>
      </c>
      <c r="AE277" s="1">
        <f t="shared" si="81"/>
        <v>10</v>
      </c>
      <c r="AF277" s="33">
        <f t="shared" si="82"/>
        <v>2.4999999999999987</v>
      </c>
    </row>
    <row r="278" spans="4:32" ht="14.25" hidden="1" customHeight="1" outlineLevel="1" x14ac:dyDescent="0.2">
      <c r="D278" s="1">
        <v>29</v>
      </c>
      <c r="E278" s="6">
        <f t="shared" si="72"/>
        <v>57.492613944634584</v>
      </c>
      <c r="F278" s="6">
        <f t="shared" si="72"/>
        <v>2641.5244784747883</v>
      </c>
      <c r="G278" s="6">
        <f t="shared" si="72"/>
        <v>19.600645692293256</v>
      </c>
      <c r="H278" s="1">
        <v>0.4</v>
      </c>
      <c r="I278" s="1">
        <v>1.5</v>
      </c>
      <c r="J278" s="1">
        <v>1</v>
      </c>
      <c r="M278" s="1">
        <v>29</v>
      </c>
      <c r="N278" s="6">
        <f t="shared" si="76"/>
        <v>2874.6306972317298</v>
      </c>
      <c r="O278" s="6">
        <f t="shared" si="73"/>
        <v>195244.15229612277</v>
      </c>
      <c r="P278" s="6">
        <f t="shared" si="74"/>
        <v>1470.0484269219942</v>
      </c>
      <c r="Q278" s="1">
        <v>0.4</v>
      </c>
      <c r="R278" s="1">
        <v>1.5</v>
      </c>
      <c r="S278" s="1">
        <v>1</v>
      </c>
      <c r="T278" s="1">
        <v>0.8</v>
      </c>
      <c r="U278" s="1">
        <v>10</v>
      </c>
      <c r="V278" s="5">
        <f t="shared" si="75"/>
        <v>2.4999999999999991</v>
      </c>
      <c r="X278" s="1">
        <v>29</v>
      </c>
      <c r="Y278" s="6">
        <f t="shared" si="77"/>
        <v>574.92613944634593</v>
      </c>
      <c r="Z278" s="6">
        <f t="shared" si="78"/>
        <v>21693.794699569196</v>
      </c>
      <c r="AA278" s="6">
        <f t="shared" si="79"/>
        <v>1470.0484269219942</v>
      </c>
      <c r="AB278" s="1">
        <f t="shared" si="80"/>
        <v>0.4</v>
      </c>
      <c r="AC278" s="1">
        <f t="shared" si="70"/>
        <v>1.5</v>
      </c>
      <c r="AD278" s="1">
        <f t="shared" si="71"/>
        <v>1</v>
      </c>
      <c r="AE278" s="1">
        <f t="shared" si="81"/>
        <v>10</v>
      </c>
      <c r="AF278" s="33">
        <f t="shared" si="82"/>
        <v>2.4999999999999991</v>
      </c>
    </row>
    <row r="279" spans="4:32" ht="14.25" hidden="1" customHeight="1" outlineLevel="1" x14ac:dyDescent="0.2">
      <c r="D279" s="1">
        <v>30</v>
      </c>
      <c r="E279" s="6">
        <f t="shared" si="72"/>
        <v>60.367244641866321</v>
      </c>
      <c r="F279" s="6">
        <f t="shared" si="72"/>
        <v>2773.600702398528</v>
      </c>
      <c r="G279" s="6">
        <f t="shared" si="72"/>
        <v>20.580677976907925</v>
      </c>
      <c r="H279" s="1">
        <v>0.4</v>
      </c>
      <c r="I279" s="1">
        <v>1.5</v>
      </c>
      <c r="J279" s="1">
        <v>1</v>
      </c>
      <c r="M279" s="1">
        <v>30</v>
      </c>
      <c r="N279" s="6">
        <f t="shared" si="76"/>
        <v>3018.3622320933164</v>
      </c>
      <c r="O279" s="6">
        <f t="shared" si="73"/>
        <v>204857.96581087113</v>
      </c>
      <c r="P279" s="6">
        <f t="shared" si="74"/>
        <v>1543.5508482680943</v>
      </c>
      <c r="Q279" s="1">
        <v>0.4</v>
      </c>
      <c r="R279" s="1">
        <v>1.5</v>
      </c>
      <c r="S279" s="1">
        <v>1</v>
      </c>
      <c r="T279" s="1">
        <v>0.8</v>
      </c>
      <c r="U279" s="1">
        <v>10</v>
      </c>
      <c r="V279" s="5">
        <f t="shared" si="75"/>
        <v>2.4999999999999991</v>
      </c>
      <c r="X279" s="1">
        <v>30</v>
      </c>
      <c r="Y279" s="6">
        <f t="shared" si="77"/>
        <v>603.6724464186633</v>
      </c>
      <c r="Z279" s="6">
        <f t="shared" si="78"/>
        <v>22761.996201207905</v>
      </c>
      <c r="AA279" s="6">
        <f t="shared" si="79"/>
        <v>1543.5508482680943</v>
      </c>
      <c r="AB279" s="1">
        <f t="shared" si="80"/>
        <v>0.4</v>
      </c>
      <c r="AC279" s="1">
        <f t="shared" si="70"/>
        <v>1.5</v>
      </c>
      <c r="AD279" s="1">
        <f t="shared" si="71"/>
        <v>1</v>
      </c>
      <c r="AE279" s="1">
        <f t="shared" si="81"/>
        <v>10</v>
      </c>
      <c r="AF279" s="33">
        <f t="shared" si="82"/>
        <v>2.4999999999999991</v>
      </c>
    </row>
    <row r="280" spans="4:32" ht="14.25" hidden="1" customHeight="1" outlineLevel="1" x14ac:dyDescent="0.2">
      <c r="D280" s="1">
        <v>31</v>
      </c>
      <c r="E280" s="6">
        <f t="shared" si="72"/>
        <v>63.385606873959617</v>
      </c>
      <c r="F280" s="6">
        <f t="shared" si="72"/>
        <v>2912.2807375184534</v>
      </c>
      <c r="G280" s="6">
        <f t="shared" si="72"/>
        <v>21.609711875753312</v>
      </c>
      <c r="H280" s="1">
        <v>0.4</v>
      </c>
      <c r="I280" s="1">
        <v>1.5</v>
      </c>
      <c r="J280" s="1">
        <v>1</v>
      </c>
      <c r="M280" s="1">
        <v>31</v>
      </c>
      <c r="N280" s="6">
        <f t="shared" si="76"/>
        <v>3169.2803436979807</v>
      </c>
      <c r="O280" s="6">
        <f t="shared" si="73"/>
        <v>214937.5021936105</v>
      </c>
      <c r="P280" s="6">
        <f t="shared" si="74"/>
        <v>1620.7283906814985</v>
      </c>
      <c r="Q280" s="1">
        <v>0.4</v>
      </c>
      <c r="R280" s="1">
        <v>1.5</v>
      </c>
      <c r="S280" s="1">
        <v>1</v>
      </c>
      <c r="T280" s="1">
        <v>0.8</v>
      </c>
      <c r="U280" s="1">
        <v>10</v>
      </c>
      <c r="V280" s="5">
        <f t="shared" si="75"/>
        <v>2.4999999999999996</v>
      </c>
      <c r="X280" s="1">
        <v>31</v>
      </c>
      <c r="Y280" s="6">
        <f t="shared" si="77"/>
        <v>633.85606873959614</v>
      </c>
      <c r="Z280" s="6">
        <f t="shared" si="78"/>
        <v>23881.944688178944</v>
      </c>
      <c r="AA280" s="6">
        <f t="shared" si="79"/>
        <v>1620.7283906814985</v>
      </c>
      <c r="AB280" s="1">
        <f t="shared" si="80"/>
        <v>0.4</v>
      </c>
      <c r="AC280" s="1">
        <f t="shared" si="70"/>
        <v>1.5</v>
      </c>
      <c r="AD280" s="1">
        <f t="shared" si="71"/>
        <v>1</v>
      </c>
      <c r="AE280" s="1">
        <f t="shared" si="81"/>
        <v>10</v>
      </c>
      <c r="AF280" s="33">
        <f t="shared" si="82"/>
        <v>2.4999999999999996</v>
      </c>
    </row>
    <row r="281" spans="4:32" ht="14.25" hidden="1" customHeight="1" outlineLevel="1" x14ac:dyDescent="0.2">
      <c r="D281" s="1">
        <v>32</v>
      </c>
      <c r="E281" s="6">
        <f t="shared" si="72"/>
        <v>66.554887217657623</v>
      </c>
      <c r="F281" s="6">
        <f t="shared" si="72"/>
        <v>3057.8947743943772</v>
      </c>
      <c r="G281" s="6">
        <f t="shared" si="72"/>
        <v>22.690197469540987</v>
      </c>
      <c r="H281" s="1">
        <v>0.4</v>
      </c>
      <c r="I281" s="1">
        <v>1.5</v>
      </c>
      <c r="J281" s="1">
        <v>1</v>
      </c>
      <c r="M281" s="1">
        <v>32</v>
      </c>
      <c r="N281" s="6">
        <f t="shared" si="76"/>
        <v>3327.7443608828817</v>
      </c>
      <c r="O281" s="6">
        <f t="shared" si="73"/>
        <v>225504.55098547286</v>
      </c>
      <c r="P281" s="6">
        <f t="shared" si="74"/>
        <v>1701.764810215574</v>
      </c>
      <c r="Q281" s="1">
        <v>0.4</v>
      </c>
      <c r="R281" s="1">
        <v>1.5</v>
      </c>
      <c r="S281" s="1">
        <v>1</v>
      </c>
      <c r="T281" s="1">
        <v>0.8</v>
      </c>
      <c r="U281" s="1">
        <v>10</v>
      </c>
      <c r="V281" s="5">
        <f t="shared" si="75"/>
        <v>2.4999999999999987</v>
      </c>
      <c r="X281" s="1">
        <v>32</v>
      </c>
      <c r="Y281" s="6">
        <f t="shared" si="77"/>
        <v>665.54887217657631</v>
      </c>
      <c r="Z281" s="6">
        <f t="shared" si="78"/>
        <v>25056.061220608095</v>
      </c>
      <c r="AA281" s="6">
        <f t="shared" si="79"/>
        <v>1701.764810215574</v>
      </c>
      <c r="AB281" s="1">
        <f t="shared" si="80"/>
        <v>0.4</v>
      </c>
      <c r="AC281" s="1">
        <f t="shared" si="70"/>
        <v>1.5</v>
      </c>
      <c r="AD281" s="1">
        <f t="shared" si="71"/>
        <v>1</v>
      </c>
      <c r="AE281" s="1">
        <f t="shared" si="81"/>
        <v>10</v>
      </c>
      <c r="AF281" s="33">
        <f t="shared" si="82"/>
        <v>2.4999999999999987</v>
      </c>
    </row>
    <row r="282" spans="4:32" ht="14.25" hidden="1" customHeight="1" outlineLevel="1" x14ac:dyDescent="0.2">
      <c r="D282" s="1">
        <v>33</v>
      </c>
      <c r="E282" s="6">
        <f t="shared" si="72"/>
        <v>69.882631578540497</v>
      </c>
      <c r="F282" s="6">
        <f t="shared" si="72"/>
        <v>3210.7895131140958</v>
      </c>
      <c r="G282" s="6">
        <f t="shared" si="72"/>
        <v>23.824707343018034</v>
      </c>
      <c r="H282" s="1">
        <v>0.4</v>
      </c>
      <c r="I282" s="1">
        <v>1.5</v>
      </c>
      <c r="J282" s="1">
        <v>1</v>
      </c>
      <c r="M282" s="1">
        <v>33</v>
      </c>
      <c r="N282" s="6">
        <f t="shared" si="76"/>
        <v>3494.1315789270252</v>
      </c>
      <c r="O282" s="6">
        <f t="shared" si="73"/>
        <v>236581.84359383609</v>
      </c>
      <c r="P282" s="6">
        <f t="shared" si="74"/>
        <v>1786.8530507263524</v>
      </c>
      <c r="Q282" s="1">
        <v>0.4</v>
      </c>
      <c r="R282" s="1">
        <v>1.5</v>
      </c>
      <c r="S282" s="1">
        <v>1</v>
      </c>
      <c r="T282" s="1">
        <v>0.8</v>
      </c>
      <c r="U282" s="1">
        <v>10</v>
      </c>
      <c r="V282" s="5">
        <f t="shared" si="75"/>
        <v>2.4999999999999996</v>
      </c>
      <c r="X282" s="1">
        <v>33</v>
      </c>
      <c r="Y282" s="6">
        <f t="shared" si="77"/>
        <v>698.82631578540509</v>
      </c>
      <c r="Z282" s="6">
        <f t="shared" si="78"/>
        <v>26286.871510426234</v>
      </c>
      <c r="AA282" s="6">
        <f t="shared" si="79"/>
        <v>1786.8530507263524</v>
      </c>
      <c r="AB282" s="1">
        <f t="shared" si="80"/>
        <v>0.4</v>
      </c>
      <c r="AC282" s="1">
        <f t="shared" si="70"/>
        <v>1.5</v>
      </c>
      <c r="AD282" s="1">
        <f t="shared" si="71"/>
        <v>1</v>
      </c>
      <c r="AE282" s="1">
        <f t="shared" si="81"/>
        <v>10</v>
      </c>
      <c r="AF282" s="33">
        <f t="shared" si="82"/>
        <v>2.4999999999999996</v>
      </c>
    </row>
    <row r="283" spans="4:32" ht="14.25" hidden="1" customHeight="1" outlineLevel="1" x14ac:dyDescent="0.2">
      <c r="D283" s="1">
        <v>34</v>
      </c>
      <c r="E283" s="6">
        <f t="shared" ref="E283:G314" si="83">E$247*E$248^($D283-1)</f>
        <v>73.376763157467522</v>
      </c>
      <c r="F283" s="6">
        <f t="shared" si="83"/>
        <v>3371.3289887698011</v>
      </c>
      <c r="G283" s="6">
        <f t="shared" si="83"/>
        <v>25.015942710168936</v>
      </c>
      <c r="H283" s="1">
        <v>0.4</v>
      </c>
      <c r="I283" s="1">
        <v>1.5</v>
      </c>
      <c r="J283" s="1">
        <v>1</v>
      </c>
      <c r="M283" s="1">
        <v>34</v>
      </c>
      <c r="N283" s="6">
        <f t="shared" si="76"/>
        <v>3668.8381578733765</v>
      </c>
      <c r="O283" s="6">
        <f t="shared" si="73"/>
        <v>248193.08613978539</v>
      </c>
      <c r="P283" s="6">
        <f t="shared" si="74"/>
        <v>1876.1957032626701</v>
      </c>
      <c r="Q283" s="1">
        <v>0.4</v>
      </c>
      <c r="R283" s="1">
        <v>1.5</v>
      </c>
      <c r="S283" s="1">
        <v>1</v>
      </c>
      <c r="T283" s="1">
        <v>0.8</v>
      </c>
      <c r="U283" s="1">
        <v>10</v>
      </c>
      <c r="V283" s="5">
        <f t="shared" si="75"/>
        <v>2.4999999999999996</v>
      </c>
      <c r="X283" s="1">
        <v>34</v>
      </c>
      <c r="Y283" s="6">
        <f t="shared" si="77"/>
        <v>733.76763157467531</v>
      </c>
      <c r="Z283" s="6">
        <f t="shared" si="78"/>
        <v>27577.009571087267</v>
      </c>
      <c r="AA283" s="6">
        <f t="shared" si="79"/>
        <v>1876.1957032626701</v>
      </c>
      <c r="AB283" s="1">
        <f t="shared" si="80"/>
        <v>0.4</v>
      </c>
      <c r="AC283" s="1">
        <f t="shared" si="70"/>
        <v>1.5</v>
      </c>
      <c r="AD283" s="1">
        <f t="shared" si="71"/>
        <v>1</v>
      </c>
      <c r="AE283" s="1">
        <f t="shared" si="81"/>
        <v>10</v>
      </c>
      <c r="AF283" s="33">
        <f t="shared" si="82"/>
        <v>2.4999999999999996</v>
      </c>
    </row>
    <row r="284" spans="4:32" ht="14.25" hidden="1" customHeight="1" outlineLevel="1" x14ac:dyDescent="0.2">
      <c r="D284" s="1">
        <v>35</v>
      </c>
      <c r="E284" s="6">
        <f t="shared" si="83"/>
        <v>77.045601315340903</v>
      </c>
      <c r="F284" s="6">
        <f t="shared" si="83"/>
        <v>3539.8954382082907</v>
      </c>
      <c r="G284" s="6">
        <f t="shared" si="83"/>
        <v>26.266739845677382</v>
      </c>
      <c r="H284" s="1">
        <v>0.4</v>
      </c>
      <c r="I284" s="1">
        <v>1.5</v>
      </c>
      <c r="J284" s="1">
        <v>1</v>
      </c>
      <c r="M284" s="1">
        <v>35</v>
      </c>
      <c r="N284" s="6">
        <f t="shared" si="76"/>
        <v>3852.2800657670459</v>
      </c>
      <c r="O284" s="6">
        <f t="shared" si="73"/>
        <v>260362.99262115534</v>
      </c>
      <c r="P284" s="6">
        <f t="shared" si="74"/>
        <v>1970.0054884258036</v>
      </c>
      <c r="Q284" s="1">
        <v>0.4</v>
      </c>
      <c r="R284" s="1">
        <v>1.5</v>
      </c>
      <c r="S284" s="1">
        <v>1</v>
      </c>
      <c r="T284" s="1">
        <v>0.8</v>
      </c>
      <c r="U284" s="1">
        <v>10</v>
      </c>
      <c r="V284" s="5">
        <f t="shared" si="75"/>
        <v>2.4999999999999991</v>
      </c>
      <c r="X284" s="1">
        <v>35</v>
      </c>
      <c r="Y284" s="6">
        <f t="shared" si="77"/>
        <v>770.45601315340923</v>
      </c>
      <c r="Z284" s="6">
        <f t="shared" si="78"/>
        <v>28929.221402350595</v>
      </c>
      <c r="AA284" s="6">
        <f t="shared" si="79"/>
        <v>1970.0054884258036</v>
      </c>
      <c r="AB284" s="1">
        <f t="shared" si="80"/>
        <v>0.4</v>
      </c>
      <c r="AC284" s="1">
        <f t="shared" si="70"/>
        <v>1.5</v>
      </c>
      <c r="AD284" s="1">
        <f t="shared" si="71"/>
        <v>1</v>
      </c>
      <c r="AE284" s="1">
        <f t="shared" si="81"/>
        <v>10</v>
      </c>
      <c r="AF284" s="33">
        <f t="shared" si="82"/>
        <v>2.4999999999999991</v>
      </c>
    </row>
    <row r="285" spans="4:32" ht="14.25" hidden="1" customHeight="1" outlineLevel="1" x14ac:dyDescent="0.2">
      <c r="D285" s="1">
        <v>36</v>
      </c>
      <c r="E285" s="6">
        <f t="shared" si="83"/>
        <v>80.897881381107965</v>
      </c>
      <c r="F285" s="6">
        <f t="shared" si="83"/>
        <v>3716.8902101187059</v>
      </c>
      <c r="G285" s="6">
        <f t="shared" si="83"/>
        <v>27.580076837961258</v>
      </c>
      <c r="H285" s="1">
        <v>0.4</v>
      </c>
      <c r="I285" s="1">
        <v>1.5</v>
      </c>
      <c r="J285" s="1">
        <v>1</v>
      </c>
      <c r="M285" s="1">
        <v>36</v>
      </c>
      <c r="N285" s="6">
        <f t="shared" si="76"/>
        <v>4044.8940690553986</v>
      </c>
      <c r="O285" s="6">
        <f t="shared" si="73"/>
        <v>273117.31829072582</v>
      </c>
      <c r="P285" s="6">
        <f t="shared" si="74"/>
        <v>2068.5057628470945</v>
      </c>
      <c r="Q285" s="1">
        <v>0.4</v>
      </c>
      <c r="R285" s="1">
        <v>1.5</v>
      </c>
      <c r="S285" s="1">
        <v>1</v>
      </c>
      <c r="T285" s="1">
        <v>0.8</v>
      </c>
      <c r="U285" s="1">
        <v>10</v>
      </c>
      <c r="V285" s="5">
        <f t="shared" si="75"/>
        <v>2.4999999999999991</v>
      </c>
      <c r="X285" s="1">
        <v>36</v>
      </c>
      <c r="Y285" s="6">
        <f t="shared" si="77"/>
        <v>808.9788138110797</v>
      </c>
      <c r="Z285" s="6">
        <f t="shared" si="78"/>
        <v>30346.368698969534</v>
      </c>
      <c r="AA285" s="6">
        <f t="shared" si="79"/>
        <v>2068.5057628470945</v>
      </c>
      <c r="AB285" s="1">
        <f t="shared" si="80"/>
        <v>0.4</v>
      </c>
      <c r="AC285" s="1">
        <f t="shared" si="70"/>
        <v>1.5</v>
      </c>
      <c r="AD285" s="1">
        <f t="shared" si="71"/>
        <v>1</v>
      </c>
      <c r="AE285" s="1">
        <f t="shared" si="81"/>
        <v>10</v>
      </c>
      <c r="AF285" s="33">
        <f t="shared" si="82"/>
        <v>2.4999999999999991</v>
      </c>
    </row>
    <row r="286" spans="4:32" ht="14.25" hidden="1" customHeight="1" outlineLevel="1" x14ac:dyDescent="0.2">
      <c r="D286" s="1">
        <v>37</v>
      </c>
      <c r="E286" s="6">
        <f t="shared" si="83"/>
        <v>84.942775450163339</v>
      </c>
      <c r="F286" s="6">
        <f t="shared" si="83"/>
        <v>3902.7347206246404</v>
      </c>
      <c r="G286" s="6">
        <f t="shared" si="83"/>
        <v>28.959080679859316</v>
      </c>
      <c r="H286" s="1">
        <v>0.4</v>
      </c>
      <c r="I286" s="1">
        <v>1.5</v>
      </c>
      <c r="J286" s="1">
        <v>1</v>
      </c>
      <c r="M286" s="1">
        <v>37</v>
      </c>
      <c r="N286" s="6">
        <f t="shared" si="76"/>
        <v>4247.1387725081677</v>
      </c>
      <c r="O286" s="6">
        <f t="shared" si="73"/>
        <v>286482.89313507441</v>
      </c>
      <c r="P286" s="6">
        <f t="shared" si="74"/>
        <v>2171.9310509894485</v>
      </c>
      <c r="Q286" s="1">
        <v>0.4</v>
      </c>
      <c r="R286" s="1">
        <v>1.5</v>
      </c>
      <c r="S286" s="1">
        <v>1</v>
      </c>
      <c r="T286" s="1">
        <v>0.8</v>
      </c>
      <c r="U286" s="1">
        <v>10</v>
      </c>
      <c r="V286" s="5">
        <f t="shared" si="75"/>
        <v>2.4999999999999996</v>
      </c>
      <c r="X286" s="1">
        <v>37</v>
      </c>
      <c r="Y286" s="6">
        <f t="shared" si="77"/>
        <v>849.42775450163356</v>
      </c>
      <c r="Z286" s="6">
        <f t="shared" si="78"/>
        <v>31831.432570563822</v>
      </c>
      <c r="AA286" s="6">
        <f t="shared" si="79"/>
        <v>2171.9310509894485</v>
      </c>
      <c r="AB286" s="1">
        <f t="shared" si="80"/>
        <v>0.4</v>
      </c>
      <c r="AC286" s="1">
        <f t="shared" si="70"/>
        <v>1.5</v>
      </c>
      <c r="AD286" s="1">
        <f t="shared" si="71"/>
        <v>1</v>
      </c>
      <c r="AE286" s="1">
        <f t="shared" si="81"/>
        <v>10</v>
      </c>
      <c r="AF286" s="33">
        <f t="shared" si="82"/>
        <v>2.4999999999999996</v>
      </c>
    </row>
    <row r="287" spans="4:32" ht="14.25" hidden="1" customHeight="1" outlineLevel="1" x14ac:dyDescent="0.2">
      <c r="D287" s="1">
        <v>38</v>
      </c>
      <c r="E287" s="6">
        <f t="shared" si="83"/>
        <v>89.189914222671518</v>
      </c>
      <c r="F287" s="6">
        <f t="shared" si="83"/>
        <v>4097.8714566558729</v>
      </c>
      <c r="G287" s="6">
        <f t="shared" si="83"/>
        <v>30.407034713852283</v>
      </c>
      <c r="H287" s="1">
        <v>0.4</v>
      </c>
      <c r="I287" s="1">
        <v>1.5</v>
      </c>
      <c r="J287" s="1">
        <v>1</v>
      </c>
      <c r="M287" s="1">
        <v>38</v>
      </c>
      <c r="N287" s="6">
        <f t="shared" si="76"/>
        <v>4459.4957111335762</v>
      </c>
      <c r="O287" s="6">
        <f t="shared" si="73"/>
        <v>300487.65532429313</v>
      </c>
      <c r="P287" s="6">
        <f t="shared" si="74"/>
        <v>2280.5276035389211</v>
      </c>
      <c r="Q287" s="1">
        <v>0.4</v>
      </c>
      <c r="R287" s="1">
        <v>1.5</v>
      </c>
      <c r="S287" s="1">
        <v>1</v>
      </c>
      <c r="T287" s="1">
        <v>0.8</v>
      </c>
      <c r="U287" s="1">
        <v>10</v>
      </c>
      <c r="V287" s="5">
        <f t="shared" si="75"/>
        <v>2.4999999999999991</v>
      </c>
      <c r="X287" s="1">
        <v>38</v>
      </c>
      <c r="Y287" s="6">
        <f t="shared" si="77"/>
        <v>891.89914222671518</v>
      </c>
      <c r="Z287" s="6">
        <f t="shared" si="78"/>
        <v>33387.517258254789</v>
      </c>
      <c r="AA287" s="6">
        <f t="shared" si="79"/>
        <v>2280.5276035389211</v>
      </c>
      <c r="AB287" s="1">
        <f t="shared" si="80"/>
        <v>0.4</v>
      </c>
      <c r="AC287" s="1">
        <f t="shared" si="70"/>
        <v>1.5</v>
      </c>
      <c r="AD287" s="1">
        <f t="shared" si="71"/>
        <v>1</v>
      </c>
      <c r="AE287" s="1">
        <f t="shared" si="81"/>
        <v>10</v>
      </c>
      <c r="AF287" s="33">
        <f t="shared" si="82"/>
        <v>2.4999999999999991</v>
      </c>
    </row>
    <row r="288" spans="4:32" ht="14.25" hidden="1" customHeight="1" outlineLevel="1" x14ac:dyDescent="0.2">
      <c r="D288" s="1">
        <v>39</v>
      </c>
      <c r="E288" s="6">
        <f t="shared" si="83"/>
        <v>93.649409933805075</v>
      </c>
      <c r="F288" s="6">
        <f t="shared" si="83"/>
        <v>4302.7650294886662</v>
      </c>
      <c r="G288" s="6">
        <f t="shared" si="83"/>
        <v>31.92738644954489</v>
      </c>
      <c r="H288" s="1">
        <v>0.4</v>
      </c>
      <c r="I288" s="1">
        <v>1.5</v>
      </c>
      <c r="J288" s="1">
        <v>1</v>
      </c>
      <c r="M288" s="1">
        <v>39</v>
      </c>
      <c r="N288" s="6">
        <f t="shared" si="76"/>
        <v>4682.4704966902536</v>
      </c>
      <c r="O288" s="6">
        <f t="shared" si="73"/>
        <v>315160.68448617996</v>
      </c>
      <c r="P288" s="6">
        <f t="shared" si="74"/>
        <v>2394.5539837158667</v>
      </c>
      <c r="Q288" s="1">
        <v>0.4</v>
      </c>
      <c r="R288" s="1">
        <v>1.5</v>
      </c>
      <c r="S288" s="1">
        <v>1</v>
      </c>
      <c r="T288" s="1">
        <v>0.8</v>
      </c>
      <c r="U288" s="1">
        <v>10</v>
      </c>
      <c r="V288" s="5">
        <f t="shared" si="75"/>
        <v>2.4999999999999996</v>
      </c>
      <c r="X288" s="1">
        <v>39</v>
      </c>
      <c r="Y288" s="6">
        <f t="shared" si="77"/>
        <v>936.49409933805077</v>
      </c>
      <c r="Z288" s="6">
        <f t="shared" si="78"/>
        <v>35017.853831797773</v>
      </c>
      <c r="AA288" s="6">
        <f t="shared" si="79"/>
        <v>2394.5539837158667</v>
      </c>
      <c r="AB288" s="1">
        <f t="shared" si="80"/>
        <v>0.4</v>
      </c>
      <c r="AC288" s="1">
        <f t="shared" si="70"/>
        <v>1.5</v>
      </c>
      <c r="AD288" s="1">
        <f t="shared" si="71"/>
        <v>1</v>
      </c>
      <c r="AE288" s="1">
        <f t="shared" si="81"/>
        <v>10</v>
      </c>
      <c r="AF288" s="33">
        <f t="shared" si="82"/>
        <v>2.4999999999999996</v>
      </c>
    </row>
    <row r="289" spans="4:32" ht="14.25" hidden="1" customHeight="1" outlineLevel="1" x14ac:dyDescent="0.2">
      <c r="D289" s="1">
        <v>40</v>
      </c>
      <c r="E289" s="6">
        <f t="shared" si="83"/>
        <v>98.33188043049536</v>
      </c>
      <c r="F289" s="6">
        <f t="shared" si="83"/>
        <v>4517.9032809630999</v>
      </c>
      <c r="G289" s="6">
        <f t="shared" si="83"/>
        <v>33.523755772022142</v>
      </c>
      <c r="H289" s="1">
        <v>0.4</v>
      </c>
      <c r="I289" s="1">
        <v>1.5</v>
      </c>
      <c r="J289" s="1">
        <v>1</v>
      </c>
      <c r="M289" s="1">
        <v>40</v>
      </c>
      <c r="N289" s="6">
        <f t="shared" si="76"/>
        <v>4916.5940215247692</v>
      </c>
      <c r="O289" s="6">
        <f t="shared" si="73"/>
        <v>330532.23464057886</v>
      </c>
      <c r="P289" s="6">
        <f t="shared" si="74"/>
        <v>2514.2816829016606</v>
      </c>
      <c r="Q289" s="1">
        <v>0.4</v>
      </c>
      <c r="R289" s="1">
        <v>1.5</v>
      </c>
      <c r="S289" s="1">
        <v>1</v>
      </c>
      <c r="T289" s="1">
        <v>0.8</v>
      </c>
      <c r="U289" s="1">
        <v>10</v>
      </c>
      <c r="V289" s="5">
        <f t="shared" si="75"/>
        <v>2.4999999999999982</v>
      </c>
      <c r="X289" s="1">
        <v>40</v>
      </c>
      <c r="Y289" s="6">
        <f t="shared" si="77"/>
        <v>983.3188043049538</v>
      </c>
      <c r="Z289" s="6">
        <f t="shared" si="78"/>
        <v>36725.803848953205</v>
      </c>
      <c r="AA289" s="6">
        <f t="shared" si="79"/>
        <v>2514.2816829016606</v>
      </c>
      <c r="AB289" s="1">
        <f t="shared" si="80"/>
        <v>0.4</v>
      </c>
      <c r="AC289" s="1">
        <f t="shared" si="70"/>
        <v>1.5</v>
      </c>
      <c r="AD289" s="1">
        <f t="shared" si="71"/>
        <v>1</v>
      </c>
      <c r="AE289" s="1">
        <f t="shared" si="81"/>
        <v>10</v>
      </c>
      <c r="AF289" s="33">
        <f t="shared" si="82"/>
        <v>2.4999999999999982</v>
      </c>
    </row>
    <row r="290" spans="4:32" ht="14.25" hidden="1" customHeight="1" outlineLevel="1" x14ac:dyDescent="0.2">
      <c r="D290" s="1">
        <v>41</v>
      </c>
      <c r="E290" s="6">
        <f t="shared" si="83"/>
        <v>103.2484744520201</v>
      </c>
      <c r="F290" s="6">
        <f t="shared" si="83"/>
        <v>4743.7984450112544</v>
      </c>
      <c r="G290" s="6">
        <f t="shared" si="83"/>
        <v>35.199943560623247</v>
      </c>
      <c r="H290" s="1">
        <v>0.4</v>
      </c>
      <c r="I290" s="1">
        <v>1.5</v>
      </c>
      <c r="J290" s="1">
        <v>1</v>
      </c>
      <c r="M290" s="1">
        <v>41</v>
      </c>
      <c r="N290" s="6">
        <f t="shared" si="76"/>
        <v>5162.4237226010055</v>
      </c>
      <c r="O290" s="6">
        <f t="shared" si="73"/>
        <v>346633.76661018067</v>
      </c>
      <c r="P290" s="6">
        <f t="shared" si="74"/>
        <v>2639.9957670467434</v>
      </c>
      <c r="Q290" s="1">
        <v>0.4</v>
      </c>
      <c r="R290" s="1">
        <v>1.5</v>
      </c>
      <c r="S290" s="1">
        <v>1</v>
      </c>
      <c r="T290" s="1">
        <v>0.8</v>
      </c>
      <c r="U290" s="1">
        <v>10</v>
      </c>
      <c r="V290" s="5">
        <f t="shared" si="75"/>
        <v>2.4999999999999991</v>
      </c>
      <c r="X290" s="1">
        <v>41</v>
      </c>
      <c r="Y290" s="6">
        <f t="shared" si="77"/>
        <v>1032.484744520201</v>
      </c>
      <c r="Z290" s="6">
        <f t="shared" si="78"/>
        <v>38514.862956686738</v>
      </c>
      <c r="AA290" s="6">
        <f t="shared" si="79"/>
        <v>2639.9957670467434</v>
      </c>
      <c r="AB290" s="1">
        <f t="shared" si="80"/>
        <v>0.4</v>
      </c>
      <c r="AC290" s="1">
        <f t="shared" si="70"/>
        <v>1.5</v>
      </c>
      <c r="AD290" s="1">
        <f t="shared" si="71"/>
        <v>1</v>
      </c>
      <c r="AE290" s="1">
        <f t="shared" si="81"/>
        <v>10</v>
      </c>
      <c r="AF290" s="33">
        <f t="shared" si="82"/>
        <v>2.4999999999999991</v>
      </c>
    </row>
    <row r="291" spans="4:32" ht="14.25" hidden="1" customHeight="1" outlineLevel="1" x14ac:dyDescent="0.2">
      <c r="D291" s="1">
        <v>42</v>
      </c>
      <c r="E291" s="6">
        <f t="shared" si="83"/>
        <v>108.41089817462112</v>
      </c>
      <c r="F291" s="6">
        <f t="shared" si="83"/>
        <v>4980.988367261818</v>
      </c>
      <c r="G291" s="6">
        <f t="shared" si="83"/>
        <v>36.95994073865441</v>
      </c>
      <c r="H291" s="1">
        <v>0.4</v>
      </c>
      <c r="I291" s="1">
        <v>1.5</v>
      </c>
      <c r="J291" s="1">
        <v>1</v>
      </c>
      <c r="M291" s="1">
        <v>42</v>
      </c>
      <c r="N291" s="6">
        <f t="shared" si="76"/>
        <v>5420.5449087310571</v>
      </c>
      <c r="O291" s="6">
        <f t="shared" si="73"/>
        <v>363497.97970329557</v>
      </c>
      <c r="P291" s="6">
        <f t="shared" si="74"/>
        <v>2771.9955553990808</v>
      </c>
      <c r="Q291" s="1">
        <v>0.4</v>
      </c>
      <c r="R291" s="1">
        <v>1.5</v>
      </c>
      <c r="S291" s="1">
        <v>1</v>
      </c>
      <c r="T291" s="1">
        <v>0.8</v>
      </c>
      <c r="U291" s="1">
        <v>10</v>
      </c>
      <c r="V291" s="5">
        <f t="shared" si="75"/>
        <v>2.4999999999999987</v>
      </c>
      <c r="X291" s="1">
        <v>42</v>
      </c>
      <c r="Y291" s="6">
        <f t="shared" si="77"/>
        <v>1084.1089817462114</v>
      </c>
      <c r="Z291" s="6">
        <f t="shared" si="78"/>
        <v>40388.664411477286</v>
      </c>
      <c r="AA291" s="6">
        <f t="shared" si="79"/>
        <v>2771.9955553990808</v>
      </c>
      <c r="AB291" s="1">
        <f t="shared" si="80"/>
        <v>0.4</v>
      </c>
      <c r="AC291" s="1">
        <f t="shared" si="70"/>
        <v>1.5</v>
      </c>
      <c r="AD291" s="1">
        <f t="shared" si="71"/>
        <v>1</v>
      </c>
      <c r="AE291" s="1">
        <f t="shared" si="81"/>
        <v>10</v>
      </c>
      <c r="AF291" s="33">
        <f t="shared" si="82"/>
        <v>2.4999999999999987</v>
      </c>
    </row>
    <row r="292" spans="4:32" ht="14.25" hidden="1" customHeight="1" outlineLevel="1" x14ac:dyDescent="0.2">
      <c r="D292" s="1">
        <v>43</v>
      </c>
      <c r="E292" s="6">
        <f t="shared" si="83"/>
        <v>113.83144308335217</v>
      </c>
      <c r="F292" s="6">
        <f t="shared" si="83"/>
        <v>5230.0377856249088</v>
      </c>
      <c r="G292" s="6">
        <f t="shared" si="83"/>
        <v>38.807937775587135</v>
      </c>
      <c r="H292" s="1">
        <v>0.4</v>
      </c>
      <c r="I292" s="1">
        <v>1.5</v>
      </c>
      <c r="J292" s="1">
        <v>1</v>
      </c>
      <c r="M292" s="1">
        <v>43</v>
      </c>
      <c r="N292" s="6">
        <f t="shared" si="76"/>
        <v>5691.5721541676094</v>
      </c>
      <c r="O292" s="6">
        <f t="shared" si="73"/>
        <v>381158.84244179615</v>
      </c>
      <c r="P292" s="6">
        <f t="shared" si="74"/>
        <v>2910.5953331690353</v>
      </c>
      <c r="Q292" s="1">
        <v>0.4</v>
      </c>
      <c r="R292" s="1">
        <v>1.5</v>
      </c>
      <c r="S292" s="1">
        <v>1</v>
      </c>
      <c r="T292" s="1">
        <v>0.8</v>
      </c>
      <c r="U292" s="1">
        <v>10</v>
      </c>
      <c r="V292" s="5">
        <f t="shared" si="75"/>
        <v>2.4999999999999996</v>
      </c>
      <c r="X292" s="1">
        <v>43</v>
      </c>
      <c r="Y292" s="6">
        <f t="shared" si="77"/>
        <v>1138.3144308335218</v>
      </c>
      <c r="Z292" s="6">
        <f t="shared" si="78"/>
        <v>42350.982493532909</v>
      </c>
      <c r="AA292" s="6">
        <f t="shared" si="79"/>
        <v>2910.5953331690353</v>
      </c>
      <c r="AB292" s="1">
        <f t="shared" si="80"/>
        <v>0.4</v>
      </c>
      <c r="AC292" s="1">
        <f t="shared" si="70"/>
        <v>1.5</v>
      </c>
      <c r="AD292" s="1">
        <f t="shared" si="71"/>
        <v>1</v>
      </c>
      <c r="AE292" s="1">
        <f t="shared" si="81"/>
        <v>10</v>
      </c>
      <c r="AF292" s="33">
        <f t="shared" si="82"/>
        <v>2.4999999999999996</v>
      </c>
    </row>
    <row r="293" spans="4:32" ht="14.25" hidden="1" customHeight="1" outlineLevel="1" x14ac:dyDescent="0.2">
      <c r="D293" s="1">
        <v>44</v>
      </c>
      <c r="E293" s="6">
        <f t="shared" si="83"/>
        <v>119.5230152375198</v>
      </c>
      <c r="F293" s="6">
        <f t="shared" si="83"/>
        <v>5491.5396749061547</v>
      </c>
      <c r="G293" s="6">
        <f t="shared" si="83"/>
        <v>40.748334664366496</v>
      </c>
      <c r="H293" s="1">
        <v>0.4</v>
      </c>
      <c r="I293" s="1">
        <v>1.5</v>
      </c>
      <c r="J293" s="1">
        <v>1</v>
      </c>
      <c r="M293" s="1">
        <v>44</v>
      </c>
      <c r="N293" s="6">
        <f t="shared" si="76"/>
        <v>5976.1507618759906</v>
      </c>
      <c r="O293" s="6">
        <f t="shared" si="73"/>
        <v>399651.62208359712</v>
      </c>
      <c r="P293" s="6">
        <f t="shared" si="74"/>
        <v>3056.1250998274872</v>
      </c>
      <c r="Q293" s="1">
        <v>0.4</v>
      </c>
      <c r="R293" s="1">
        <v>1.5</v>
      </c>
      <c r="S293" s="1">
        <v>1</v>
      </c>
      <c r="T293" s="1">
        <v>0.8</v>
      </c>
      <c r="U293" s="1">
        <v>10</v>
      </c>
      <c r="V293" s="5">
        <f t="shared" si="75"/>
        <v>2.4999999999999991</v>
      </c>
      <c r="X293" s="1">
        <v>44</v>
      </c>
      <c r="Y293" s="6">
        <f t="shared" si="77"/>
        <v>1195.230152375198</v>
      </c>
      <c r="Z293" s="6">
        <f t="shared" si="78"/>
        <v>44405.735787066347</v>
      </c>
      <c r="AA293" s="6">
        <f t="shared" si="79"/>
        <v>3056.1250998274872</v>
      </c>
      <c r="AB293" s="1">
        <f t="shared" si="80"/>
        <v>0.4</v>
      </c>
      <c r="AC293" s="1">
        <f t="shared" si="70"/>
        <v>1.5</v>
      </c>
      <c r="AD293" s="1">
        <f t="shared" si="71"/>
        <v>1</v>
      </c>
      <c r="AE293" s="1">
        <f t="shared" si="81"/>
        <v>10</v>
      </c>
      <c r="AF293" s="33">
        <f t="shared" si="82"/>
        <v>2.4999999999999991</v>
      </c>
    </row>
    <row r="294" spans="4:32" ht="14.25" hidden="1" customHeight="1" outlineLevel="1" x14ac:dyDescent="0.2">
      <c r="D294" s="1">
        <v>45</v>
      </c>
      <c r="E294" s="6">
        <f t="shared" si="83"/>
        <v>125.49916599939577</v>
      </c>
      <c r="F294" s="6">
        <f t="shared" si="83"/>
        <v>5766.1166586514619</v>
      </c>
      <c r="G294" s="6">
        <f t="shared" si="83"/>
        <v>42.785751397584811</v>
      </c>
      <c r="H294" s="1">
        <v>0.4</v>
      </c>
      <c r="I294" s="1">
        <v>1.5</v>
      </c>
      <c r="J294" s="1">
        <v>1</v>
      </c>
      <c r="M294" s="1">
        <v>45</v>
      </c>
      <c r="N294" s="6">
        <f t="shared" si="76"/>
        <v>6274.9582999697896</v>
      </c>
      <c r="O294" s="6">
        <f t="shared" si="73"/>
        <v>419012.91266365582</v>
      </c>
      <c r="P294" s="6">
        <f t="shared" si="74"/>
        <v>3208.9313548188607</v>
      </c>
      <c r="Q294" s="1">
        <v>0.4</v>
      </c>
      <c r="R294" s="1">
        <v>1.5</v>
      </c>
      <c r="S294" s="1">
        <v>1</v>
      </c>
      <c r="T294" s="1">
        <v>0.8</v>
      </c>
      <c r="U294" s="1">
        <v>10</v>
      </c>
      <c r="V294" s="5">
        <f t="shared" si="75"/>
        <v>2.4999999999999996</v>
      </c>
      <c r="X294" s="1">
        <v>45</v>
      </c>
      <c r="Y294" s="6">
        <f t="shared" si="77"/>
        <v>1254.9916599939579</v>
      </c>
      <c r="Z294" s="6">
        <f t="shared" si="78"/>
        <v>46556.990295961761</v>
      </c>
      <c r="AA294" s="6">
        <f t="shared" si="79"/>
        <v>3208.9313548188607</v>
      </c>
      <c r="AB294" s="1">
        <f t="shared" si="80"/>
        <v>0.4</v>
      </c>
      <c r="AC294" s="1">
        <f t="shared" si="70"/>
        <v>1.5</v>
      </c>
      <c r="AD294" s="1">
        <f t="shared" si="71"/>
        <v>1</v>
      </c>
      <c r="AE294" s="1">
        <f t="shared" si="81"/>
        <v>10</v>
      </c>
      <c r="AF294" s="33">
        <f t="shared" si="82"/>
        <v>2.4999999999999996</v>
      </c>
    </row>
    <row r="295" spans="4:32" ht="14.25" hidden="1" customHeight="1" outlineLevel="1" x14ac:dyDescent="0.2">
      <c r="D295" s="1">
        <v>46</v>
      </c>
      <c r="E295" s="6">
        <f t="shared" si="83"/>
        <v>131.77412429936558</v>
      </c>
      <c r="F295" s="6">
        <f t="shared" si="83"/>
        <v>6054.4224915840359</v>
      </c>
      <c r="G295" s="6">
        <f t="shared" si="83"/>
        <v>44.925038967464062</v>
      </c>
      <c r="H295" s="1">
        <v>0.4</v>
      </c>
      <c r="I295" s="1">
        <v>1.5</v>
      </c>
      <c r="J295" s="1">
        <v>1</v>
      </c>
      <c r="M295" s="1">
        <v>46</v>
      </c>
      <c r="N295" s="6">
        <f t="shared" si="76"/>
        <v>6588.7062149682797</v>
      </c>
      <c r="O295" s="6">
        <f t="shared" si="73"/>
        <v>439280.66125055187</v>
      </c>
      <c r="P295" s="6">
        <f t="shared" si="74"/>
        <v>3369.3779225598046</v>
      </c>
      <c r="Q295" s="1">
        <v>0.4</v>
      </c>
      <c r="R295" s="1">
        <v>1.5</v>
      </c>
      <c r="S295" s="1">
        <v>1</v>
      </c>
      <c r="T295" s="1">
        <v>0.8</v>
      </c>
      <c r="U295" s="1">
        <v>10</v>
      </c>
      <c r="V295" s="5">
        <f t="shared" si="75"/>
        <v>2.4999999999999987</v>
      </c>
      <c r="X295" s="1">
        <v>46</v>
      </c>
      <c r="Y295" s="6">
        <f t="shared" si="77"/>
        <v>1317.741242993656</v>
      </c>
      <c r="Z295" s="6">
        <f t="shared" si="78"/>
        <v>48808.962361172431</v>
      </c>
      <c r="AA295" s="6">
        <f t="shared" si="79"/>
        <v>3369.3779225598046</v>
      </c>
      <c r="AB295" s="1">
        <f t="shared" si="80"/>
        <v>0.4</v>
      </c>
      <c r="AC295" s="1">
        <f t="shared" si="70"/>
        <v>1.5</v>
      </c>
      <c r="AD295" s="1">
        <f t="shared" si="71"/>
        <v>1</v>
      </c>
      <c r="AE295" s="1">
        <f t="shared" si="81"/>
        <v>10</v>
      </c>
      <c r="AF295" s="33">
        <f t="shared" si="82"/>
        <v>2.4999999999999987</v>
      </c>
    </row>
    <row r="296" spans="4:32" ht="14.25" hidden="1" customHeight="1" outlineLevel="1" x14ac:dyDescent="0.2">
      <c r="D296" s="1">
        <v>47</v>
      </c>
      <c r="E296" s="6">
        <f t="shared" si="83"/>
        <v>138.36283051433384</v>
      </c>
      <c r="F296" s="6">
        <f t="shared" si="83"/>
        <v>6357.1436161632364</v>
      </c>
      <c r="G296" s="6">
        <f t="shared" si="83"/>
        <v>47.171290915837254</v>
      </c>
      <c r="H296" s="1">
        <v>0.4</v>
      </c>
      <c r="I296" s="1">
        <v>1.5</v>
      </c>
      <c r="J296" s="1">
        <v>1</v>
      </c>
      <c r="M296" s="1">
        <v>47</v>
      </c>
      <c r="N296" s="6">
        <f t="shared" si="76"/>
        <v>6918.1415257166918</v>
      </c>
      <c r="O296" s="6">
        <f t="shared" si="73"/>
        <v>460494.19208724221</v>
      </c>
      <c r="P296" s="6">
        <f t="shared" si="74"/>
        <v>3537.846818687794</v>
      </c>
      <c r="Q296" s="1">
        <v>0.4</v>
      </c>
      <c r="R296" s="1">
        <v>1.5</v>
      </c>
      <c r="S296" s="1">
        <v>1</v>
      </c>
      <c r="T296" s="1">
        <v>0.8</v>
      </c>
      <c r="U296" s="1">
        <v>10</v>
      </c>
      <c r="V296" s="5">
        <f t="shared" si="75"/>
        <v>2.4999999999999991</v>
      </c>
      <c r="X296" s="1">
        <v>47</v>
      </c>
      <c r="Y296" s="6">
        <f t="shared" si="77"/>
        <v>1383.6283051433384</v>
      </c>
      <c r="Z296" s="6">
        <f t="shared" si="78"/>
        <v>51166.021343026914</v>
      </c>
      <c r="AA296" s="6">
        <f t="shared" si="79"/>
        <v>3537.846818687794</v>
      </c>
      <c r="AB296" s="1">
        <f t="shared" si="80"/>
        <v>0.4</v>
      </c>
      <c r="AC296" s="1">
        <f t="shared" si="70"/>
        <v>1.5</v>
      </c>
      <c r="AD296" s="1">
        <f t="shared" si="71"/>
        <v>1</v>
      </c>
      <c r="AE296" s="1">
        <f t="shared" si="81"/>
        <v>10</v>
      </c>
      <c r="AF296" s="33">
        <f t="shared" si="82"/>
        <v>2.4999999999999991</v>
      </c>
    </row>
    <row r="297" spans="4:32" ht="14.25" hidden="1" customHeight="1" outlineLevel="1" x14ac:dyDescent="0.2">
      <c r="D297" s="1">
        <v>48</v>
      </c>
      <c r="E297" s="6">
        <f t="shared" si="83"/>
        <v>145.28097204005056</v>
      </c>
      <c r="F297" s="6">
        <f t="shared" si="83"/>
        <v>6675.0007969713997</v>
      </c>
      <c r="G297" s="6">
        <f t="shared" si="83"/>
        <v>49.529855461629133</v>
      </c>
      <c r="H297" s="1">
        <v>0.4</v>
      </c>
      <c r="I297" s="1">
        <v>1.5</v>
      </c>
      <c r="J297" s="1">
        <v>1</v>
      </c>
      <c r="M297" s="1">
        <v>48</v>
      </c>
      <c r="N297" s="6">
        <f t="shared" si="76"/>
        <v>7264.0486020025282</v>
      </c>
      <c r="O297" s="6">
        <f t="shared" si="73"/>
        <v>482694.22825464356</v>
      </c>
      <c r="P297" s="6">
        <f t="shared" si="74"/>
        <v>3714.7391596221851</v>
      </c>
      <c r="Q297" s="1">
        <v>0.4</v>
      </c>
      <c r="R297" s="1">
        <v>1.5</v>
      </c>
      <c r="S297" s="1">
        <v>1</v>
      </c>
      <c r="T297" s="1">
        <v>0.8</v>
      </c>
      <c r="U297" s="1">
        <v>10</v>
      </c>
      <c r="V297" s="5">
        <f t="shared" si="75"/>
        <v>2.4999999999999991</v>
      </c>
      <c r="X297" s="1">
        <v>48</v>
      </c>
      <c r="Y297" s="6">
        <f t="shared" si="77"/>
        <v>1452.8097204005057</v>
      </c>
      <c r="Z297" s="6">
        <f t="shared" si="78"/>
        <v>53632.692028293728</v>
      </c>
      <c r="AA297" s="6">
        <f t="shared" si="79"/>
        <v>3714.7391596221851</v>
      </c>
      <c r="AB297" s="1">
        <f t="shared" si="80"/>
        <v>0.4</v>
      </c>
      <c r="AC297" s="1">
        <f t="shared" si="70"/>
        <v>1.5</v>
      </c>
      <c r="AD297" s="1">
        <f t="shared" si="71"/>
        <v>1</v>
      </c>
      <c r="AE297" s="1">
        <f t="shared" si="81"/>
        <v>10</v>
      </c>
      <c r="AF297" s="33">
        <f t="shared" si="82"/>
        <v>2.4999999999999991</v>
      </c>
    </row>
    <row r="298" spans="4:32" ht="14.25" hidden="1" customHeight="1" outlineLevel="1" x14ac:dyDescent="0.2">
      <c r="D298" s="1">
        <v>49</v>
      </c>
      <c r="E298" s="6">
        <f t="shared" si="83"/>
        <v>152.54502064205309</v>
      </c>
      <c r="F298" s="6">
        <f t="shared" si="83"/>
        <v>7008.7508368199697</v>
      </c>
      <c r="G298" s="6">
        <f t="shared" si="83"/>
        <v>52.006348234710586</v>
      </c>
      <c r="H298" s="1">
        <v>0.4</v>
      </c>
      <c r="I298" s="1">
        <v>1.5</v>
      </c>
      <c r="J298" s="1">
        <v>1</v>
      </c>
      <c r="M298" s="1">
        <v>49</v>
      </c>
      <c r="N298" s="6">
        <f t="shared" si="76"/>
        <v>7627.2510321026557</v>
      </c>
      <c r="O298" s="6">
        <f t="shared" si="73"/>
        <v>505922.91046531464</v>
      </c>
      <c r="P298" s="6">
        <f t="shared" si="74"/>
        <v>3900.4761176032939</v>
      </c>
      <c r="Q298" s="1">
        <v>0.4</v>
      </c>
      <c r="R298" s="1">
        <v>1.5</v>
      </c>
      <c r="S298" s="1">
        <v>1</v>
      </c>
      <c r="T298" s="1">
        <v>0.8</v>
      </c>
      <c r="U298" s="1">
        <v>10</v>
      </c>
      <c r="V298" s="5">
        <f t="shared" si="75"/>
        <v>2.4999999999999987</v>
      </c>
      <c r="X298" s="1">
        <v>49</v>
      </c>
      <c r="Y298" s="6">
        <f t="shared" si="77"/>
        <v>1525.4502064205312</v>
      </c>
      <c r="Z298" s="6">
        <f t="shared" si="78"/>
        <v>56213.656718368293</v>
      </c>
      <c r="AA298" s="6">
        <f t="shared" si="79"/>
        <v>3900.4761176032939</v>
      </c>
      <c r="AB298" s="1">
        <f t="shared" si="80"/>
        <v>0.4</v>
      </c>
      <c r="AC298" s="1">
        <f t="shared" si="70"/>
        <v>1.5</v>
      </c>
      <c r="AD298" s="1">
        <f t="shared" si="71"/>
        <v>1</v>
      </c>
      <c r="AE298" s="1">
        <f t="shared" si="81"/>
        <v>10</v>
      </c>
      <c r="AF298" s="33">
        <f t="shared" si="82"/>
        <v>2.4999999999999987</v>
      </c>
    </row>
    <row r="299" spans="4:32" ht="14.25" hidden="1" customHeight="1" outlineLevel="1" x14ac:dyDescent="0.2">
      <c r="D299" s="1">
        <v>50</v>
      </c>
      <c r="E299" s="6">
        <f t="shared" si="83"/>
        <v>160.17227167415575</v>
      </c>
      <c r="F299" s="6">
        <f t="shared" si="83"/>
        <v>7359.1883786609687</v>
      </c>
      <c r="G299" s="6">
        <f t="shared" si="83"/>
        <v>54.606665646446118</v>
      </c>
      <c r="H299" s="1">
        <v>0.4</v>
      </c>
      <c r="I299" s="1">
        <v>1.5</v>
      </c>
      <c r="J299" s="1">
        <v>1</v>
      </c>
      <c r="M299" s="1">
        <v>50</v>
      </c>
      <c r="N299" s="6">
        <f t="shared" si="76"/>
        <v>8008.6135837077882</v>
      </c>
      <c r="O299" s="6">
        <f t="shared" si="73"/>
        <v>530223.81256181258</v>
      </c>
      <c r="P299" s="6">
        <f t="shared" si="74"/>
        <v>4095.4999234834586</v>
      </c>
      <c r="Q299" s="1">
        <v>0.4</v>
      </c>
      <c r="R299" s="1">
        <v>1.5</v>
      </c>
      <c r="S299" s="1">
        <v>1</v>
      </c>
      <c r="T299" s="1">
        <v>0.8</v>
      </c>
      <c r="U299" s="1">
        <v>10</v>
      </c>
      <c r="V299" s="5">
        <f t="shared" si="75"/>
        <v>2.5</v>
      </c>
      <c r="X299" s="1">
        <v>50</v>
      </c>
      <c r="Y299" s="6">
        <f t="shared" si="77"/>
        <v>1601.7227167415576</v>
      </c>
      <c r="Z299" s="6">
        <f t="shared" si="78"/>
        <v>58913.756951312505</v>
      </c>
      <c r="AA299" s="6">
        <f t="shared" si="79"/>
        <v>4095.4999234834586</v>
      </c>
      <c r="AB299" s="1">
        <f t="shared" si="80"/>
        <v>0.4</v>
      </c>
      <c r="AC299" s="1">
        <f t="shared" si="70"/>
        <v>1.5</v>
      </c>
      <c r="AD299" s="1">
        <f t="shared" si="71"/>
        <v>1</v>
      </c>
      <c r="AE299" s="1">
        <f t="shared" si="81"/>
        <v>10</v>
      </c>
      <c r="AF299" s="33">
        <f t="shared" si="82"/>
        <v>2.5</v>
      </c>
    </row>
    <row r="300" spans="4:32" ht="14.25" hidden="1" customHeight="1" outlineLevel="1" x14ac:dyDescent="0.2">
      <c r="D300" s="1">
        <v>51</v>
      </c>
      <c r="E300" s="6">
        <f t="shared" si="83"/>
        <v>168.18088525786354</v>
      </c>
      <c r="F300" s="6">
        <f t="shared" si="83"/>
        <v>7727.147797594017</v>
      </c>
      <c r="G300" s="6">
        <f t="shared" si="83"/>
        <v>57.336998928768423</v>
      </c>
      <c r="H300" s="1">
        <v>0.4</v>
      </c>
      <c r="I300" s="1">
        <v>1.5</v>
      </c>
      <c r="J300" s="1">
        <v>1</v>
      </c>
      <c r="M300" s="1">
        <v>51</v>
      </c>
      <c r="N300" s="6">
        <f t="shared" si="76"/>
        <v>8409.0442628931778</v>
      </c>
      <c r="O300" s="6">
        <f t="shared" si="73"/>
        <v>555641.95326039859</v>
      </c>
      <c r="P300" s="6">
        <f t="shared" si="74"/>
        <v>4300.2749196576315</v>
      </c>
      <c r="Q300" s="1">
        <v>0.4</v>
      </c>
      <c r="R300" s="1">
        <v>1.5</v>
      </c>
      <c r="S300" s="1">
        <v>1</v>
      </c>
      <c r="T300" s="1">
        <v>0.8</v>
      </c>
      <c r="U300" s="1">
        <v>10</v>
      </c>
      <c r="V300" s="5">
        <f t="shared" si="75"/>
        <v>2.4999999999999991</v>
      </c>
      <c r="X300" s="1">
        <v>51</v>
      </c>
      <c r="Y300" s="6">
        <f t="shared" si="77"/>
        <v>1681.8088525786357</v>
      </c>
      <c r="Z300" s="6">
        <f t="shared" si="78"/>
        <v>61737.994806710951</v>
      </c>
      <c r="AA300" s="6">
        <f t="shared" si="79"/>
        <v>4300.2749196576315</v>
      </c>
      <c r="AB300" s="1">
        <f t="shared" si="80"/>
        <v>0.4</v>
      </c>
      <c r="AC300" s="1">
        <f t="shared" si="70"/>
        <v>1.5</v>
      </c>
      <c r="AD300" s="1">
        <f t="shared" si="71"/>
        <v>1</v>
      </c>
      <c r="AE300" s="1">
        <f t="shared" si="81"/>
        <v>10</v>
      </c>
      <c r="AF300" s="33">
        <f t="shared" si="82"/>
        <v>2.4999999999999991</v>
      </c>
    </row>
    <row r="301" spans="4:32" ht="14.25" hidden="1" customHeight="1" outlineLevel="1" x14ac:dyDescent="0.2">
      <c r="D301" s="1">
        <v>52</v>
      </c>
      <c r="E301" s="6">
        <f t="shared" si="83"/>
        <v>176.58992952075673</v>
      </c>
      <c r="F301" s="6">
        <f t="shared" si="83"/>
        <v>8113.5051874737173</v>
      </c>
      <c r="G301" s="6">
        <f t="shared" si="83"/>
        <v>60.203848875206845</v>
      </c>
      <c r="H301" s="1">
        <v>0.4</v>
      </c>
      <c r="I301" s="1">
        <v>1.5</v>
      </c>
      <c r="J301" s="1">
        <v>1</v>
      </c>
      <c r="M301" s="1">
        <v>52</v>
      </c>
      <c r="N301" s="6">
        <f t="shared" si="76"/>
        <v>8829.4964760378371</v>
      </c>
      <c r="O301" s="6">
        <f t="shared" si="73"/>
        <v>582223.8036458469</v>
      </c>
      <c r="P301" s="6">
        <f t="shared" si="74"/>
        <v>4515.2886656405135</v>
      </c>
      <c r="Q301" s="1">
        <v>0.4</v>
      </c>
      <c r="R301" s="1">
        <v>1.5</v>
      </c>
      <c r="S301" s="1">
        <v>1</v>
      </c>
      <c r="T301" s="1">
        <v>0.8</v>
      </c>
      <c r="U301" s="1">
        <v>10</v>
      </c>
      <c r="V301" s="5">
        <f t="shared" si="75"/>
        <v>2.4999999999999991</v>
      </c>
      <c r="X301" s="1">
        <v>52</v>
      </c>
      <c r="Y301" s="6">
        <f t="shared" si="77"/>
        <v>1765.8992952075673</v>
      </c>
      <c r="Z301" s="6">
        <f t="shared" si="78"/>
        <v>64691.533738427432</v>
      </c>
      <c r="AA301" s="6">
        <f t="shared" si="79"/>
        <v>4515.2886656405135</v>
      </c>
      <c r="AB301" s="1">
        <f t="shared" si="80"/>
        <v>0.4</v>
      </c>
      <c r="AC301" s="1">
        <f t="shared" si="70"/>
        <v>1.5</v>
      </c>
      <c r="AD301" s="1">
        <f t="shared" si="71"/>
        <v>1</v>
      </c>
      <c r="AE301" s="1">
        <f t="shared" si="81"/>
        <v>10</v>
      </c>
      <c r="AF301" s="33">
        <f t="shared" si="82"/>
        <v>2.4999999999999991</v>
      </c>
    </row>
    <row r="302" spans="4:32" ht="14.25" hidden="1" customHeight="1" outlineLevel="1" x14ac:dyDescent="0.2">
      <c r="D302" s="1">
        <v>53</v>
      </c>
      <c r="E302" s="6">
        <f t="shared" si="83"/>
        <v>185.41942599679456</v>
      </c>
      <c r="F302" s="6">
        <f t="shared" si="83"/>
        <v>8519.1804468474038</v>
      </c>
      <c r="G302" s="6">
        <f t="shared" si="83"/>
        <v>63.21404131896719</v>
      </c>
      <c r="H302" s="1">
        <v>0.4</v>
      </c>
      <c r="I302" s="1">
        <v>1.5</v>
      </c>
      <c r="J302" s="1">
        <v>1</v>
      </c>
      <c r="M302" s="1">
        <v>53</v>
      </c>
      <c r="N302" s="6">
        <f t="shared" si="76"/>
        <v>9270.9712998397281</v>
      </c>
      <c r="O302" s="6">
        <f t="shared" si="73"/>
        <v>610017.28988738602</v>
      </c>
      <c r="P302" s="6">
        <f t="shared" si="74"/>
        <v>4741.053098922539</v>
      </c>
      <c r="Q302" s="1">
        <v>0.4</v>
      </c>
      <c r="R302" s="1">
        <v>1.5</v>
      </c>
      <c r="S302" s="1">
        <v>1</v>
      </c>
      <c r="T302" s="1">
        <v>0.8</v>
      </c>
      <c r="U302" s="1">
        <v>10</v>
      </c>
      <c r="V302" s="5">
        <f t="shared" si="75"/>
        <v>2.4999999999999991</v>
      </c>
      <c r="X302" s="1">
        <v>53</v>
      </c>
      <c r="Y302" s="6">
        <f t="shared" si="77"/>
        <v>1854.1942599679455</v>
      </c>
      <c r="Z302" s="6">
        <f t="shared" si="78"/>
        <v>67779.69887637622</v>
      </c>
      <c r="AA302" s="6">
        <f t="shared" si="79"/>
        <v>4741.053098922539</v>
      </c>
      <c r="AB302" s="1">
        <f t="shared" si="80"/>
        <v>0.4</v>
      </c>
      <c r="AC302" s="1">
        <f t="shared" si="70"/>
        <v>1.5</v>
      </c>
      <c r="AD302" s="1">
        <f t="shared" si="71"/>
        <v>1</v>
      </c>
      <c r="AE302" s="1">
        <f t="shared" si="81"/>
        <v>10</v>
      </c>
      <c r="AF302" s="33">
        <f t="shared" si="82"/>
        <v>2.4999999999999991</v>
      </c>
    </row>
    <row r="303" spans="4:32" ht="14.25" hidden="1" customHeight="1" outlineLevel="1" x14ac:dyDescent="0.2">
      <c r="D303" s="1">
        <v>54</v>
      </c>
      <c r="E303" s="6">
        <f t="shared" si="83"/>
        <v>194.69039729663427</v>
      </c>
      <c r="F303" s="6">
        <f t="shared" si="83"/>
        <v>8945.1394691897731</v>
      </c>
      <c r="G303" s="6">
        <f t="shared" si="83"/>
        <v>66.374743384915547</v>
      </c>
      <c r="H303" s="1">
        <v>0.4</v>
      </c>
      <c r="I303" s="1">
        <v>1.5</v>
      </c>
      <c r="J303" s="1">
        <v>1</v>
      </c>
      <c r="M303" s="1">
        <v>54</v>
      </c>
      <c r="N303" s="6">
        <f t="shared" si="76"/>
        <v>9734.5198648317146</v>
      </c>
      <c r="O303" s="6">
        <f t="shared" si="73"/>
        <v>639071.79060954764</v>
      </c>
      <c r="P303" s="6">
        <f t="shared" si="74"/>
        <v>4978.1057538686664</v>
      </c>
      <c r="Q303" s="1">
        <v>0.4</v>
      </c>
      <c r="R303" s="1">
        <v>1.5</v>
      </c>
      <c r="S303" s="1">
        <v>1</v>
      </c>
      <c r="T303" s="1">
        <v>0.8</v>
      </c>
      <c r="U303" s="1">
        <v>10</v>
      </c>
      <c r="V303" s="5">
        <f t="shared" si="75"/>
        <v>2.4999999999999996</v>
      </c>
      <c r="X303" s="1">
        <v>54</v>
      </c>
      <c r="Y303" s="6">
        <f t="shared" si="77"/>
        <v>1946.903972966343</v>
      </c>
      <c r="Z303" s="6">
        <f t="shared" si="78"/>
        <v>71007.976734394178</v>
      </c>
      <c r="AA303" s="6">
        <f t="shared" si="79"/>
        <v>4978.1057538686664</v>
      </c>
      <c r="AB303" s="1">
        <f t="shared" si="80"/>
        <v>0.4</v>
      </c>
      <c r="AC303" s="1">
        <f t="shared" si="70"/>
        <v>1.5</v>
      </c>
      <c r="AD303" s="1">
        <f t="shared" si="71"/>
        <v>1</v>
      </c>
      <c r="AE303" s="1">
        <f t="shared" si="81"/>
        <v>10</v>
      </c>
      <c r="AF303" s="33">
        <f t="shared" si="82"/>
        <v>2.4999999999999996</v>
      </c>
    </row>
    <row r="304" spans="4:32" ht="14.25" hidden="1" customHeight="1" outlineLevel="1" x14ac:dyDescent="0.2">
      <c r="D304" s="1">
        <v>55</v>
      </c>
      <c r="E304" s="6">
        <f t="shared" si="83"/>
        <v>204.42491716146597</v>
      </c>
      <c r="F304" s="6">
        <f t="shared" si="83"/>
        <v>9392.3964426492603</v>
      </c>
      <c r="G304" s="6">
        <f t="shared" si="83"/>
        <v>69.693480554161312</v>
      </c>
      <c r="H304" s="1">
        <v>0.4</v>
      </c>
      <c r="I304" s="1">
        <v>1.5</v>
      </c>
      <c r="J304" s="1">
        <v>1</v>
      </c>
      <c r="M304" s="1">
        <v>55</v>
      </c>
      <c r="N304" s="6">
        <f t="shared" si="76"/>
        <v>10221.2458580733</v>
      </c>
      <c r="O304" s="6">
        <f t="shared" si="73"/>
        <v>669438.12831523083</v>
      </c>
      <c r="P304" s="6">
        <f t="shared" si="74"/>
        <v>5227.0110415620984</v>
      </c>
      <c r="Q304" s="1">
        <v>0.4</v>
      </c>
      <c r="R304" s="1">
        <v>1.5</v>
      </c>
      <c r="S304" s="1">
        <v>1</v>
      </c>
      <c r="T304" s="1">
        <v>0.8</v>
      </c>
      <c r="U304" s="1">
        <v>10</v>
      </c>
      <c r="V304" s="5">
        <f t="shared" si="75"/>
        <v>2.4999999999999991</v>
      </c>
      <c r="X304" s="1">
        <v>55</v>
      </c>
      <c r="Y304" s="6">
        <f t="shared" si="77"/>
        <v>2044.2491716146601</v>
      </c>
      <c r="Z304" s="6">
        <f t="shared" si="78"/>
        <v>74382.014257247865</v>
      </c>
      <c r="AA304" s="6">
        <f t="shared" si="79"/>
        <v>5227.0110415620984</v>
      </c>
      <c r="AB304" s="1">
        <f t="shared" si="80"/>
        <v>0.4</v>
      </c>
      <c r="AC304" s="1">
        <f t="shared" si="70"/>
        <v>1.5</v>
      </c>
      <c r="AD304" s="1">
        <f t="shared" si="71"/>
        <v>1</v>
      </c>
      <c r="AE304" s="1">
        <f t="shared" si="81"/>
        <v>10</v>
      </c>
      <c r="AF304" s="33">
        <f t="shared" si="82"/>
        <v>2.4999999999999991</v>
      </c>
    </row>
    <row r="305" spans="4:32" ht="14.25" hidden="1" customHeight="1" outlineLevel="1" x14ac:dyDescent="0.2">
      <c r="D305" s="1">
        <v>56</v>
      </c>
      <c r="E305" s="6">
        <f t="shared" si="83"/>
        <v>214.6461630195393</v>
      </c>
      <c r="F305" s="6">
        <f t="shared" si="83"/>
        <v>9862.0162647817269</v>
      </c>
      <c r="G305" s="6">
        <f t="shared" si="83"/>
        <v>73.178154581869393</v>
      </c>
      <c r="H305" s="1">
        <v>0.4</v>
      </c>
      <c r="I305" s="1">
        <v>1.5</v>
      </c>
      <c r="J305" s="1">
        <v>1</v>
      </c>
      <c r="M305" s="1">
        <v>56</v>
      </c>
      <c r="N305" s="6">
        <f t="shared" si="76"/>
        <v>10732.308150976967</v>
      </c>
      <c r="O305" s="6">
        <f t="shared" si="73"/>
        <v>701168.55422202556</v>
      </c>
      <c r="P305" s="6">
        <f t="shared" si="74"/>
        <v>5488.3615936402048</v>
      </c>
      <c r="Q305" s="1">
        <v>0.4</v>
      </c>
      <c r="R305" s="1">
        <v>1.5</v>
      </c>
      <c r="S305" s="1">
        <v>1</v>
      </c>
      <c r="T305" s="1">
        <v>0.8</v>
      </c>
      <c r="U305" s="1">
        <v>10</v>
      </c>
      <c r="V305" s="5">
        <f t="shared" si="75"/>
        <v>2.4999999999999991</v>
      </c>
      <c r="X305" s="1">
        <v>56</v>
      </c>
      <c r="Y305" s="6">
        <f t="shared" si="77"/>
        <v>2146.4616301953934</v>
      </c>
      <c r="Z305" s="6">
        <f t="shared" si="78"/>
        <v>77907.617135780616</v>
      </c>
      <c r="AA305" s="6">
        <f t="shared" si="79"/>
        <v>5488.3615936402048</v>
      </c>
      <c r="AB305" s="1">
        <f t="shared" si="80"/>
        <v>0.4</v>
      </c>
      <c r="AC305" s="1">
        <f t="shared" si="70"/>
        <v>1.5</v>
      </c>
      <c r="AD305" s="1">
        <f t="shared" si="71"/>
        <v>1</v>
      </c>
      <c r="AE305" s="1">
        <f t="shared" si="81"/>
        <v>10</v>
      </c>
      <c r="AF305" s="33">
        <f t="shared" si="82"/>
        <v>2.4999999999999991</v>
      </c>
    </row>
    <row r="306" spans="4:32" ht="14.25" hidden="1" customHeight="1" outlineLevel="1" x14ac:dyDescent="0.2">
      <c r="D306" s="1">
        <v>57</v>
      </c>
      <c r="E306" s="6">
        <f t="shared" si="83"/>
        <v>225.37847117051624</v>
      </c>
      <c r="F306" s="6">
        <f t="shared" si="83"/>
        <v>10355.11707802081</v>
      </c>
      <c r="G306" s="6">
        <f t="shared" si="83"/>
        <v>76.83706231096285</v>
      </c>
      <c r="H306" s="1">
        <v>0.4</v>
      </c>
      <c r="I306" s="1">
        <v>1.5</v>
      </c>
      <c r="J306" s="1">
        <v>1</v>
      </c>
      <c r="M306" s="1">
        <v>57</v>
      </c>
      <c r="N306" s="6">
        <f t="shared" si="76"/>
        <v>11268.923558525814</v>
      </c>
      <c r="O306" s="6">
        <f t="shared" si="73"/>
        <v>734316.72583720891</v>
      </c>
      <c r="P306" s="6">
        <f t="shared" si="74"/>
        <v>5762.779673322214</v>
      </c>
      <c r="Q306" s="1">
        <v>0.4</v>
      </c>
      <c r="R306" s="1">
        <v>1.5</v>
      </c>
      <c r="S306" s="1">
        <v>1</v>
      </c>
      <c r="T306" s="1">
        <v>0.8</v>
      </c>
      <c r="U306" s="1">
        <v>10</v>
      </c>
      <c r="V306" s="5">
        <f t="shared" si="75"/>
        <v>2.4999999999999991</v>
      </c>
      <c r="X306" s="1">
        <v>57</v>
      </c>
      <c r="Y306" s="6">
        <f t="shared" si="77"/>
        <v>2253.7847117051629</v>
      </c>
      <c r="Z306" s="6">
        <f t="shared" si="78"/>
        <v>81590.747315245433</v>
      </c>
      <c r="AA306" s="6">
        <f t="shared" si="79"/>
        <v>5762.779673322214</v>
      </c>
      <c r="AB306" s="1">
        <f t="shared" si="80"/>
        <v>0.4</v>
      </c>
      <c r="AC306" s="1">
        <f t="shared" si="70"/>
        <v>1.5</v>
      </c>
      <c r="AD306" s="1">
        <f t="shared" si="71"/>
        <v>1</v>
      </c>
      <c r="AE306" s="1">
        <f t="shared" si="81"/>
        <v>10</v>
      </c>
      <c r="AF306" s="33">
        <f t="shared" si="82"/>
        <v>2.4999999999999991</v>
      </c>
    </row>
    <row r="307" spans="4:32" ht="14.25" hidden="1" customHeight="1" outlineLevel="1" x14ac:dyDescent="0.2">
      <c r="D307" s="1">
        <v>58</v>
      </c>
      <c r="E307" s="6">
        <f t="shared" si="83"/>
        <v>236.64739472904208</v>
      </c>
      <c r="F307" s="6">
        <f t="shared" si="83"/>
        <v>10872.872931921853</v>
      </c>
      <c r="G307" s="6">
        <f t="shared" si="83"/>
        <v>80.678915426510997</v>
      </c>
      <c r="H307" s="1">
        <v>0.4</v>
      </c>
      <c r="I307" s="1">
        <v>1.5</v>
      </c>
      <c r="J307" s="1">
        <v>1</v>
      </c>
      <c r="M307" s="1">
        <v>58</v>
      </c>
      <c r="N307" s="6">
        <f t="shared" si="76"/>
        <v>11832.369736452105</v>
      </c>
      <c r="O307" s="6">
        <f t="shared" si="73"/>
        <v>768937.67656241148</v>
      </c>
      <c r="P307" s="6">
        <f t="shared" si="74"/>
        <v>6050.918656988325</v>
      </c>
      <c r="Q307" s="1">
        <v>0.4</v>
      </c>
      <c r="R307" s="1">
        <v>1.5</v>
      </c>
      <c r="S307" s="1">
        <v>1</v>
      </c>
      <c r="T307" s="1">
        <v>0.8</v>
      </c>
      <c r="U307" s="1">
        <v>10</v>
      </c>
      <c r="V307" s="5">
        <f t="shared" si="75"/>
        <v>2.4999999999999987</v>
      </c>
      <c r="X307" s="1">
        <v>58</v>
      </c>
      <c r="Y307" s="6">
        <f t="shared" si="77"/>
        <v>2366.4739472904212</v>
      </c>
      <c r="Z307" s="6">
        <f t="shared" si="78"/>
        <v>85437.519618045713</v>
      </c>
      <c r="AA307" s="6">
        <f t="shared" si="79"/>
        <v>6050.918656988325</v>
      </c>
      <c r="AB307" s="1">
        <f t="shared" si="80"/>
        <v>0.4</v>
      </c>
      <c r="AC307" s="1">
        <f t="shared" si="70"/>
        <v>1.5</v>
      </c>
      <c r="AD307" s="1">
        <f t="shared" si="71"/>
        <v>1</v>
      </c>
      <c r="AE307" s="1">
        <f t="shared" si="81"/>
        <v>10</v>
      </c>
      <c r="AF307" s="33">
        <f t="shared" si="82"/>
        <v>2.4999999999999987</v>
      </c>
    </row>
    <row r="308" spans="4:32" ht="14.25" hidden="1" customHeight="1" outlineLevel="1" x14ac:dyDescent="0.2">
      <c r="D308" s="1">
        <v>59</v>
      </c>
      <c r="E308" s="6">
        <f t="shared" si="83"/>
        <v>248.47976446549421</v>
      </c>
      <c r="F308" s="6">
        <f t="shared" si="83"/>
        <v>11416.516578517947</v>
      </c>
      <c r="G308" s="6">
        <f t="shared" si="83"/>
        <v>84.71286119783656</v>
      </c>
      <c r="H308" s="1">
        <v>0.4</v>
      </c>
      <c r="I308" s="1">
        <v>1.5</v>
      </c>
      <c r="J308" s="1">
        <v>1</v>
      </c>
      <c r="M308" s="1">
        <v>59</v>
      </c>
      <c r="N308" s="6">
        <f t="shared" si="76"/>
        <v>12423.988223274713</v>
      </c>
      <c r="O308" s="6">
        <f t="shared" si="73"/>
        <v>805087.77658632211</v>
      </c>
      <c r="P308" s="6">
        <f t="shared" si="74"/>
        <v>6353.4645898377421</v>
      </c>
      <c r="Q308" s="1">
        <v>0.4</v>
      </c>
      <c r="R308" s="1">
        <v>1.5</v>
      </c>
      <c r="S308" s="1">
        <v>1</v>
      </c>
      <c r="T308" s="1">
        <v>0.8</v>
      </c>
      <c r="U308" s="1">
        <v>10</v>
      </c>
      <c r="V308" s="5">
        <f t="shared" si="75"/>
        <v>2.4999999999999987</v>
      </c>
      <c r="X308" s="1">
        <v>59</v>
      </c>
      <c r="Y308" s="6">
        <f t="shared" si="77"/>
        <v>2484.7976446549428</v>
      </c>
      <c r="Z308" s="6">
        <f t="shared" si="78"/>
        <v>89454.197398480232</v>
      </c>
      <c r="AA308" s="6">
        <f t="shared" si="79"/>
        <v>6353.4645898377421</v>
      </c>
      <c r="AB308" s="1">
        <f t="shared" si="80"/>
        <v>0.4</v>
      </c>
      <c r="AC308" s="1">
        <f t="shared" si="70"/>
        <v>1.5</v>
      </c>
      <c r="AD308" s="1">
        <f t="shared" si="71"/>
        <v>1</v>
      </c>
      <c r="AE308" s="1">
        <f t="shared" si="81"/>
        <v>10</v>
      </c>
      <c r="AF308" s="33">
        <f t="shared" si="82"/>
        <v>2.4999999999999987</v>
      </c>
    </row>
    <row r="309" spans="4:32" ht="14.25" hidden="1" customHeight="1" outlineLevel="1" x14ac:dyDescent="0.2">
      <c r="D309" s="1">
        <v>60</v>
      </c>
      <c r="E309" s="6">
        <f t="shared" si="83"/>
        <v>260.90375268876892</v>
      </c>
      <c r="F309" s="6">
        <f t="shared" si="83"/>
        <v>11987.342407443844</v>
      </c>
      <c r="G309" s="6">
        <f t="shared" si="83"/>
        <v>88.948504257728388</v>
      </c>
      <c r="H309" s="1">
        <v>0.4</v>
      </c>
      <c r="I309" s="1">
        <v>1.5</v>
      </c>
      <c r="J309" s="1">
        <v>1</v>
      </c>
      <c r="M309" s="1">
        <v>60</v>
      </c>
      <c r="N309" s="6">
        <f t="shared" si="76"/>
        <v>13045.187634438447</v>
      </c>
      <c r="O309" s="6">
        <f t="shared" si="73"/>
        <v>842824.68429372425</v>
      </c>
      <c r="P309" s="6">
        <f t="shared" si="74"/>
        <v>6671.1378193296287</v>
      </c>
      <c r="Q309" s="1">
        <v>0.4</v>
      </c>
      <c r="R309" s="1">
        <v>1.5</v>
      </c>
      <c r="S309" s="1">
        <v>1</v>
      </c>
      <c r="T309" s="1">
        <v>0.8</v>
      </c>
      <c r="U309" s="1">
        <v>10</v>
      </c>
      <c r="V309" s="5">
        <f t="shared" si="75"/>
        <v>2.4999999999999991</v>
      </c>
      <c r="X309" s="1">
        <v>60</v>
      </c>
      <c r="Y309" s="6">
        <f t="shared" si="77"/>
        <v>2609.0375268876896</v>
      </c>
      <c r="Z309" s="6">
        <f t="shared" si="78"/>
        <v>93647.187143747142</v>
      </c>
      <c r="AA309" s="6">
        <f t="shared" si="79"/>
        <v>6671.1378193296287</v>
      </c>
      <c r="AB309" s="1">
        <f t="shared" si="80"/>
        <v>0.4</v>
      </c>
      <c r="AC309" s="1">
        <f t="shared" si="70"/>
        <v>1.5</v>
      </c>
      <c r="AD309" s="1">
        <f t="shared" si="71"/>
        <v>1</v>
      </c>
      <c r="AE309" s="1">
        <f t="shared" si="81"/>
        <v>10</v>
      </c>
      <c r="AF309" s="33">
        <f t="shared" si="82"/>
        <v>2.4999999999999991</v>
      </c>
    </row>
    <row r="310" spans="4:32" ht="14.25" hidden="1" customHeight="1" outlineLevel="1" x14ac:dyDescent="0.2">
      <c r="D310" s="1">
        <v>61</v>
      </c>
      <c r="E310" s="6">
        <f t="shared" si="83"/>
        <v>273.94894032320735</v>
      </c>
      <c r="F310" s="6">
        <f t="shared" si="83"/>
        <v>12586.709527816034</v>
      </c>
      <c r="G310" s="6">
        <f t="shared" si="83"/>
        <v>93.395929470614789</v>
      </c>
      <c r="H310" s="1">
        <v>0.4</v>
      </c>
      <c r="I310" s="1">
        <v>1.5</v>
      </c>
      <c r="J310" s="1">
        <v>1</v>
      </c>
      <c r="M310" s="1">
        <v>61</v>
      </c>
      <c r="N310" s="6">
        <f t="shared" si="76"/>
        <v>13697.447016160368</v>
      </c>
      <c r="O310" s="6">
        <f t="shared" si="73"/>
        <v>882207.2873923817</v>
      </c>
      <c r="P310" s="6">
        <f t="shared" si="74"/>
        <v>7004.6947102961094</v>
      </c>
      <c r="Q310" s="1">
        <v>0.4</v>
      </c>
      <c r="R310" s="1">
        <v>1.5</v>
      </c>
      <c r="S310" s="1">
        <v>1</v>
      </c>
      <c r="T310" s="1">
        <v>0.8</v>
      </c>
      <c r="U310" s="1">
        <v>10</v>
      </c>
      <c r="V310" s="5">
        <f t="shared" si="75"/>
        <v>2.4999999999999996</v>
      </c>
      <c r="X310" s="1">
        <v>61</v>
      </c>
      <c r="Y310" s="6">
        <f t="shared" si="77"/>
        <v>2739.4894032320735</v>
      </c>
      <c r="Z310" s="6">
        <f t="shared" si="78"/>
        <v>98023.031932486861</v>
      </c>
      <c r="AA310" s="6">
        <f t="shared" si="79"/>
        <v>7004.6947102961094</v>
      </c>
      <c r="AB310" s="1">
        <f t="shared" si="80"/>
        <v>0.4</v>
      </c>
      <c r="AC310" s="1">
        <f t="shared" si="70"/>
        <v>1.5</v>
      </c>
      <c r="AD310" s="1">
        <f t="shared" si="71"/>
        <v>1</v>
      </c>
      <c r="AE310" s="1">
        <f t="shared" si="81"/>
        <v>10</v>
      </c>
      <c r="AF310" s="33">
        <f t="shared" si="82"/>
        <v>2.4999999999999996</v>
      </c>
    </row>
    <row r="311" spans="4:32" ht="14.25" hidden="1" customHeight="1" outlineLevel="1" x14ac:dyDescent="0.2">
      <c r="D311" s="1">
        <v>62</v>
      </c>
      <c r="E311" s="6">
        <f t="shared" si="83"/>
        <v>287.64638733936778</v>
      </c>
      <c r="F311" s="6">
        <f t="shared" si="83"/>
        <v>13216.045004206839</v>
      </c>
      <c r="G311" s="6">
        <f t="shared" si="83"/>
        <v>98.065725944145555</v>
      </c>
      <c r="H311" s="1">
        <v>0.4</v>
      </c>
      <c r="I311" s="1">
        <v>1.5</v>
      </c>
      <c r="J311" s="1">
        <v>1</v>
      </c>
      <c r="M311" s="1">
        <v>62</v>
      </c>
      <c r="N311" s="6">
        <f t="shared" si="76"/>
        <v>14382.31936696839</v>
      </c>
      <c r="O311" s="6">
        <f t="shared" si="73"/>
        <v>923295.6329367609</v>
      </c>
      <c r="P311" s="6">
        <f t="shared" si="74"/>
        <v>7354.9294458109171</v>
      </c>
      <c r="Q311" s="1">
        <v>0.4</v>
      </c>
      <c r="R311" s="1">
        <v>1.5</v>
      </c>
      <c r="S311" s="1">
        <v>1</v>
      </c>
      <c r="T311" s="1">
        <v>0.8</v>
      </c>
      <c r="U311" s="1">
        <v>10</v>
      </c>
      <c r="V311" s="5">
        <f t="shared" si="75"/>
        <v>2.4999999999999991</v>
      </c>
      <c r="X311" s="1">
        <v>62</v>
      </c>
      <c r="Y311" s="6">
        <f t="shared" si="77"/>
        <v>2876.4638733936781</v>
      </c>
      <c r="Z311" s="6">
        <f t="shared" si="78"/>
        <v>102588.4036596401</v>
      </c>
      <c r="AA311" s="6">
        <f t="shared" si="79"/>
        <v>7354.9294458109171</v>
      </c>
      <c r="AB311" s="1">
        <f t="shared" si="80"/>
        <v>0.4</v>
      </c>
      <c r="AC311" s="1">
        <f t="shared" si="70"/>
        <v>1.5</v>
      </c>
      <c r="AD311" s="1">
        <f t="shared" si="71"/>
        <v>1</v>
      </c>
      <c r="AE311" s="1">
        <f t="shared" si="81"/>
        <v>10</v>
      </c>
      <c r="AF311" s="33">
        <f t="shared" si="82"/>
        <v>2.4999999999999991</v>
      </c>
    </row>
    <row r="312" spans="4:32" ht="14.25" hidden="1" customHeight="1" outlineLevel="1" x14ac:dyDescent="0.2">
      <c r="D312" s="1">
        <v>63</v>
      </c>
      <c r="E312" s="6">
        <f t="shared" si="83"/>
        <v>302.02870670633604</v>
      </c>
      <c r="F312" s="6">
        <f t="shared" si="83"/>
        <v>13876.847254417175</v>
      </c>
      <c r="G312" s="6">
        <f t="shared" si="83"/>
        <v>102.9690122413528</v>
      </c>
      <c r="H312" s="1">
        <v>0.4</v>
      </c>
      <c r="I312" s="1">
        <v>1.5</v>
      </c>
      <c r="J312" s="1">
        <v>1</v>
      </c>
      <c r="M312" s="1">
        <v>63</v>
      </c>
      <c r="N312" s="6">
        <f t="shared" si="76"/>
        <v>15101.435335316801</v>
      </c>
      <c r="O312" s="6">
        <f t="shared" si="73"/>
        <v>966150.84541025653</v>
      </c>
      <c r="P312" s="6">
        <f t="shared" si="74"/>
        <v>7722.6759181014604</v>
      </c>
      <c r="Q312" s="1">
        <v>0.4</v>
      </c>
      <c r="R312" s="1">
        <v>1.5</v>
      </c>
      <c r="S312" s="1">
        <v>1</v>
      </c>
      <c r="T312" s="1">
        <v>0.8</v>
      </c>
      <c r="U312" s="1">
        <v>10</v>
      </c>
      <c r="V312" s="5">
        <f t="shared" si="75"/>
        <v>2.4999999999999996</v>
      </c>
      <c r="X312" s="1">
        <v>63</v>
      </c>
      <c r="Y312" s="6">
        <f t="shared" si="77"/>
        <v>3020.2870670633602</v>
      </c>
      <c r="Z312" s="6">
        <f t="shared" si="78"/>
        <v>107350.09393447294</v>
      </c>
      <c r="AA312" s="6">
        <f t="shared" si="79"/>
        <v>7722.6759181014604</v>
      </c>
      <c r="AB312" s="1">
        <f t="shared" si="80"/>
        <v>0.4</v>
      </c>
      <c r="AC312" s="1">
        <f t="shared" si="70"/>
        <v>1.5</v>
      </c>
      <c r="AD312" s="1">
        <f t="shared" si="71"/>
        <v>1</v>
      </c>
      <c r="AE312" s="1">
        <f t="shared" si="81"/>
        <v>10</v>
      </c>
      <c r="AF312" s="33">
        <f t="shared" si="82"/>
        <v>2.4999999999999996</v>
      </c>
    </row>
    <row r="313" spans="4:32" ht="14.25" hidden="1" customHeight="1" outlineLevel="1" x14ac:dyDescent="0.2">
      <c r="D313" s="1">
        <v>64</v>
      </c>
      <c r="E313" s="6">
        <f t="shared" si="83"/>
        <v>317.13014204165296</v>
      </c>
      <c r="F313" s="6">
        <f t="shared" si="83"/>
        <v>14570.689617138039</v>
      </c>
      <c r="G313" s="6">
        <f t="shared" si="83"/>
        <v>108.11746285342048</v>
      </c>
      <c r="H313" s="1">
        <v>0.4</v>
      </c>
      <c r="I313" s="1">
        <v>1.5</v>
      </c>
      <c r="J313" s="1">
        <v>1</v>
      </c>
      <c r="M313" s="1">
        <v>64</v>
      </c>
      <c r="N313" s="6">
        <f t="shared" si="76"/>
        <v>15856.507102082649</v>
      </c>
      <c r="O313" s="6">
        <f t="shared" si="73"/>
        <v>1010835.0320166091</v>
      </c>
      <c r="P313" s="6">
        <f t="shared" si="74"/>
        <v>8108.8097140065356</v>
      </c>
      <c r="Q313" s="1">
        <v>0.4</v>
      </c>
      <c r="R313" s="1">
        <v>1.5</v>
      </c>
      <c r="S313" s="1">
        <v>1</v>
      </c>
      <c r="T313" s="1">
        <v>0.8</v>
      </c>
      <c r="U313" s="1">
        <v>10</v>
      </c>
      <c r="V313" s="5">
        <f t="shared" si="75"/>
        <v>2.4999999999999991</v>
      </c>
      <c r="X313" s="1">
        <v>64</v>
      </c>
      <c r="Y313" s="6">
        <f t="shared" si="77"/>
        <v>3171.3014204165297</v>
      </c>
      <c r="Z313" s="6">
        <f t="shared" si="78"/>
        <v>112315.00355740101</v>
      </c>
      <c r="AA313" s="6">
        <f t="shared" si="79"/>
        <v>8108.8097140065356</v>
      </c>
      <c r="AB313" s="1">
        <f t="shared" si="80"/>
        <v>0.4</v>
      </c>
      <c r="AC313" s="1">
        <f t="shared" si="70"/>
        <v>1.5</v>
      </c>
      <c r="AD313" s="1">
        <f t="shared" si="71"/>
        <v>1</v>
      </c>
      <c r="AE313" s="1">
        <f t="shared" si="81"/>
        <v>10</v>
      </c>
      <c r="AF313" s="33">
        <f t="shared" si="82"/>
        <v>2.4999999999999991</v>
      </c>
    </row>
    <row r="314" spans="4:32" ht="14.25" hidden="1" customHeight="1" outlineLevel="1" x14ac:dyDescent="0.2">
      <c r="D314" s="1">
        <v>65</v>
      </c>
      <c r="E314" s="6">
        <f t="shared" si="83"/>
        <v>332.98664914373558</v>
      </c>
      <c r="F314" s="6">
        <f t="shared" si="83"/>
        <v>15299.224097994942</v>
      </c>
      <c r="G314" s="6">
        <f t="shared" si="83"/>
        <v>113.5233359960915</v>
      </c>
      <c r="H314" s="1">
        <v>0.4</v>
      </c>
      <c r="I314" s="1">
        <v>1.5</v>
      </c>
      <c r="J314" s="1">
        <v>1</v>
      </c>
      <c r="M314" s="1">
        <v>65</v>
      </c>
      <c r="N314" s="6">
        <f t="shared" si="76"/>
        <v>16649.332457186782</v>
      </c>
      <c r="O314" s="6">
        <f t="shared" si="73"/>
        <v>1057411.1743277016</v>
      </c>
      <c r="P314" s="6">
        <f t="shared" si="74"/>
        <v>8514.250199706863</v>
      </c>
      <c r="Q314" s="1">
        <v>0.4</v>
      </c>
      <c r="R314" s="1">
        <v>1.5</v>
      </c>
      <c r="S314" s="1">
        <v>1</v>
      </c>
      <c r="T314" s="1">
        <v>0.8</v>
      </c>
      <c r="U314" s="1">
        <v>10</v>
      </c>
      <c r="V314" s="5">
        <f t="shared" si="75"/>
        <v>2.4999999999999987</v>
      </c>
      <c r="X314" s="1">
        <v>65</v>
      </c>
      <c r="Y314" s="6">
        <f t="shared" si="77"/>
        <v>3329.8664914373562</v>
      </c>
      <c r="Z314" s="6">
        <f t="shared" si="78"/>
        <v>117490.13048085573</v>
      </c>
      <c r="AA314" s="6">
        <f t="shared" si="79"/>
        <v>8514.250199706863</v>
      </c>
      <c r="AB314" s="1">
        <f t="shared" si="80"/>
        <v>0.4</v>
      </c>
      <c r="AC314" s="1">
        <f t="shared" ref="AC314:AC349" si="84">R314</f>
        <v>1.5</v>
      </c>
      <c r="AD314" s="1">
        <f t="shared" ref="AD314:AD349" si="85">S314</f>
        <v>1</v>
      </c>
      <c r="AE314" s="1">
        <f t="shared" si="81"/>
        <v>10</v>
      </c>
      <c r="AF314" s="33">
        <f t="shared" si="82"/>
        <v>2.4999999999999987</v>
      </c>
    </row>
    <row r="315" spans="4:32" ht="14.25" hidden="1" customHeight="1" outlineLevel="1" x14ac:dyDescent="0.2">
      <c r="D315" s="1">
        <v>66</v>
      </c>
      <c r="E315" s="6">
        <f t="shared" ref="E315:G349" si="86">E$247*E$248^($D315-1)</f>
        <v>349.63598160092238</v>
      </c>
      <c r="F315" s="6">
        <f t="shared" si="86"/>
        <v>16064.18530289469</v>
      </c>
      <c r="G315" s="6">
        <f t="shared" si="86"/>
        <v>119.19950279589608</v>
      </c>
      <c r="H315" s="1">
        <v>0.4</v>
      </c>
      <c r="I315" s="1">
        <v>1.5</v>
      </c>
      <c r="J315" s="1">
        <v>1</v>
      </c>
      <c r="M315" s="1">
        <v>66</v>
      </c>
      <c r="N315" s="6">
        <f t="shared" si="76"/>
        <v>17481.799080046119</v>
      </c>
      <c r="O315" s="6">
        <f t="shared" ref="O315:O349" si="87">F315*$K$21/(1+P315/$P$22)</f>
        <v>1105943.0054402903</v>
      </c>
      <c r="P315" s="6">
        <f t="shared" ref="P315:P349" si="88">G315*$K$21</f>
        <v>8939.9627096922068</v>
      </c>
      <c r="Q315" s="1">
        <v>0.4</v>
      </c>
      <c r="R315" s="1">
        <v>1.5</v>
      </c>
      <c r="S315" s="1">
        <v>1</v>
      </c>
      <c r="T315" s="1">
        <v>0.8</v>
      </c>
      <c r="U315" s="1">
        <v>10</v>
      </c>
      <c r="V315" s="5">
        <f t="shared" ref="V315:V349" si="89">E315*$K$21*(1-T315)/(1/U315)/(1+Q315*(R315-1))/N315</f>
        <v>2.4999999999999996</v>
      </c>
      <c r="X315" s="1">
        <v>66</v>
      </c>
      <c r="Y315" s="6">
        <f t="shared" si="77"/>
        <v>3496.3598160092238</v>
      </c>
      <c r="Z315" s="6">
        <f t="shared" si="78"/>
        <v>122882.55616003225</v>
      </c>
      <c r="AA315" s="6">
        <f t="shared" si="79"/>
        <v>8939.9627096922068</v>
      </c>
      <c r="AB315" s="1">
        <f t="shared" si="80"/>
        <v>0.4</v>
      </c>
      <c r="AC315" s="1">
        <f t="shared" si="84"/>
        <v>1.5</v>
      </c>
      <c r="AD315" s="1">
        <f t="shared" si="85"/>
        <v>1</v>
      </c>
      <c r="AE315" s="1">
        <f t="shared" si="81"/>
        <v>10</v>
      </c>
      <c r="AF315" s="33">
        <f t="shared" si="82"/>
        <v>2.4999999999999996</v>
      </c>
    </row>
    <row r="316" spans="4:32" ht="14.25" hidden="1" customHeight="1" outlineLevel="1" x14ac:dyDescent="0.2">
      <c r="D316" s="1">
        <v>67</v>
      </c>
      <c r="E316" s="6">
        <f t="shared" si="86"/>
        <v>367.11778068096851</v>
      </c>
      <c r="F316" s="6">
        <f t="shared" si="86"/>
        <v>16867.394568039424</v>
      </c>
      <c r="G316" s="6">
        <f t="shared" si="86"/>
        <v>125.15947793569089</v>
      </c>
      <c r="H316" s="1">
        <v>0.4</v>
      </c>
      <c r="I316" s="1">
        <v>1.5</v>
      </c>
      <c r="J316" s="1">
        <v>1</v>
      </c>
      <c r="M316" s="1">
        <v>67</v>
      </c>
      <c r="N316" s="6">
        <f t="shared" ref="N316:N349" si="90">E316*T316*$K$21/S316/(1+Q316*(R316-1))</f>
        <v>18355.889034048429</v>
      </c>
      <c r="O316" s="6">
        <f t="shared" si="87"/>
        <v>1156494.8718097024</v>
      </c>
      <c r="P316" s="6">
        <f t="shared" si="88"/>
        <v>9386.9608451768163</v>
      </c>
      <c r="Q316" s="1">
        <v>0.4</v>
      </c>
      <c r="R316" s="1">
        <v>1.5</v>
      </c>
      <c r="S316" s="1">
        <v>1</v>
      </c>
      <c r="T316" s="1">
        <v>0.8</v>
      </c>
      <c r="U316" s="1">
        <v>10</v>
      </c>
      <c r="V316" s="5">
        <f t="shared" si="89"/>
        <v>2.4999999999999991</v>
      </c>
      <c r="X316" s="1">
        <v>67</v>
      </c>
      <c r="Y316" s="6">
        <f t="shared" ref="Y316:Y349" si="91">2*N316/(1+$X$22)</f>
        <v>3671.1778068096855</v>
      </c>
      <c r="Z316" s="6">
        <f t="shared" ref="Z316:Z349" si="92">O316/$X$22</f>
        <v>128499.43020107804</v>
      </c>
      <c r="AA316" s="6">
        <f t="shared" ref="AA316:AA349" si="93">P316</f>
        <v>9386.9608451768163</v>
      </c>
      <c r="AB316" s="1">
        <f t="shared" ref="AB316:AB349" si="94">Q316</f>
        <v>0.4</v>
      </c>
      <c r="AC316" s="1">
        <f t="shared" si="84"/>
        <v>1.5</v>
      </c>
      <c r="AD316" s="1">
        <f t="shared" si="85"/>
        <v>1</v>
      </c>
      <c r="AE316" s="1">
        <f t="shared" ref="AE316:AE349" si="95">U316</f>
        <v>10</v>
      </c>
      <c r="AF316" s="33">
        <f t="shared" ref="AF316:AF349" si="96">V316</f>
        <v>2.4999999999999991</v>
      </c>
    </row>
    <row r="317" spans="4:32" ht="14.25" hidden="1" customHeight="1" outlineLevel="1" x14ac:dyDescent="0.2">
      <c r="D317" s="1">
        <v>68</v>
      </c>
      <c r="E317" s="6">
        <f t="shared" si="86"/>
        <v>385.47366971501697</v>
      </c>
      <c r="F317" s="6">
        <f t="shared" si="86"/>
        <v>17710.764296441397</v>
      </c>
      <c r="G317" s="6">
        <f t="shared" si="86"/>
        <v>131.41745183247542</v>
      </c>
      <c r="H317" s="1">
        <v>0.4</v>
      </c>
      <c r="I317" s="1">
        <v>1.5</v>
      </c>
      <c r="J317" s="1">
        <v>1</v>
      </c>
      <c r="M317" s="1">
        <v>68</v>
      </c>
      <c r="N317" s="6">
        <f t="shared" si="90"/>
        <v>19273.683485750851</v>
      </c>
      <c r="O317" s="6">
        <f t="shared" si="87"/>
        <v>1209131.5789557029</v>
      </c>
      <c r="P317" s="6">
        <f t="shared" si="88"/>
        <v>9856.3088874356563</v>
      </c>
      <c r="Q317" s="1">
        <v>0.4</v>
      </c>
      <c r="R317" s="1">
        <v>1.5</v>
      </c>
      <c r="S317" s="1">
        <v>1</v>
      </c>
      <c r="T317" s="1">
        <v>0.8</v>
      </c>
      <c r="U317" s="1">
        <v>10</v>
      </c>
      <c r="V317" s="5">
        <f t="shared" si="89"/>
        <v>2.4999999999999991</v>
      </c>
      <c r="X317" s="1">
        <v>68</v>
      </c>
      <c r="Y317" s="6">
        <f t="shared" si="91"/>
        <v>3854.7366971501701</v>
      </c>
      <c r="Z317" s="6">
        <f t="shared" si="92"/>
        <v>134347.95321730032</v>
      </c>
      <c r="AA317" s="6">
        <f t="shared" si="93"/>
        <v>9856.3088874356563</v>
      </c>
      <c r="AB317" s="1">
        <f t="shared" si="94"/>
        <v>0.4</v>
      </c>
      <c r="AC317" s="1">
        <f t="shared" si="84"/>
        <v>1.5</v>
      </c>
      <c r="AD317" s="1">
        <f t="shared" si="85"/>
        <v>1</v>
      </c>
      <c r="AE317" s="1">
        <f t="shared" si="95"/>
        <v>10</v>
      </c>
      <c r="AF317" s="33">
        <f t="shared" si="96"/>
        <v>2.4999999999999991</v>
      </c>
    </row>
    <row r="318" spans="4:32" ht="14.25" hidden="1" customHeight="1" outlineLevel="1" x14ac:dyDescent="0.2">
      <c r="D318" s="1">
        <v>69</v>
      </c>
      <c r="E318" s="6">
        <f t="shared" si="86"/>
        <v>404.74735320076775</v>
      </c>
      <c r="F318" s="6">
        <f t="shared" si="86"/>
        <v>18596.302511263464</v>
      </c>
      <c r="G318" s="6">
        <f t="shared" si="86"/>
        <v>137.9883244240992</v>
      </c>
      <c r="H318" s="1">
        <v>0.4</v>
      </c>
      <c r="I318" s="1">
        <v>1.5</v>
      </c>
      <c r="J318" s="1">
        <v>1</v>
      </c>
      <c r="M318" s="1">
        <v>69</v>
      </c>
      <c r="N318" s="6">
        <f t="shared" si="90"/>
        <v>20237.367660038388</v>
      </c>
      <c r="O318" s="6">
        <f t="shared" si="87"/>
        <v>1263918.2202760261</v>
      </c>
      <c r="P318" s="6">
        <f t="shared" si="88"/>
        <v>10349.124331807441</v>
      </c>
      <c r="Q318" s="1">
        <v>0.4</v>
      </c>
      <c r="R318" s="1">
        <v>1.5</v>
      </c>
      <c r="S318" s="1">
        <v>1</v>
      </c>
      <c r="T318" s="1">
        <v>0.8</v>
      </c>
      <c r="U318" s="1">
        <v>10</v>
      </c>
      <c r="V318" s="5">
        <f t="shared" si="89"/>
        <v>2.4999999999999996</v>
      </c>
      <c r="X318" s="1">
        <v>69</v>
      </c>
      <c r="Y318" s="6">
        <f t="shared" si="91"/>
        <v>4047.4735320076775</v>
      </c>
      <c r="Z318" s="6">
        <f t="shared" si="92"/>
        <v>140435.35780844733</v>
      </c>
      <c r="AA318" s="6">
        <f t="shared" si="93"/>
        <v>10349.124331807441</v>
      </c>
      <c r="AB318" s="1">
        <f t="shared" si="94"/>
        <v>0.4</v>
      </c>
      <c r="AC318" s="1">
        <f t="shared" si="84"/>
        <v>1.5</v>
      </c>
      <c r="AD318" s="1">
        <f t="shared" si="85"/>
        <v>1</v>
      </c>
      <c r="AE318" s="1">
        <f t="shared" si="95"/>
        <v>10</v>
      </c>
      <c r="AF318" s="33">
        <f t="shared" si="96"/>
        <v>2.4999999999999996</v>
      </c>
    </row>
    <row r="319" spans="4:32" ht="14.25" hidden="1" customHeight="1" outlineLevel="1" x14ac:dyDescent="0.2">
      <c r="D319" s="1">
        <v>70</v>
      </c>
      <c r="E319" s="6">
        <f t="shared" si="86"/>
        <v>424.98472086080619</v>
      </c>
      <c r="F319" s="6">
        <f t="shared" si="86"/>
        <v>19526.117636826639</v>
      </c>
      <c r="G319" s="6">
        <f t="shared" si="86"/>
        <v>144.88774064530415</v>
      </c>
      <c r="H319" s="1">
        <v>0.4</v>
      </c>
      <c r="I319" s="1">
        <v>1.5</v>
      </c>
      <c r="J319" s="1">
        <v>1</v>
      </c>
      <c r="M319" s="1">
        <v>70</v>
      </c>
      <c r="N319" s="6">
        <f t="shared" si="90"/>
        <v>21249.236043040313</v>
      </c>
      <c r="O319" s="6">
        <f t="shared" si="87"/>
        <v>1320919.9882580498</v>
      </c>
      <c r="P319" s="6">
        <f t="shared" si="88"/>
        <v>10866.580548397811</v>
      </c>
      <c r="Q319" s="1">
        <v>0.4</v>
      </c>
      <c r="R319" s="1">
        <v>1.5</v>
      </c>
      <c r="S319" s="1">
        <v>1</v>
      </c>
      <c r="T319" s="1">
        <v>0.8</v>
      </c>
      <c r="U319" s="1">
        <v>10</v>
      </c>
      <c r="V319" s="5">
        <f t="shared" si="89"/>
        <v>2.4999999999999991</v>
      </c>
      <c r="X319" s="1">
        <v>70</v>
      </c>
      <c r="Y319" s="6">
        <f t="shared" si="91"/>
        <v>4249.8472086080628</v>
      </c>
      <c r="Z319" s="6">
        <f t="shared" si="92"/>
        <v>146768.88758422775</v>
      </c>
      <c r="AA319" s="6">
        <f t="shared" si="93"/>
        <v>10866.580548397811</v>
      </c>
      <c r="AB319" s="1">
        <f t="shared" si="94"/>
        <v>0.4</v>
      </c>
      <c r="AC319" s="1">
        <f t="shared" si="84"/>
        <v>1.5</v>
      </c>
      <c r="AD319" s="1">
        <f t="shared" si="85"/>
        <v>1</v>
      </c>
      <c r="AE319" s="1">
        <f t="shared" si="95"/>
        <v>10</v>
      </c>
      <c r="AF319" s="33">
        <f t="shared" si="96"/>
        <v>2.4999999999999991</v>
      </c>
    </row>
    <row r="320" spans="4:32" ht="14.25" hidden="1" customHeight="1" outlineLevel="1" x14ac:dyDescent="0.2">
      <c r="D320" s="1">
        <v>71</v>
      </c>
      <c r="E320" s="6">
        <f t="shared" si="86"/>
        <v>446.23395690384643</v>
      </c>
      <c r="F320" s="6">
        <f t="shared" si="86"/>
        <v>20502.423518667969</v>
      </c>
      <c r="G320" s="6">
        <f t="shared" si="86"/>
        <v>152.13212767756937</v>
      </c>
      <c r="H320" s="1">
        <v>0.4</v>
      </c>
      <c r="I320" s="1">
        <v>1.5</v>
      </c>
      <c r="J320" s="1">
        <v>1</v>
      </c>
      <c r="M320" s="1">
        <v>71</v>
      </c>
      <c r="N320" s="6">
        <f t="shared" si="90"/>
        <v>22311.697845192324</v>
      </c>
      <c r="O320" s="6">
        <f t="shared" si="87"/>
        <v>1380201.9674503552</v>
      </c>
      <c r="P320" s="6">
        <f t="shared" si="88"/>
        <v>11409.909575817703</v>
      </c>
      <c r="Q320" s="1">
        <v>0.4</v>
      </c>
      <c r="R320" s="1">
        <v>1.5</v>
      </c>
      <c r="S320" s="1">
        <v>1</v>
      </c>
      <c r="T320" s="1">
        <v>0.8</v>
      </c>
      <c r="U320" s="1">
        <v>10</v>
      </c>
      <c r="V320" s="5">
        <f t="shared" si="89"/>
        <v>2.4999999999999987</v>
      </c>
      <c r="X320" s="1">
        <v>71</v>
      </c>
      <c r="Y320" s="6">
        <f t="shared" si="91"/>
        <v>4462.339569038465</v>
      </c>
      <c r="Z320" s="6">
        <f t="shared" si="92"/>
        <v>153355.77416115056</v>
      </c>
      <c r="AA320" s="6">
        <f t="shared" si="93"/>
        <v>11409.909575817703</v>
      </c>
      <c r="AB320" s="1">
        <f t="shared" si="94"/>
        <v>0.4</v>
      </c>
      <c r="AC320" s="1">
        <f t="shared" si="84"/>
        <v>1.5</v>
      </c>
      <c r="AD320" s="1">
        <f t="shared" si="85"/>
        <v>1</v>
      </c>
      <c r="AE320" s="1">
        <f t="shared" si="95"/>
        <v>10</v>
      </c>
      <c r="AF320" s="33">
        <f t="shared" si="96"/>
        <v>2.4999999999999987</v>
      </c>
    </row>
    <row r="321" spans="4:32" ht="14.25" hidden="1" customHeight="1" outlineLevel="1" x14ac:dyDescent="0.2">
      <c r="D321" s="1">
        <v>72</v>
      </c>
      <c r="E321" s="6">
        <f t="shared" si="86"/>
        <v>468.54565474903882</v>
      </c>
      <c r="F321" s="6">
        <f t="shared" si="86"/>
        <v>21527.544694601369</v>
      </c>
      <c r="G321" s="6">
        <f t="shared" si="86"/>
        <v>159.73873406144784</v>
      </c>
      <c r="H321" s="1">
        <v>0.4</v>
      </c>
      <c r="I321" s="1">
        <v>1.5</v>
      </c>
      <c r="J321" s="1">
        <v>1</v>
      </c>
      <c r="M321" s="1">
        <v>72</v>
      </c>
      <c r="N321" s="6">
        <f t="shared" si="90"/>
        <v>23427.282737451944</v>
      </c>
      <c r="O321" s="6">
        <f t="shared" si="87"/>
        <v>1441828.9086449905</v>
      </c>
      <c r="P321" s="6">
        <f t="shared" si="88"/>
        <v>11980.405054608589</v>
      </c>
      <c r="Q321" s="1">
        <v>0.4</v>
      </c>
      <c r="R321" s="1">
        <v>1.5</v>
      </c>
      <c r="S321" s="1">
        <v>1</v>
      </c>
      <c r="T321" s="1">
        <v>0.8</v>
      </c>
      <c r="U321" s="1">
        <v>10</v>
      </c>
      <c r="V321" s="5">
        <f t="shared" si="89"/>
        <v>2.4999999999999991</v>
      </c>
      <c r="X321" s="1">
        <v>72</v>
      </c>
      <c r="Y321" s="6">
        <f t="shared" si="91"/>
        <v>4685.4565474903884</v>
      </c>
      <c r="Z321" s="6">
        <f t="shared" si="92"/>
        <v>160203.21207166562</v>
      </c>
      <c r="AA321" s="6">
        <f t="shared" si="93"/>
        <v>11980.405054608589</v>
      </c>
      <c r="AB321" s="1">
        <f t="shared" si="94"/>
        <v>0.4</v>
      </c>
      <c r="AC321" s="1">
        <f t="shared" si="84"/>
        <v>1.5</v>
      </c>
      <c r="AD321" s="1">
        <f t="shared" si="85"/>
        <v>1</v>
      </c>
      <c r="AE321" s="1">
        <f t="shared" si="95"/>
        <v>10</v>
      </c>
      <c r="AF321" s="33">
        <f t="shared" si="96"/>
        <v>2.4999999999999991</v>
      </c>
    </row>
    <row r="322" spans="4:32" ht="14.25" hidden="1" customHeight="1" outlineLevel="1" x14ac:dyDescent="0.2">
      <c r="D322" s="1">
        <v>73</v>
      </c>
      <c r="E322" s="6">
        <f t="shared" si="86"/>
        <v>491.97293748649076</v>
      </c>
      <c r="F322" s="6">
        <f t="shared" si="86"/>
        <v>22603.921929331438</v>
      </c>
      <c r="G322" s="6">
        <f t="shared" si="86"/>
        <v>167.72567076452023</v>
      </c>
      <c r="H322" s="1">
        <v>0.4</v>
      </c>
      <c r="I322" s="1">
        <v>1.5</v>
      </c>
      <c r="J322" s="1">
        <v>1</v>
      </c>
      <c r="M322" s="1">
        <v>73</v>
      </c>
      <c r="N322" s="6">
        <f t="shared" si="90"/>
        <v>24598.646874324542</v>
      </c>
      <c r="O322" s="6">
        <f t="shared" si="87"/>
        <v>1505864.9838296359</v>
      </c>
      <c r="P322" s="6">
        <f t="shared" si="88"/>
        <v>12579.425307339017</v>
      </c>
      <c r="Q322" s="1">
        <v>0.4</v>
      </c>
      <c r="R322" s="1">
        <v>1.5</v>
      </c>
      <c r="S322" s="1">
        <v>1</v>
      </c>
      <c r="T322" s="1">
        <v>0.8</v>
      </c>
      <c r="U322" s="1">
        <v>10</v>
      </c>
      <c r="V322" s="5">
        <f t="shared" si="89"/>
        <v>2.4999999999999991</v>
      </c>
      <c r="X322" s="1">
        <v>73</v>
      </c>
      <c r="Y322" s="6">
        <f t="shared" si="91"/>
        <v>4919.7293748649081</v>
      </c>
      <c r="Z322" s="6">
        <f t="shared" si="92"/>
        <v>167318.33153662621</v>
      </c>
      <c r="AA322" s="6">
        <f t="shared" si="93"/>
        <v>12579.425307339017</v>
      </c>
      <c r="AB322" s="1">
        <f t="shared" si="94"/>
        <v>0.4</v>
      </c>
      <c r="AC322" s="1">
        <f t="shared" si="84"/>
        <v>1.5</v>
      </c>
      <c r="AD322" s="1">
        <f t="shared" si="85"/>
        <v>1</v>
      </c>
      <c r="AE322" s="1">
        <f t="shared" si="95"/>
        <v>10</v>
      </c>
      <c r="AF322" s="33">
        <f t="shared" si="96"/>
        <v>2.4999999999999991</v>
      </c>
    </row>
    <row r="323" spans="4:32" ht="14.25" hidden="1" customHeight="1" outlineLevel="1" x14ac:dyDescent="0.2">
      <c r="D323" s="1">
        <v>74</v>
      </c>
      <c r="E323" s="6">
        <f t="shared" si="86"/>
        <v>516.57158436081522</v>
      </c>
      <c r="F323" s="6">
        <f t="shared" si="86"/>
        <v>23734.118025798009</v>
      </c>
      <c r="G323" s="6">
        <f t="shared" si="86"/>
        <v>176.11195430274623</v>
      </c>
      <c r="H323" s="1">
        <v>0.4</v>
      </c>
      <c r="I323" s="1">
        <v>1.5</v>
      </c>
      <c r="J323" s="1">
        <v>1</v>
      </c>
      <c r="M323" s="1">
        <v>74</v>
      </c>
      <c r="N323" s="6">
        <f t="shared" si="90"/>
        <v>25828.579218040762</v>
      </c>
      <c r="O323" s="6">
        <f t="shared" si="87"/>
        <v>1572373.5215979686</v>
      </c>
      <c r="P323" s="6">
        <f t="shared" si="88"/>
        <v>13208.396572705968</v>
      </c>
      <c r="Q323" s="1">
        <v>0.4</v>
      </c>
      <c r="R323" s="1">
        <v>1.5</v>
      </c>
      <c r="S323" s="1">
        <v>1</v>
      </c>
      <c r="T323" s="1">
        <v>0.8</v>
      </c>
      <c r="U323" s="1">
        <v>10</v>
      </c>
      <c r="V323" s="5">
        <f t="shared" si="89"/>
        <v>2.4999999999999987</v>
      </c>
      <c r="X323" s="1">
        <v>74</v>
      </c>
      <c r="Y323" s="6">
        <f t="shared" si="91"/>
        <v>5165.7158436081527</v>
      </c>
      <c r="Z323" s="6">
        <f t="shared" si="92"/>
        <v>174708.16906644095</v>
      </c>
      <c r="AA323" s="6">
        <f t="shared" si="93"/>
        <v>13208.396572705968</v>
      </c>
      <c r="AB323" s="1">
        <f t="shared" si="94"/>
        <v>0.4</v>
      </c>
      <c r="AC323" s="1">
        <f t="shared" si="84"/>
        <v>1.5</v>
      </c>
      <c r="AD323" s="1">
        <f t="shared" si="85"/>
        <v>1</v>
      </c>
      <c r="AE323" s="1">
        <f t="shared" si="95"/>
        <v>10</v>
      </c>
      <c r="AF323" s="33">
        <f t="shared" si="96"/>
        <v>2.4999999999999987</v>
      </c>
    </row>
    <row r="324" spans="4:32" ht="14.25" hidden="1" customHeight="1" outlineLevel="1" x14ac:dyDescent="0.2">
      <c r="D324" s="1">
        <v>75</v>
      </c>
      <c r="E324" s="6">
        <f t="shared" si="86"/>
        <v>542.400163578856</v>
      </c>
      <c r="F324" s="6">
        <f t="shared" si="86"/>
        <v>24920.823927087909</v>
      </c>
      <c r="G324" s="6">
        <f t="shared" si="86"/>
        <v>184.91755201788354</v>
      </c>
      <c r="H324" s="1">
        <v>0.4</v>
      </c>
      <c r="I324" s="1">
        <v>1.5</v>
      </c>
      <c r="J324" s="1">
        <v>1</v>
      </c>
      <c r="M324" s="1">
        <v>75</v>
      </c>
      <c r="N324" s="6">
        <f t="shared" si="90"/>
        <v>27120.008178942804</v>
      </c>
      <c r="O324" s="6">
        <f t="shared" si="87"/>
        <v>1641416.7228575647</v>
      </c>
      <c r="P324" s="6">
        <f t="shared" si="88"/>
        <v>13868.816401341266</v>
      </c>
      <c r="Q324" s="1">
        <v>0.4</v>
      </c>
      <c r="R324" s="1">
        <v>1.5</v>
      </c>
      <c r="S324" s="1">
        <v>1</v>
      </c>
      <c r="T324" s="1">
        <v>0.8</v>
      </c>
      <c r="U324" s="1">
        <v>10</v>
      </c>
      <c r="V324" s="5">
        <f t="shared" si="89"/>
        <v>2.4999999999999991</v>
      </c>
      <c r="X324" s="1">
        <v>75</v>
      </c>
      <c r="Y324" s="6">
        <f t="shared" si="91"/>
        <v>5424.0016357885606</v>
      </c>
      <c r="Z324" s="6">
        <f t="shared" si="92"/>
        <v>182379.63587306274</v>
      </c>
      <c r="AA324" s="6">
        <f t="shared" si="93"/>
        <v>13868.816401341266</v>
      </c>
      <c r="AB324" s="1">
        <f t="shared" si="94"/>
        <v>0.4</v>
      </c>
      <c r="AC324" s="1">
        <f t="shared" si="84"/>
        <v>1.5</v>
      </c>
      <c r="AD324" s="1">
        <f t="shared" si="85"/>
        <v>1</v>
      </c>
      <c r="AE324" s="1">
        <f t="shared" si="95"/>
        <v>10</v>
      </c>
      <c r="AF324" s="33">
        <f t="shared" si="96"/>
        <v>2.4999999999999991</v>
      </c>
    </row>
    <row r="325" spans="4:32" ht="14.25" hidden="1" customHeight="1" outlineLevel="1" x14ac:dyDescent="0.2">
      <c r="D325" s="1">
        <v>76</v>
      </c>
      <c r="E325" s="6">
        <f t="shared" si="86"/>
        <v>569.52017175779883</v>
      </c>
      <c r="F325" s="6">
        <f t="shared" si="86"/>
        <v>26166.865123442305</v>
      </c>
      <c r="G325" s="6">
        <f t="shared" si="86"/>
        <v>194.16342961877774</v>
      </c>
      <c r="H325" s="1">
        <v>0.4</v>
      </c>
      <c r="I325" s="1">
        <v>1.5</v>
      </c>
      <c r="J325" s="1">
        <v>1</v>
      </c>
      <c r="M325" s="1">
        <v>76</v>
      </c>
      <c r="N325" s="6">
        <f t="shared" si="90"/>
        <v>28476.008587889944</v>
      </c>
      <c r="O325" s="6">
        <f t="shared" si="87"/>
        <v>1713055.3568487442</v>
      </c>
      <c r="P325" s="6">
        <f t="shared" si="88"/>
        <v>14562.25722140833</v>
      </c>
      <c r="Q325" s="1">
        <v>0.4</v>
      </c>
      <c r="R325" s="1">
        <v>1.5</v>
      </c>
      <c r="S325" s="1">
        <v>1</v>
      </c>
      <c r="T325" s="1">
        <v>0.8</v>
      </c>
      <c r="U325" s="1">
        <v>10</v>
      </c>
      <c r="V325" s="5">
        <f t="shared" si="89"/>
        <v>2.4999999999999996</v>
      </c>
      <c r="X325" s="1">
        <v>76</v>
      </c>
      <c r="Y325" s="6">
        <f t="shared" si="91"/>
        <v>5695.2017175779893</v>
      </c>
      <c r="Z325" s="6">
        <f t="shared" si="92"/>
        <v>190339.48409430491</v>
      </c>
      <c r="AA325" s="6">
        <f t="shared" si="93"/>
        <v>14562.25722140833</v>
      </c>
      <c r="AB325" s="1">
        <f t="shared" si="94"/>
        <v>0.4</v>
      </c>
      <c r="AC325" s="1">
        <f t="shared" si="84"/>
        <v>1.5</v>
      </c>
      <c r="AD325" s="1">
        <f t="shared" si="85"/>
        <v>1</v>
      </c>
      <c r="AE325" s="1">
        <f t="shared" si="95"/>
        <v>10</v>
      </c>
      <c r="AF325" s="33">
        <f t="shared" si="96"/>
        <v>2.4999999999999996</v>
      </c>
    </row>
    <row r="326" spans="4:32" ht="14.25" hidden="1" customHeight="1" outlineLevel="1" x14ac:dyDescent="0.2">
      <c r="D326" s="1">
        <v>77</v>
      </c>
      <c r="E326" s="6">
        <f t="shared" si="86"/>
        <v>597.9961803456888</v>
      </c>
      <c r="F326" s="6">
        <f t="shared" si="86"/>
        <v>27475.208379614418</v>
      </c>
      <c r="G326" s="6">
        <f t="shared" si="86"/>
        <v>203.8716010997166</v>
      </c>
      <c r="H326" s="1">
        <v>0.4</v>
      </c>
      <c r="I326" s="1">
        <v>1.5</v>
      </c>
      <c r="J326" s="1">
        <v>1</v>
      </c>
      <c r="M326" s="1">
        <v>77</v>
      </c>
      <c r="N326" s="6">
        <f t="shared" si="90"/>
        <v>29899.809017284442</v>
      </c>
      <c r="O326" s="6">
        <f t="shared" si="87"/>
        <v>1787348.4376855579</v>
      </c>
      <c r="P326" s="6">
        <f t="shared" si="88"/>
        <v>15290.370082478745</v>
      </c>
      <c r="Q326" s="1">
        <v>0.4</v>
      </c>
      <c r="R326" s="1">
        <v>1.5</v>
      </c>
      <c r="S326" s="1">
        <v>1</v>
      </c>
      <c r="T326" s="1">
        <v>0.8</v>
      </c>
      <c r="U326" s="1">
        <v>10</v>
      </c>
      <c r="V326" s="5">
        <f t="shared" si="89"/>
        <v>2.4999999999999991</v>
      </c>
      <c r="X326" s="1">
        <v>77</v>
      </c>
      <c r="Y326" s="6">
        <f t="shared" si="91"/>
        <v>5979.9618034568884</v>
      </c>
      <c r="Z326" s="6">
        <f t="shared" si="92"/>
        <v>198594.27085395087</v>
      </c>
      <c r="AA326" s="6">
        <f t="shared" si="93"/>
        <v>15290.370082478745</v>
      </c>
      <c r="AB326" s="1">
        <f t="shared" si="94"/>
        <v>0.4</v>
      </c>
      <c r="AC326" s="1">
        <f t="shared" si="84"/>
        <v>1.5</v>
      </c>
      <c r="AD326" s="1">
        <f t="shared" si="85"/>
        <v>1</v>
      </c>
      <c r="AE326" s="1">
        <f t="shared" si="95"/>
        <v>10</v>
      </c>
      <c r="AF326" s="33">
        <f t="shared" si="96"/>
        <v>2.4999999999999991</v>
      </c>
    </row>
    <row r="327" spans="4:32" ht="14.25" hidden="1" customHeight="1" outlineLevel="1" x14ac:dyDescent="0.2">
      <c r="D327" s="1">
        <v>78</v>
      </c>
      <c r="E327" s="6">
        <f t="shared" si="86"/>
        <v>627.8959893629733</v>
      </c>
      <c r="F327" s="6">
        <f t="shared" si="86"/>
        <v>28848.968798595146</v>
      </c>
      <c r="G327" s="6">
        <f t="shared" si="86"/>
        <v>214.06518115470249</v>
      </c>
      <c r="H327" s="1">
        <v>0.4</v>
      </c>
      <c r="I327" s="1">
        <v>1.5</v>
      </c>
      <c r="J327" s="1">
        <v>1</v>
      </c>
      <c r="M327" s="1">
        <v>78</v>
      </c>
      <c r="N327" s="6">
        <f t="shared" si="90"/>
        <v>31394.799468148667</v>
      </c>
      <c r="O327" s="6">
        <f t="shared" si="87"/>
        <v>1864352.8818521558</v>
      </c>
      <c r="P327" s="6">
        <f t="shared" si="88"/>
        <v>16054.888586602687</v>
      </c>
      <c r="Q327" s="1">
        <v>0.4</v>
      </c>
      <c r="R327" s="1">
        <v>1.5</v>
      </c>
      <c r="S327" s="1">
        <v>1</v>
      </c>
      <c r="T327" s="1">
        <v>0.8</v>
      </c>
      <c r="U327" s="1">
        <v>10</v>
      </c>
      <c r="V327" s="5">
        <f t="shared" si="89"/>
        <v>2.4999999999999991</v>
      </c>
      <c r="X327" s="1">
        <v>78</v>
      </c>
      <c r="Y327" s="6">
        <f t="shared" si="91"/>
        <v>6278.9598936297334</v>
      </c>
      <c r="Z327" s="6">
        <f t="shared" si="92"/>
        <v>207150.32020579508</v>
      </c>
      <c r="AA327" s="6">
        <f t="shared" si="93"/>
        <v>16054.888586602687</v>
      </c>
      <c r="AB327" s="1">
        <f t="shared" si="94"/>
        <v>0.4</v>
      </c>
      <c r="AC327" s="1">
        <f t="shared" si="84"/>
        <v>1.5</v>
      </c>
      <c r="AD327" s="1">
        <f t="shared" si="85"/>
        <v>1</v>
      </c>
      <c r="AE327" s="1">
        <f t="shared" si="95"/>
        <v>10</v>
      </c>
      <c r="AF327" s="33">
        <f t="shared" si="96"/>
        <v>2.4999999999999991</v>
      </c>
    </row>
    <row r="328" spans="4:32" ht="14.25" hidden="1" customHeight="1" outlineLevel="1" x14ac:dyDescent="0.2">
      <c r="D328" s="1">
        <v>79</v>
      </c>
      <c r="E328" s="6">
        <f t="shared" si="86"/>
        <v>659.29078883112174</v>
      </c>
      <c r="F328" s="6">
        <f t="shared" si="86"/>
        <v>30291.417238524893</v>
      </c>
      <c r="G328" s="6">
        <f t="shared" si="86"/>
        <v>224.76844021243753</v>
      </c>
      <c r="H328" s="1">
        <v>0.4</v>
      </c>
      <c r="I328" s="1">
        <v>1.5</v>
      </c>
      <c r="J328" s="1">
        <v>1</v>
      </c>
      <c r="M328" s="1">
        <v>79</v>
      </c>
      <c r="N328" s="6">
        <f t="shared" si="90"/>
        <v>32964.539441556095</v>
      </c>
      <c r="O328" s="6">
        <f t="shared" si="87"/>
        <v>1944123.1473339985</v>
      </c>
      <c r="P328" s="6">
        <f t="shared" si="88"/>
        <v>16857.633015932814</v>
      </c>
      <c r="Q328" s="1">
        <v>0.4</v>
      </c>
      <c r="R328" s="1">
        <v>1.5</v>
      </c>
      <c r="S328" s="1">
        <v>1</v>
      </c>
      <c r="T328" s="1">
        <v>0.8</v>
      </c>
      <c r="U328" s="1">
        <v>10</v>
      </c>
      <c r="V328" s="5">
        <f t="shared" si="89"/>
        <v>2.4999999999999991</v>
      </c>
      <c r="X328" s="1">
        <v>79</v>
      </c>
      <c r="Y328" s="6">
        <f t="shared" si="91"/>
        <v>6592.9078883112188</v>
      </c>
      <c r="Z328" s="6">
        <f t="shared" si="92"/>
        <v>216013.68303711095</v>
      </c>
      <c r="AA328" s="6">
        <f t="shared" si="93"/>
        <v>16857.633015932814</v>
      </c>
      <c r="AB328" s="1">
        <f t="shared" si="94"/>
        <v>0.4</v>
      </c>
      <c r="AC328" s="1">
        <f t="shared" si="84"/>
        <v>1.5</v>
      </c>
      <c r="AD328" s="1">
        <f t="shared" si="85"/>
        <v>1</v>
      </c>
      <c r="AE328" s="1">
        <f t="shared" si="95"/>
        <v>10</v>
      </c>
      <c r="AF328" s="33">
        <f t="shared" si="96"/>
        <v>2.4999999999999991</v>
      </c>
    </row>
    <row r="329" spans="4:32" ht="14.25" hidden="1" customHeight="1" outlineLevel="1" x14ac:dyDescent="0.2">
      <c r="D329" s="1">
        <v>80</v>
      </c>
      <c r="E329" s="6">
        <f t="shared" si="86"/>
        <v>692.25532827267807</v>
      </c>
      <c r="F329" s="6">
        <f t="shared" si="86"/>
        <v>31805.988100451148</v>
      </c>
      <c r="G329" s="6">
        <f t="shared" si="86"/>
        <v>236.0068622230595</v>
      </c>
      <c r="H329" s="1">
        <v>0.4</v>
      </c>
      <c r="I329" s="1">
        <v>1.5</v>
      </c>
      <c r="J329" s="1">
        <v>1</v>
      </c>
      <c r="M329" s="1">
        <v>80</v>
      </c>
      <c r="N329" s="6">
        <f t="shared" si="90"/>
        <v>34612.766413633908</v>
      </c>
      <c r="O329" s="6">
        <f t="shared" si="87"/>
        <v>2026710.8553333574</v>
      </c>
      <c r="P329" s="6">
        <f t="shared" si="88"/>
        <v>17700.514666729461</v>
      </c>
      <c r="Q329" s="1">
        <v>0.4</v>
      </c>
      <c r="R329" s="1">
        <v>1.5</v>
      </c>
      <c r="S329" s="1">
        <v>1</v>
      </c>
      <c r="T329" s="1">
        <v>0.8</v>
      </c>
      <c r="U329" s="1">
        <v>10</v>
      </c>
      <c r="V329" s="5">
        <f t="shared" si="89"/>
        <v>2.4999999999999991</v>
      </c>
      <c r="X329" s="1">
        <v>80</v>
      </c>
      <c r="Y329" s="6">
        <f t="shared" si="91"/>
        <v>6922.5532827267816</v>
      </c>
      <c r="Z329" s="6">
        <f t="shared" si="92"/>
        <v>225190.09503703972</v>
      </c>
      <c r="AA329" s="6">
        <f t="shared" si="93"/>
        <v>17700.514666729461</v>
      </c>
      <c r="AB329" s="1">
        <f t="shared" si="94"/>
        <v>0.4</v>
      </c>
      <c r="AC329" s="1">
        <f t="shared" si="84"/>
        <v>1.5</v>
      </c>
      <c r="AD329" s="1">
        <f t="shared" si="85"/>
        <v>1</v>
      </c>
      <c r="AE329" s="1">
        <f t="shared" si="95"/>
        <v>10</v>
      </c>
      <c r="AF329" s="33">
        <f t="shared" si="96"/>
        <v>2.4999999999999991</v>
      </c>
    </row>
    <row r="330" spans="4:32" ht="14.25" hidden="1" customHeight="1" outlineLevel="1" x14ac:dyDescent="0.2">
      <c r="D330" s="1">
        <v>81</v>
      </c>
      <c r="E330" s="6">
        <f t="shared" si="86"/>
        <v>726.86809468631202</v>
      </c>
      <c r="F330" s="6">
        <f t="shared" si="86"/>
        <v>33396.287505473701</v>
      </c>
      <c r="G330" s="6">
        <f t="shared" si="86"/>
        <v>247.80720533421245</v>
      </c>
      <c r="H330" s="1">
        <v>0.4</v>
      </c>
      <c r="I330" s="1">
        <v>1.5</v>
      </c>
      <c r="J330" s="1">
        <v>1</v>
      </c>
      <c r="M330" s="1">
        <v>81</v>
      </c>
      <c r="N330" s="6">
        <f t="shared" si="90"/>
        <v>36343.404734315605</v>
      </c>
      <c r="O330" s="6">
        <f t="shared" si="87"/>
        <v>2112164.3958112239</v>
      </c>
      <c r="P330" s="6">
        <f t="shared" si="88"/>
        <v>18585.540400065933</v>
      </c>
      <c r="Q330" s="1">
        <v>0.4</v>
      </c>
      <c r="R330" s="1">
        <v>1.5</v>
      </c>
      <c r="S330" s="1">
        <v>1</v>
      </c>
      <c r="T330" s="1">
        <v>0.8</v>
      </c>
      <c r="U330" s="1">
        <v>10</v>
      </c>
      <c r="V330" s="5">
        <f t="shared" si="89"/>
        <v>2.4999999999999991</v>
      </c>
      <c r="X330" s="1">
        <v>81</v>
      </c>
      <c r="Y330" s="6">
        <f t="shared" si="91"/>
        <v>7268.6809468631209</v>
      </c>
      <c r="Z330" s="6">
        <f t="shared" si="92"/>
        <v>234684.93286791377</v>
      </c>
      <c r="AA330" s="6">
        <f t="shared" si="93"/>
        <v>18585.540400065933</v>
      </c>
      <c r="AB330" s="1">
        <f t="shared" si="94"/>
        <v>0.4</v>
      </c>
      <c r="AC330" s="1">
        <f t="shared" si="84"/>
        <v>1.5</v>
      </c>
      <c r="AD330" s="1">
        <f t="shared" si="85"/>
        <v>1</v>
      </c>
      <c r="AE330" s="1">
        <f t="shared" si="95"/>
        <v>10</v>
      </c>
      <c r="AF330" s="33">
        <f t="shared" si="96"/>
        <v>2.4999999999999991</v>
      </c>
    </row>
    <row r="331" spans="4:32" ht="14.25" hidden="1" customHeight="1" outlineLevel="1" x14ac:dyDescent="0.2">
      <c r="D331" s="1">
        <v>82</v>
      </c>
      <c r="E331" s="6">
        <f t="shared" si="86"/>
        <v>763.21149942062766</v>
      </c>
      <c r="F331" s="6">
        <f t="shared" si="86"/>
        <v>35066.101880747396</v>
      </c>
      <c r="G331" s="6">
        <f t="shared" si="86"/>
        <v>260.1975656009231</v>
      </c>
      <c r="H331" s="1">
        <v>0.4</v>
      </c>
      <c r="I331" s="1">
        <v>1.5</v>
      </c>
      <c r="J331" s="1">
        <v>1</v>
      </c>
      <c r="M331" s="1">
        <v>82</v>
      </c>
      <c r="N331" s="6">
        <f t="shared" si="90"/>
        <v>38160.57497103139</v>
      </c>
      <c r="O331" s="6">
        <f t="shared" si="87"/>
        <v>2200528.5184114967</v>
      </c>
      <c r="P331" s="6">
        <f t="shared" si="88"/>
        <v>19514.817420069234</v>
      </c>
      <c r="Q331" s="1">
        <v>0.4</v>
      </c>
      <c r="R331" s="1">
        <v>1.5</v>
      </c>
      <c r="S331" s="1">
        <v>1</v>
      </c>
      <c r="T331" s="1">
        <v>0.8</v>
      </c>
      <c r="U331" s="1">
        <v>10</v>
      </c>
      <c r="V331" s="5">
        <f t="shared" si="89"/>
        <v>2.4999999999999991</v>
      </c>
      <c r="X331" s="1">
        <v>82</v>
      </c>
      <c r="Y331" s="6">
        <f t="shared" si="91"/>
        <v>7632.1149942062784</v>
      </c>
      <c r="Z331" s="6">
        <f t="shared" si="92"/>
        <v>244503.16871238852</v>
      </c>
      <c r="AA331" s="6">
        <f t="shared" si="93"/>
        <v>19514.817420069234</v>
      </c>
      <c r="AB331" s="1">
        <f t="shared" si="94"/>
        <v>0.4</v>
      </c>
      <c r="AC331" s="1">
        <f t="shared" si="84"/>
        <v>1.5</v>
      </c>
      <c r="AD331" s="1">
        <f t="shared" si="85"/>
        <v>1</v>
      </c>
      <c r="AE331" s="1">
        <f t="shared" si="95"/>
        <v>10</v>
      </c>
      <c r="AF331" s="33">
        <f t="shared" si="96"/>
        <v>2.4999999999999991</v>
      </c>
    </row>
    <row r="332" spans="4:32" ht="14.25" hidden="1" customHeight="1" outlineLevel="1" x14ac:dyDescent="0.2">
      <c r="D332" s="1">
        <v>83</v>
      </c>
      <c r="E332" s="6">
        <f t="shared" si="86"/>
        <v>801.37207439165911</v>
      </c>
      <c r="F332" s="6">
        <f t="shared" si="86"/>
        <v>36819.406974784761</v>
      </c>
      <c r="G332" s="6">
        <f t="shared" si="86"/>
        <v>273.20744388096927</v>
      </c>
      <c r="H332" s="1">
        <v>0.4</v>
      </c>
      <c r="I332" s="1">
        <v>1.5</v>
      </c>
      <c r="J332" s="1">
        <v>1</v>
      </c>
      <c r="M332" s="1">
        <v>83</v>
      </c>
      <c r="N332" s="6">
        <f t="shared" si="90"/>
        <v>40068.603719582963</v>
      </c>
      <c r="O332" s="6">
        <f t="shared" si="87"/>
        <v>2291843.9106555763</v>
      </c>
      <c r="P332" s="6">
        <f t="shared" si="88"/>
        <v>20490.558291072695</v>
      </c>
      <c r="Q332" s="1">
        <v>0.4</v>
      </c>
      <c r="R332" s="1">
        <v>1.5</v>
      </c>
      <c r="S332" s="1">
        <v>1</v>
      </c>
      <c r="T332" s="1">
        <v>0.8</v>
      </c>
      <c r="U332" s="1">
        <v>10</v>
      </c>
      <c r="V332" s="5">
        <f t="shared" si="89"/>
        <v>2.4999999999999991</v>
      </c>
      <c r="X332" s="1">
        <v>83</v>
      </c>
      <c r="Y332" s="6">
        <f t="shared" si="91"/>
        <v>8013.7207439165923</v>
      </c>
      <c r="Z332" s="6">
        <f t="shared" si="92"/>
        <v>254649.32340617513</v>
      </c>
      <c r="AA332" s="6">
        <f t="shared" si="93"/>
        <v>20490.558291072695</v>
      </c>
      <c r="AB332" s="1">
        <f t="shared" si="94"/>
        <v>0.4</v>
      </c>
      <c r="AC332" s="1">
        <f t="shared" si="84"/>
        <v>1.5</v>
      </c>
      <c r="AD332" s="1">
        <f t="shared" si="85"/>
        <v>1</v>
      </c>
      <c r="AE332" s="1">
        <f t="shared" si="95"/>
        <v>10</v>
      </c>
      <c r="AF332" s="33">
        <f t="shared" si="96"/>
        <v>2.4999999999999991</v>
      </c>
    </row>
    <row r="333" spans="4:32" ht="14.25" hidden="1" customHeight="1" outlineLevel="1" x14ac:dyDescent="0.2">
      <c r="D333" s="1">
        <v>84</v>
      </c>
      <c r="E333" s="6">
        <f t="shared" si="86"/>
        <v>841.44067811124194</v>
      </c>
      <c r="F333" s="6">
        <f t="shared" si="86"/>
        <v>38660.377323524001</v>
      </c>
      <c r="G333" s="6">
        <f t="shared" si="86"/>
        <v>286.86781607501769</v>
      </c>
      <c r="H333" s="1">
        <v>0.4</v>
      </c>
      <c r="I333" s="1">
        <v>1.5</v>
      </c>
      <c r="J333" s="1">
        <v>1</v>
      </c>
      <c r="M333" s="1">
        <v>84</v>
      </c>
      <c r="N333" s="6">
        <f t="shared" si="90"/>
        <v>42072.033905562101</v>
      </c>
      <c r="O333" s="6">
        <f t="shared" si="87"/>
        <v>2386146.7656433657</v>
      </c>
      <c r="P333" s="6">
        <f t="shared" si="88"/>
        <v>21515.086205626325</v>
      </c>
      <c r="Q333" s="1">
        <v>0.4</v>
      </c>
      <c r="R333" s="1">
        <v>1.5</v>
      </c>
      <c r="S333" s="1">
        <v>1</v>
      </c>
      <c r="T333" s="1">
        <v>0.8</v>
      </c>
      <c r="U333" s="1">
        <v>10</v>
      </c>
      <c r="V333" s="5">
        <f t="shared" si="89"/>
        <v>2.4999999999999991</v>
      </c>
      <c r="X333" s="1">
        <v>84</v>
      </c>
      <c r="Y333" s="6">
        <f t="shared" si="91"/>
        <v>8414.4067811124205</v>
      </c>
      <c r="Z333" s="6">
        <f t="shared" si="92"/>
        <v>265127.4184048184</v>
      </c>
      <c r="AA333" s="6">
        <f t="shared" si="93"/>
        <v>21515.086205626325</v>
      </c>
      <c r="AB333" s="1">
        <f t="shared" si="94"/>
        <v>0.4</v>
      </c>
      <c r="AC333" s="1">
        <f t="shared" si="84"/>
        <v>1.5</v>
      </c>
      <c r="AD333" s="1">
        <f t="shared" si="85"/>
        <v>1</v>
      </c>
      <c r="AE333" s="1">
        <f t="shared" si="95"/>
        <v>10</v>
      </c>
      <c r="AF333" s="33">
        <f t="shared" si="96"/>
        <v>2.4999999999999991</v>
      </c>
    </row>
    <row r="334" spans="4:32" ht="14.25" hidden="1" customHeight="1" outlineLevel="1" x14ac:dyDescent="0.2">
      <c r="D334" s="1">
        <v>85</v>
      </c>
      <c r="E334" s="6">
        <f t="shared" si="86"/>
        <v>883.51271201680413</v>
      </c>
      <c r="F334" s="6">
        <f t="shared" si="86"/>
        <v>40593.396189700201</v>
      </c>
      <c r="G334" s="6">
        <f t="shared" si="86"/>
        <v>301.21120687876862</v>
      </c>
      <c r="H334" s="1">
        <v>0.4</v>
      </c>
      <c r="I334" s="1">
        <v>1.5</v>
      </c>
      <c r="J334" s="1">
        <v>1</v>
      </c>
      <c r="M334" s="1">
        <v>85</v>
      </c>
      <c r="N334" s="6">
        <f t="shared" si="90"/>
        <v>44175.635600840207</v>
      </c>
      <c r="O334" s="6">
        <f t="shared" si="87"/>
        <v>2483468.3418558124</v>
      </c>
      <c r="P334" s="6">
        <f t="shared" si="88"/>
        <v>22590.840515907646</v>
      </c>
      <c r="Q334" s="1">
        <v>0.4</v>
      </c>
      <c r="R334" s="1">
        <v>1.5</v>
      </c>
      <c r="S334" s="1">
        <v>1</v>
      </c>
      <c r="T334" s="1">
        <v>0.8</v>
      </c>
      <c r="U334" s="1">
        <v>10</v>
      </c>
      <c r="V334" s="5">
        <f t="shared" si="89"/>
        <v>2.4999999999999996</v>
      </c>
      <c r="X334" s="1">
        <v>85</v>
      </c>
      <c r="Y334" s="6">
        <f t="shared" si="91"/>
        <v>8835.1271201680411</v>
      </c>
      <c r="Z334" s="6">
        <f t="shared" si="92"/>
        <v>275940.92687286803</v>
      </c>
      <c r="AA334" s="6">
        <f t="shared" si="93"/>
        <v>22590.840515907646</v>
      </c>
      <c r="AB334" s="1">
        <f t="shared" si="94"/>
        <v>0.4</v>
      </c>
      <c r="AC334" s="1">
        <f t="shared" si="84"/>
        <v>1.5</v>
      </c>
      <c r="AD334" s="1">
        <f t="shared" si="85"/>
        <v>1</v>
      </c>
      <c r="AE334" s="1">
        <f t="shared" si="95"/>
        <v>10</v>
      </c>
      <c r="AF334" s="33">
        <f t="shared" si="96"/>
        <v>2.4999999999999996</v>
      </c>
    </row>
    <row r="335" spans="4:32" ht="14.25" hidden="1" customHeight="1" outlineLevel="1" x14ac:dyDescent="0.2">
      <c r="D335" s="1">
        <v>86</v>
      </c>
      <c r="E335" s="6">
        <f t="shared" si="86"/>
        <v>927.68834761764424</v>
      </c>
      <c r="F335" s="6">
        <f t="shared" si="86"/>
        <v>42623.065999185208</v>
      </c>
      <c r="G335" s="6">
        <f t="shared" si="86"/>
        <v>316.27176722270701</v>
      </c>
      <c r="H335" s="1">
        <v>0.4</v>
      </c>
      <c r="I335" s="1">
        <v>1.5</v>
      </c>
      <c r="J335" s="1">
        <v>1</v>
      </c>
      <c r="M335" s="1">
        <v>86</v>
      </c>
      <c r="N335" s="6">
        <f t="shared" si="90"/>
        <v>46384.417380882216</v>
      </c>
      <c r="O335" s="6">
        <f t="shared" si="87"/>
        <v>2583834.5180199821</v>
      </c>
      <c r="P335" s="6">
        <f t="shared" si="88"/>
        <v>23720.382541703028</v>
      </c>
      <c r="Q335" s="1">
        <v>0.4</v>
      </c>
      <c r="R335" s="1">
        <v>1.5</v>
      </c>
      <c r="S335" s="1">
        <v>1</v>
      </c>
      <c r="T335" s="1">
        <v>0.8</v>
      </c>
      <c r="U335" s="1">
        <v>10</v>
      </c>
      <c r="V335" s="5">
        <f t="shared" si="89"/>
        <v>2.4999999999999996</v>
      </c>
      <c r="X335" s="1">
        <v>86</v>
      </c>
      <c r="Y335" s="6">
        <f t="shared" si="91"/>
        <v>9276.8834761764429</v>
      </c>
      <c r="Z335" s="6">
        <f t="shared" si="92"/>
        <v>287092.72422444244</v>
      </c>
      <c r="AA335" s="6">
        <f t="shared" si="93"/>
        <v>23720.382541703028</v>
      </c>
      <c r="AB335" s="1">
        <f t="shared" si="94"/>
        <v>0.4</v>
      </c>
      <c r="AC335" s="1">
        <f t="shared" si="84"/>
        <v>1.5</v>
      </c>
      <c r="AD335" s="1">
        <f t="shared" si="85"/>
        <v>1</v>
      </c>
      <c r="AE335" s="1">
        <f t="shared" si="95"/>
        <v>10</v>
      </c>
      <c r="AF335" s="33">
        <f t="shared" si="96"/>
        <v>2.4999999999999996</v>
      </c>
    </row>
    <row r="336" spans="4:32" ht="14.25" hidden="1" customHeight="1" outlineLevel="1" x14ac:dyDescent="0.2">
      <c r="D336" s="1">
        <v>87</v>
      </c>
      <c r="E336" s="6">
        <f t="shared" si="86"/>
        <v>974.0727649985264</v>
      </c>
      <c r="F336" s="6">
        <f t="shared" si="86"/>
        <v>44754.219299144468</v>
      </c>
      <c r="G336" s="6">
        <f t="shared" si="86"/>
        <v>332.08535558384233</v>
      </c>
      <c r="H336" s="1">
        <v>0.4</v>
      </c>
      <c r="I336" s="1">
        <v>1.5</v>
      </c>
      <c r="J336" s="1">
        <v>1</v>
      </c>
      <c r="M336" s="1">
        <v>87</v>
      </c>
      <c r="N336" s="6">
        <f t="shared" si="90"/>
        <v>48703.638249926327</v>
      </c>
      <c r="O336" s="6">
        <f t="shared" si="87"/>
        <v>2687265.3463642127</v>
      </c>
      <c r="P336" s="6">
        <f t="shared" si="88"/>
        <v>24906.401668788174</v>
      </c>
      <c r="Q336" s="1">
        <v>0.4</v>
      </c>
      <c r="R336" s="1">
        <v>1.5</v>
      </c>
      <c r="S336" s="1">
        <v>1</v>
      </c>
      <c r="T336" s="1">
        <v>0.8</v>
      </c>
      <c r="U336" s="1">
        <v>10</v>
      </c>
      <c r="V336" s="5">
        <f t="shared" si="89"/>
        <v>2.4999999999999987</v>
      </c>
      <c r="X336" s="1">
        <v>87</v>
      </c>
      <c r="Y336" s="6">
        <f t="shared" si="91"/>
        <v>9740.7276499852651</v>
      </c>
      <c r="Z336" s="6">
        <f t="shared" si="92"/>
        <v>298585.03848491254</v>
      </c>
      <c r="AA336" s="6">
        <f t="shared" si="93"/>
        <v>24906.401668788174</v>
      </c>
      <c r="AB336" s="1">
        <f t="shared" si="94"/>
        <v>0.4</v>
      </c>
      <c r="AC336" s="1">
        <f t="shared" si="84"/>
        <v>1.5</v>
      </c>
      <c r="AD336" s="1">
        <f t="shared" si="85"/>
        <v>1</v>
      </c>
      <c r="AE336" s="1">
        <f t="shared" si="95"/>
        <v>10</v>
      </c>
      <c r="AF336" s="33">
        <f t="shared" si="96"/>
        <v>2.4999999999999987</v>
      </c>
    </row>
    <row r="337" spans="3:32" ht="14.25" hidden="1" customHeight="1" outlineLevel="1" x14ac:dyDescent="0.2">
      <c r="D337" s="1">
        <v>88</v>
      </c>
      <c r="E337" s="6">
        <f t="shared" si="86"/>
        <v>1022.776403248453</v>
      </c>
      <c r="F337" s="6">
        <f t="shared" si="86"/>
        <v>46991.930264101698</v>
      </c>
      <c r="G337" s="6">
        <f t="shared" si="86"/>
        <v>348.68962336303457</v>
      </c>
      <c r="H337" s="1">
        <v>0.4</v>
      </c>
      <c r="I337" s="1">
        <v>1.5</v>
      </c>
      <c r="J337" s="1">
        <v>1</v>
      </c>
      <c r="M337" s="1">
        <v>88</v>
      </c>
      <c r="N337" s="6">
        <f t="shared" si="90"/>
        <v>51138.820162422657</v>
      </c>
      <c r="O337" s="6">
        <f t="shared" si="87"/>
        <v>2793774.6079517091</v>
      </c>
      <c r="P337" s="6">
        <f t="shared" si="88"/>
        <v>26151.721752227593</v>
      </c>
      <c r="Q337" s="1">
        <v>0.4</v>
      </c>
      <c r="R337" s="1">
        <v>1.5</v>
      </c>
      <c r="S337" s="1">
        <v>1</v>
      </c>
      <c r="T337" s="1">
        <v>0.8</v>
      </c>
      <c r="U337" s="1">
        <v>10</v>
      </c>
      <c r="V337" s="5">
        <f t="shared" si="89"/>
        <v>2.4999999999999991</v>
      </c>
      <c r="X337" s="1">
        <v>88</v>
      </c>
      <c r="Y337" s="6">
        <f t="shared" si="91"/>
        <v>10227.764032484531</v>
      </c>
      <c r="Z337" s="6">
        <f t="shared" si="92"/>
        <v>310419.40088352322</v>
      </c>
      <c r="AA337" s="6">
        <f t="shared" si="93"/>
        <v>26151.721752227593</v>
      </c>
      <c r="AB337" s="1">
        <f t="shared" si="94"/>
        <v>0.4</v>
      </c>
      <c r="AC337" s="1">
        <f t="shared" si="84"/>
        <v>1.5</v>
      </c>
      <c r="AD337" s="1">
        <f t="shared" si="85"/>
        <v>1</v>
      </c>
      <c r="AE337" s="1">
        <f t="shared" si="95"/>
        <v>10</v>
      </c>
      <c r="AF337" s="33">
        <f t="shared" si="96"/>
        <v>2.4999999999999991</v>
      </c>
    </row>
    <row r="338" spans="3:32" ht="14.25" hidden="1" customHeight="1" outlineLevel="1" x14ac:dyDescent="0.2">
      <c r="D338" s="1">
        <v>89</v>
      </c>
      <c r="E338" s="6">
        <f t="shared" si="86"/>
        <v>1073.9152234108753</v>
      </c>
      <c r="F338" s="6">
        <f t="shared" si="86"/>
        <v>49341.526777306775</v>
      </c>
      <c r="G338" s="6">
        <f t="shared" si="86"/>
        <v>366.12410453118622</v>
      </c>
      <c r="H338" s="1">
        <v>0.4</v>
      </c>
      <c r="I338" s="1">
        <v>1.5</v>
      </c>
      <c r="J338" s="1">
        <v>1</v>
      </c>
      <c r="M338" s="1">
        <v>89</v>
      </c>
      <c r="N338" s="6">
        <f t="shared" si="90"/>
        <v>53695.761170543767</v>
      </c>
      <c r="O338" s="6">
        <f t="shared" si="87"/>
        <v>2903369.3741284665</v>
      </c>
      <c r="P338" s="6">
        <f t="shared" si="88"/>
        <v>27459.307839838966</v>
      </c>
      <c r="Q338" s="1">
        <v>0.4</v>
      </c>
      <c r="R338" s="1">
        <v>1.5</v>
      </c>
      <c r="S338" s="1">
        <v>1</v>
      </c>
      <c r="T338" s="1">
        <v>0.8</v>
      </c>
      <c r="U338" s="1">
        <v>10</v>
      </c>
      <c r="V338" s="5">
        <f t="shared" si="89"/>
        <v>2.4999999999999996</v>
      </c>
      <c r="X338" s="1">
        <v>89</v>
      </c>
      <c r="Y338" s="6">
        <f t="shared" si="91"/>
        <v>10739.152234108753</v>
      </c>
      <c r="Z338" s="6">
        <f t="shared" si="92"/>
        <v>322596.59712538519</v>
      </c>
      <c r="AA338" s="6">
        <f t="shared" si="93"/>
        <v>27459.307839838966</v>
      </c>
      <c r="AB338" s="1">
        <f t="shared" si="94"/>
        <v>0.4</v>
      </c>
      <c r="AC338" s="1">
        <f t="shared" si="84"/>
        <v>1.5</v>
      </c>
      <c r="AD338" s="1">
        <f t="shared" si="85"/>
        <v>1</v>
      </c>
      <c r="AE338" s="1">
        <f t="shared" si="95"/>
        <v>10</v>
      </c>
      <c r="AF338" s="33">
        <f t="shared" si="96"/>
        <v>2.4999999999999996</v>
      </c>
    </row>
    <row r="339" spans="3:32" ht="14.25" hidden="1" customHeight="1" outlineLevel="1" x14ac:dyDescent="0.2">
      <c r="D339" s="1">
        <v>90</v>
      </c>
      <c r="E339" s="6">
        <f t="shared" si="86"/>
        <v>1127.6109845814192</v>
      </c>
      <c r="F339" s="6">
        <f t="shared" si="86"/>
        <v>51808.603116172118</v>
      </c>
      <c r="G339" s="6">
        <f t="shared" si="86"/>
        <v>384.43030975774553</v>
      </c>
      <c r="H339" s="1">
        <v>0.4</v>
      </c>
      <c r="I339" s="1">
        <v>1.5</v>
      </c>
      <c r="J339" s="1">
        <v>1</v>
      </c>
      <c r="M339" s="1">
        <v>90</v>
      </c>
      <c r="N339" s="6">
        <f t="shared" si="90"/>
        <v>56380.549229070966</v>
      </c>
      <c r="O339" s="6">
        <f t="shared" si="87"/>
        <v>3016049.5784474546</v>
      </c>
      <c r="P339" s="6">
        <f t="shared" si="88"/>
        <v>28832.273231830914</v>
      </c>
      <c r="Q339" s="1">
        <v>0.4</v>
      </c>
      <c r="R339" s="1">
        <v>1.5</v>
      </c>
      <c r="S339" s="1">
        <v>1</v>
      </c>
      <c r="T339" s="1">
        <v>0.8</v>
      </c>
      <c r="U339" s="1">
        <v>10</v>
      </c>
      <c r="V339" s="5">
        <f t="shared" si="89"/>
        <v>2.4999999999999996</v>
      </c>
      <c r="X339" s="1">
        <v>90</v>
      </c>
      <c r="Y339" s="6">
        <f t="shared" si="91"/>
        <v>11276.109845814193</v>
      </c>
      <c r="Z339" s="6">
        <f t="shared" si="92"/>
        <v>335116.61982749496</v>
      </c>
      <c r="AA339" s="6">
        <f t="shared" si="93"/>
        <v>28832.273231830914</v>
      </c>
      <c r="AB339" s="1">
        <f t="shared" si="94"/>
        <v>0.4</v>
      </c>
      <c r="AC339" s="1">
        <f t="shared" si="84"/>
        <v>1.5</v>
      </c>
      <c r="AD339" s="1">
        <f t="shared" si="85"/>
        <v>1</v>
      </c>
      <c r="AE339" s="1">
        <f t="shared" si="95"/>
        <v>10</v>
      </c>
      <c r="AF339" s="33">
        <f t="shared" si="96"/>
        <v>2.4999999999999996</v>
      </c>
    </row>
    <row r="340" spans="3:32" ht="14.25" hidden="1" customHeight="1" outlineLevel="1" x14ac:dyDescent="0.2">
      <c r="D340" s="1">
        <v>91</v>
      </c>
      <c r="E340" s="6">
        <f t="shared" si="86"/>
        <v>1183.9915338104902</v>
      </c>
      <c r="F340" s="6">
        <f t="shared" si="86"/>
        <v>54399.033271980727</v>
      </c>
      <c r="G340" s="6">
        <f t="shared" si="86"/>
        <v>403.65182524563284</v>
      </c>
      <c r="H340" s="1">
        <v>0.4</v>
      </c>
      <c r="I340" s="1">
        <v>1.5</v>
      </c>
      <c r="J340" s="1">
        <v>1</v>
      </c>
      <c r="M340" s="1">
        <v>91</v>
      </c>
      <c r="N340" s="6">
        <f t="shared" si="90"/>
        <v>59199.576690524511</v>
      </c>
      <c r="O340" s="6">
        <f t="shared" si="87"/>
        <v>3131807.6037267218</v>
      </c>
      <c r="P340" s="6">
        <f t="shared" si="88"/>
        <v>30273.886893422463</v>
      </c>
      <c r="Q340" s="1">
        <v>0.4</v>
      </c>
      <c r="R340" s="1">
        <v>1.5</v>
      </c>
      <c r="S340" s="1">
        <v>1</v>
      </c>
      <c r="T340" s="1">
        <v>0.8</v>
      </c>
      <c r="U340" s="1">
        <v>10</v>
      </c>
      <c r="V340" s="5">
        <f t="shared" si="89"/>
        <v>2.4999999999999991</v>
      </c>
      <c r="X340" s="1">
        <v>91</v>
      </c>
      <c r="Y340" s="6">
        <f t="shared" si="91"/>
        <v>11839.915338104902</v>
      </c>
      <c r="Z340" s="6">
        <f t="shared" si="92"/>
        <v>347978.62263630243</v>
      </c>
      <c r="AA340" s="6">
        <f t="shared" si="93"/>
        <v>30273.886893422463</v>
      </c>
      <c r="AB340" s="1">
        <f t="shared" si="94"/>
        <v>0.4</v>
      </c>
      <c r="AC340" s="1">
        <f t="shared" si="84"/>
        <v>1.5</v>
      </c>
      <c r="AD340" s="1">
        <f t="shared" si="85"/>
        <v>1</v>
      </c>
      <c r="AE340" s="1">
        <f t="shared" si="95"/>
        <v>10</v>
      </c>
      <c r="AF340" s="33">
        <f t="shared" si="96"/>
        <v>2.4999999999999991</v>
      </c>
    </row>
    <row r="341" spans="3:32" ht="14.25" hidden="1" customHeight="1" outlineLevel="1" x14ac:dyDescent="0.2">
      <c r="D341" s="1">
        <v>92</v>
      </c>
      <c r="E341" s="6">
        <f t="shared" si="86"/>
        <v>1243.1911105010149</v>
      </c>
      <c r="F341" s="6">
        <f t="shared" si="86"/>
        <v>57118.984935579771</v>
      </c>
      <c r="G341" s="6">
        <f t="shared" si="86"/>
        <v>423.83441650791451</v>
      </c>
      <c r="H341" s="1">
        <v>0.4</v>
      </c>
      <c r="I341" s="1">
        <v>1.5</v>
      </c>
      <c r="J341" s="1">
        <v>1</v>
      </c>
      <c r="M341" s="1">
        <v>92</v>
      </c>
      <c r="N341" s="6">
        <f t="shared" si="90"/>
        <v>62159.555525050746</v>
      </c>
      <c r="O341" s="6">
        <f t="shared" si="87"/>
        <v>3250627.8891551602</v>
      </c>
      <c r="P341" s="6">
        <f t="shared" si="88"/>
        <v>31787.581238093589</v>
      </c>
      <c r="Q341" s="1">
        <v>0.4</v>
      </c>
      <c r="R341" s="1">
        <v>1.5</v>
      </c>
      <c r="S341" s="1">
        <v>1</v>
      </c>
      <c r="T341" s="1">
        <v>0.8</v>
      </c>
      <c r="U341" s="1">
        <v>10</v>
      </c>
      <c r="V341" s="5">
        <f t="shared" si="89"/>
        <v>2.4999999999999996</v>
      </c>
      <c r="X341" s="1">
        <v>92</v>
      </c>
      <c r="Y341" s="6">
        <f t="shared" si="91"/>
        <v>12431.911105010149</v>
      </c>
      <c r="Z341" s="6">
        <f t="shared" si="92"/>
        <v>361180.87657279556</v>
      </c>
      <c r="AA341" s="6">
        <f t="shared" si="93"/>
        <v>31787.581238093589</v>
      </c>
      <c r="AB341" s="1">
        <f t="shared" si="94"/>
        <v>0.4</v>
      </c>
      <c r="AC341" s="1">
        <f t="shared" si="84"/>
        <v>1.5</v>
      </c>
      <c r="AD341" s="1">
        <f t="shared" si="85"/>
        <v>1</v>
      </c>
      <c r="AE341" s="1">
        <f t="shared" si="95"/>
        <v>10</v>
      </c>
      <c r="AF341" s="33">
        <f t="shared" si="96"/>
        <v>2.4999999999999996</v>
      </c>
    </row>
    <row r="342" spans="3:32" ht="14.25" hidden="1" customHeight="1" outlineLevel="1" x14ac:dyDescent="0.2">
      <c r="D342" s="1">
        <v>93</v>
      </c>
      <c r="E342" s="6">
        <f t="shared" si="86"/>
        <v>1305.3506660260655</v>
      </c>
      <c r="F342" s="6">
        <f t="shared" si="86"/>
        <v>59974.934182358746</v>
      </c>
      <c r="G342" s="6">
        <f t="shared" si="86"/>
        <v>445.0261373333102</v>
      </c>
      <c r="H342" s="1">
        <v>0.4</v>
      </c>
      <c r="I342" s="1">
        <v>1.5</v>
      </c>
      <c r="J342" s="1">
        <v>1</v>
      </c>
      <c r="M342" s="1">
        <v>93</v>
      </c>
      <c r="N342" s="6">
        <f t="shared" si="90"/>
        <v>65267.53330130328</v>
      </c>
      <c r="O342" s="6">
        <f t="shared" si="87"/>
        <v>3372486.5625663567</v>
      </c>
      <c r="P342" s="6">
        <f t="shared" si="88"/>
        <v>33376.960299998267</v>
      </c>
      <c r="Q342" s="1">
        <v>0.4</v>
      </c>
      <c r="R342" s="1">
        <v>1.5</v>
      </c>
      <c r="S342" s="1">
        <v>1</v>
      </c>
      <c r="T342" s="1">
        <v>0.8</v>
      </c>
      <c r="U342" s="1">
        <v>10</v>
      </c>
      <c r="V342" s="5">
        <f t="shared" si="89"/>
        <v>2.4999999999999991</v>
      </c>
      <c r="X342" s="1">
        <v>93</v>
      </c>
      <c r="Y342" s="6">
        <f t="shared" si="91"/>
        <v>13053.506660260657</v>
      </c>
      <c r="Z342" s="6">
        <f t="shared" si="92"/>
        <v>374720.72917403962</v>
      </c>
      <c r="AA342" s="6">
        <f t="shared" si="93"/>
        <v>33376.960299998267</v>
      </c>
      <c r="AB342" s="1">
        <f t="shared" si="94"/>
        <v>0.4</v>
      </c>
      <c r="AC342" s="1">
        <f t="shared" si="84"/>
        <v>1.5</v>
      </c>
      <c r="AD342" s="1">
        <f t="shared" si="85"/>
        <v>1</v>
      </c>
      <c r="AE342" s="1">
        <f t="shared" si="95"/>
        <v>10</v>
      </c>
      <c r="AF342" s="33">
        <f t="shared" si="96"/>
        <v>2.4999999999999991</v>
      </c>
    </row>
    <row r="343" spans="3:32" ht="14.25" hidden="1" customHeight="1" outlineLevel="1" x14ac:dyDescent="0.2">
      <c r="D343" s="1">
        <v>94</v>
      </c>
      <c r="E343" s="6">
        <f t="shared" si="86"/>
        <v>1370.618199327369</v>
      </c>
      <c r="F343" s="6">
        <f t="shared" si="86"/>
        <v>62973.680891476695</v>
      </c>
      <c r="G343" s="6">
        <f t="shared" si="86"/>
        <v>467.27744419997578</v>
      </c>
      <c r="H343" s="1">
        <v>0.4</v>
      </c>
      <c r="I343" s="1">
        <v>1.5</v>
      </c>
      <c r="J343" s="1">
        <v>1</v>
      </c>
      <c r="M343" s="1">
        <v>94</v>
      </c>
      <c r="N343" s="6">
        <f t="shared" si="90"/>
        <v>68530.909966368461</v>
      </c>
      <c r="O343" s="6">
        <f t="shared" si="87"/>
        <v>3497351.1031487626</v>
      </c>
      <c r="P343" s="6">
        <f t="shared" si="88"/>
        <v>35045.808314998183</v>
      </c>
      <c r="Q343" s="1">
        <v>0.4</v>
      </c>
      <c r="R343" s="1">
        <v>1.5</v>
      </c>
      <c r="S343" s="1">
        <v>1</v>
      </c>
      <c r="T343" s="1">
        <v>0.8</v>
      </c>
      <c r="U343" s="1">
        <v>10</v>
      </c>
      <c r="V343" s="5">
        <f t="shared" si="89"/>
        <v>2.4999999999999996</v>
      </c>
      <c r="X343" s="1">
        <v>94</v>
      </c>
      <c r="Y343" s="6">
        <f t="shared" si="91"/>
        <v>13706.181993273693</v>
      </c>
      <c r="Z343" s="6">
        <f t="shared" si="92"/>
        <v>388594.56701652915</v>
      </c>
      <c r="AA343" s="6">
        <f t="shared" si="93"/>
        <v>35045.808314998183</v>
      </c>
      <c r="AB343" s="1">
        <f t="shared" si="94"/>
        <v>0.4</v>
      </c>
      <c r="AC343" s="1">
        <f t="shared" si="84"/>
        <v>1.5</v>
      </c>
      <c r="AD343" s="1">
        <f t="shared" si="85"/>
        <v>1</v>
      </c>
      <c r="AE343" s="1">
        <f t="shared" si="95"/>
        <v>10</v>
      </c>
      <c r="AF343" s="33">
        <f t="shared" si="96"/>
        <v>2.4999999999999996</v>
      </c>
    </row>
    <row r="344" spans="3:32" ht="14.25" hidden="1" customHeight="1" outlineLevel="1" x14ac:dyDescent="0.2">
      <c r="D344" s="1">
        <v>95</v>
      </c>
      <c r="E344" s="6">
        <f t="shared" si="86"/>
        <v>1439.149109293737</v>
      </c>
      <c r="F344" s="6">
        <f t="shared" si="86"/>
        <v>66122.364936050508</v>
      </c>
      <c r="G344" s="6">
        <f t="shared" si="86"/>
        <v>490.64131640997437</v>
      </c>
      <c r="H344" s="1">
        <v>0.4</v>
      </c>
      <c r="I344" s="1">
        <v>1.5</v>
      </c>
      <c r="J344" s="1">
        <v>1</v>
      </c>
      <c r="M344" s="1">
        <v>95</v>
      </c>
      <c r="N344" s="6">
        <f t="shared" si="90"/>
        <v>71957.455464686849</v>
      </c>
      <c r="O344" s="6">
        <f t="shared" si="87"/>
        <v>3625180.0399394841</v>
      </c>
      <c r="P344" s="6">
        <f t="shared" si="88"/>
        <v>36798.098730748075</v>
      </c>
      <c r="Q344" s="1">
        <v>0.4</v>
      </c>
      <c r="R344" s="1">
        <v>1.5</v>
      </c>
      <c r="S344" s="1">
        <v>1</v>
      </c>
      <c r="T344" s="1">
        <v>0.8</v>
      </c>
      <c r="U344" s="1">
        <v>10</v>
      </c>
      <c r="V344" s="5">
        <f t="shared" si="89"/>
        <v>2.4999999999999991</v>
      </c>
      <c r="X344" s="1">
        <v>95</v>
      </c>
      <c r="Y344" s="6">
        <f t="shared" si="91"/>
        <v>14391.491092937369</v>
      </c>
      <c r="Z344" s="6">
        <f t="shared" si="92"/>
        <v>402797.78221549821</v>
      </c>
      <c r="AA344" s="6">
        <f t="shared" si="93"/>
        <v>36798.098730748075</v>
      </c>
      <c r="AB344" s="1">
        <f t="shared" si="94"/>
        <v>0.4</v>
      </c>
      <c r="AC344" s="1">
        <f t="shared" si="84"/>
        <v>1.5</v>
      </c>
      <c r="AD344" s="1">
        <f t="shared" si="85"/>
        <v>1</v>
      </c>
      <c r="AE344" s="1">
        <f t="shared" si="95"/>
        <v>10</v>
      </c>
      <c r="AF344" s="33">
        <f t="shared" si="96"/>
        <v>2.4999999999999991</v>
      </c>
    </row>
    <row r="345" spans="3:32" ht="14.25" hidden="1" customHeight="1" outlineLevel="1" x14ac:dyDescent="0.2">
      <c r="D345" s="1">
        <v>96</v>
      </c>
      <c r="E345" s="6">
        <f t="shared" si="86"/>
        <v>1511.1065647584244</v>
      </c>
      <c r="F345" s="6">
        <f t="shared" si="86"/>
        <v>69428.483182853059</v>
      </c>
      <c r="G345" s="6">
        <f t="shared" si="86"/>
        <v>515.17338223047329</v>
      </c>
      <c r="H345" s="1">
        <v>0.4</v>
      </c>
      <c r="I345" s="1">
        <v>1.5</v>
      </c>
      <c r="J345" s="1">
        <v>1</v>
      </c>
      <c r="M345" s="1">
        <v>96</v>
      </c>
      <c r="N345" s="6">
        <f t="shared" si="90"/>
        <v>75555.328237921218</v>
      </c>
      <c r="O345" s="6">
        <f t="shared" si="87"/>
        <v>3755922.6914508082</v>
      </c>
      <c r="P345" s="6">
        <f t="shared" si="88"/>
        <v>38638.003667285499</v>
      </c>
      <c r="Q345" s="1">
        <v>0.4</v>
      </c>
      <c r="R345" s="1">
        <v>1.5</v>
      </c>
      <c r="S345" s="1">
        <v>1</v>
      </c>
      <c r="T345" s="1">
        <v>0.8</v>
      </c>
      <c r="U345" s="1">
        <v>10</v>
      </c>
      <c r="V345" s="5">
        <f t="shared" si="89"/>
        <v>2.4999999999999996</v>
      </c>
      <c r="X345" s="1">
        <v>96</v>
      </c>
      <c r="Y345" s="6">
        <f t="shared" si="91"/>
        <v>15111.065647584244</v>
      </c>
      <c r="Z345" s="6">
        <f t="shared" si="92"/>
        <v>417324.74349453422</v>
      </c>
      <c r="AA345" s="6">
        <f t="shared" si="93"/>
        <v>38638.003667285499</v>
      </c>
      <c r="AB345" s="1">
        <f t="shared" si="94"/>
        <v>0.4</v>
      </c>
      <c r="AC345" s="1">
        <f t="shared" si="84"/>
        <v>1.5</v>
      </c>
      <c r="AD345" s="1">
        <f t="shared" si="85"/>
        <v>1</v>
      </c>
      <c r="AE345" s="1">
        <f t="shared" si="95"/>
        <v>10</v>
      </c>
      <c r="AF345" s="33">
        <f t="shared" si="96"/>
        <v>2.4999999999999996</v>
      </c>
    </row>
    <row r="346" spans="3:32" ht="14.25" hidden="1" customHeight="1" outlineLevel="1" x14ac:dyDescent="0.2">
      <c r="D346" s="1">
        <v>97</v>
      </c>
      <c r="E346" s="6">
        <f t="shared" si="86"/>
        <v>1586.6618929963454</v>
      </c>
      <c r="F346" s="6">
        <f t="shared" si="86"/>
        <v>72899.907341995713</v>
      </c>
      <c r="G346" s="6">
        <f t="shared" si="86"/>
        <v>540.93205134199695</v>
      </c>
      <c r="H346" s="1">
        <v>0.4</v>
      </c>
      <c r="I346" s="1">
        <v>1.5</v>
      </c>
      <c r="J346" s="1">
        <v>1</v>
      </c>
      <c r="M346" s="1">
        <v>97</v>
      </c>
      <c r="N346" s="6">
        <f t="shared" si="90"/>
        <v>79333.094649817271</v>
      </c>
      <c r="O346" s="6">
        <f t="shared" si="87"/>
        <v>3889518.951694442</v>
      </c>
      <c r="P346" s="6">
        <f t="shared" si="88"/>
        <v>40569.903850649775</v>
      </c>
      <c r="Q346" s="1">
        <v>0.4</v>
      </c>
      <c r="R346" s="1">
        <v>1.5</v>
      </c>
      <c r="S346" s="1">
        <v>1</v>
      </c>
      <c r="T346" s="1">
        <v>0.8</v>
      </c>
      <c r="U346" s="1">
        <v>10</v>
      </c>
      <c r="V346" s="5">
        <f t="shared" si="89"/>
        <v>2.4999999999999991</v>
      </c>
      <c r="X346" s="1">
        <v>97</v>
      </c>
      <c r="Y346" s="6">
        <f t="shared" si="91"/>
        <v>15866.618929963453</v>
      </c>
      <c r="Z346" s="6">
        <f t="shared" si="92"/>
        <v>432168.77241049358</v>
      </c>
      <c r="AA346" s="6">
        <f t="shared" si="93"/>
        <v>40569.903850649775</v>
      </c>
      <c r="AB346" s="1">
        <f t="shared" si="94"/>
        <v>0.4</v>
      </c>
      <c r="AC346" s="1">
        <f t="shared" si="84"/>
        <v>1.5</v>
      </c>
      <c r="AD346" s="1">
        <f t="shared" si="85"/>
        <v>1</v>
      </c>
      <c r="AE346" s="1">
        <f t="shared" si="95"/>
        <v>10</v>
      </c>
      <c r="AF346" s="33">
        <f t="shared" si="96"/>
        <v>2.4999999999999991</v>
      </c>
    </row>
    <row r="347" spans="3:32" ht="14.25" hidden="1" customHeight="1" outlineLevel="1" x14ac:dyDescent="0.2">
      <c r="D347" s="1">
        <v>98</v>
      </c>
      <c r="E347" s="6">
        <f t="shared" si="86"/>
        <v>1665.9949876461626</v>
      </c>
      <c r="F347" s="6">
        <f t="shared" si="86"/>
        <v>76544.902709095491</v>
      </c>
      <c r="G347" s="6">
        <f t="shared" si="86"/>
        <v>567.97865390909681</v>
      </c>
      <c r="H347" s="1">
        <v>0.4</v>
      </c>
      <c r="I347" s="1">
        <v>1.5</v>
      </c>
      <c r="J347" s="1">
        <v>1</v>
      </c>
      <c r="M347" s="1">
        <v>98</v>
      </c>
      <c r="N347" s="6">
        <f t="shared" si="90"/>
        <v>83299.749382308131</v>
      </c>
      <c r="O347" s="6">
        <f t="shared" si="87"/>
        <v>4025899.1276919511</v>
      </c>
      <c r="P347" s="6">
        <f t="shared" si="88"/>
        <v>42598.39904318226</v>
      </c>
      <c r="Q347" s="1">
        <v>0.4</v>
      </c>
      <c r="R347" s="1">
        <v>1.5</v>
      </c>
      <c r="S347" s="1">
        <v>1</v>
      </c>
      <c r="T347" s="1">
        <v>0.8</v>
      </c>
      <c r="U347" s="1">
        <v>10</v>
      </c>
      <c r="V347" s="5">
        <f t="shared" si="89"/>
        <v>2.4999999999999991</v>
      </c>
      <c r="X347" s="1">
        <v>98</v>
      </c>
      <c r="Y347" s="6">
        <f t="shared" si="91"/>
        <v>16659.949876461626</v>
      </c>
      <c r="Z347" s="6">
        <f t="shared" si="92"/>
        <v>447322.12529910565</v>
      </c>
      <c r="AA347" s="6">
        <f t="shared" si="93"/>
        <v>42598.39904318226</v>
      </c>
      <c r="AB347" s="1">
        <f t="shared" si="94"/>
        <v>0.4</v>
      </c>
      <c r="AC347" s="1">
        <f t="shared" si="84"/>
        <v>1.5</v>
      </c>
      <c r="AD347" s="1">
        <f t="shared" si="85"/>
        <v>1</v>
      </c>
      <c r="AE347" s="1">
        <f t="shared" si="95"/>
        <v>10</v>
      </c>
      <c r="AF347" s="33">
        <f t="shared" si="96"/>
        <v>2.4999999999999991</v>
      </c>
    </row>
    <row r="348" spans="3:32" ht="14.25" hidden="1" customHeight="1" outlineLevel="1" x14ac:dyDescent="0.2">
      <c r="D348" s="1">
        <v>99</v>
      </c>
      <c r="E348" s="6">
        <f t="shared" si="86"/>
        <v>1749.2947370284708</v>
      </c>
      <c r="F348" s="6">
        <f t="shared" si="86"/>
        <v>80372.147844550273</v>
      </c>
      <c r="G348" s="6">
        <f t="shared" si="86"/>
        <v>596.37758660455165</v>
      </c>
      <c r="H348" s="1">
        <v>0.4</v>
      </c>
      <c r="I348" s="1">
        <v>1.5</v>
      </c>
      <c r="J348" s="1">
        <v>1</v>
      </c>
      <c r="M348" s="1">
        <v>99</v>
      </c>
      <c r="N348" s="6">
        <f t="shared" si="90"/>
        <v>87464.736851423542</v>
      </c>
      <c r="O348" s="6">
        <f t="shared" si="87"/>
        <v>4164983.8332851096</v>
      </c>
      <c r="P348" s="6">
        <f t="shared" si="88"/>
        <v>44728.318995341375</v>
      </c>
      <c r="Q348" s="1">
        <v>0.4</v>
      </c>
      <c r="R348" s="1">
        <v>1.5</v>
      </c>
      <c r="S348" s="1">
        <v>1</v>
      </c>
      <c r="T348" s="1">
        <v>0.8</v>
      </c>
      <c r="U348" s="1">
        <v>10</v>
      </c>
      <c r="V348" s="5">
        <f t="shared" si="89"/>
        <v>2.4999999999999991</v>
      </c>
      <c r="X348" s="1">
        <v>99</v>
      </c>
      <c r="Y348" s="6">
        <f t="shared" si="91"/>
        <v>17492.94737028471</v>
      </c>
      <c r="Z348" s="6">
        <f t="shared" si="92"/>
        <v>462775.98147612327</v>
      </c>
      <c r="AA348" s="6">
        <f t="shared" si="93"/>
        <v>44728.318995341375</v>
      </c>
      <c r="AB348" s="1">
        <f t="shared" si="94"/>
        <v>0.4</v>
      </c>
      <c r="AC348" s="1">
        <f t="shared" si="84"/>
        <v>1.5</v>
      </c>
      <c r="AD348" s="1">
        <f t="shared" si="85"/>
        <v>1</v>
      </c>
      <c r="AE348" s="1">
        <f t="shared" si="95"/>
        <v>10</v>
      </c>
      <c r="AF348" s="33">
        <f t="shared" si="96"/>
        <v>2.4999999999999991</v>
      </c>
    </row>
    <row r="349" spans="3:32" ht="14.25" hidden="1" customHeight="1" outlineLevel="1" x14ac:dyDescent="0.2">
      <c r="D349" s="1">
        <v>100</v>
      </c>
      <c r="E349" s="6">
        <f t="shared" si="86"/>
        <v>1836.7594738798948</v>
      </c>
      <c r="F349" s="6">
        <f t="shared" si="86"/>
        <v>84390.755236777797</v>
      </c>
      <c r="G349" s="6">
        <f t="shared" si="86"/>
        <v>626.19646593477933</v>
      </c>
      <c r="H349" s="1">
        <v>0.4</v>
      </c>
      <c r="I349" s="1">
        <v>1.5</v>
      </c>
      <c r="J349" s="1">
        <v>1</v>
      </c>
      <c r="M349" s="1">
        <v>100</v>
      </c>
      <c r="N349" s="6">
        <f t="shared" si="90"/>
        <v>91837.973693994747</v>
      </c>
      <c r="O349" s="6">
        <f t="shared" si="87"/>
        <v>4306683.9436837286</v>
      </c>
      <c r="P349" s="6">
        <f t="shared" si="88"/>
        <v>46964.734945108452</v>
      </c>
      <c r="Q349" s="1">
        <v>0.4</v>
      </c>
      <c r="R349" s="1">
        <v>1.5</v>
      </c>
      <c r="S349" s="1">
        <v>1</v>
      </c>
      <c r="T349" s="1">
        <v>0.8</v>
      </c>
      <c r="U349" s="1">
        <v>10</v>
      </c>
      <c r="V349" s="5">
        <f t="shared" si="89"/>
        <v>2.4999999999999996</v>
      </c>
      <c r="X349" s="1">
        <v>100</v>
      </c>
      <c r="Y349" s="6">
        <f t="shared" si="91"/>
        <v>18367.594738798951</v>
      </c>
      <c r="Z349" s="6">
        <f t="shared" si="92"/>
        <v>478520.43818708096</v>
      </c>
      <c r="AA349" s="6">
        <f t="shared" si="93"/>
        <v>46964.734945108452</v>
      </c>
      <c r="AB349" s="1">
        <f t="shared" si="94"/>
        <v>0.4</v>
      </c>
      <c r="AC349" s="1">
        <f t="shared" si="84"/>
        <v>1.5</v>
      </c>
      <c r="AD349" s="1">
        <f t="shared" si="85"/>
        <v>1</v>
      </c>
      <c r="AE349" s="1">
        <f t="shared" si="95"/>
        <v>10</v>
      </c>
      <c r="AF349" s="33">
        <f t="shared" si="96"/>
        <v>2.4999999999999996</v>
      </c>
    </row>
    <row r="351" spans="3:32" ht="14.25" customHeight="1" x14ac:dyDescent="0.2">
      <c r="C351" s="3" t="s">
        <v>290</v>
      </c>
      <c r="D351" s="2" t="s">
        <v>301</v>
      </c>
      <c r="I351" s="3" t="s">
        <v>291</v>
      </c>
      <c r="Q351" s="2"/>
    </row>
    <row r="352" spans="3:32" ht="14.25" customHeight="1" x14ac:dyDescent="0.2">
      <c r="D352" s="3" t="s">
        <v>289</v>
      </c>
      <c r="E352" s="3" t="s">
        <v>146</v>
      </c>
      <c r="F352" s="3" t="s">
        <v>147</v>
      </c>
      <c r="G352" s="3" t="s">
        <v>124</v>
      </c>
      <c r="H352" s="75" t="s">
        <v>15</v>
      </c>
      <c r="J352" s="24" t="s">
        <v>13</v>
      </c>
      <c r="K352" s="3" t="s">
        <v>147</v>
      </c>
    </row>
    <row r="353" spans="3:32" ht="14.25" customHeight="1" x14ac:dyDescent="0.2">
      <c r="D353" s="1">
        <v>5</v>
      </c>
      <c r="H353" s="6">
        <f>F353/(J353-G353)</f>
        <v>0</v>
      </c>
      <c r="J353" s="1">
        <v>18.204999999999998</v>
      </c>
      <c r="K353" s="6">
        <f>E353*H353</f>
        <v>0</v>
      </c>
    </row>
    <row r="354" spans="3:32" ht="14.25" customHeight="1" x14ac:dyDescent="0.2">
      <c r="D354" s="1">
        <v>4</v>
      </c>
      <c r="E354" s="1">
        <f>SUM(E6:E10)-E7</f>
        <v>25.380000000000003</v>
      </c>
      <c r="F354" s="1">
        <f>F6</f>
        <v>111.11111111111111</v>
      </c>
      <c r="G354" s="1">
        <f>SUM(G6:G10)-G7</f>
        <v>10</v>
      </c>
      <c r="H354" s="6">
        <f t="shared" ref="H354:H357" si="97">F354/(J354-G354)</f>
        <v>13.541878258514458</v>
      </c>
      <c r="J354" s="1">
        <f>J353</f>
        <v>18.204999999999998</v>
      </c>
      <c r="K354" s="6">
        <f t="shared" ref="K354:K357" si="98">E354*H354</f>
        <v>343.69287020109698</v>
      </c>
    </row>
    <row r="355" spans="3:32" ht="14.25" customHeight="1" x14ac:dyDescent="0.2">
      <c r="D355" s="1">
        <v>3</v>
      </c>
      <c r="E355" s="1">
        <f>E354-E6</f>
        <v>20.880000000000003</v>
      </c>
      <c r="F355" s="1">
        <f>F8</f>
        <v>100</v>
      </c>
      <c r="G355" s="1">
        <f>G354-G6</f>
        <v>8</v>
      </c>
      <c r="H355" s="6">
        <f t="shared" si="97"/>
        <v>9.7991180793728585</v>
      </c>
      <c r="J355" s="1">
        <f t="shared" ref="J355:J357" si="99">J354</f>
        <v>18.204999999999998</v>
      </c>
      <c r="K355" s="6">
        <f t="shared" si="98"/>
        <v>204.6055854973053</v>
      </c>
    </row>
    <row r="356" spans="3:32" ht="14.25" customHeight="1" x14ac:dyDescent="0.2">
      <c r="D356" s="1">
        <v>2</v>
      </c>
      <c r="E356" s="1">
        <f>E355-E9</f>
        <v>8.8800000000000026</v>
      </c>
      <c r="F356" s="1">
        <f>F9</f>
        <v>33.333333333333336</v>
      </c>
      <c r="G356" s="1">
        <f>G355-G9</f>
        <v>8</v>
      </c>
      <c r="H356" s="6">
        <f t="shared" si="97"/>
        <v>3.2663726931242865</v>
      </c>
      <c r="J356" s="1">
        <f t="shared" si="99"/>
        <v>18.204999999999998</v>
      </c>
      <c r="K356" s="6">
        <f t="shared" si="98"/>
        <v>29.005389514943673</v>
      </c>
    </row>
    <row r="357" spans="3:32" ht="14.25" customHeight="1" x14ac:dyDescent="0.2">
      <c r="D357" s="1">
        <v>1</v>
      </c>
      <c r="E357" s="1">
        <f>E10</f>
        <v>3.88</v>
      </c>
      <c r="F357" s="1">
        <f>F10</f>
        <v>48.5</v>
      </c>
      <c r="G357" s="1">
        <f>G10</f>
        <v>6</v>
      </c>
      <c r="H357" s="6">
        <f t="shared" si="97"/>
        <v>3.9737812371978705</v>
      </c>
      <c r="J357" s="1">
        <f t="shared" si="99"/>
        <v>18.204999999999998</v>
      </c>
      <c r="K357" s="6">
        <f t="shared" si="98"/>
        <v>15.418271200327737</v>
      </c>
    </row>
    <row r="358" spans="3:32" ht="14.25" customHeight="1" x14ac:dyDescent="0.2">
      <c r="H358" s="6">
        <f>SUM(H353:H357)</f>
        <v>30.581150268209473</v>
      </c>
      <c r="I358" s="1" t="s">
        <v>292</v>
      </c>
      <c r="J358" s="1">
        <f>MAX(J353:J357)</f>
        <v>18.204999999999998</v>
      </c>
      <c r="K358" s="6">
        <f>SUM(K353:K357)</f>
        <v>592.72211641367358</v>
      </c>
    </row>
    <row r="360" spans="3:32" ht="14.25" customHeight="1" collapsed="1" x14ac:dyDescent="0.2">
      <c r="C360" s="3" t="s">
        <v>162</v>
      </c>
      <c r="E360" s="1">
        <f>J358</f>
        <v>18.204999999999998</v>
      </c>
      <c r="F360" s="6">
        <f>K358</f>
        <v>592.72211641367358</v>
      </c>
      <c r="G360" s="17">
        <v>5</v>
      </c>
      <c r="J360" s="1" t="s">
        <v>294</v>
      </c>
      <c r="K360" s="1">
        <f>K21</f>
        <v>75</v>
      </c>
      <c r="L360" s="3" t="s">
        <v>293</v>
      </c>
      <c r="P360" s="6">
        <f>MAX(P363:P462)</f>
        <v>46964.734945108452</v>
      </c>
      <c r="X360" s="1" t="s">
        <v>297</v>
      </c>
    </row>
    <row r="361" spans="3:32" ht="14.25" hidden="1" customHeight="1" outlineLevel="1" x14ac:dyDescent="0.2">
      <c r="E361" s="1">
        <f>E22</f>
        <v>1.05</v>
      </c>
      <c r="F361" s="1">
        <f t="shared" ref="F361:G361" si="100">F22</f>
        <v>1.05</v>
      </c>
      <c r="G361" s="1">
        <f t="shared" si="100"/>
        <v>1.05</v>
      </c>
      <c r="O361" s="6">
        <f>F363*K360</f>
        <v>44454.15873102552</v>
      </c>
      <c r="P361" s="1">
        <f>10000</f>
        <v>10000</v>
      </c>
      <c r="X361" s="1">
        <v>9</v>
      </c>
    </row>
    <row r="362" spans="3:32" ht="14.25" hidden="1" customHeight="1" outlineLevel="1" x14ac:dyDescent="0.2">
      <c r="D362" s="1" t="s">
        <v>186</v>
      </c>
      <c r="E362" s="1" t="s">
        <v>146</v>
      </c>
      <c r="F362" s="1" t="s">
        <v>147</v>
      </c>
      <c r="G362" s="1" t="s">
        <v>139</v>
      </c>
      <c r="H362" s="17" t="s">
        <v>140</v>
      </c>
      <c r="I362" s="17" t="s">
        <v>141</v>
      </c>
      <c r="J362" s="17" t="s">
        <v>142</v>
      </c>
      <c r="M362" s="1" t="s">
        <v>164</v>
      </c>
      <c r="N362" s="1" t="s">
        <v>165</v>
      </c>
      <c r="O362" s="1" t="s">
        <v>166</v>
      </c>
      <c r="P362" s="1" t="s">
        <v>139</v>
      </c>
      <c r="Q362" s="17" t="s">
        <v>140</v>
      </c>
      <c r="R362" s="17" t="s">
        <v>141</v>
      </c>
      <c r="S362" s="17" t="s">
        <v>142</v>
      </c>
      <c r="T362" s="17" t="s">
        <v>167</v>
      </c>
      <c r="U362" s="17" t="s">
        <v>198</v>
      </c>
      <c r="V362" s="1" t="s">
        <v>296</v>
      </c>
      <c r="X362" s="1" t="s">
        <v>164</v>
      </c>
      <c r="Y362" s="1" t="s">
        <v>165</v>
      </c>
      <c r="Z362" s="1" t="s">
        <v>166</v>
      </c>
      <c r="AA362" s="1" t="s">
        <v>139</v>
      </c>
      <c r="AB362" s="1" t="s">
        <v>140</v>
      </c>
      <c r="AC362" s="1" t="s">
        <v>141</v>
      </c>
      <c r="AD362" s="1" t="s">
        <v>142</v>
      </c>
      <c r="AE362" s="1" t="s">
        <v>295</v>
      </c>
      <c r="AF362" s="1" t="s">
        <v>199</v>
      </c>
    </row>
    <row r="363" spans="3:32" ht="14.25" hidden="1" customHeight="1" outlineLevel="1" x14ac:dyDescent="0.2">
      <c r="D363" s="1">
        <v>1</v>
      </c>
      <c r="E363" s="6">
        <f>E$360*E$361^($D363-1)</f>
        <v>18.204999999999998</v>
      </c>
      <c r="F363" s="6">
        <f t="shared" ref="F363:G378" si="101">F$360*F$361^($D363-1)</f>
        <v>592.72211641367358</v>
      </c>
      <c r="G363" s="6">
        <f t="shared" si="101"/>
        <v>5</v>
      </c>
      <c r="H363" s="1">
        <v>0.4</v>
      </c>
      <c r="I363" s="1">
        <v>1.5</v>
      </c>
      <c r="J363" s="1">
        <v>1</v>
      </c>
      <c r="M363" s="1">
        <v>1</v>
      </c>
      <c r="N363" s="6">
        <f>E363*T363*$K$21/S363/(1+Q363*(R363-1))</f>
        <v>910.25</v>
      </c>
      <c r="O363" s="6">
        <f>F363*$K$21/(1+P363/$P$22)</f>
        <v>44288.078436887197</v>
      </c>
      <c r="P363" s="6">
        <f>G363*$K$21</f>
        <v>375</v>
      </c>
      <c r="Q363" s="1">
        <v>0.4</v>
      </c>
      <c r="R363" s="1">
        <v>1.5</v>
      </c>
      <c r="S363" s="1">
        <v>1</v>
      </c>
      <c r="T363" s="1">
        <v>0.8</v>
      </c>
      <c r="U363" s="1">
        <v>10</v>
      </c>
      <c r="V363" s="5">
        <f>E363*$K$21*(1-T363)/(1/U363)/(1+Q363*(R363-1))/N363</f>
        <v>2.4999999999999991</v>
      </c>
      <c r="X363" s="1">
        <v>1</v>
      </c>
      <c r="Y363" s="6">
        <f>2*N363/(1+$X$22)</f>
        <v>182.05</v>
      </c>
      <c r="Z363" s="6">
        <f>O363/$X$22</f>
        <v>4920.8976040985772</v>
      </c>
      <c r="AA363" s="6">
        <f>P363</f>
        <v>375</v>
      </c>
      <c r="AB363" s="1">
        <f>Q363</f>
        <v>0.4</v>
      </c>
      <c r="AC363" s="1">
        <f t="shared" ref="AC363:AC426" si="102">R363</f>
        <v>1.5</v>
      </c>
      <c r="AD363" s="1">
        <f t="shared" ref="AD363:AD426" si="103">S363</f>
        <v>1</v>
      </c>
      <c r="AE363" s="1">
        <f>U363</f>
        <v>10</v>
      </c>
      <c r="AF363" s="33">
        <f>V363</f>
        <v>2.4999999999999991</v>
      </c>
    </row>
    <row r="364" spans="3:32" ht="14.25" hidden="1" customHeight="1" outlineLevel="1" x14ac:dyDescent="0.2">
      <c r="D364" s="1">
        <v>2</v>
      </c>
      <c r="E364" s="6">
        <f t="shared" ref="E364:G395" si="104">E$360*E$361^($D364-1)</f>
        <v>19.11525</v>
      </c>
      <c r="F364" s="6">
        <f t="shared" si="101"/>
        <v>622.3582222343573</v>
      </c>
      <c r="G364" s="6">
        <f t="shared" si="101"/>
        <v>5.25</v>
      </c>
      <c r="H364" s="1">
        <v>0.4</v>
      </c>
      <c r="I364" s="1">
        <v>1.5</v>
      </c>
      <c r="J364" s="1">
        <v>1</v>
      </c>
      <c r="M364" s="1">
        <v>2</v>
      </c>
      <c r="N364" s="6">
        <f>E364*T364*$K$21/S364/(1+Q364*(R364-1))</f>
        <v>955.76250000000016</v>
      </c>
      <c r="O364" s="6">
        <f t="shared" ref="O364:O427" si="105">F364*$K$21/(1+P364/$P$22)</f>
        <v>46493.797340548394</v>
      </c>
      <c r="P364" s="6">
        <f t="shared" ref="P364:P427" si="106">G364*$K$21</f>
        <v>393.75</v>
      </c>
      <c r="Q364" s="1">
        <v>0.4</v>
      </c>
      <c r="R364" s="1">
        <v>1.5</v>
      </c>
      <c r="S364" s="1">
        <v>1</v>
      </c>
      <c r="T364" s="1">
        <v>0.8</v>
      </c>
      <c r="U364" s="1">
        <v>10</v>
      </c>
      <c r="V364" s="5">
        <f t="shared" ref="V364:V427" si="107">E364*$K$21*(1-T364)/(1/U364)/(1+Q364*(R364-1))/N364</f>
        <v>2.4999999999999987</v>
      </c>
      <c r="X364" s="1">
        <v>2</v>
      </c>
      <c r="Y364" s="6">
        <f>2*N364/(1+$X$22)</f>
        <v>191.15250000000003</v>
      </c>
      <c r="Z364" s="6">
        <f>O364/$X$22</f>
        <v>5165.977482283155</v>
      </c>
      <c r="AA364" s="6">
        <f>P364</f>
        <v>393.75</v>
      </c>
      <c r="AB364" s="1">
        <f>Q364</f>
        <v>0.4</v>
      </c>
      <c r="AC364" s="1">
        <f t="shared" si="102"/>
        <v>1.5</v>
      </c>
      <c r="AD364" s="1">
        <f t="shared" si="103"/>
        <v>1</v>
      </c>
      <c r="AE364" s="1">
        <f>U364</f>
        <v>10</v>
      </c>
      <c r="AF364" s="33">
        <f>V364</f>
        <v>2.4999999999999987</v>
      </c>
    </row>
    <row r="365" spans="3:32" ht="14.25" hidden="1" customHeight="1" outlineLevel="1" x14ac:dyDescent="0.2">
      <c r="D365" s="1">
        <v>3</v>
      </c>
      <c r="E365" s="6">
        <f t="shared" si="104"/>
        <v>20.071012499999998</v>
      </c>
      <c r="F365" s="6">
        <f t="shared" si="101"/>
        <v>653.47613334607513</v>
      </c>
      <c r="G365" s="6">
        <f t="shared" si="101"/>
        <v>5.5125000000000002</v>
      </c>
      <c r="H365" s="1">
        <v>0.4</v>
      </c>
      <c r="I365" s="1">
        <v>1.5</v>
      </c>
      <c r="J365" s="1">
        <v>1</v>
      </c>
      <c r="M365" s="1">
        <v>3</v>
      </c>
      <c r="N365" s="6">
        <f t="shared" ref="N365:N428" si="108">E365*T365*$K$21/S365/(1+Q365*(R365-1))</f>
        <v>1003.550625</v>
      </c>
      <c r="O365" s="6">
        <f t="shared" si="105"/>
        <v>48808.915640355044</v>
      </c>
      <c r="P365" s="6">
        <f t="shared" si="106"/>
        <v>413.4375</v>
      </c>
      <c r="Q365" s="1">
        <v>0.4</v>
      </c>
      <c r="R365" s="1">
        <v>1.5</v>
      </c>
      <c r="S365" s="1">
        <v>1</v>
      </c>
      <c r="T365" s="1">
        <v>0.8</v>
      </c>
      <c r="U365" s="1">
        <v>10</v>
      </c>
      <c r="V365" s="5">
        <f t="shared" si="107"/>
        <v>2.4999999999999991</v>
      </c>
      <c r="X365" s="1">
        <v>3</v>
      </c>
      <c r="Y365" s="6">
        <f t="shared" ref="Y365:Y428" si="109">2*N365/(1+$X$22)</f>
        <v>200.71012500000001</v>
      </c>
      <c r="Z365" s="6">
        <f t="shared" ref="Z365:Z428" si="110">O365/$X$22</f>
        <v>5423.2128489283386</v>
      </c>
      <c r="AA365" s="6">
        <f t="shared" ref="AA365:AA428" si="111">P365</f>
        <v>413.4375</v>
      </c>
      <c r="AB365" s="1">
        <f t="shared" ref="AB365:AB428" si="112">Q365</f>
        <v>0.4</v>
      </c>
      <c r="AC365" s="1">
        <f t="shared" si="102"/>
        <v>1.5</v>
      </c>
      <c r="AD365" s="1">
        <f t="shared" si="103"/>
        <v>1</v>
      </c>
      <c r="AE365" s="1">
        <f t="shared" ref="AE365:AE428" si="113">U365</f>
        <v>10</v>
      </c>
      <c r="AF365" s="33">
        <f t="shared" ref="AF365:AF428" si="114">V365</f>
        <v>2.4999999999999991</v>
      </c>
    </row>
    <row r="366" spans="3:32" ht="14.25" hidden="1" customHeight="1" outlineLevel="1" x14ac:dyDescent="0.2">
      <c r="D366" s="1">
        <v>4</v>
      </c>
      <c r="E366" s="6">
        <f t="shared" si="104"/>
        <v>21.074563125000001</v>
      </c>
      <c r="F366" s="6">
        <f t="shared" si="101"/>
        <v>686.14994001337891</v>
      </c>
      <c r="G366" s="6">
        <f t="shared" si="101"/>
        <v>5.7881250000000009</v>
      </c>
      <c r="H366" s="1">
        <v>0.4</v>
      </c>
      <c r="I366" s="1">
        <v>1.5</v>
      </c>
      <c r="J366" s="1">
        <v>1</v>
      </c>
      <c r="M366" s="1">
        <v>4</v>
      </c>
      <c r="N366" s="6">
        <f t="shared" si="108"/>
        <v>1053.7281562500002</v>
      </c>
      <c r="O366" s="6">
        <f t="shared" si="105"/>
        <v>51238.813010087913</v>
      </c>
      <c r="P366" s="6">
        <f t="shared" si="106"/>
        <v>434.10937500000006</v>
      </c>
      <c r="Q366" s="1">
        <v>0.4</v>
      </c>
      <c r="R366" s="1">
        <v>1.5</v>
      </c>
      <c r="S366" s="1">
        <v>1</v>
      </c>
      <c r="T366" s="1">
        <v>0.8</v>
      </c>
      <c r="U366" s="1">
        <v>10</v>
      </c>
      <c r="V366" s="5">
        <f t="shared" si="107"/>
        <v>2.4999999999999991</v>
      </c>
      <c r="X366" s="1">
        <v>4</v>
      </c>
      <c r="Y366" s="6">
        <f t="shared" si="109"/>
        <v>210.74563125000003</v>
      </c>
      <c r="Z366" s="6">
        <f t="shared" si="110"/>
        <v>5693.2014455653234</v>
      </c>
      <c r="AA366" s="6">
        <f t="shared" si="111"/>
        <v>434.10937500000006</v>
      </c>
      <c r="AB366" s="1">
        <f t="shared" si="112"/>
        <v>0.4</v>
      </c>
      <c r="AC366" s="1">
        <f t="shared" si="102"/>
        <v>1.5</v>
      </c>
      <c r="AD366" s="1">
        <f t="shared" si="103"/>
        <v>1</v>
      </c>
      <c r="AE366" s="1">
        <f t="shared" si="113"/>
        <v>10</v>
      </c>
      <c r="AF366" s="33">
        <f t="shared" si="114"/>
        <v>2.4999999999999991</v>
      </c>
    </row>
    <row r="367" spans="3:32" ht="14.25" hidden="1" customHeight="1" outlineLevel="1" x14ac:dyDescent="0.2">
      <c r="D367" s="1">
        <v>5</v>
      </c>
      <c r="E367" s="6">
        <f t="shared" si="104"/>
        <v>22.128291281249997</v>
      </c>
      <c r="F367" s="6">
        <f t="shared" si="101"/>
        <v>720.45743701404785</v>
      </c>
      <c r="G367" s="6">
        <f t="shared" si="101"/>
        <v>6.0775312499999998</v>
      </c>
      <c r="H367" s="1">
        <v>0.4</v>
      </c>
      <c r="I367" s="1">
        <v>1.5</v>
      </c>
      <c r="J367" s="1">
        <v>1</v>
      </c>
      <c r="M367" s="1">
        <v>5</v>
      </c>
      <c r="N367" s="6">
        <f t="shared" si="108"/>
        <v>1106.4145640624999</v>
      </c>
      <c r="O367" s="6">
        <f t="shared" si="105"/>
        <v>53789.128942012074</v>
      </c>
      <c r="P367" s="6">
        <f t="shared" si="106"/>
        <v>455.81484374999997</v>
      </c>
      <c r="Q367" s="1">
        <v>0.4</v>
      </c>
      <c r="R367" s="1">
        <v>1.5</v>
      </c>
      <c r="S367" s="1">
        <v>1</v>
      </c>
      <c r="T367" s="1">
        <v>0.8</v>
      </c>
      <c r="U367" s="1">
        <v>10</v>
      </c>
      <c r="V367" s="5">
        <f t="shared" si="107"/>
        <v>2.4999999999999996</v>
      </c>
      <c r="X367" s="1">
        <v>5</v>
      </c>
      <c r="Y367" s="6">
        <f t="shared" si="109"/>
        <v>221.2829128125</v>
      </c>
      <c r="Z367" s="6">
        <f t="shared" si="110"/>
        <v>5976.5698824457859</v>
      </c>
      <c r="AA367" s="6">
        <f t="shared" si="111"/>
        <v>455.81484374999997</v>
      </c>
      <c r="AB367" s="1">
        <f t="shared" si="112"/>
        <v>0.4</v>
      </c>
      <c r="AC367" s="1">
        <f t="shared" si="102"/>
        <v>1.5</v>
      </c>
      <c r="AD367" s="1">
        <f t="shared" si="103"/>
        <v>1</v>
      </c>
      <c r="AE367" s="1">
        <f t="shared" si="113"/>
        <v>10</v>
      </c>
      <c r="AF367" s="33">
        <f t="shared" si="114"/>
        <v>2.4999999999999996</v>
      </c>
    </row>
    <row r="368" spans="3:32" ht="14.25" hidden="1" customHeight="1" outlineLevel="1" x14ac:dyDescent="0.2">
      <c r="D368" s="1">
        <v>6</v>
      </c>
      <c r="E368" s="6">
        <f t="shared" si="104"/>
        <v>23.234705845312501</v>
      </c>
      <c r="F368" s="6">
        <f t="shared" si="101"/>
        <v>756.48030886475033</v>
      </c>
      <c r="G368" s="6">
        <f t="shared" si="101"/>
        <v>6.3814078125000009</v>
      </c>
      <c r="H368" s="1">
        <v>0.4</v>
      </c>
      <c r="I368" s="1">
        <v>1.5</v>
      </c>
      <c r="J368" s="1">
        <v>1</v>
      </c>
      <c r="M368" s="1">
        <v>6</v>
      </c>
      <c r="N368" s="6">
        <f t="shared" si="108"/>
        <v>1161.735292265625</v>
      </c>
      <c r="O368" s="6">
        <f t="shared" si="105"/>
        <v>56465.774812460942</v>
      </c>
      <c r="P368" s="6">
        <f t="shared" si="106"/>
        <v>478.60558593750005</v>
      </c>
      <c r="Q368" s="1">
        <v>0.4</v>
      </c>
      <c r="R368" s="1">
        <v>1.5</v>
      </c>
      <c r="S368" s="1">
        <v>1</v>
      </c>
      <c r="T368" s="1">
        <v>0.8</v>
      </c>
      <c r="U368" s="1">
        <v>10</v>
      </c>
      <c r="V368" s="5">
        <f t="shared" si="107"/>
        <v>2.4999999999999996</v>
      </c>
      <c r="X368" s="1">
        <v>6</v>
      </c>
      <c r="Y368" s="6">
        <f t="shared" si="109"/>
        <v>232.34705845312502</v>
      </c>
      <c r="Z368" s="6">
        <f t="shared" si="110"/>
        <v>6273.9749791623271</v>
      </c>
      <c r="AA368" s="6">
        <f t="shared" si="111"/>
        <v>478.60558593750005</v>
      </c>
      <c r="AB368" s="1">
        <f t="shared" si="112"/>
        <v>0.4</v>
      </c>
      <c r="AC368" s="1">
        <f t="shared" si="102"/>
        <v>1.5</v>
      </c>
      <c r="AD368" s="1">
        <f t="shared" si="103"/>
        <v>1</v>
      </c>
      <c r="AE368" s="1">
        <f t="shared" si="113"/>
        <v>10</v>
      </c>
      <c r="AF368" s="33">
        <f t="shared" si="114"/>
        <v>2.4999999999999996</v>
      </c>
    </row>
    <row r="369" spans="4:32" ht="14.25" hidden="1" customHeight="1" outlineLevel="1" x14ac:dyDescent="0.2">
      <c r="D369" s="1">
        <v>7</v>
      </c>
      <c r="E369" s="6">
        <f t="shared" si="104"/>
        <v>24.396441137578122</v>
      </c>
      <c r="F369" s="6">
        <f t="shared" si="101"/>
        <v>794.30432430798771</v>
      </c>
      <c r="G369" s="6">
        <f t="shared" si="101"/>
        <v>6.7004782031249999</v>
      </c>
      <c r="H369" s="1">
        <v>0.4</v>
      </c>
      <c r="I369" s="1">
        <v>1.5</v>
      </c>
      <c r="J369" s="1">
        <v>1</v>
      </c>
      <c r="M369" s="1">
        <v>7</v>
      </c>
      <c r="N369" s="6">
        <f t="shared" si="108"/>
        <v>1219.8220568789063</v>
      </c>
      <c r="O369" s="6">
        <f t="shared" si="105"/>
        <v>59274.946458048915</v>
      </c>
      <c r="P369" s="6">
        <f t="shared" si="106"/>
        <v>502.53586523437497</v>
      </c>
      <c r="Q369" s="1">
        <v>0.4</v>
      </c>
      <c r="R369" s="1">
        <v>1.5</v>
      </c>
      <c r="S369" s="1">
        <v>1</v>
      </c>
      <c r="T369" s="1">
        <v>0.8</v>
      </c>
      <c r="U369" s="1">
        <v>10</v>
      </c>
      <c r="V369" s="5">
        <f t="shared" si="107"/>
        <v>2.4999999999999991</v>
      </c>
      <c r="X369" s="1">
        <v>7</v>
      </c>
      <c r="Y369" s="6">
        <f t="shared" si="109"/>
        <v>243.96441137578125</v>
      </c>
      <c r="Z369" s="6">
        <f t="shared" si="110"/>
        <v>6586.105162005435</v>
      </c>
      <c r="AA369" s="6">
        <f t="shared" si="111"/>
        <v>502.53586523437497</v>
      </c>
      <c r="AB369" s="1">
        <f t="shared" si="112"/>
        <v>0.4</v>
      </c>
      <c r="AC369" s="1">
        <f t="shared" si="102"/>
        <v>1.5</v>
      </c>
      <c r="AD369" s="1">
        <f t="shared" si="103"/>
        <v>1</v>
      </c>
      <c r="AE369" s="1">
        <f t="shared" si="113"/>
        <v>10</v>
      </c>
      <c r="AF369" s="33">
        <f t="shared" si="114"/>
        <v>2.4999999999999991</v>
      </c>
    </row>
    <row r="370" spans="4:32" ht="14.25" hidden="1" customHeight="1" outlineLevel="1" x14ac:dyDescent="0.2">
      <c r="D370" s="1">
        <v>8</v>
      </c>
      <c r="E370" s="6">
        <f t="shared" si="104"/>
        <v>25.616263194457034</v>
      </c>
      <c r="F370" s="6">
        <f t="shared" si="101"/>
        <v>834.01954052338726</v>
      </c>
      <c r="G370" s="6">
        <f t="shared" si="101"/>
        <v>7.0355021132812512</v>
      </c>
      <c r="H370" s="1">
        <v>0.4</v>
      </c>
      <c r="I370" s="1">
        <v>1.5</v>
      </c>
      <c r="J370" s="1">
        <v>1</v>
      </c>
      <c r="M370" s="1">
        <v>8</v>
      </c>
      <c r="N370" s="6">
        <f t="shared" si="108"/>
        <v>1280.8131597228519</v>
      </c>
      <c r="O370" s="6">
        <f t="shared" si="105"/>
        <v>62223.137278888593</v>
      </c>
      <c r="P370" s="6">
        <f t="shared" si="106"/>
        <v>527.66265849609385</v>
      </c>
      <c r="Q370" s="1">
        <v>0.4</v>
      </c>
      <c r="R370" s="1">
        <v>1.5</v>
      </c>
      <c r="S370" s="1">
        <v>1</v>
      </c>
      <c r="T370" s="1">
        <v>0.8</v>
      </c>
      <c r="U370" s="1">
        <v>10</v>
      </c>
      <c r="V370" s="5">
        <f t="shared" si="107"/>
        <v>2.4999999999999991</v>
      </c>
      <c r="X370" s="1">
        <v>8</v>
      </c>
      <c r="Y370" s="6">
        <f t="shared" si="109"/>
        <v>256.16263194457036</v>
      </c>
      <c r="Z370" s="6">
        <f t="shared" si="110"/>
        <v>6913.6819198765106</v>
      </c>
      <c r="AA370" s="6">
        <f t="shared" si="111"/>
        <v>527.66265849609385</v>
      </c>
      <c r="AB370" s="1">
        <f t="shared" si="112"/>
        <v>0.4</v>
      </c>
      <c r="AC370" s="1">
        <f t="shared" si="102"/>
        <v>1.5</v>
      </c>
      <c r="AD370" s="1">
        <f t="shared" si="103"/>
        <v>1</v>
      </c>
      <c r="AE370" s="1">
        <f t="shared" si="113"/>
        <v>10</v>
      </c>
      <c r="AF370" s="33">
        <f t="shared" si="114"/>
        <v>2.4999999999999991</v>
      </c>
    </row>
    <row r="371" spans="4:32" ht="14.25" hidden="1" customHeight="1" outlineLevel="1" x14ac:dyDescent="0.2">
      <c r="D371" s="1">
        <v>9</v>
      </c>
      <c r="E371" s="6">
        <f t="shared" si="104"/>
        <v>26.89707635417988</v>
      </c>
      <c r="F371" s="6">
        <f t="shared" si="101"/>
        <v>875.72051754955646</v>
      </c>
      <c r="G371" s="6">
        <f t="shared" si="101"/>
        <v>7.3872772189453126</v>
      </c>
      <c r="H371" s="1">
        <v>0.4</v>
      </c>
      <c r="I371" s="1">
        <v>1.5</v>
      </c>
      <c r="J371" s="1">
        <v>1</v>
      </c>
      <c r="M371" s="1">
        <v>9</v>
      </c>
      <c r="N371" s="6">
        <f t="shared" si="108"/>
        <v>1344.8538177089943</v>
      </c>
      <c r="O371" s="6">
        <f t="shared" si="105"/>
        <v>65317.151885121217</v>
      </c>
      <c r="P371" s="6">
        <f t="shared" si="106"/>
        <v>554.04579142089847</v>
      </c>
      <c r="Q371" s="1">
        <v>0.4</v>
      </c>
      <c r="R371" s="1">
        <v>1.5</v>
      </c>
      <c r="S371" s="1">
        <v>1</v>
      </c>
      <c r="T371" s="1">
        <v>0.8</v>
      </c>
      <c r="U371" s="1">
        <v>10</v>
      </c>
      <c r="V371" s="5">
        <f t="shared" si="107"/>
        <v>2.4999999999999991</v>
      </c>
      <c r="X371" s="1">
        <v>9</v>
      </c>
      <c r="Y371" s="6">
        <f t="shared" si="109"/>
        <v>268.97076354179887</v>
      </c>
      <c r="Z371" s="6">
        <f t="shared" si="110"/>
        <v>7257.4613205690239</v>
      </c>
      <c r="AA371" s="6">
        <f t="shared" si="111"/>
        <v>554.04579142089847</v>
      </c>
      <c r="AB371" s="1">
        <f t="shared" si="112"/>
        <v>0.4</v>
      </c>
      <c r="AC371" s="1">
        <f t="shared" si="102"/>
        <v>1.5</v>
      </c>
      <c r="AD371" s="1">
        <f t="shared" si="103"/>
        <v>1</v>
      </c>
      <c r="AE371" s="1">
        <f t="shared" si="113"/>
        <v>10</v>
      </c>
      <c r="AF371" s="33">
        <f t="shared" si="114"/>
        <v>2.4999999999999991</v>
      </c>
    </row>
    <row r="372" spans="4:32" ht="14.25" hidden="1" customHeight="1" outlineLevel="1" x14ac:dyDescent="0.2">
      <c r="D372" s="1">
        <v>10</v>
      </c>
      <c r="E372" s="6">
        <f t="shared" si="104"/>
        <v>28.241930171888878</v>
      </c>
      <c r="F372" s="6">
        <f t="shared" si="101"/>
        <v>919.50654342703433</v>
      </c>
      <c r="G372" s="6">
        <f t="shared" si="101"/>
        <v>7.7566410798925789</v>
      </c>
      <c r="H372" s="1">
        <v>0.4</v>
      </c>
      <c r="I372" s="1">
        <v>1.5</v>
      </c>
      <c r="J372" s="1">
        <v>1</v>
      </c>
      <c r="M372" s="1">
        <v>10</v>
      </c>
      <c r="N372" s="6">
        <f t="shared" si="108"/>
        <v>1412.096508594444</v>
      </c>
      <c r="O372" s="6">
        <f t="shared" si="105"/>
        <v>68564.120302916344</v>
      </c>
      <c r="P372" s="6">
        <f t="shared" si="106"/>
        <v>581.74808099194343</v>
      </c>
      <c r="Q372" s="1">
        <v>0.4</v>
      </c>
      <c r="R372" s="1">
        <v>1.5</v>
      </c>
      <c r="S372" s="1">
        <v>1</v>
      </c>
      <c r="T372" s="1">
        <v>0.8</v>
      </c>
      <c r="U372" s="1">
        <v>10</v>
      </c>
      <c r="V372" s="5">
        <f t="shared" si="107"/>
        <v>2.4999999999999987</v>
      </c>
      <c r="X372" s="1">
        <v>10</v>
      </c>
      <c r="Y372" s="6">
        <f t="shared" si="109"/>
        <v>282.41930171888879</v>
      </c>
      <c r="Z372" s="6">
        <f t="shared" si="110"/>
        <v>7618.2355892129272</v>
      </c>
      <c r="AA372" s="6">
        <f t="shared" si="111"/>
        <v>581.74808099194343</v>
      </c>
      <c r="AB372" s="1">
        <f t="shared" si="112"/>
        <v>0.4</v>
      </c>
      <c r="AC372" s="1">
        <f t="shared" si="102"/>
        <v>1.5</v>
      </c>
      <c r="AD372" s="1">
        <f t="shared" si="103"/>
        <v>1</v>
      </c>
      <c r="AE372" s="1">
        <f t="shared" si="113"/>
        <v>10</v>
      </c>
      <c r="AF372" s="33">
        <f t="shared" si="114"/>
        <v>2.4999999999999987</v>
      </c>
    </row>
    <row r="373" spans="4:32" ht="14.25" hidden="1" customHeight="1" outlineLevel="1" x14ac:dyDescent="0.2">
      <c r="D373" s="1">
        <v>11</v>
      </c>
      <c r="E373" s="6">
        <f t="shared" si="104"/>
        <v>29.654026680483319</v>
      </c>
      <c r="F373" s="6">
        <f t="shared" si="101"/>
        <v>965.48187059838608</v>
      </c>
      <c r="G373" s="6">
        <f t="shared" si="101"/>
        <v>8.1444731338872085</v>
      </c>
      <c r="H373" s="1">
        <v>0.4</v>
      </c>
      <c r="I373" s="1">
        <v>1.5</v>
      </c>
      <c r="J373" s="1">
        <v>1</v>
      </c>
      <c r="M373" s="1">
        <v>11</v>
      </c>
      <c r="N373" s="6">
        <f t="shared" si="108"/>
        <v>1482.7013340241663</v>
      </c>
      <c r="O373" s="6">
        <f t="shared" si="105"/>
        <v>71971.512755845048</v>
      </c>
      <c r="P373" s="6">
        <f t="shared" si="106"/>
        <v>610.83548504154066</v>
      </c>
      <c r="Q373" s="1">
        <v>0.4</v>
      </c>
      <c r="R373" s="1">
        <v>1.5</v>
      </c>
      <c r="S373" s="1">
        <v>1</v>
      </c>
      <c r="T373" s="1">
        <v>0.8</v>
      </c>
      <c r="U373" s="1">
        <v>10</v>
      </c>
      <c r="V373" s="5">
        <f t="shared" si="107"/>
        <v>2.4999999999999987</v>
      </c>
      <c r="X373" s="1">
        <v>11</v>
      </c>
      <c r="Y373" s="6">
        <f t="shared" si="109"/>
        <v>296.54026680483327</v>
      </c>
      <c r="Z373" s="6">
        <f t="shared" si="110"/>
        <v>7996.8347506494501</v>
      </c>
      <c r="AA373" s="6">
        <f t="shared" si="111"/>
        <v>610.83548504154066</v>
      </c>
      <c r="AB373" s="1">
        <f t="shared" si="112"/>
        <v>0.4</v>
      </c>
      <c r="AC373" s="1">
        <f t="shared" si="102"/>
        <v>1.5</v>
      </c>
      <c r="AD373" s="1">
        <f t="shared" si="103"/>
        <v>1</v>
      </c>
      <c r="AE373" s="1">
        <f t="shared" si="113"/>
        <v>10</v>
      </c>
      <c r="AF373" s="33">
        <f t="shared" si="114"/>
        <v>2.4999999999999987</v>
      </c>
    </row>
    <row r="374" spans="4:32" ht="14.25" hidden="1" customHeight="1" outlineLevel="1" x14ac:dyDescent="0.2">
      <c r="D374" s="1">
        <v>12</v>
      </c>
      <c r="E374" s="6">
        <f t="shared" si="104"/>
        <v>31.13672801450749</v>
      </c>
      <c r="F374" s="6">
        <f t="shared" si="101"/>
        <v>1013.7559641283054</v>
      </c>
      <c r="G374" s="6">
        <f t="shared" si="101"/>
        <v>8.5516967905815697</v>
      </c>
      <c r="H374" s="1">
        <v>0.4</v>
      </c>
      <c r="I374" s="1">
        <v>1.5</v>
      </c>
      <c r="J374" s="1">
        <v>1</v>
      </c>
      <c r="M374" s="1">
        <v>12</v>
      </c>
      <c r="N374" s="6">
        <f t="shared" si="108"/>
        <v>1556.8364007253747</v>
      </c>
      <c r="O374" s="6">
        <f t="shared" si="105"/>
        <v>75547.155037171207</v>
      </c>
      <c r="P374" s="6">
        <f t="shared" si="106"/>
        <v>641.37725929361773</v>
      </c>
      <c r="Q374" s="1">
        <v>0.4</v>
      </c>
      <c r="R374" s="1">
        <v>1.5</v>
      </c>
      <c r="S374" s="1">
        <v>1</v>
      </c>
      <c r="T374" s="1">
        <v>0.8</v>
      </c>
      <c r="U374" s="1">
        <v>10</v>
      </c>
      <c r="V374" s="5">
        <f t="shared" si="107"/>
        <v>2.4999999999999991</v>
      </c>
      <c r="X374" s="1">
        <v>12</v>
      </c>
      <c r="Y374" s="6">
        <f t="shared" si="109"/>
        <v>311.36728014507491</v>
      </c>
      <c r="Z374" s="6">
        <f t="shared" si="110"/>
        <v>8394.1283374634677</v>
      </c>
      <c r="AA374" s="6">
        <f t="shared" si="111"/>
        <v>641.37725929361773</v>
      </c>
      <c r="AB374" s="1">
        <f t="shared" si="112"/>
        <v>0.4</v>
      </c>
      <c r="AC374" s="1">
        <f t="shared" si="102"/>
        <v>1.5</v>
      </c>
      <c r="AD374" s="1">
        <f t="shared" si="103"/>
        <v>1</v>
      </c>
      <c r="AE374" s="1">
        <f t="shared" si="113"/>
        <v>10</v>
      </c>
      <c r="AF374" s="33">
        <f t="shared" si="114"/>
        <v>2.4999999999999991</v>
      </c>
    </row>
    <row r="375" spans="4:32" ht="14.25" hidden="1" customHeight="1" outlineLevel="1" x14ac:dyDescent="0.2">
      <c r="D375" s="1">
        <v>13</v>
      </c>
      <c r="E375" s="6">
        <f t="shared" si="104"/>
        <v>32.693564415232856</v>
      </c>
      <c r="F375" s="6">
        <f t="shared" si="101"/>
        <v>1064.4437623347205</v>
      </c>
      <c r="G375" s="6">
        <f t="shared" si="101"/>
        <v>8.9792816301106466</v>
      </c>
      <c r="H375" s="1">
        <v>0.4</v>
      </c>
      <c r="I375" s="1">
        <v>1.5</v>
      </c>
      <c r="J375" s="1">
        <v>1</v>
      </c>
      <c r="M375" s="1">
        <v>13</v>
      </c>
      <c r="N375" s="6">
        <f t="shared" si="108"/>
        <v>1634.6782207616429</v>
      </c>
      <c r="O375" s="6">
        <f t="shared" si="105"/>
        <v>79299.244488118682</v>
      </c>
      <c r="P375" s="6">
        <f t="shared" si="106"/>
        <v>673.44612225829849</v>
      </c>
      <c r="Q375" s="1">
        <v>0.4</v>
      </c>
      <c r="R375" s="1">
        <v>1.5</v>
      </c>
      <c r="S375" s="1">
        <v>1</v>
      </c>
      <c r="T375" s="1">
        <v>0.8</v>
      </c>
      <c r="U375" s="1">
        <v>10</v>
      </c>
      <c r="V375" s="5">
        <f t="shared" si="107"/>
        <v>2.4999999999999991</v>
      </c>
      <c r="X375" s="1">
        <v>13</v>
      </c>
      <c r="Y375" s="6">
        <f t="shared" si="109"/>
        <v>326.93564415232856</v>
      </c>
      <c r="Z375" s="6">
        <f t="shared" si="110"/>
        <v>8811.0271653465206</v>
      </c>
      <c r="AA375" s="6">
        <f t="shared" si="111"/>
        <v>673.44612225829849</v>
      </c>
      <c r="AB375" s="1">
        <f t="shared" si="112"/>
        <v>0.4</v>
      </c>
      <c r="AC375" s="1">
        <f t="shared" si="102"/>
        <v>1.5</v>
      </c>
      <c r="AD375" s="1">
        <f t="shared" si="103"/>
        <v>1</v>
      </c>
      <c r="AE375" s="1">
        <f t="shared" si="113"/>
        <v>10</v>
      </c>
      <c r="AF375" s="33">
        <f t="shared" si="114"/>
        <v>2.4999999999999991</v>
      </c>
    </row>
    <row r="376" spans="4:32" ht="14.25" hidden="1" customHeight="1" outlineLevel="1" x14ac:dyDescent="0.2">
      <c r="D376" s="1">
        <v>14</v>
      </c>
      <c r="E376" s="6">
        <f t="shared" si="104"/>
        <v>34.328242635994506</v>
      </c>
      <c r="F376" s="6">
        <f t="shared" si="101"/>
        <v>1117.6659504514569</v>
      </c>
      <c r="G376" s="6">
        <f t="shared" si="101"/>
        <v>9.4282457116161797</v>
      </c>
      <c r="H376" s="1">
        <v>0.4</v>
      </c>
      <c r="I376" s="1">
        <v>1.5</v>
      </c>
      <c r="J376" s="1">
        <v>1</v>
      </c>
      <c r="M376" s="1">
        <v>14</v>
      </c>
      <c r="N376" s="6">
        <f t="shared" si="108"/>
        <v>1716.4121317997256</v>
      </c>
      <c r="O376" s="6">
        <f t="shared" si="105"/>
        <v>83236.36659654844</v>
      </c>
      <c r="P376" s="6">
        <f t="shared" si="106"/>
        <v>707.11842837121344</v>
      </c>
      <c r="Q376" s="1">
        <v>0.4</v>
      </c>
      <c r="R376" s="1">
        <v>1.5</v>
      </c>
      <c r="S376" s="1">
        <v>1</v>
      </c>
      <c r="T376" s="1">
        <v>0.8</v>
      </c>
      <c r="U376" s="1">
        <v>10</v>
      </c>
      <c r="V376" s="5">
        <f t="shared" si="107"/>
        <v>2.4999999999999996</v>
      </c>
      <c r="X376" s="1">
        <v>14</v>
      </c>
      <c r="Y376" s="6">
        <f t="shared" si="109"/>
        <v>343.28242635994513</v>
      </c>
      <c r="Z376" s="6">
        <f t="shared" si="110"/>
        <v>9248.4851773942719</v>
      </c>
      <c r="AA376" s="6">
        <f t="shared" si="111"/>
        <v>707.11842837121344</v>
      </c>
      <c r="AB376" s="1">
        <f t="shared" si="112"/>
        <v>0.4</v>
      </c>
      <c r="AC376" s="1">
        <f t="shared" si="102"/>
        <v>1.5</v>
      </c>
      <c r="AD376" s="1">
        <f t="shared" si="103"/>
        <v>1</v>
      </c>
      <c r="AE376" s="1">
        <f t="shared" si="113"/>
        <v>10</v>
      </c>
      <c r="AF376" s="33">
        <f t="shared" si="114"/>
        <v>2.4999999999999996</v>
      </c>
    </row>
    <row r="377" spans="4:32" ht="14.25" hidden="1" customHeight="1" outlineLevel="1" x14ac:dyDescent="0.2">
      <c r="D377" s="1">
        <v>15</v>
      </c>
      <c r="E377" s="6">
        <f t="shared" si="104"/>
        <v>36.044654767794228</v>
      </c>
      <c r="F377" s="6">
        <f t="shared" si="101"/>
        <v>1173.5492479740294</v>
      </c>
      <c r="G377" s="6">
        <f t="shared" si="101"/>
        <v>9.8996579971969858</v>
      </c>
      <c r="H377" s="1">
        <v>0.4</v>
      </c>
      <c r="I377" s="1">
        <v>1.5</v>
      </c>
      <c r="J377" s="1">
        <v>1</v>
      </c>
      <c r="M377" s="1">
        <v>15</v>
      </c>
      <c r="N377" s="6">
        <f t="shared" si="108"/>
        <v>1802.2327383897116</v>
      </c>
      <c r="O377" s="6">
        <f t="shared" si="105"/>
        <v>87367.512229697255</v>
      </c>
      <c r="P377" s="6">
        <f t="shared" si="106"/>
        <v>742.4743497897739</v>
      </c>
      <c r="Q377" s="1">
        <v>0.4</v>
      </c>
      <c r="R377" s="1">
        <v>1.5</v>
      </c>
      <c r="S377" s="1">
        <v>1</v>
      </c>
      <c r="T377" s="1">
        <v>0.8</v>
      </c>
      <c r="U377" s="1">
        <v>10</v>
      </c>
      <c r="V377" s="5">
        <f t="shared" si="107"/>
        <v>2.4999999999999991</v>
      </c>
      <c r="X377" s="1">
        <v>15</v>
      </c>
      <c r="Y377" s="6">
        <f t="shared" si="109"/>
        <v>360.44654767794231</v>
      </c>
      <c r="Z377" s="6">
        <f t="shared" si="110"/>
        <v>9707.5013588552501</v>
      </c>
      <c r="AA377" s="6">
        <f t="shared" si="111"/>
        <v>742.4743497897739</v>
      </c>
      <c r="AB377" s="1">
        <f t="shared" si="112"/>
        <v>0.4</v>
      </c>
      <c r="AC377" s="1">
        <f t="shared" si="102"/>
        <v>1.5</v>
      </c>
      <c r="AD377" s="1">
        <f t="shared" si="103"/>
        <v>1</v>
      </c>
      <c r="AE377" s="1">
        <f t="shared" si="113"/>
        <v>10</v>
      </c>
      <c r="AF377" s="33">
        <f t="shared" si="114"/>
        <v>2.4999999999999991</v>
      </c>
    </row>
    <row r="378" spans="4:32" ht="14.25" hidden="1" customHeight="1" outlineLevel="1" x14ac:dyDescent="0.2">
      <c r="D378" s="1">
        <v>16</v>
      </c>
      <c r="E378" s="6">
        <f t="shared" si="104"/>
        <v>37.846887506183947</v>
      </c>
      <c r="F378" s="6">
        <f t="shared" si="101"/>
        <v>1232.2267103727313</v>
      </c>
      <c r="G378" s="6">
        <f t="shared" si="101"/>
        <v>10.394640897056838</v>
      </c>
      <c r="H378" s="1">
        <v>0.4</v>
      </c>
      <c r="I378" s="1">
        <v>1.5</v>
      </c>
      <c r="J378" s="1">
        <v>1</v>
      </c>
      <c r="M378" s="1">
        <v>16</v>
      </c>
      <c r="N378" s="6">
        <f t="shared" si="108"/>
        <v>1892.3443753091976</v>
      </c>
      <c r="O378" s="6">
        <f t="shared" si="105"/>
        <v>91702.095513675653</v>
      </c>
      <c r="P378" s="6">
        <f t="shared" si="106"/>
        <v>779.59806727926286</v>
      </c>
      <c r="Q378" s="1">
        <v>0.4</v>
      </c>
      <c r="R378" s="1">
        <v>1.5</v>
      </c>
      <c r="S378" s="1">
        <v>1</v>
      </c>
      <c r="T378" s="1">
        <v>0.8</v>
      </c>
      <c r="U378" s="1">
        <v>10</v>
      </c>
      <c r="V378" s="5">
        <f t="shared" si="107"/>
        <v>2.4999999999999987</v>
      </c>
      <c r="X378" s="1">
        <v>16</v>
      </c>
      <c r="Y378" s="6">
        <f t="shared" si="109"/>
        <v>378.46887506183953</v>
      </c>
      <c r="Z378" s="6">
        <f t="shared" si="110"/>
        <v>10189.121723741739</v>
      </c>
      <c r="AA378" s="6">
        <f t="shared" si="111"/>
        <v>779.59806727926286</v>
      </c>
      <c r="AB378" s="1">
        <f t="shared" si="112"/>
        <v>0.4</v>
      </c>
      <c r="AC378" s="1">
        <f t="shared" si="102"/>
        <v>1.5</v>
      </c>
      <c r="AD378" s="1">
        <f t="shared" si="103"/>
        <v>1</v>
      </c>
      <c r="AE378" s="1">
        <f t="shared" si="113"/>
        <v>10</v>
      </c>
      <c r="AF378" s="33">
        <f t="shared" si="114"/>
        <v>2.4999999999999987</v>
      </c>
    </row>
    <row r="379" spans="4:32" ht="14.25" hidden="1" customHeight="1" outlineLevel="1" x14ac:dyDescent="0.2">
      <c r="D379" s="1">
        <v>17</v>
      </c>
      <c r="E379" s="6">
        <f t="shared" si="104"/>
        <v>39.73923188149314</v>
      </c>
      <c r="F379" s="6">
        <f t="shared" si="104"/>
        <v>1293.8380458913678</v>
      </c>
      <c r="G379" s="6">
        <f t="shared" si="104"/>
        <v>10.914372941909679</v>
      </c>
      <c r="H379" s="1">
        <v>0.4</v>
      </c>
      <c r="I379" s="1">
        <v>1.5</v>
      </c>
      <c r="J379" s="1">
        <v>1</v>
      </c>
      <c r="M379" s="1">
        <v>17</v>
      </c>
      <c r="N379" s="6">
        <f t="shared" si="108"/>
        <v>1986.9615940746569</v>
      </c>
      <c r="O379" s="6">
        <f t="shared" si="105"/>
        <v>96249.972371271171</v>
      </c>
      <c r="P379" s="6">
        <f t="shared" si="106"/>
        <v>818.57797064322597</v>
      </c>
      <c r="Q379" s="1">
        <v>0.4</v>
      </c>
      <c r="R379" s="1">
        <v>1.5</v>
      </c>
      <c r="S379" s="1">
        <v>1</v>
      </c>
      <c r="T379" s="1">
        <v>0.8</v>
      </c>
      <c r="U379" s="1">
        <v>10</v>
      </c>
      <c r="V379" s="5">
        <f t="shared" si="107"/>
        <v>2.5</v>
      </c>
      <c r="X379" s="1">
        <v>17</v>
      </c>
      <c r="Y379" s="6">
        <f t="shared" si="109"/>
        <v>397.3923188149314</v>
      </c>
      <c r="Z379" s="6">
        <f t="shared" si="110"/>
        <v>10694.441374585685</v>
      </c>
      <c r="AA379" s="6">
        <f t="shared" si="111"/>
        <v>818.57797064322597</v>
      </c>
      <c r="AB379" s="1">
        <f t="shared" si="112"/>
        <v>0.4</v>
      </c>
      <c r="AC379" s="1">
        <f t="shared" si="102"/>
        <v>1.5</v>
      </c>
      <c r="AD379" s="1">
        <f t="shared" si="103"/>
        <v>1</v>
      </c>
      <c r="AE379" s="1">
        <f t="shared" si="113"/>
        <v>10</v>
      </c>
      <c r="AF379" s="33">
        <f t="shared" si="114"/>
        <v>2.5</v>
      </c>
    </row>
    <row r="380" spans="4:32" ht="14.25" hidden="1" customHeight="1" outlineLevel="1" x14ac:dyDescent="0.2">
      <c r="D380" s="1">
        <v>18</v>
      </c>
      <c r="E380" s="6">
        <f t="shared" si="104"/>
        <v>41.726193475567804</v>
      </c>
      <c r="F380" s="6">
        <f t="shared" si="104"/>
        <v>1358.5299481859363</v>
      </c>
      <c r="G380" s="6">
        <f t="shared" si="104"/>
        <v>11.460091589005167</v>
      </c>
      <c r="H380" s="1">
        <v>0.4</v>
      </c>
      <c r="I380" s="1">
        <v>1.5</v>
      </c>
      <c r="J380" s="1">
        <v>1</v>
      </c>
      <c r="M380" s="1">
        <v>18</v>
      </c>
      <c r="N380" s="6">
        <f t="shared" si="108"/>
        <v>2086.3096737783908</v>
      </c>
      <c r="O380" s="6">
        <f t="shared" si="105"/>
        <v>101021.45972823974</v>
      </c>
      <c r="P380" s="6">
        <f t="shared" si="106"/>
        <v>859.50686917538746</v>
      </c>
      <c r="Q380" s="1">
        <v>0.4</v>
      </c>
      <c r="R380" s="1">
        <v>1.5</v>
      </c>
      <c r="S380" s="1">
        <v>1</v>
      </c>
      <c r="T380" s="1">
        <v>0.8</v>
      </c>
      <c r="U380" s="1">
        <v>10</v>
      </c>
      <c r="V380" s="5">
        <f t="shared" si="107"/>
        <v>2.4999999999999987</v>
      </c>
      <c r="X380" s="1">
        <v>18</v>
      </c>
      <c r="Y380" s="6">
        <f t="shared" si="109"/>
        <v>417.26193475567817</v>
      </c>
      <c r="Z380" s="6">
        <f t="shared" si="110"/>
        <v>11224.606636471082</v>
      </c>
      <c r="AA380" s="6">
        <f t="shared" si="111"/>
        <v>859.50686917538746</v>
      </c>
      <c r="AB380" s="1">
        <f t="shared" si="112"/>
        <v>0.4</v>
      </c>
      <c r="AC380" s="1">
        <f t="shared" si="102"/>
        <v>1.5</v>
      </c>
      <c r="AD380" s="1">
        <f t="shared" si="103"/>
        <v>1</v>
      </c>
      <c r="AE380" s="1">
        <f t="shared" si="113"/>
        <v>10</v>
      </c>
      <c r="AF380" s="33">
        <f t="shared" si="114"/>
        <v>2.4999999999999987</v>
      </c>
    </row>
    <row r="381" spans="4:32" ht="14.25" hidden="1" customHeight="1" outlineLevel="1" x14ac:dyDescent="0.2">
      <c r="D381" s="1">
        <v>19</v>
      </c>
      <c r="E381" s="6">
        <f t="shared" si="104"/>
        <v>43.812503149346192</v>
      </c>
      <c r="F381" s="6">
        <f t="shared" si="104"/>
        <v>1426.4564455952329</v>
      </c>
      <c r="G381" s="6">
        <f t="shared" si="104"/>
        <v>12.033096168455424</v>
      </c>
      <c r="H381" s="1">
        <v>0.4</v>
      </c>
      <c r="I381" s="1">
        <v>1.5</v>
      </c>
      <c r="J381" s="1">
        <v>1</v>
      </c>
      <c r="M381" s="1">
        <v>19</v>
      </c>
      <c r="N381" s="6">
        <f t="shared" si="108"/>
        <v>2190.6251574673097</v>
      </c>
      <c r="O381" s="6">
        <f t="shared" si="105"/>
        <v>106027.35539666119</v>
      </c>
      <c r="P381" s="6">
        <f t="shared" si="106"/>
        <v>902.48221263415678</v>
      </c>
      <c r="Q381" s="1">
        <v>0.4</v>
      </c>
      <c r="R381" s="1">
        <v>1.5</v>
      </c>
      <c r="S381" s="1">
        <v>1</v>
      </c>
      <c r="T381" s="1">
        <v>0.8</v>
      </c>
      <c r="U381" s="1">
        <v>10</v>
      </c>
      <c r="V381" s="5">
        <f t="shared" si="107"/>
        <v>2.4999999999999996</v>
      </c>
      <c r="X381" s="1">
        <v>19</v>
      </c>
      <c r="Y381" s="6">
        <f t="shared" si="109"/>
        <v>438.12503149346196</v>
      </c>
      <c r="Z381" s="6">
        <f t="shared" si="110"/>
        <v>11780.817266295688</v>
      </c>
      <c r="AA381" s="6">
        <f t="shared" si="111"/>
        <v>902.48221263415678</v>
      </c>
      <c r="AB381" s="1">
        <f t="shared" si="112"/>
        <v>0.4</v>
      </c>
      <c r="AC381" s="1">
        <f t="shared" si="102"/>
        <v>1.5</v>
      </c>
      <c r="AD381" s="1">
        <f t="shared" si="103"/>
        <v>1</v>
      </c>
      <c r="AE381" s="1">
        <f t="shared" si="113"/>
        <v>10</v>
      </c>
      <c r="AF381" s="33">
        <f t="shared" si="114"/>
        <v>2.4999999999999996</v>
      </c>
    </row>
    <row r="382" spans="4:32" ht="14.25" hidden="1" customHeight="1" outlineLevel="1" x14ac:dyDescent="0.2">
      <c r="D382" s="1">
        <v>20</v>
      </c>
      <c r="E382" s="6">
        <f t="shared" si="104"/>
        <v>46.003128306813501</v>
      </c>
      <c r="F382" s="6">
        <f t="shared" si="104"/>
        <v>1497.7792678749947</v>
      </c>
      <c r="G382" s="6">
        <f t="shared" si="104"/>
        <v>12.634750976878195</v>
      </c>
      <c r="H382" s="1">
        <v>0.4</v>
      </c>
      <c r="I382" s="1">
        <v>1.5</v>
      </c>
      <c r="J382" s="1">
        <v>1</v>
      </c>
      <c r="M382" s="1">
        <v>20</v>
      </c>
      <c r="N382" s="6">
        <f t="shared" si="108"/>
        <v>2300.1564153406748</v>
      </c>
      <c r="O382" s="6">
        <f t="shared" si="105"/>
        <v>111278.95864206796</v>
      </c>
      <c r="P382" s="6">
        <f t="shared" si="106"/>
        <v>947.6063232658646</v>
      </c>
      <c r="Q382" s="1">
        <v>0.4</v>
      </c>
      <c r="R382" s="1">
        <v>1.5</v>
      </c>
      <c r="S382" s="1">
        <v>1</v>
      </c>
      <c r="T382" s="1">
        <v>0.8</v>
      </c>
      <c r="U382" s="1">
        <v>10</v>
      </c>
      <c r="V382" s="5">
        <f t="shared" si="107"/>
        <v>2.4999999999999996</v>
      </c>
      <c r="X382" s="1">
        <v>20</v>
      </c>
      <c r="Y382" s="6">
        <f t="shared" si="109"/>
        <v>460.03128306813494</v>
      </c>
      <c r="Z382" s="6">
        <f t="shared" si="110"/>
        <v>12364.328738007551</v>
      </c>
      <c r="AA382" s="6">
        <f t="shared" si="111"/>
        <v>947.6063232658646</v>
      </c>
      <c r="AB382" s="1">
        <f t="shared" si="112"/>
        <v>0.4</v>
      </c>
      <c r="AC382" s="1">
        <f t="shared" si="102"/>
        <v>1.5</v>
      </c>
      <c r="AD382" s="1">
        <f t="shared" si="103"/>
        <v>1</v>
      </c>
      <c r="AE382" s="1">
        <f t="shared" si="113"/>
        <v>10</v>
      </c>
      <c r="AF382" s="33">
        <f t="shared" si="114"/>
        <v>2.4999999999999996</v>
      </c>
    </row>
    <row r="383" spans="4:32" ht="14.25" hidden="1" customHeight="1" outlineLevel="1" x14ac:dyDescent="0.2">
      <c r="D383" s="1">
        <v>21</v>
      </c>
      <c r="E383" s="6">
        <f t="shared" si="104"/>
        <v>48.303284722154174</v>
      </c>
      <c r="F383" s="6">
        <f t="shared" si="104"/>
        <v>1572.6682312687444</v>
      </c>
      <c r="G383" s="6">
        <f t="shared" si="104"/>
        <v>13.266488525722105</v>
      </c>
      <c r="H383" s="1">
        <v>0.4</v>
      </c>
      <c r="I383" s="1">
        <v>1.5</v>
      </c>
      <c r="J383" s="1">
        <v>1</v>
      </c>
      <c r="M383" s="1">
        <v>21</v>
      </c>
      <c r="N383" s="6">
        <f t="shared" si="108"/>
        <v>2415.1642361077093</v>
      </c>
      <c r="O383" s="6">
        <f t="shared" si="105"/>
        <v>116788.09143889451</v>
      </c>
      <c r="P383" s="6">
        <f t="shared" si="106"/>
        <v>994.98663942915789</v>
      </c>
      <c r="Q383" s="1">
        <v>0.4</v>
      </c>
      <c r="R383" s="1">
        <v>1.5</v>
      </c>
      <c r="S383" s="1">
        <v>1</v>
      </c>
      <c r="T383" s="1">
        <v>0.8</v>
      </c>
      <c r="U383" s="1">
        <v>10</v>
      </c>
      <c r="V383" s="5">
        <f t="shared" si="107"/>
        <v>2.4999999999999987</v>
      </c>
      <c r="X383" s="1">
        <v>21</v>
      </c>
      <c r="Y383" s="6">
        <f t="shared" si="109"/>
        <v>483.03284722154183</v>
      </c>
      <c r="Z383" s="6">
        <f t="shared" si="110"/>
        <v>12976.454604321612</v>
      </c>
      <c r="AA383" s="6">
        <f t="shared" si="111"/>
        <v>994.98663942915789</v>
      </c>
      <c r="AB383" s="1">
        <f t="shared" si="112"/>
        <v>0.4</v>
      </c>
      <c r="AC383" s="1">
        <f t="shared" si="102"/>
        <v>1.5</v>
      </c>
      <c r="AD383" s="1">
        <f t="shared" si="103"/>
        <v>1</v>
      </c>
      <c r="AE383" s="1">
        <f t="shared" si="113"/>
        <v>10</v>
      </c>
      <c r="AF383" s="33">
        <f t="shared" si="114"/>
        <v>2.4999999999999987</v>
      </c>
    </row>
    <row r="384" spans="4:32" ht="14.25" hidden="1" customHeight="1" outlineLevel="1" x14ac:dyDescent="0.2">
      <c r="D384" s="1">
        <v>22</v>
      </c>
      <c r="E384" s="6">
        <f t="shared" si="104"/>
        <v>50.718448958261888</v>
      </c>
      <c r="F384" s="6">
        <f t="shared" si="104"/>
        <v>1651.3016428321816</v>
      </c>
      <c r="G384" s="6">
        <f t="shared" si="104"/>
        <v>13.929812952008209</v>
      </c>
      <c r="H384" s="1">
        <v>0.4</v>
      </c>
      <c r="I384" s="1">
        <v>1.5</v>
      </c>
      <c r="J384" s="1">
        <v>1</v>
      </c>
      <c r="M384" s="1">
        <v>22</v>
      </c>
      <c r="N384" s="6">
        <f t="shared" si="108"/>
        <v>2535.9224479130944</v>
      </c>
      <c r="O384" s="6">
        <f t="shared" si="105"/>
        <v>122567.12041631447</v>
      </c>
      <c r="P384" s="6">
        <f t="shared" si="106"/>
        <v>1044.7359714006157</v>
      </c>
      <c r="Q384" s="1">
        <v>0.4</v>
      </c>
      <c r="R384" s="1">
        <v>1.5</v>
      </c>
      <c r="S384" s="1">
        <v>1</v>
      </c>
      <c r="T384" s="1">
        <v>0.8</v>
      </c>
      <c r="U384" s="1">
        <v>10</v>
      </c>
      <c r="V384" s="5">
        <f t="shared" si="107"/>
        <v>2.4999999999999996</v>
      </c>
      <c r="X384" s="1">
        <v>22</v>
      </c>
      <c r="Y384" s="6">
        <f t="shared" si="109"/>
        <v>507.18448958261888</v>
      </c>
      <c r="Z384" s="6">
        <f t="shared" si="110"/>
        <v>13618.568935146053</v>
      </c>
      <c r="AA384" s="6">
        <f t="shared" si="111"/>
        <v>1044.7359714006157</v>
      </c>
      <c r="AB384" s="1">
        <f t="shared" si="112"/>
        <v>0.4</v>
      </c>
      <c r="AC384" s="1">
        <f t="shared" si="102"/>
        <v>1.5</v>
      </c>
      <c r="AD384" s="1">
        <f t="shared" si="103"/>
        <v>1</v>
      </c>
      <c r="AE384" s="1">
        <f t="shared" si="113"/>
        <v>10</v>
      </c>
      <c r="AF384" s="33">
        <f t="shared" si="114"/>
        <v>2.4999999999999996</v>
      </c>
    </row>
    <row r="385" spans="4:32" ht="14.25" hidden="1" customHeight="1" outlineLevel="1" x14ac:dyDescent="0.2">
      <c r="D385" s="1">
        <v>23</v>
      </c>
      <c r="E385" s="6">
        <f t="shared" si="104"/>
        <v>53.254371406174975</v>
      </c>
      <c r="F385" s="6">
        <f t="shared" si="104"/>
        <v>1733.8667249737905</v>
      </c>
      <c r="G385" s="6">
        <f t="shared" si="104"/>
        <v>14.626303599608619</v>
      </c>
      <c r="H385" s="1">
        <v>0.4</v>
      </c>
      <c r="I385" s="1">
        <v>1.5</v>
      </c>
      <c r="J385" s="1">
        <v>1</v>
      </c>
      <c r="M385" s="1">
        <v>23</v>
      </c>
      <c r="N385" s="6">
        <f t="shared" si="108"/>
        <v>2662.7185703087493</v>
      </c>
      <c r="O385" s="6">
        <f t="shared" si="105"/>
        <v>128628.97949369729</v>
      </c>
      <c r="P385" s="6">
        <f t="shared" si="106"/>
        <v>1096.9727699706464</v>
      </c>
      <c r="Q385" s="1">
        <v>0.4</v>
      </c>
      <c r="R385" s="1">
        <v>1.5</v>
      </c>
      <c r="S385" s="1">
        <v>1</v>
      </c>
      <c r="T385" s="1">
        <v>0.8</v>
      </c>
      <c r="U385" s="1">
        <v>10</v>
      </c>
      <c r="V385" s="5">
        <f t="shared" si="107"/>
        <v>2.4999999999999991</v>
      </c>
      <c r="X385" s="1">
        <v>23</v>
      </c>
      <c r="Y385" s="6">
        <f t="shared" si="109"/>
        <v>532.54371406174982</v>
      </c>
      <c r="Z385" s="6">
        <f t="shared" si="110"/>
        <v>14292.108832633032</v>
      </c>
      <c r="AA385" s="6">
        <f t="shared" si="111"/>
        <v>1096.9727699706464</v>
      </c>
      <c r="AB385" s="1">
        <f t="shared" si="112"/>
        <v>0.4</v>
      </c>
      <c r="AC385" s="1">
        <f t="shared" si="102"/>
        <v>1.5</v>
      </c>
      <c r="AD385" s="1">
        <f t="shared" si="103"/>
        <v>1</v>
      </c>
      <c r="AE385" s="1">
        <f t="shared" si="113"/>
        <v>10</v>
      </c>
      <c r="AF385" s="33">
        <f t="shared" si="114"/>
        <v>2.4999999999999991</v>
      </c>
    </row>
    <row r="386" spans="4:32" ht="14.25" hidden="1" customHeight="1" outlineLevel="1" x14ac:dyDescent="0.2">
      <c r="D386" s="1">
        <v>24</v>
      </c>
      <c r="E386" s="6">
        <f t="shared" si="104"/>
        <v>55.917089976483737</v>
      </c>
      <c r="F386" s="6">
        <f t="shared" si="104"/>
        <v>1820.5600612224805</v>
      </c>
      <c r="G386" s="6">
        <f t="shared" si="104"/>
        <v>15.357618779589053</v>
      </c>
      <c r="H386" s="1">
        <v>0.4</v>
      </c>
      <c r="I386" s="1">
        <v>1.5</v>
      </c>
      <c r="J386" s="1">
        <v>1</v>
      </c>
      <c r="M386" s="1">
        <v>24</v>
      </c>
      <c r="N386" s="6">
        <f t="shared" si="108"/>
        <v>2795.854498824187</v>
      </c>
      <c r="O386" s="6">
        <f t="shared" si="105"/>
        <v>134987.19320169723</v>
      </c>
      <c r="P386" s="6">
        <f t="shared" si="106"/>
        <v>1151.821408469179</v>
      </c>
      <c r="Q386" s="1">
        <v>0.4</v>
      </c>
      <c r="R386" s="1">
        <v>1.5</v>
      </c>
      <c r="S386" s="1">
        <v>1</v>
      </c>
      <c r="T386" s="1">
        <v>0.8</v>
      </c>
      <c r="U386" s="1">
        <v>10</v>
      </c>
      <c r="V386" s="5">
        <f t="shared" si="107"/>
        <v>2.4999999999999996</v>
      </c>
      <c r="X386" s="1">
        <v>24</v>
      </c>
      <c r="Y386" s="6">
        <f t="shared" si="109"/>
        <v>559.17089976483737</v>
      </c>
      <c r="Z386" s="6">
        <f t="shared" si="110"/>
        <v>14998.577022410804</v>
      </c>
      <c r="AA386" s="6">
        <f t="shared" si="111"/>
        <v>1151.821408469179</v>
      </c>
      <c r="AB386" s="1">
        <f t="shared" si="112"/>
        <v>0.4</v>
      </c>
      <c r="AC386" s="1">
        <f t="shared" si="102"/>
        <v>1.5</v>
      </c>
      <c r="AD386" s="1">
        <f t="shared" si="103"/>
        <v>1</v>
      </c>
      <c r="AE386" s="1">
        <f t="shared" si="113"/>
        <v>10</v>
      </c>
      <c r="AF386" s="33">
        <f t="shared" si="114"/>
        <v>2.4999999999999996</v>
      </c>
    </row>
    <row r="387" spans="4:32" ht="14.25" hidden="1" customHeight="1" outlineLevel="1" x14ac:dyDescent="0.2">
      <c r="D387" s="1">
        <v>25</v>
      </c>
      <c r="E387" s="6">
        <f t="shared" si="104"/>
        <v>58.712944475307914</v>
      </c>
      <c r="F387" s="6">
        <f t="shared" si="104"/>
        <v>1911.5880642836041</v>
      </c>
      <c r="G387" s="6">
        <f t="shared" si="104"/>
        <v>16.125499718568502</v>
      </c>
      <c r="H387" s="1">
        <v>0.4</v>
      </c>
      <c r="I387" s="1">
        <v>1.5</v>
      </c>
      <c r="J387" s="1">
        <v>1</v>
      </c>
      <c r="M387" s="1">
        <v>25</v>
      </c>
      <c r="N387" s="6">
        <f t="shared" si="108"/>
        <v>2935.6472237653961</v>
      </c>
      <c r="O387" s="6">
        <f t="shared" si="105"/>
        <v>141655.90068134238</v>
      </c>
      <c r="P387" s="6">
        <f t="shared" si="106"/>
        <v>1209.4124788926376</v>
      </c>
      <c r="Q387" s="1">
        <v>0.4</v>
      </c>
      <c r="R387" s="1">
        <v>1.5</v>
      </c>
      <c r="S387" s="1">
        <v>1</v>
      </c>
      <c r="T387" s="1">
        <v>0.8</v>
      </c>
      <c r="U387" s="1">
        <v>10</v>
      </c>
      <c r="V387" s="5">
        <f t="shared" si="107"/>
        <v>2.4999999999999991</v>
      </c>
      <c r="X387" s="1">
        <v>25</v>
      </c>
      <c r="Y387" s="6">
        <f t="shared" si="109"/>
        <v>587.12944475307927</v>
      </c>
      <c r="Z387" s="6">
        <f t="shared" si="110"/>
        <v>15739.544520149153</v>
      </c>
      <c r="AA387" s="6">
        <f t="shared" si="111"/>
        <v>1209.4124788926376</v>
      </c>
      <c r="AB387" s="1">
        <f t="shared" si="112"/>
        <v>0.4</v>
      </c>
      <c r="AC387" s="1">
        <f t="shared" si="102"/>
        <v>1.5</v>
      </c>
      <c r="AD387" s="1">
        <f t="shared" si="103"/>
        <v>1</v>
      </c>
      <c r="AE387" s="1">
        <f t="shared" si="113"/>
        <v>10</v>
      </c>
      <c r="AF387" s="33">
        <f t="shared" si="114"/>
        <v>2.4999999999999991</v>
      </c>
    </row>
    <row r="388" spans="4:32" ht="14.25" hidden="1" customHeight="1" outlineLevel="1" x14ac:dyDescent="0.2">
      <c r="D388" s="1">
        <v>26</v>
      </c>
      <c r="E388" s="6">
        <f t="shared" si="104"/>
        <v>61.648591699073314</v>
      </c>
      <c r="F388" s="6">
        <f t="shared" si="104"/>
        <v>2007.1674674977844</v>
      </c>
      <c r="G388" s="6">
        <f t="shared" si="104"/>
        <v>16.931774704496931</v>
      </c>
      <c r="H388" s="1">
        <v>0.4</v>
      </c>
      <c r="I388" s="1">
        <v>1.5</v>
      </c>
      <c r="J388" s="1">
        <v>1</v>
      </c>
      <c r="M388" s="1">
        <v>26</v>
      </c>
      <c r="N388" s="6">
        <f t="shared" si="108"/>
        <v>3082.4295849536657</v>
      </c>
      <c r="O388" s="6">
        <f t="shared" si="105"/>
        <v>148649.88034938913</v>
      </c>
      <c r="P388" s="6">
        <f t="shared" si="106"/>
        <v>1269.8831028372699</v>
      </c>
      <c r="Q388" s="1">
        <v>0.4</v>
      </c>
      <c r="R388" s="1">
        <v>1.5</v>
      </c>
      <c r="S388" s="1">
        <v>1</v>
      </c>
      <c r="T388" s="1">
        <v>0.8</v>
      </c>
      <c r="U388" s="1">
        <v>10</v>
      </c>
      <c r="V388" s="5">
        <f t="shared" si="107"/>
        <v>2.5</v>
      </c>
      <c r="X388" s="1">
        <v>26</v>
      </c>
      <c r="Y388" s="6">
        <f t="shared" si="109"/>
        <v>616.48591699073313</v>
      </c>
      <c r="Z388" s="6">
        <f t="shared" si="110"/>
        <v>16516.653372154349</v>
      </c>
      <c r="AA388" s="6">
        <f t="shared" si="111"/>
        <v>1269.8831028372699</v>
      </c>
      <c r="AB388" s="1">
        <f t="shared" si="112"/>
        <v>0.4</v>
      </c>
      <c r="AC388" s="1">
        <f t="shared" si="102"/>
        <v>1.5</v>
      </c>
      <c r="AD388" s="1">
        <f t="shared" si="103"/>
        <v>1</v>
      </c>
      <c r="AE388" s="1">
        <f t="shared" si="113"/>
        <v>10</v>
      </c>
      <c r="AF388" s="33">
        <f t="shared" si="114"/>
        <v>2.5</v>
      </c>
    </row>
    <row r="389" spans="4:32" ht="14.25" hidden="1" customHeight="1" outlineLevel="1" x14ac:dyDescent="0.2">
      <c r="D389" s="1">
        <v>27</v>
      </c>
      <c r="E389" s="6">
        <f t="shared" si="104"/>
        <v>64.73102128402698</v>
      </c>
      <c r="F389" s="6">
        <f t="shared" si="104"/>
        <v>2107.5258408726736</v>
      </c>
      <c r="G389" s="6">
        <f t="shared" si="104"/>
        <v>17.778363439721776</v>
      </c>
      <c r="H389" s="1">
        <v>0.4</v>
      </c>
      <c r="I389" s="1">
        <v>1.5</v>
      </c>
      <c r="J389" s="1">
        <v>1</v>
      </c>
      <c r="M389" s="1">
        <v>27</v>
      </c>
      <c r="N389" s="6">
        <f t="shared" si="108"/>
        <v>3236.5510642013492</v>
      </c>
      <c r="O389" s="6">
        <f t="shared" si="105"/>
        <v>155984.57521359707</v>
      </c>
      <c r="P389" s="6">
        <f t="shared" si="106"/>
        <v>1333.3772579791332</v>
      </c>
      <c r="Q389" s="1">
        <v>0.4</v>
      </c>
      <c r="R389" s="1">
        <v>1.5</v>
      </c>
      <c r="S389" s="1">
        <v>1</v>
      </c>
      <c r="T389" s="1">
        <v>0.8</v>
      </c>
      <c r="U389" s="1">
        <v>10</v>
      </c>
      <c r="V389" s="5">
        <f t="shared" si="107"/>
        <v>2.4999999999999987</v>
      </c>
      <c r="X389" s="1">
        <v>27</v>
      </c>
      <c r="Y389" s="6">
        <f t="shared" si="109"/>
        <v>647.31021284026986</v>
      </c>
      <c r="Z389" s="6">
        <f t="shared" si="110"/>
        <v>17331.61946817745</v>
      </c>
      <c r="AA389" s="6">
        <f t="shared" si="111"/>
        <v>1333.3772579791332</v>
      </c>
      <c r="AB389" s="1">
        <f t="shared" si="112"/>
        <v>0.4</v>
      </c>
      <c r="AC389" s="1">
        <f t="shared" si="102"/>
        <v>1.5</v>
      </c>
      <c r="AD389" s="1">
        <f t="shared" si="103"/>
        <v>1</v>
      </c>
      <c r="AE389" s="1">
        <f t="shared" si="113"/>
        <v>10</v>
      </c>
      <c r="AF389" s="33">
        <f t="shared" si="114"/>
        <v>2.4999999999999987</v>
      </c>
    </row>
    <row r="390" spans="4:32" ht="14.25" hidden="1" customHeight="1" outlineLevel="1" x14ac:dyDescent="0.2">
      <c r="D390" s="1">
        <v>28</v>
      </c>
      <c r="E390" s="6">
        <f t="shared" si="104"/>
        <v>67.96757234822833</v>
      </c>
      <c r="F390" s="6">
        <f t="shared" si="104"/>
        <v>2212.9021329163074</v>
      </c>
      <c r="G390" s="6">
        <f t="shared" si="104"/>
        <v>18.667281611707867</v>
      </c>
      <c r="H390" s="1">
        <v>0.4</v>
      </c>
      <c r="I390" s="1">
        <v>1.5</v>
      </c>
      <c r="J390" s="1">
        <v>1</v>
      </c>
      <c r="M390" s="1">
        <v>28</v>
      </c>
      <c r="N390" s="6">
        <f t="shared" si="108"/>
        <v>3398.3786174114171</v>
      </c>
      <c r="O390" s="6">
        <f t="shared" si="105"/>
        <v>163676.11881642981</v>
      </c>
      <c r="P390" s="6">
        <f t="shared" si="106"/>
        <v>1400.0461208780901</v>
      </c>
      <c r="Q390" s="1">
        <v>0.4</v>
      </c>
      <c r="R390" s="1">
        <v>1.5</v>
      </c>
      <c r="S390" s="1">
        <v>1</v>
      </c>
      <c r="T390" s="1">
        <v>0.8</v>
      </c>
      <c r="U390" s="1">
        <v>10</v>
      </c>
      <c r="V390" s="5">
        <f t="shared" si="107"/>
        <v>2.4999999999999991</v>
      </c>
      <c r="X390" s="1">
        <v>28</v>
      </c>
      <c r="Y390" s="6">
        <f t="shared" si="109"/>
        <v>679.67572348228339</v>
      </c>
      <c r="Z390" s="6">
        <f t="shared" si="110"/>
        <v>18186.235424047758</v>
      </c>
      <c r="AA390" s="6">
        <f t="shared" si="111"/>
        <v>1400.0461208780901</v>
      </c>
      <c r="AB390" s="1">
        <f t="shared" si="112"/>
        <v>0.4</v>
      </c>
      <c r="AC390" s="1">
        <f t="shared" si="102"/>
        <v>1.5</v>
      </c>
      <c r="AD390" s="1">
        <f t="shared" si="103"/>
        <v>1</v>
      </c>
      <c r="AE390" s="1">
        <f t="shared" si="113"/>
        <v>10</v>
      </c>
      <c r="AF390" s="33">
        <f t="shared" si="114"/>
        <v>2.4999999999999991</v>
      </c>
    </row>
    <row r="391" spans="4:32" ht="14.25" hidden="1" customHeight="1" outlineLevel="1" x14ac:dyDescent="0.2">
      <c r="D391" s="1">
        <v>29</v>
      </c>
      <c r="E391" s="6">
        <f t="shared" si="104"/>
        <v>71.36595096563974</v>
      </c>
      <c r="F391" s="6">
        <f t="shared" si="104"/>
        <v>2323.5472395621227</v>
      </c>
      <c r="G391" s="6">
        <f t="shared" si="104"/>
        <v>19.600645692293256</v>
      </c>
      <c r="H391" s="1">
        <v>0.4</v>
      </c>
      <c r="I391" s="1">
        <v>1.5</v>
      </c>
      <c r="J391" s="1">
        <v>1</v>
      </c>
      <c r="M391" s="1">
        <v>29</v>
      </c>
      <c r="N391" s="6">
        <f t="shared" si="108"/>
        <v>3568.297548281987</v>
      </c>
      <c r="O391" s="6">
        <f t="shared" si="105"/>
        <v>171741.3617799388</v>
      </c>
      <c r="P391" s="6">
        <f t="shared" si="106"/>
        <v>1470.0484269219942</v>
      </c>
      <c r="Q391" s="1">
        <v>0.4</v>
      </c>
      <c r="R391" s="1">
        <v>1.5</v>
      </c>
      <c r="S391" s="1">
        <v>1</v>
      </c>
      <c r="T391" s="1">
        <v>0.8</v>
      </c>
      <c r="U391" s="1">
        <v>10</v>
      </c>
      <c r="V391" s="5">
        <f t="shared" si="107"/>
        <v>2.4999999999999996</v>
      </c>
      <c r="X391" s="1">
        <v>29</v>
      </c>
      <c r="Y391" s="6">
        <f t="shared" si="109"/>
        <v>713.6595096563974</v>
      </c>
      <c r="Z391" s="6">
        <f t="shared" si="110"/>
        <v>19082.373531104313</v>
      </c>
      <c r="AA391" s="6">
        <f t="shared" si="111"/>
        <v>1470.0484269219942</v>
      </c>
      <c r="AB391" s="1">
        <f t="shared" si="112"/>
        <v>0.4</v>
      </c>
      <c r="AC391" s="1">
        <f t="shared" si="102"/>
        <v>1.5</v>
      </c>
      <c r="AD391" s="1">
        <f t="shared" si="103"/>
        <v>1</v>
      </c>
      <c r="AE391" s="1">
        <f t="shared" si="113"/>
        <v>10</v>
      </c>
      <c r="AF391" s="33">
        <f t="shared" si="114"/>
        <v>2.4999999999999996</v>
      </c>
    </row>
    <row r="392" spans="4:32" ht="14.25" hidden="1" customHeight="1" outlineLevel="1" x14ac:dyDescent="0.2">
      <c r="D392" s="1">
        <v>30</v>
      </c>
      <c r="E392" s="6">
        <f t="shared" si="104"/>
        <v>74.934248513921744</v>
      </c>
      <c r="F392" s="6">
        <f t="shared" si="104"/>
        <v>2439.7246015402293</v>
      </c>
      <c r="G392" s="6">
        <f t="shared" si="104"/>
        <v>20.580677976907925</v>
      </c>
      <c r="H392" s="1">
        <v>0.4</v>
      </c>
      <c r="I392" s="1">
        <v>1.5</v>
      </c>
      <c r="J392" s="1">
        <v>1</v>
      </c>
      <c r="M392" s="1">
        <v>30</v>
      </c>
      <c r="N392" s="6">
        <f t="shared" si="108"/>
        <v>3746.7124256960869</v>
      </c>
      <c r="O392" s="6">
        <f t="shared" si="105"/>
        <v>180197.89891820398</v>
      </c>
      <c r="P392" s="6">
        <f t="shared" si="106"/>
        <v>1543.5508482680943</v>
      </c>
      <c r="Q392" s="1">
        <v>0.4</v>
      </c>
      <c r="R392" s="1">
        <v>1.5</v>
      </c>
      <c r="S392" s="1">
        <v>1</v>
      </c>
      <c r="T392" s="1">
        <v>0.8</v>
      </c>
      <c r="U392" s="1">
        <v>10</v>
      </c>
      <c r="V392" s="5">
        <f t="shared" si="107"/>
        <v>2.4999999999999991</v>
      </c>
      <c r="X392" s="1">
        <v>30</v>
      </c>
      <c r="Y392" s="6">
        <f t="shared" si="109"/>
        <v>749.34248513921739</v>
      </c>
      <c r="Z392" s="6">
        <f t="shared" si="110"/>
        <v>20021.988768689331</v>
      </c>
      <c r="AA392" s="6">
        <f t="shared" si="111"/>
        <v>1543.5508482680943</v>
      </c>
      <c r="AB392" s="1">
        <f t="shared" si="112"/>
        <v>0.4</v>
      </c>
      <c r="AC392" s="1">
        <f t="shared" si="102"/>
        <v>1.5</v>
      </c>
      <c r="AD392" s="1">
        <f t="shared" si="103"/>
        <v>1</v>
      </c>
      <c r="AE392" s="1">
        <f t="shared" si="113"/>
        <v>10</v>
      </c>
      <c r="AF392" s="33">
        <f t="shared" si="114"/>
        <v>2.4999999999999991</v>
      </c>
    </row>
    <row r="393" spans="4:32" ht="14.25" hidden="1" customHeight="1" outlineLevel="1" x14ac:dyDescent="0.2">
      <c r="D393" s="1">
        <v>31</v>
      </c>
      <c r="E393" s="6">
        <f t="shared" si="104"/>
        <v>78.680960939617805</v>
      </c>
      <c r="F393" s="6">
        <f t="shared" si="104"/>
        <v>2561.7108316172398</v>
      </c>
      <c r="G393" s="6">
        <f t="shared" si="104"/>
        <v>21.609711875753312</v>
      </c>
      <c r="H393" s="1">
        <v>0.4</v>
      </c>
      <c r="I393" s="1">
        <v>1.5</v>
      </c>
      <c r="J393" s="1">
        <v>1</v>
      </c>
      <c r="M393" s="1">
        <v>31</v>
      </c>
      <c r="N393" s="6">
        <f t="shared" si="108"/>
        <v>3934.0480469808904</v>
      </c>
      <c r="O393" s="6">
        <f t="shared" si="105"/>
        <v>189064.09687662791</v>
      </c>
      <c r="P393" s="6">
        <f t="shared" si="106"/>
        <v>1620.7283906814985</v>
      </c>
      <c r="Q393" s="1">
        <v>0.4</v>
      </c>
      <c r="R393" s="1">
        <v>1.5</v>
      </c>
      <c r="S393" s="1">
        <v>1</v>
      </c>
      <c r="T393" s="1">
        <v>0.8</v>
      </c>
      <c r="U393" s="1">
        <v>10</v>
      </c>
      <c r="V393" s="5">
        <f t="shared" si="107"/>
        <v>2.4999999999999991</v>
      </c>
      <c r="X393" s="1">
        <v>31</v>
      </c>
      <c r="Y393" s="6">
        <f t="shared" si="109"/>
        <v>786.80960939617808</v>
      </c>
      <c r="Z393" s="6">
        <f t="shared" si="110"/>
        <v>21007.121875180877</v>
      </c>
      <c r="AA393" s="6">
        <f t="shared" si="111"/>
        <v>1620.7283906814985</v>
      </c>
      <c r="AB393" s="1">
        <f t="shared" si="112"/>
        <v>0.4</v>
      </c>
      <c r="AC393" s="1">
        <f t="shared" si="102"/>
        <v>1.5</v>
      </c>
      <c r="AD393" s="1">
        <f t="shared" si="103"/>
        <v>1</v>
      </c>
      <c r="AE393" s="1">
        <f t="shared" si="113"/>
        <v>10</v>
      </c>
      <c r="AF393" s="33">
        <f t="shared" si="114"/>
        <v>2.4999999999999991</v>
      </c>
    </row>
    <row r="394" spans="4:32" ht="14.25" hidden="1" customHeight="1" outlineLevel="1" x14ac:dyDescent="0.2">
      <c r="D394" s="1">
        <v>32</v>
      </c>
      <c r="E394" s="6">
        <f t="shared" si="104"/>
        <v>82.615008986598724</v>
      </c>
      <c r="F394" s="6">
        <f t="shared" si="104"/>
        <v>2689.7963731981031</v>
      </c>
      <c r="G394" s="6">
        <f t="shared" si="104"/>
        <v>22.690197469540987</v>
      </c>
      <c r="H394" s="1">
        <v>0.4</v>
      </c>
      <c r="I394" s="1">
        <v>1.5</v>
      </c>
      <c r="J394" s="1">
        <v>1</v>
      </c>
      <c r="M394" s="1">
        <v>32</v>
      </c>
      <c r="N394" s="6">
        <f t="shared" si="108"/>
        <v>4130.7504493299375</v>
      </c>
      <c r="O394" s="6">
        <f t="shared" si="105"/>
        <v>198359.12224956218</v>
      </c>
      <c r="P394" s="6">
        <f t="shared" si="106"/>
        <v>1701.764810215574</v>
      </c>
      <c r="Q394" s="1">
        <v>0.4</v>
      </c>
      <c r="R394" s="1">
        <v>1.5</v>
      </c>
      <c r="S394" s="1">
        <v>1</v>
      </c>
      <c r="T394" s="1">
        <v>0.8</v>
      </c>
      <c r="U394" s="1">
        <v>10</v>
      </c>
      <c r="V394" s="5">
        <f t="shared" si="107"/>
        <v>2.4999999999999982</v>
      </c>
      <c r="X394" s="1">
        <v>32</v>
      </c>
      <c r="Y394" s="6">
        <f t="shared" si="109"/>
        <v>826.15008986598752</v>
      </c>
      <c r="Z394" s="6">
        <f t="shared" si="110"/>
        <v>22039.902472173577</v>
      </c>
      <c r="AA394" s="6">
        <f t="shared" si="111"/>
        <v>1701.764810215574</v>
      </c>
      <c r="AB394" s="1">
        <f t="shared" si="112"/>
        <v>0.4</v>
      </c>
      <c r="AC394" s="1">
        <f t="shared" si="102"/>
        <v>1.5</v>
      </c>
      <c r="AD394" s="1">
        <f t="shared" si="103"/>
        <v>1</v>
      </c>
      <c r="AE394" s="1">
        <f t="shared" si="113"/>
        <v>10</v>
      </c>
      <c r="AF394" s="33">
        <f t="shared" si="114"/>
        <v>2.4999999999999982</v>
      </c>
    </row>
    <row r="395" spans="4:32" ht="14.25" hidden="1" customHeight="1" outlineLevel="1" x14ac:dyDescent="0.2">
      <c r="D395" s="1">
        <v>33</v>
      </c>
      <c r="E395" s="6">
        <f t="shared" si="104"/>
        <v>86.745759435928662</v>
      </c>
      <c r="F395" s="6">
        <f t="shared" si="104"/>
        <v>2824.2861918580079</v>
      </c>
      <c r="G395" s="6">
        <f t="shared" si="104"/>
        <v>23.824707343018034</v>
      </c>
      <c r="H395" s="1">
        <v>0.4</v>
      </c>
      <c r="I395" s="1">
        <v>1.5</v>
      </c>
      <c r="J395" s="1">
        <v>1</v>
      </c>
      <c r="M395" s="1">
        <v>33</v>
      </c>
      <c r="N395" s="6">
        <f t="shared" si="108"/>
        <v>4337.2879717964342</v>
      </c>
      <c r="O395" s="6">
        <f t="shared" si="105"/>
        <v>208102.97011912486</v>
      </c>
      <c r="P395" s="6">
        <f t="shared" si="106"/>
        <v>1786.8530507263524</v>
      </c>
      <c r="Q395" s="1">
        <v>0.4</v>
      </c>
      <c r="R395" s="1">
        <v>1.5</v>
      </c>
      <c r="S395" s="1">
        <v>1</v>
      </c>
      <c r="T395" s="1">
        <v>0.8</v>
      </c>
      <c r="U395" s="1">
        <v>10</v>
      </c>
      <c r="V395" s="5">
        <f t="shared" si="107"/>
        <v>2.4999999999999987</v>
      </c>
      <c r="X395" s="1">
        <v>33</v>
      </c>
      <c r="Y395" s="6">
        <f t="shared" si="109"/>
        <v>867.45759435928687</v>
      </c>
      <c r="Z395" s="6">
        <f t="shared" si="110"/>
        <v>23122.552235458319</v>
      </c>
      <c r="AA395" s="6">
        <f t="shared" si="111"/>
        <v>1786.8530507263524</v>
      </c>
      <c r="AB395" s="1">
        <f t="shared" si="112"/>
        <v>0.4</v>
      </c>
      <c r="AC395" s="1">
        <f t="shared" si="102"/>
        <v>1.5</v>
      </c>
      <c r="AD395" s="1">
        <f t="shared" si="103"/>
        <v>1</v>
      </c>
      <c r="AE395" s="1">
        <f t="shared" si="113"/>
        <v>10</v>
      </c>
      <c r="AF395" s="33">
        <f t="shared" si="114"/>
        <v>2.4999999999999987</v>
      </c>
    </row>
    <row r="396" spans="4:32" ht="14.25" hidden="1" customHeight="1" outlineLevel="1" x14ac:dyDescent="0.2">
      <c r="D396" s="1">
        <v>34</v>
      </c>
      <c r="E396" s="6">
        <f t="shared" ref="E396:G427" si="115">E$360*E$361^($D396-1)</f>
        <v>91.08304740772509</v>
      </c>
      <c r="F396" s="6">
        <f t="shared" si="115"/>
        <v>2965.5005014509084</v>
      </c>
      <c r="G396" s="6">
        <f t="shared" si="115"/>
        <v>25.015942710168936</v>
      </c>
      <c r="H396" s="1">
        <v>0.4</v>
      </c>
      <c r="I396" s="1">
        <v>1.5</v>
      </c>
      <c r="J396" s="1">
        <v>1</v>
      </c>
      <c r="M396" s="1">
        <v>34</v>
      </c>
      <c r="N396" s="6">
        <f t="shared" si="108"/>
        <v>4554.152370386254</v>
      </c>
      <c r="O396" s="6">
        <f t="shared" si="105"/>
        <v>218316.49294860268</v>
      </c>
      <c r="P396" s="6">
        <f t="shared" si="106"/>
        <v>1876.1957032626701</v>
      </c>
      <c r="Q396" s="1">
        <v>0.4</v>
      </c>
      <c r="R396" s="1">
        <v>1.5</v>
      </c>
      <c r="S396" s="1">
        <v>1</v>
      </c>
      <c r="T396" s="1">
        <v>0.8</v>
      </c>
      <c r="U396" s="1">
        <v>10</v>
      </c>
      <c r="V396" s="5">
        <f t="shared" si="107"/>
        <v>2.4999999999999996</v>
      </c>
      <c r="X396" s="1">
        <v>34</v>
      </c>
      <c r="Y396" s="6">
        <f t="shared" si="109"/>
        <v>910.83047407725076</v>
      </c>
      <c r="Z396" s="6">
        <f t="shared" si="110"/>
        <v>24257.3881054003</v>
      </c>
      <c r="AA396" s="6">
        <f t="shared" si="111"/>
        <v>1876.1957032626701</v>
      </c>
      <c r="AB396" s="1">
        <f t="shared" si="112"/>
        <v>0.4</v>
      </c>
      <c r="AC396" s="1">
        <f t="shared" si="102"/>
        <v>1.5</v>
      </c>
      <c r="AD396" s="1">
        <f t="shared" si="103"/>
        <v>1</v>
      </c>
      <c r="AE396" s="1">
        <f t="shared" si="113"/>
        <v>10</v>
      </c>
      <c r="AF396" s="33">
        <f t="shared" si="114"/>
        <v>2.4999999999999996</v>
      </c>
    </row>
    <row r="397" spans="4:32" ht="14.25" hidden="1" customHeight="1" outlineLevel="1" x14ac:dyDescent="0.2">
      <c r="D397" s="1">
        <v>35</v>
      </c>
      <c r="E397" s="6">
        <f t="shared" si="115"/>
        <v>95.637199778111338</v>
      </c>
      <c r="F397" s="6">
        <f t="shared" si="115"/>
        <v>3113.7755265234537</v>
      </c>
      <c r="G397" s="6">
        <f t="shared" si="115"/>
        <v>26.266739845677382</v>
      </c>
      <c r="H397" s="1">
        <v>0.4</v>
      </c>
      <c r="I397" s="1">
        <v>1.5</v>
      </c>
      <c r="J397" s="1">
        <v>1</v>
      </c>
      <c r="M397" s="1">
        <v>35</v>
      </c>
      <c r="N397" s="6">
        <f t="shared" si="108"/>
        <v>4781.8599889055668</v>
      </c>
      <c r="O397" s="6">
        <f t="shared" si="105"/>
        <v>229021.42975344489</v>
      </c>
      <c r="P397" s="6">
        <f t="shared" si="106"/>
        <v>1970.0054884258036</v>
      </c>
      <c r="Q397" s="1">
        <v>0.4</v>
      </c>
      <c r="R397" s="1">
        <v>1.5</v>
      </c>
      <c r="S397" s="1">
        <v>1</v>
      </c>
      <c r="T397" s="1">
        <v>0.8</v>
      </c>
      <c r="U397" s="1">
        <v>10</v>
      </c>
      <c r="V397" s="5">
        <f t="shared" si="107"/>
        <v>2.4999999999999996</v>
      </c>
      <c r="X397" s="1">
        <v>35</v>
      </c>
      <c r="Y397" s="6">
        <f t="shared" si="109"/>
        <v>956.37199778111335</v>
      </c>
      <c r="Z397" s="6">
        <f t="shared" si="110"/>
        <v>25446.825528160542</v>
      </c>
      <c r="AA397" s="6">
        <f t="shared" si="111"/>
        <v>1970.0054884258036</v>
      </c>
      <c r="AB397" s="1">
        <f t="shared" si="112"/>
        <v>0.4</v>
      </c>
      <c r="AC397" s="1">
        <f t="shared" si="102"/>
        <v>1.5</v>
      </c>
      <c r="AD397" s="1">
        <f t="shared" si="103"/>
        <v>1</v>
      </c>
      <c r="AE397" s="1">
        <f t="shared" si="113"/>
        <v>10</v>
      </c>
      <c r="AF397" s="33">
        <f t="shared" si="114"/>
        <v>2.4999999999999996</v>
      </c>
    </row>
    <row r="398" spans="4:32" ht="14.25" hidden="1" customHeight="1" outlineLevel="1" x14ac:dyDescent="0.2">
      <c r="D398" s="1">
        <v>36</v>
      </c>
      <c r="E398" s="6">
        <f t="shared" si="115"/>
        <v>100.41905976701692</v>
      </c>
      <c r="F398" s="6">
        <f t="shared" si="115"/>
        <v>3269.4643028496266</v>
      </c>
      <c r="G398" s="6">
        <f t="shared" si="115"/>
        <v>27.580076837961258</v>
      </c>
      <c r="H398" s="1">
        <v>0.4</v>
      </c>
      <c r="I398" s="1">
        <v>1.5</v>
      </c>
      <c r="J398" s="1">
        <v>1</v>
      </c>
      <c r="M398" s="1">
        <v>36</v>
      </c>
      <c r="N398" s="6">
        <f t="shared" si="108"/>
        <v>5020.9529883508458</v>
      </c>
      <c r="O398" s="6">
        <f t="shared" si="105"/>
        <v>240240.43546151169</v>
      </c>
      <c r="P398" s="6">
        <f t="shared" si="106"/>
        <v>2068.5057628470945</v>
      </c>
      <c r="Q398" s="1">
        <v>0.4</v>
      </c>
      <c r="R398" s="1">
        <v>1.5</v>
      </c>
      <c r="S398" s="1">
        <v>1</v>
      </c>
      <c r="T398" s="1">
        <v>0.8</v>
      </c>
      <c r="U398" s="1">
        <v>10</v>
      </c>
      <c r="V398" s="5">
        <f t="shared" si="107"/>
        <v>2.4999999999999996</v>
      </c>
      <c r="X398" s="1">
        <v>36</v>
      </c>
      <c r="Y398" s="6">
        <f t="shared" si="109"/>
        <v>1004.1905976701692</v>
      </c>
      <c r="Z398" s="6">
        <f t="shared" si="110"/>
        <v>26693.381717945744</v>
      </c>
      <c r="AA398" s="6">
        <f t="shared" si="111"/>
        <v>2068.5057628470945</v>
      </c>
      <c r="AB398" s="1">
        <f t="shared" si="112"/>
        <v>0.4</v>
      </c>
      <c r="AC398" s="1">
        <f t="shared" si="102"/>
        <v>1.5</v>
      </c>
      <c r="AD398" s="1">
        <f t="shared" si="103"/>
        <v>1</v>
      </c>
      <c r="AE398" s="1">
        <f t="shared" si="113"/>
        <v>10</v>
      </c>
      <c r="AF398" s="33">
        <f t="shared" si="114"/>
        <v>2.4999999999999996</v>
      </c>
    </row>
    <row r="399" spans="4:32" ht="14.25" hidden="1" customHeight="1" outlineLevel="1" x14ac:dyDescent="0.2">
      <c r="D399" s="1">
        <v>37</v>
      </c>
      <c r="E399" s="6">
        <f t="shared" si="115"/>
        <v>105.44001275536776</v>
      </c>
      <c r="F399" s="6">
        <f t="shared" si="115"/>
        <v>3432.9375179921076</v>
      </c>
      <c r="G399" s="6">
        <f t="shared" si="115"/>
        <v>28.959080679859316</v>
      </c>
      <c r="H399" s="1">
        <v>0.4</v>
      </c>
      <c r="I399" s="1">
        <v>1.5</v>
      </c>
      <c r="J399" s="1">
        <v>1</v>
      </c>
      <c r="M399" s="1">
        <v>37</v>
      </c>
      <c r="N399" s="6">
        <f t="shared" si="108"/>
        <v>5272.0006377683885</v>
      </c>
      <c r="O399" s="6">
        <f t="shared" si="105"/>
        <v>251997.11036186261</v>
      </c>
      <c r="P399" s="6">
        <f t="shared" si="106"/>
        <v>2171.9310509894485</v>
      </c>
      <c r="Q399" s="1">
        <v>0.4</v>
      </c>
      <c r="R399" s="1">
        <v>1.5</v>
      </c>
      <c r="S399" s="1">
        <v>1</v>
      </c>
      <c r="T399" s="1">
        <v>0.8</v>
      </c>
      <c r="U399" s="1">
        <v>10</v>
      </c>
      <c r="V399" s="5">
        <f t="shared" si="107"/>
        <v>2.4999999999999991</v>
      </c>
      <c r="X399" s="1">
        <v>37</v>
      </c>
      <c r="Y399" s="6">
        <f t="shared" si="109"/>
        <v>1054.4001275536777</v>
      </c>
      <c r="Z399" s="6">
        <f t="shared" si="110"/>
        <v>27999.678929095844</v>
      </c>
      <c r="AA399" s="6">
        <f t="shared" si="111"/>
        <v>2171.9310509894485</v>
      </c>
      <c r="AB399" s="1">
        <f t="shared" si="112"/>
        <v>0.4</v>
      </c>
      <c r="AC399" s="1">
        <f t="shared" si="102"/>
        <v>1.5</v>
      </c>
      <c r="AD399" s="1">
        <f t="shared" si="103"/>
        <v>1</v>
      </c>
      <c r="AE399" s="1">
        <f t="shared" si="113"/>
        <v>10</v>
      </c>
      <c r="AF399" s="33">
        <f t="shared" si="114"/>
        <v>2.4999999999999991</v>
      </c>
    </row>
    <row r="400" spans="4:32" ht="14.25" hidden="1" customHeight="1" outlineLevel="1" x14ac:dyDescent="0.2">
      <c r="D400" s="1">
        <v>38</v>
      </c>
      <c r="E400" s="6">
        <f t="shared" si="115"/>
        <v>110.71201339313615</v>
      </c>
      <c r="F400" s="6">
        <f t="shared" si="115"/>
        <v>3604.5843938917133</v>
      </c>
      <c r="G400" s="6">
        <f t="shared" si="115"/>
        <v>30.407034713852283</v>
      </c>
      <c r="H400" s="1">
        <v>0.4</v>
      </c>
      <c r="I400" s="1">
        <v>1.5</v>
      </c>
      <c r="J400" s="1">
        <v>1</v>
      </c>
      <c r="M400" s="1">
        <v>38</v>
      </c>
      <c r="N400" s="6">
        <f t="shared" si="108"/>
        <v>5535.6006696568083</v>
      </c>
      <c r="O400" s="6">
        <f t="shared" si="105"/>
        <v>264316.02952791628</v>
      </c>
      <c r="P400" s="6">
        <f t="shared" si="106"/>
        <v>2280.5276035389211</v>
      </c>
      <c r="Q400" s="1">
        <v>0.4</v>
      </c>
      <c r="R400" s="1">
        <v>1.5</v>
      </c>
      <c r="S400" s="1">
        <v>1</v>
      </c>
      <c r="T400" s="1">
        <v>0.8</v>
      </c>
      <c r="U400" s="1">
        <v>10</v>
      </c>
      <c r="V400" s="5">
        <f t="shared" si="107"/>
        <v>2.4999999999999991</v>
      </c>
      <c r="X400" s="1">
        <v>38</v>
      </c>
      <c r="Y400" s="6">
        <f t="shared" si="109"/>
        <v>1107.1201339313616</v>
      </c>
      <c r="Z400" s="6">
        <f t="shared" si="110"/>
        <v>29368.447725324033</v>
      </c>
      <c r="AA400" s="6">
        <f t="shared" si="111"/>
        <v>2280.5276035389211</v>
      </c>
      <c r="AB400" s="1">
        <f t="shared" si="112"/>
        <v>0.4</v>
      </c>
      <c r="AC400" s="1">
        <f t="shared" si="102"/>
        <v>1.5</v>
      </c>
      <c r="AD400" s="1">
        <f t="shared" si="103"/>
        <v>1</v>
      </c>
      <c r="AE400" s="1">
        <f t="shared" si="113"/>
        <v>10</v>
      </c>
      <c r="AF400" s="33">
        <f t="shared" si="114"/>
        <v>2.4999999999999991</v>
      </c>
    </row>
    <row r="401" spans="4:32" ht="14.25" hidden="1" customHeight="1" outlineLevel="1" x14ac:dyDescent="0.2">
      <c r="D401" s="1">
        <v>39</v>
      </c>
      <c r="E401" s="6">
        <f t="shared" si="115"/>
        <v>116.24761406279295</v>
      </c>
      <c r="F401" s="6">
        <f t="shared" si="115"/>
        <v>3784.8136135862983</v>
      </c>
      <c r="G401" s="6">
        <f t="shared" si="115"/>
        <v>31.92738644954489</v>
      </c>
      <c r="H401" s="1">
        <v>0.4</v>
      </c>
      <c r="I401" s="1">
        <v>1.5</v>
      </c>
      <c r="J401" s="1">
        <v>1</v>
      </c>
      <c r="M401" s="1">
        <v>39</v>
      </c>
      <c r="N401" s="6">
        <f t="shared" si="108"/>
        <v>5812.3807031396482</v>
      </c>
      <c r="O401" s="6">
        <f t="shared" si="105"/>
        <v>277222.77208621439</v>
      </c>
      <c r="P401" s="6">
        <f t="shared" si="106"/>
        <v>2394.5539837158667</v>
      </c>
      <c r="Q401" s="1">
        <v>0.4</v>
      </c>
      <c r="R401" s="1">
        <v>1.5</v>
      </c>
      <c r="S401" s="1">
        <v>1</v>
      </c>
      <c r="T401" s="1">
        <v>0.8</v>
      </c>
      <c r="U401" s="1">
        <v>10</v>
      </c>
      <c r="V401" s="5">
        <f t="shared" si="107"/>
        <v>2.4999999999999991</v>
      </c>
      <c r="X401" s="1">
        <v>39</v>
      </c>
      <c r="Y401" s="6">
        <f t="shared" si="109"/>
        <v>1162.4761406279297</v>
      </c>
      <c r="Z401" s="6">
        <f t="shared" si="110"/>
        <v>30802.5302318016</v>
      </c>
      <c r="AA401" s="6">
        <f t="shared" si="111"/>
        <v>2394.5539837158667</v>
      </c>
      <c r="AB401" s="1">
        <f t="shared" si="112"/>
        <v>0.4</v>
      </c>
      <c r="AC401" s="1">
        <f t="shared" si="102"/>
        <v>1.5</v>
      </c>
      <c r="AD401" s="1">
        <f t="shared" si="103"/>
        <v>1</v>
      </c>
      <c r="AE401" s="1">
        <f t="shared" si="113"/>
        <v>10</v>
      </c>
      <c r="AF401" s="33">
        <f t="shared" si="114"/>
        <v>2.4999999999999991</v>
      </c>
    </row>
    <row r="402" spans="4:32" ht="14.25" hidden="1" customHeight="1" outlineLevel="1" x14ac:dyDescent="0.2">
      <c r="D402" s="1">
        <v>40</v>
      </c>
      <c r="E402" s="6">
        <f t="shared" si="115"/>
        <v>122.05999476593261</v>
      </c>
      <c r="F402" s="6">
        <f t="shared" si="115"/>
        <v>3974.0542942656139</v>
      </c>
      <c r="G402" s="6">
        <f t="shared" si="115"/>
        <v>33.523755772022142</v>
      </c>
      <c r="H402" s="1">
        <v>0.4</v>
      </c>
      <c r="I402" s="1">
        <v>1.5</v>
      </c>
      <c r="J402" s="1">
        <v>1</v>
      </c>
      <c r="M402" s="1">
        <v>40</v>
      </c>
      <c r="N402" s="6">
        <f t="shared" si="108"/>
        <v>6102.9997382966321</v>
      </c>
      <c r="O402" s="6">
        <f t="shared" si="105"/>
        <v>290743.95018624363</v>
      </c>
      <c r="P402" s="6">
        <f t="shared" si="106"/>
        <v>2514.2816829016606</v>
      </c>
      <c r="Q402" s="1">
        <v>0.4</v>
      </c>
      <c r="R402" s="1">
        <v>1.5</v>
      </c>
      <c r="S402" s="1">
        <v>1</v>
      </c>
      <c r="T402" s="1">
        <v>0.8</v>
      </c>
      <c r="U402" s="1">
        <v>10</v>
      </c>
      <c r="V402" s="5">
        <f t="shared" si="107"/>
        <v>2.4999999999999991</v>
      </c>
      <c r="X402" s="1">
        <v>40</v>
      </c>
      <c r="Y402" s="6">
        <f t="shared" si="109"/>
        <v>1220.5999476593265</v>
      </c>
      <c r="Z402" s="6">
        <f t="shared" si="110"/>
        <v>32304.883354027072</v>
      </c>
      <c r="AA402" s="6">
        <f t="shared" si="111"/>
        <v>2514.2816829016606</v>
      </c>
      <c r="AB402" s="1">
        <f t="shared" si="112"/>
        <v>0.4</v>
      </c>
      <c r="AC402" s="1">
        <f t="shared" si="102"/>
        <v>1.5</v>
      </c>
      <c r="AD402" s="1">
        <f t="shared" si="103"/>
        <v>1</v>
      </c>
      <c r="AE402" s="1">
        <f t="shared" si="113"/>
        <v>10</v>
      </c>
      <c r="AF402" s="33">
        <f t="shared" si="114"/>
        <v>2.4999999999999991</v>
      </c>
    </row>
    <row r="403" spans="4:32" ht="14.25" hidden="1" customHeight="1" outlineLevel="1" x14ac:dyDescent="0.2">
      <c r="D403" s="1">
        <v>41</v>
      </c>
      <c r="E403" s="6">
        <f t="shared" si="115"/>
        <v>128.16299450422923</v>
      </c>
      <c r="F403" s="6">
        <f t="shared" si="115"/>
        <v>4172.7570089788942</v>
      </c>
      <c r="G403" s="6">
        <f t="shared" si="115"/>
        <v>35.199943560623247</v>
      </c>
      <c r="H403" s="1">
        <v>0.4</v>
      </c>
      <c r="I403" s="1">
        <v>1.5</v>
      </c>
      <c r="J403" s="1">
        <v>1</v>
      </c>
      <c r="M403" s="1">
        <v>41</v>
      </c>
      <c r="N403" s="6">
        <f t="shared" si="108"/>
        <v>6408.1497252114623</v>
      </c>
      <c r="O403" s="6">
        <f t="shared" si="105"/>
        <v>304907.23750974075</v>
      </c>
      <c r="P403" s="6">
        <f t="shared" si="106"/>
        <v>2639.9957670467434</v>
      </c>
      <c r="Q403" s="1">
        <v>0.4</v>
      </c>
      <c r="R403" s="1">
        <v>1.5</v>
      </c>
      <c r="S403" s="1">
        <v>1</v>
      </c>
      <c r="T403" s="1">
        <v>0.8</v>
      </c>
      <c r="U403" s="1">
        <v>10</v>
      </c>
      <c r="V403" s="5">
        <f t="shared" si="107"/>
        <v>2.4999999999999991</v>
      </c>
      <c r="X403" s="1">
        <v>41</v>
      </c>
      <c r="Y403" s="6">
        <f t="shared" si="109"/>
        <v>1281.6299450422925</v>
      </c>
      <c r="Z403" s="6">
        <f t="shared" si="110"/>
        <v>33878.581945526748</v>
      </c>
      <c r="AA403" s="6">
        <f t="shared" si="111"/>
        <v>2639.9957670467434</v>
      </c>
      <c r="AB403" s="1">
        <f t="shared" si="112"/>
        <v>0.4</v>
      </c>
      <c r="AC403" s="1">
        <f t="shared" si="102"/>
        <v>1.5</v>
      </c>
      <c r="AD403" s="1">
        <f t="shared" si="103"/>
        <v>1</v>
      </c>
      <c r="AE403" s="1">
        <f t="shared" si="113"/>
        <v>10</v>
      </c>
      <c r="AF403" s="33">
        <f t="shared" si="114"/>
        <v>2.4999999999999991</v>
      </c>
    </row>
    <row r="404" spans="4:32" ht="14.25" hidden="1" customHeight="1" outlineLevel="1" x14ac:dyDescent="0.2">
      <c r="D404" s="1">
        <v>42</v>
      </c>
      <c r="E404" s="6">
        <f t="shared" si="115"/>
        <v>134.5711442294407</v>
      </c>
      <c r="F404" s="6">
        <f t="shared" si="115"/>
        <v>4381.394859427839</v>
      </c>
      <c r="G404" s="6">
        <f t="shared" si="115"/>
        <v>36.95994073865441</v>
      </c>
      <c r="H404" s="1">
        <v>0.4</v>
      </c>
      <c r="I404" s="1">
        <v>1.5</v>
      </c>
      <c r="J404" s="1">
        <v>1</v>
      </c>
      <c r="M404" s="1">
        <v>42</v>
      </c>
      <c r="N404" s="6">
        <f t="shared" si="108"/>
        <v>6728.5572114720362</v>
      </c>
      <c r="O404" s="6">
        <f t="shared" si="105"/>
        <v>319741.39713960711</v>
      </c>
      <c r="P404" s="6">
        <f t="shared" si="106"/>
        <v>2771.9955553990808</v>
      </c>
      <c r="Q404" s="1">
        <v>0.4</v>
      </c>
      <c r="R404" s="1">
        <v>1.5</v>
      </c>
      <c r="S404" s="1">
        <v>1</v>
      </c>
      <c r="T404" s="1">
        <v>0.8</v>
      </c>
      <c r="U404" s="1">
        <v>10</v>
      </c>
      <c r="V404" s="5">
        <f t="shared" si="107"/>
        <v>2.4999999999999991</v>
      </c>
      <c r="X404" s="1">
        <v>42</v>
      </c>
      <c r="Y404" s="6">
        <f t="shared" si="109"/>
        <v>1345.7114422944073</v>
      </c>
      <c r="Z404" s="6">
        <f t="shared" si="110"/>
        <v>35526.821904400793</v>
      </c>
      <c r="AA404" s="6">
        <f t="shared" si="111"/>
        <v>2771.9955553990808</v>
      </c>
      <c r="AB404" s="1">
        <f t="shared" si="112"/>
        <v>0.4</v>
      </c>
      <c r="AC404" s="1">
        <f t="shared" si="102"/>
        <v>1.5</v>
      </c>
      <c r="AD404" s="1">
        <f t="shared" si="103"/>
        <v>1</v>
      </c>
      <c r="AE404" s="1">
        <f t="shared" si="113"/>
        <v>10</v>
      </c>
      <c r="AF404" s="33">
        <f t="shared" si="114"/>
        <v>2.4999999999999991</v>
      </c>
    </row>
    <row r="405" spans="4:32" ht="14.25" hidden="1" customHeight="1" outlineLevel="1" x14ac:dyDescent="0.2">
      <c r="D405" s="1">
        <v>43</v>
      </c>
      <c r="E405" s="6">
        <f t="shared" si="115"/>
        <v>141.29970144091274</v>
      </c>
      <c r="F405" s="6">
        <f t="shared" si="115"/>
        <v>4600.4646023992309</v>
      </c>
      <c r="G405" s="6">
        <f t="shared" si="115"/>
        <v>38.807937775587135</v>
      </c>
      <c r="H405" s="1">
        <v>0.4</v>
      </c>
      <c r="I405" s="1">
        <v>1.5</v>
      </c>
      <c r="J405" s="1">
        <v>1</v>
      </c>
      <c r="M405" s="1">
        <v>43</v>
      </c>
      <c r="N405" s="6">
        <f t="shared" si="108"/>
        <v>7064.985072045637</v>
      </c>
      <c r="O405" s="6">
        <f t="shared" si="105"/>
        <v>335276.30858893145</v>
      </c>
      <c r="P405" s="6">
        <f t="shared" si="106"/>
        <v>2910.5953331690353</v>
      </c>
      <c r="Q405" s="1">
        <v>0.4</v>
      </c>
      <c r="R405" s="1">
        <v>1.5</v>
      </c>
      <c r="S405" s="1">
        <v>1</v>
      </c>
      <c r="T405" s="1">
        <v>0.8</v>
      </c>
      <c r="U405" s="1">
        <v>10</v>
      </c>
      <c r="V405" s="5">
        <f t="shared" si="107"/>
        <v>2.4999999999999991</v>
      </c>
      <c r="X405" s="1">
        <v>43</v>
      </c>
      <c r="Y405" s="6">
        <f t="shared" si="109"/>
        <v>1412.9970144091274</v>
      </c>
      <c r="Z405" s="6">
        <f t="shared" si="110"/>
        <v>37252.923176547942</v>
      </c>
      <c r="AA405" s="6">
        <f t="shared" si="111"/>
        <v>2910.5953331690353</v>
      </c>
      <c r="AB405" s="1">
        <f t="shared" si="112"/>
        <v>0.4</v>
      </c>
      <c r="AC405" s="1">
        <f t="shared" si="102"/>
        <v>1.5</v>
      </c>
      <c r="AD405" s="1">
        <f t="shared" si="103"/>
        <v>1</v>
      </c>
      <c r="AE405" s="1">
        <f t="shared" si="113"/>
        <v>10</v>
      </c>
      <c r="AF405" s="33">
        <f t="shared" si="114"/>
        <v>2.4999999999999991</v>
      </c>
    </row>
    <row r="406" spans="4:32" ht="14.25" hidden="1" customHeight="1" outlineLevel="1" x14ac:dyDescent="0.2">
      <c r="D406" s="1">
        <v>44</v>
      </c>
      <c r="E406" s="6">
        <f t="shared" si="115"/>
        <v>148.36468651295837</v>
      </c>
      <c r="F406" s="6">
        <f t="shared" si="115"/>
        <v>4830.487832519193</v>
      </c>
      <c r="G406" s="6">
        <f t="shared" si="115"/>
        <v>40.748334664366496</v>
      </c>
      <c r="H406" s="1">
        <v>0.4</v>
      </c>
      <c r="I406" s="1">
        <v>1.5</v>
      </c>
      <c r="J406" s="1">
        <v>1</v>
      </c>
      <c r="M406" s="1">
        <v>44</v>
      </c>
      <c r="N406" s="6">
        <f t="shared" si="108"/>
        <v>7418.2343256479198</v>
      </c>
      <c r="O406" s="6">
        <f t="shared" si="105"/>
        <v>351542.99376965995</v>
      </c>
      <c r="P406" s="6">
        <f t="shared" si="106"/>
        <v>3056.1250998274872</v>
      </c>
      <c r="Q406" s="1">
        <v>0.4</v>
      </c>
      <c r="R406" s="1">
        <v>1.5</v>
      </c>
      <c r="S406" s="1">
        <v>1</v>
      </c>
      <c r="T406" s="1">
        <v>0.8</v>
      </c>
      <c r="U406" s="1">
        <v>10</v>
      </c>
      <c r="V406" s="5">
        <f t="shared" si="107"/>
        <v>2.4999999999999987</v>
      </c>
      <c r="X406" s="1">
        <v>44</v>
      </c>
      <c r="Y406" s="6">
        <f t="shared" si="109"/>
        <v>1483.6468651295841</v>
      </c>
      <c r="Z406" s="6">
        <f t="shared" si="110"/>
        <v>39060.332641073328</v>
      </c>
      <c r="AA406" s="6">
        <f t="shared" si="111"/>
        <v>3056.1250998274872</v>
      </c>
      <c r="AB406" s="1">
        <f t="shared" si="112"/>
        <v>0.4</v>
      </c>
      <c r="AC406" s="1">
        <f t="shared" si="102"/>
        <v>1.5</v>
      </c>
      <c r="AD406" s="1">
        <f t="shared" si="103"/>
        <v>1</v>
      </c>
      <c r="AE406" s="1">
        <f t="shared" si="113"/>
        <v>10</v>
      </c>
      <c r="AF406" s="33">
        <f t="shared" si="114"/>
        <v>2.4999999999999987</v>
      </c>
    </row>
    <row r="407" spans="4:32" ht="14.25" hidden="1" customHeight="1" outlineLevel="1" x14ac:dyDescent="0.2">
      <c r="D407" s="1">
        <v>45</v>
      </c>
      <c r="E407" s="6">
        <f t="shared" si="115"/>
        <v>155.78292083860629</v>
      </c>
      <c r="F407" s="6">
        <f t="shared" si="115"/>
        <v>5072.0122241451527</v>
      </c>
      <c r="G407" s="6">
        <f t="shared" si="115"/>
        <v>42.785751397584811</v>
      </c>
      <c r="H407" s="1">
        <v>0.4</v>
      </c>
      <c r="I407" s="1">
        <v>1.5</v>
      </c>
      <c r="J407" s="1">
        <v>1</v>
      </c>
      <c r="M407" s="1">
        <v>45</v>
      </c>
      <c r="N407" s="6">
        <f t="shared" si="108"/>
        <v>7789.1460419303157</v>
      </c>
      <c r="O407" s="6">
        <f t="shared" si="105"/>
        <v>368573.64165812131</v>
      </c>
      <c r="P407" s="6">
        <f t="shared" si="106"/>
        <v>3208.9313548188607</v>
      </c>
      <c r="Q407" s="1">
        <v>0.4</v>
      </c>
      <c r="R407" s="1">
        <v>1.5</v>
      </c>
      <c r="S407" s="1">
        <v>1</v>
      </c>
      <c r="T407" s="1">
        <v>0.8</v>
      </c>
      <c r="U407" s="1">
        <v>10</v>
      </c>
      <c r="V407" s="5">
        <f t="shared" si="107"/>
        <v>2.4999999999999996</v>
      </c>
      <c r="X407" s="1">
        <v>45</v>
      </c>
      <c r="Y407" s="6">
        <f t="shared" si="109"/>
        <v>1557.8292083860631</v>
      </c>
      <c r="Z407" s="6">
        <f t="shared" si="110"/>
        <v>40952.626850902365</v>
      </c>
      <c r="AA407" s="6">
        <f t="shared" si="111"/>
        <v>3208.9313548188607</v>
      </c>
      <c r="AB407" s="1">
        <f t="shared" si="112"/>
        <v>0.4</v>
      </c>
      <c r="AC407" s="1">
        <f t="shared" si="102"/>
        <v>1.5</v>
      </c>
      <c r="AD407" s="1">
        <f t="shared" si="103"/>
        <v>1</v>
      </c>
      <c r="AE407" s="1">
        <f t="shared" si="113"/>
        <v>10</v>
      </c>
      <c r="AF407" s="33">
        <f t="shared" si="114"/>
        <v>2.4999999999999996</v>
      </c>
    </row>
    <row r="408" spans="4:32" ht="14.25" hidden="1" customHeight="1" outlineLevel="1" x14ac:dyDescent="0.2">
      <c r="D408" s="1">
        <v>46</v>
      </c>
      <c r="E408" s="6">
        <f t="shared" si="115"/>
        <v>163.57206688053662</v>
      </c>
      <c r="F408" s="6">
        <f t="shared" si="115"/>
        <v>5325.6128353524109</v>
      </c>
      <c r="G408" s="6">
        <f t="shared" si="115"/>
        <v>44.925038967464062</v>
      </c>
      <c r="H408" s="1">
        <v>0.4</v>
      </c>
      <c r="I408" s="1">
        <v>1.5</v>
      </c>
      <c r="J408" s="1">
        <v>1</v>
      </c>
      <c r="M408" s="1">
        <v>46</v>
      </c>
      <c r="N408" s="6">
        <f t="shared" si="108"/>
        <v>8178.603344026832</v>
      </c>
      <c r="O408" s="6">
        <f t="shared" si="105"/>
        <v>386401.63139093376</v>
      </c>
      <c r="P408" s="6">
        <f t="shared" si="106"/>
        <v>3369.3779225598046</v>
      </c>
      <c r="Q408" s="1">
        <v>0.4</v>
      </c>
      <c r="R408" s="1">
        <v>1.5</v>
      </c>
      <c r="S408" s="1">
        <v>1</v>
      </c>
      <c r="T408" s="1">
        <v>0.8</v>
      </c>
      <c r="U408" s="1">
        <v>10</v>
      </c>
      <c r="V408" s="5">
        <f t="shared" si="107"/>
        <v>2.4999999999999991</v>
      </c>
      <c r="X408" s="1">
        <v>46</v>
      </c>
      <c r="Y408" s="6">
        <f t="shared" si="109"/>
        <v>1635.7206688053664</v>
      </c>
      <c r="Z408" s="6">
        <f t="shared" si="110"/>
        <v>42933.514598992639</v>
      </c>
      <c r="AA408" s="6">
        <f t="shared" si="111"/>
        <v>3369.3779225598046</v>
      </c>
      <c r="AB408" s="1">
        <f t="shared" si="112"/>
        <v>0.4</v>
      </c>
      <c r="AC408" s="1">
        <f t="shared" si="102"/>
        <v>1.5</v>
      </c>
      <c r="AD408" s="1">
        <f t="shared" si="103"/>
        <v>1</v>
      </c>
      <c r="AE408" s="1">
        <f t="shared" si="113"/>
        <v>10</v>
      </c>
      <c r="AF408" s="33">
        <f t="shared" si="114"/>
        <v>2.4999999999999991</v>
      </c>
    </row>
    <row r="409" spans="4:32" ht="14.25" hidden="1" customHeight="1" outlineLevel="1" x14ac:dyDescent="0.2">
      <c r="D409" s="1">
        <v>47</v>
      </c>
      <c r="E409" s="6">
        <f t="shared" si="115"/>
        <v>171.75067022456344</v>
      </c>
      <c r="F409" s="6">
        <f t="shared" si="115"/>
        <v>5591.8934771200302</v>
      </c>
      <c r="G409" s="6">
        <f t="shared" si="115"/>
        <v>47.171290915837254</v>
      </c>
      <c r="H409" s="1">
        <v>0.4</v>
      </c>
      <c r="I409" s="1">
        <v>1.5</v>
      </c>
      <c r="J409" s="1">
        <v>1</v>
      </c>
      <c r="M409" s="1">
        <v>47</v>
      </c>
      <c r="N409" s="6">
        <f t="shared" si="108"/>
        <v>8587.5335112281718</v>
      </c>
      <c r="O409" s="6">
        <f t="shared" si="105"/>
        <v>405061.55349978287</v>
      </c>
      <c r="P409" s="6">
        <f t="shared" si="106"/>
        <v>3537.846818687794</v>
      </c>
      <c r="Q409" s="1">
        <v>0.4</v>
      </c>
      <c r="R409" s="1">
        <v>1.5</v>
      </c>
      <c r="S409" s="1">
        <v>1</v>
      </c>
      <c r="T409" s="1">
        <v>0.8</v>
      </c>
      <c r="U409" s="1">
        <v>10</v>
      </c>
      <c r="V409" s="5">
        <f t="shared" si="107"/>
        <v>2.4999999999999996</v>
      </c>
      <c r="X409" s="1">
        <v>47</v>
      </c>
      <c r="Y409" s="6">
        <f t="shared" si="109"/>
        <v>1717.5067022456344</v>
      </c>
      <c r="Z409" s="6">
        <f t="shared" si="110"/>
        <v>45006.83927775365</v>
      </c>
      <c r="AA409" s="6">
        <f t="shared" si="111"/>
        <v>3537.846818687794</v>
      </c>
      <c r="AB409" s="1">
        <f t="shared" si="112"/>
        <v>0.4</v>
      </c>
      <c r="AC409" s="1">
        <f t="shared" si="102"/>
        <v>1.5</v>
      </c>
      <c r="AD409" s="1">
        <f t="shared" si="103"/>
        <v>1</v>
      </c>
      <c r="AE409" s="1">
        <f t="shared" si="113"/>
        <v>10</v>
      </c>
      <c r="AF409" s="33">
        <f t="shared" si="114"/>
        <v>2.4999999999999996</v>
      </c>
    </row>
    <row r="410" spans="4:32" ht="14.25" hidden="1" customHeight="1" outlineLevel="1" x14ac:dyDescent="0.2">
      <c r="D410" s="1">
        <v>48</v>
      </c>
      <c r="E410" s="6">
        <f t="shared" si="115"/>
        <v>180.33820373579164</v>
      </c>
      <c r="F410" s="6">
        <f t="shared" si="115"/>
        <v>5871.4881509760335</v>
      </c>
      <c r="G410" s="6">
        <f t="shared" si="115"/>
        <v>49.529855461629133</v>
      </c>
      <c r="H410" s="1">
        <v>0.4</v>
      </c>
      <c r="I410" s="1">
        <v>1.5</v>
      </c>
      <c r="J410" s="1">
        <v>1</v>
      </c>
      <c r="M410" s="1">
        <v>48</v>
      </c>
      <c r="N410" s="6">
        <f t="shared" si="108"/>
        <v>9016.9101867895824</v>
      </c>
      <c r="O410" s="6">
        <f t="shared" si="105"/>
        <v>424589.22896721924</v>
      </c>
      <c r="P410" s="6">
        <f t="shared" si="106"/>
        <v>3714.7391596221851</v>
      </c>
      <c r="Q410" s="1">
        <v>0.4</v>
      </c>
      <c r="R410" s="1">
        <v>1.5</v>
      </c>
      <c r="S410" s="1">
        <v>1</v>
      </c>
      <c r="T410" s="1">
        <v>0.8</v>
      </c>
      <c r="U410" s="1">
        <v>10</v>
      </c>
      <c r="V410" s="5">
        <f t="shared" si="107"/>
        <v>2.4999999999999991</v>
      </c>
      <c r="X410" s="1">
        <v>48</v>
      </c>
      <c r="Y410" s="6">
        <f t="shared" si="109"/>
        <v>1803.3820373579165</v>
      </c>
      <c r="Z410" s="6">
        <f t="shared" si="110"/>
        <v>47176.58099635769</v>
      </c>
      <c r="AA410" s="6">
        <f t="shared" si="111"/>
        <v>3714.7391596221851</v>
      </c>
      <c r="AB410" s="1">
        <f t="shared" si="112"/>
        <v>0.4</v>
      </c>
      <c r="AC410" s="1">
        <f t="shared" si="102"/>
        <v>1.5</v>
      </c>
      <c r="AD410" s="1">
        <f t="shared" si="103"/>
        <v>1</v>
      </c>
      <c r="AE410" s="1">
        <f t="shared" si="113"/>
        <v>10</v>
      </c>
      <c r="AF410" s="33">
        <f t="shared" si="114"/>
        <v>2.4999999999999991</v>
      </c>
    </row>
    <row r="411" spans="4:32" ht="14.25" hidden="1" customHeight="1" outlineLevel="1" x14ac:dyDescent="0.2">
      <c r="D411" s="1">
        <v>49</v>
      </c>
      <c r="E411" s="6">
        <f t="shared" si="115"/>
        <v>189.35511392258121</v>
      </c>
      <c r="F411" s="6">
        <f t="shared" si="115"/>
        <v>6165.0625585248345</v>
      </c>
      <c r="G411" s="6">
        <f t="shared" si="115"/>
        <v>52.006348234710586</v>
      </c>
      <c r="H411" s="1">
        <v>0.4</v>
      </c>
      <c r="I411" s="1">
        <v>1.5</v>
      </c>
      <c r="J411" s="1">
        <v>1</v>
      </c>
      <c r="M411" s="1">
        <v>49</v>
      </c>
      <c r="N411" s="6">
        <f t="shared" si="108"/>
        <v>9467.7556961290611</v>
      </c>
      <c r="O411" s="6">
        <f t="shared" si="105"/>
        <v>445021.72575802484</v>
      </c>
      <c r="P411" s="6">
        <f t="shared" si="106"/>
        <v>3900.4761176032939</v>
      </c>
      <c r="Q411" s="1">
        <v>0.4</v>
      </c>
      <c r="R411" s="1">
        <v>1.5</v>
      </c>
      <c r="S411" s="1">
        <v>1</v>
      </c>
      <c r="T411" s="1">
        <v>0.8</v>
      </c>
      <c r="U411" s="1">
        <v>10</v>
      </c>
      <c r="V411" s="5">
        <f t="shared" si="107"/>
        <v>2.4999999999999996</v>
      </c>
      <c r="X411" s="1">
        <v>49</v>
      </c>
      <c r="Y411" s="6">
        <f t="shared" si="109"/>
        <v>1893.5511392258122</v>
      </c>
      <c r="Z411" s="6">
        <f t="shared" si="110"/>
        <v>49446.858417558316</v>
      </c>
      <c r="AA411" s="6">
        <f t="shared" si="111"/>
        <v>3900.4761176032939</v>
      </c>
      <c r="AB411" s="1">
        <f t="shared" si="112"/>
        <v>0.4</v>
      </c>
      <c r="AC411" s="1">
        <f t="shared" si="102"/>
        <v>1.5</v>
      </c>
      <c r="AD411" s="1">
        <f t="shared" si="103"/>
        <v>1</v>
      </c>
      <c r="AE411" s="1">
        <f t="shared" si="113"/>
        <v>10</v>
      </c>
      <c r="AF411" s="33">
        <f t="shared" si="114"/>
        <v>2.4999999999999996</v>
      </c>
    </row>
    <row r="412" spans="4:32" ht="14.25" hidden="1" customHeight="1" outlineLevel="1" x14ac:dyDescent="0.2">
      <c r="D412" s="1">
        <v>50</v>
      </c>
      <c r="E412" s="6">
        <f t="shared" si="115"/>
        <v>198.82286961871029</v>
      </c>
      <c r="F412" s="6">
        <f t="shared" si="115"/>
        <v>6473.3156864510775</v>
      </c>
      <c r="G412" s="6">
        <f t="shared" si="115"/>
        <v>54.606665646446118</v>
      </c>
      <c r="H412" s="1">
        <v>0.4</v>
      </c>
      <c r="I412" s="1">
        <v>1.5</v>
      </c>
      <c r="J412" s="1">
        <v>1</v>
      </c>
      <c r="M412" s="1">
        <v>50</v>
      </c>
      <c r="N412" s="6">
        <f t="shared" si="108"/>
        <v>9941.143480935516</v>
      </c>
      <c r="O412" s="6">
        <f t="shared" si="105"/>
        <v>466397.37245193298</v>
      </c>
      <c r="P412" s="6">
        <f t="shared" si="106"/>
        <v>4095.4999234834586</v>
      </c>
      <c r="Q412" s="1">
        <v>0.4</v>
      </c>
      <c r="R412" s="1">
        <v>1.5</v>
      </c>
      <c r="S412" s="1">
        <v>1</v>
      </c>
      <c r="T412" s="1">
        <v>0.8</v>
      </c>
      <c r="U412" s="1">
        <v>10</v>
      </c>
      <c r="V412" s="5">
        <f t="shared" si="107"/>
        <v>2.4999999999999991</v>
      </c>
      <c r="X412" s="1">
        <v>50</v>
      </c>
      <c r="Y412" s="6">
        <f t="shared" si="109"/>
        <v>1988.2286961871032</v>
      </c>
      <c r="Z412" s="6">
        <f t="shared" si="110"/>
        <v>51821.930272436999</v>
      </c>
      <c r="AA412" s="6">
        <f t="shared" si="111"/>
        <v>4095.4999234834586</v>
      </c>
      <c r="AB412" s="1">
        <f t="shared" si="112"/>
        <v>0.4</v>
      </c>
      <c r="AC412" s="1">
        <f t="shared" si="102"/>
        <v>1.5</v>
      </c>
      <c r="AD412" s="1">
        <f t="shared" si="103"/>
        <v>1</v>
      </c>
      <c r="AE412" s="1">
        <f t="shared" si="113"/>
        <v>10</v>
      </c>
      <c r="AF412" s="33">
        <f t="shared" si="114"/>
        <v>2.4999999999999991</v>
      </c>
    </row>
    <row r="413" spans="4:32" ht="14.25" hidden="1" customHeight="1" outlineLevel="1" x14ac:dyDescent="0.2">
      <c r="D413" s="1">
        <v>51</v>
      </c>
      <c r="E413" s="6">
        <f t="shared" si="115"/>
        <v>208.76401309964581</v>
      </c>
      <c r="F413" s="6">
        <f t="shared" si="115"/>
        <v>6796.9814707736305</v>
      </c>
      <c r="G413" s="6">
        <f t="shared" si="115"/>
        <v>57.336998928768423</v>
      </c>
      <c r="H413" s="1">
        <v>0.4</v>
      </c>
      <c r="I413" s="1">
        <v>1.5</v>
      </c>
      <c r="J413" s="1">
        <v>1</v>
      </c>
      <c r="M413" s="1">
        <v>51</v>
      </c>
      <c r="N413" s="6">
        <f t="shared" si="108"/>
        <v>10438.200654982291</v>
      </c>
      <c r="O413" s="6">
        <f t="shared" si="105"/>
        <v>488755.7685736689</v>
      </c>
      <c r="P413" s="6">
        <f t="shared" si="106"/>
        <v>4300.2749196576315</v>
      </c>
      <c r="Q413" s="1">
        <v>0.4</v>
      </c>
      <c r="R413" s="1">
        <v>1.5</v>
      </c>
      <c r="S413" s="1">
        <v>1</v>
      </c>
      <c r="T413" s="1">
        <v>0.8</v>
      </c>
      <c r="U413" s="1">
        <v>10</v>
      </c>
      <c r="V413" s="5">
        <f t="shared" si="107"/>
        <v>2.4999999999999991</v>
      </c>
      <c r="X413" s="1">
        <v>51</v>
      </c>
      <c r="Y413" s="6">
        <f t="shared" si="109"/>
        <v>2087.6401309964581</v>
      </c>
      <c r="Z413" s="6">
        <f t="shared" si="110"/>
        <v>54306.196508185436</v>
      </c>
      <c r="AA413" s="6">
        <f t="shared" si="111"/>
        <v>4300.2749196576315</v>
      </c>
      <c r="AB413" s="1">
        <f t="shared" si="112"/>
        <v>0.4</v>
      </c>
      <c r="AC413" s="1">
        <f t="shared" si="102"/>
        <v>1.5</v>
      </c>
      <c r="AD413" s="1">
        <f t="shared" si="103"/>
        <v>1</v>
      </c>
      <c r="AE413" s="1">
        <f t="shared" si="113"/>
        <v>10</v>
      </c>
      <c r="AF413" s="33">
        <f t="shared" si="114"/>
        <v>2.4999999999999991</v>
      </c>
    </row>
    <row r="414" spans="4:32" ht="14.25" hidden="1" customHeight="1" outlineLevel="1" x14ac:dyDescent="0.2">
      <c r="D414" s="1">
        <v>52</v>
      </c>
      <c r="E414" s="6">
        <f t="shared" si="115"/>
        <v>219.2022137546281</v>
      </c>
      <c r="F414" s="6">
        <f t="shared" si="115"/>
        <v>7136.8305443123127</v>
      </c>
      <c r="G414" s="6">
        <f t="shared" si="115"/>
        <v>60.203848875206845</v>
      </c>
      <c r="H414" s="1">
        <v>0.4</v>
      </c>
      <c r="I414" s="1">
        <v>1.5</v>
      </c>
      <c r="J414" s="1">
        <v>1</v>
      </c>
      <c r="M414" s="1">
        <v>52</v>
      </c>
      <c r="N414" s="6">
        <f t="shared" si="108"/>
        <v>10960.110687731407</v>
      </c>
      <c r="O414" s="6">
        <f t="shared" si="105"/>
        <v>512137.79118556017</v>
      </c>
      <c r="P414" s="6">
        <f t="shared" si="106"/>
        <v>4515.2886656405135</v>
      </c>
      <c r="Q414" s="1">
        <v>0.4</v>
      </c>
      <c r="R414" s="1">
        <v>1.5</v>
      </c>
      <c r="S414" s="1">
        <v>1</v>
      </c>
      <c r="T414" s="1">
        <v>0.8</v>
      </c>
      <c r="U414" s="1">
        <v>10</v>
      </c>
      <c r="V414" s="5">
        <f t="shared" si="107"/>
        <v>2.4999999999999987</v>
      </c>
      <c r="X414" s="1">
        <v>52</v>
      </c>
      <c r="Y414" s="6">
        <f t="shared" si="109"/>
        <v>2192.0221375462816</v>
      </c>
      <c r="Z414" s="6">
        <f t="shared" si="110"/>
        <v>56904.199020617794</v>
      </c>
      <c r="AA414" s="6">
        <f t="shared" si="111"/>
        <v>4515.2886656405135</v>
      </c>
      <c r="AB414" s="1">
        <f t="shared" si="112"/>
        <v>0.4</v>
      </c>
      <c r="AC414" s="1">
        <f t="shared" si="102"/>
        <v>1.5</v>
      </c>
      <c r="AD414" s="1">
        <f t="shared" si="103"/>
        <v>1</v>
      </c>
      <c r="AE414" s="1">
        <f t="shared" si="113"/>
        <v>10</v>
      </c>
      <c r="AF414" s="33">
        <f t="shared" si="114"/>
        <v>2.4999999999999987</v>
      </c>
    </row>
    <row r="415" spans="4:32" ht="14.25" hidden="1" customHeight="1" outlineLevel="1" x14ac:dyDescent="0.2">
      <c r="D415" s="1">
        <v>53</v>
      </c>
      <c r="E415" s="6">
        <f t="shared" si="115"/>
        <v>230.16232444235951</v>
      </c>
      <c r="F415" s="6">
        <f t="shared" si="115"/>
        <v>7493.672071527928</v>
      </c>
      <c r="G415" s="6">
        <f t="shared" si="115"/>
        <v>63.21404131896719</v>
      </c>
      <c r="H415" s="1">
        <v>0.4</v>
      </c>
      <c r="I415" s="1">
        <v>1.5</v>
      </c>
      <c r="J415" s="1">
        <v>1</v>
      </c>
      <c r="M415" s="1">
        <v>53</v>
      </c>
      <c r="N415" s="6">
        <f t="shared" si="108"/>
        <v>11508.116222117977</v>
      </c>
      <c r="O415" s="6">
        <f t="shared" si="105"/>
        <v>536585.59727654303</v>
      </c>
      <c r="P415" s="6">
        <f t="shared" si="106"/>
        <v>4741.053098922539</v>
      </c>
      <c r="Q415" s="1">
        <v>0.4</v>
      </c>
      <c r="R415" s="1">
        <v>1.5</v>
      </c>
      <c r="S415" s="1">
        <v>1</v>
      </c>
      <c r="T415" s="1">
        <v>0.8</v>
      </c>
      <c r="U415" s="1">
        <v>10</v>
      </c>
      <c r="V415" s="5">
        <f t="shared" si="107"/>
        <v>2.4999999999999991</v>
      </c>
      <c r="X415" s="1">
        <v>53</v>
      </c>
      <c r="Y415" s="6">
        <f t="shared" si="109"/>
        <v>2301.6232444235952</v>
      </c>
      <c r="Z415" s="6">
        <f t="shared" si="110"/>
        <v>59620.621919615893</v>
      </c>
      <c r="AA415" s="6">
        <f t="shared" si="111"/>
        <v>4741.053098922539</v>
      </c>
      <c r="AB415" s="1">
        <f t="shared" si="112"/>
        <v>0.4</v>
      </c>
      <c r="AC415" s="1">
        <f t="shared" si="102"/>
        <v>1.5</v>
      </c>
      <c r="AD415" s="1">
        <f t="shared" si="103"/>
        <v>1</v>
      </c>
      <c r="AE415" s="1">
        <f t="shared" si="113"/>
        <v>10</v>
      </c>
      <c r="AF415" s="33">
        <f t="shared" si="114"/>
        <v>2.4999999999999991</v>
      </c>
    </row>
    <row r="416" spans="4:32" ht="14.25" hidden="1" customHeight="1" outlineLevel="1" x14ac:dyDescent="0.2">
      <c r="D416" s="1">
        <v>54</v>
      </c>
      <c r="E416" s="6">
        <f t="shared" si="115"/>
        <v>241.67044066447747</v>
      </c>
      <c r="F416" s="6">
        <f t="shared" si="115"/>
        <v>7868.3556751043234</v>
      </c>
      <c r="G416" s="6">
        <f t="shared" si="115"/>
        <v>66.374743384915547</v>
      </c>
      <c r="H416" s="1">
        <v>0.4</v>
      </c>
      <c r="I416" s="1">
        <v>1.5</v>
      </c>
      <c r="J416" s="1">
        <v>1</v>
      </c>
      <c r="M416" s="1">
        <v>54</v>
      </c>
      <c r="N416" s="6">
        <f t="shared" si="108"/>
        <v>12083.522033223875</v>
      </c>
      <c r="O416" s="6">
        <f t="shared" si="105"/>
        <v>562142.62144949869</v>
      </c>
      <c r="P416" s="6">
        <f t="shared" si="106"/>
        <v>4978.1057538686664</v>
      </c>
      <c r="Q416" s="1">
        <v>0.4</v>
      </c>
      <c r="R416" s="1">
        <v>1.5</v>
      </c>
      <c r="S416" s="1">
        <v>1</v>
      </c>
      <c r="T416" s="1">
        <v>0.8</v>
      </c>
      <c r="U416" s="1">
        <v>10</v>
      </c>
      <c r="V416" s="5">
        <f t="shared" si="107"/>
        <v>2.4999999999999991</v>
      </c>
      <c r="X416" s="1">
        <v>54</v>
      </c>
      <c r="Y416" s="6">
        <f t="shared" si="109"/>
        <v>2416.7044066447752</v>
      </c>
      <c r="Z416" s="6">
        <f t="shared" si="110"/>
        <v>62460.29127216652</v>
      </c>
      <c r="AA416" s="6">
        <f t="shared" si="111"/>
        <v>4978.1057538686664</v>
      </c>
      <c r="AB416" s="1">
        <f t="shared" si="112"/>
        <v>0.4</v>
      </c>
      <c r="AC416" s="1">
        <f t="shared" si="102"/>
        <v>1.5</v>
      </c>
      <c r="AD416" s="1">
        <f t="shared" si="103"/>
        <v>1</v>
      </c>
      <c r="AE416" s="1">
        <f t="shared" si="113"/>
        <v>10</v>
      </c>
      <c r="AF416" s="33">
        <f t="shared" si="114"/>
        <v>2.4999999999999991</v>
      </c>
    </row>
    <row r="417" spans="4:32" ht="14.25" hidden="1" customHeight="1" outlineLevel="1" x14ac:dyDescent="0.2">
      <c r="D417" s="1">
        <v>55</v>
      </c>
      <c r="E417" s="6">
        <f t="shared" si="115"/>
        <v>253.75396269770133</v>
      </c>
      <c r="F417" s="6">
        <f t="shared" si="115"/>
        <v>8261.7734588595395</v>
      </c>
      <c r="G417" s="6">
        <f t="shared" si="115"/>
        <v>69.693480554161312</v>
      </c>
      <c r="H417" s="1">
        <v>0.4</v>
      </c>
      <c r="I417" s="1">
        <v>1.5</v>
      </c>
      <c r="J417" s="1">
        <v>1</v>
      </c>
      <c r="M417" s="1">
        <v>55</v>
      </c>
      <c r="N417" s="6">
        <f t="shared" si="108"/>
        <v>12687.698134885068</v>
      </c>
      <c r="O417" s="6">
        <f t="shared" si="105"/>
        <v>588853.56837677886</v>
      </c>
      <c r="P417" s="6">
        <f t="shared" si="106"/>
        <v>5227.0110415620984</v>
      </c>
      <c r="Q417" s="1">
        <v>0.4</v>
      </c>
      <c r="R417" s="1">
        <v>1.5</v>
      </c>
      <c r="S417" s="1">
        <v>1</v>
      </c>
      <c r="T417" s="1">
        <v>0.8</v>
      </c>
      <c r="U417" s="1">
        <v>10</v>
      </c>
      <c r="V417" s="5">
        <f t="shared" si="107"/>
        <v>2.4999999999999991</v>
      </c>
      <c r="X417" s="1">
        <v>55</v>
      </c>
      <c r="Y417" s="6">
        <f t="shared" si="109"/>
        <v>2537.5396269770135</v>
      </c>
      <c r="Z417" s="6">
        <f t="shared" si="110"/>
        <v>65428.174264086541</v>
      </c>
      <c r="AA417" s="6">
        <f t="shared" si="111"/>
        <v>5227.0110415620984</v>
      </c>
      <c r="AB417" s="1">
        <f t="shared" si="112"/>
        <v>0.4</v>
      </c>
      <c r="AC417" s="1">
        <f t="shared" si="102"/>
        <v>1.5</v>
      </c>
      <c r="AD417" s="1">
        <f t="shared" si="103"/>
        <v>1</v>
      </c>
      <c r="AE417" s="1">
        <f t="shared" si="113"/>
        <v>10</v>
      </c>
      <c r="AF417" s="33">
        <f t="shared" si="114"/>
        <v>2.4999999999999991</v>
      </c>
    </row>
    <row r="418" spans="4:32" ht="14.25" hidden="1" customHeight="1" outlineLevel="1" x14ac:dyDescent="0.2">
      <c r="D418" s="1">
        <v>56</v>
      </c>
      <c r="E418" s="6">
        <f t="shared" si="115"/>
        <v>266.44166083258642</v>
      </c>
      <c r="F418" s="6">
        <f t="shared" si="115"/>
        <v>8674.862131802518</v>
      </c>
      <c r="G418" s="6">
        <f t="shared" si="115"/>
        <v>73.178154581869393</v>
      </c>
      <c r="H418" s="1">
        <v>0.4</v>
      </c>
      <c r="I418" s="1">
        <v>1.5</v>
      </c>
      <c r="J418" s="1">
        <v>1</v>
      </c>
      <c r="M418" s="1">
        <v>56</v>
      </c>
      <c r="N418" s="6">
        <f t="shared" si="108"/>
        <v>13322.083041629321</v>
      </c>
      <c r="O418" s="6">
        <f t="shared" si="105"/>
        <v>616764.39946187742</v>
      </c>
      <c r="P418" s="6">
        <f t="shared" si="106"/>
        <v>5488.3615936402048</v>
      </c>
      <c r="Q418" s="1">
        <v>0.4</v>
      </c>
      <c r="R418" s="1">
        <v>1.5</v>
      </c>
      <c r="S418" s="1">
        <v>1</v>
      </c>
      <c r="T418" s="1">
        <v>0.8</v>
      </c>
      <c r="U418" s="1">
        <v>10</v>
      </c>
      <c r="V418" s="5">
        <f t="shared" si="107"/>
        <v>2.5</v>
      </c>
      <c r="X418" s="1">
        <v>56</v>
      </c>
      <c r="Y418" s="6">
        <f t="shared" si="109"/>
        <v>2664.4166083258642</v>
      </c>
      <c r="Z418" s="6">
        <f t="shared" si="110"/>
        <v>68529.377717986383</v>
      </c>
      <c r="AA418" s="6">
        <f t="shared" si="111"/>
        <v>5488.3615936402048</v>
      </c>
      <c r="AB418" s="1">
        <f t="shared" si="112"/>
        <v>0.4</v>
      </c>
      <c r="AC418" s="1">
        <f t="shared" si="102"/>
        <v>1.5</v>
      </c>
      <c r="AD418" s="1">
        <f t="shared" si="103"/>
        <v>1</v>
      </c>
      <c r="AE418" s="1">
        <f t="shared" si="113"/>
        <v>10</v>
      </c>
      <c r="AF418" s="33">
        <f t="shared" si="114"/>
        <v>2.5</v>
      </c>
    </row>
    <row r="419" spans="4:32" ht="14.25" hidden="1" customHeight="1" outlineLevel="1" x14ac:dyDescent="0.2">
      <c r="D419" s="1">
        <v>57</v>
      </c>
      <c r="E419" s="6">
        <f t="shared" si="115"/>
        <v>279.76374387421572</v>
      </c>
      <c r="F419" s="6">
        <f t="shared" si="115"/>
        <v>9108.6052383926435</v>
      </c>
      <c r="G419" s="6">
        <f t="shared" si="115"/>
        <v>76.83706231096285</v>
      </c>
      <c r="H419" s="1">
        <v>0.4</v>
      </c>
      <c r="I419" s="1">
        <v>1.5</v>
      </c>
      <c r="J419" s="1">
        <v>1</v>
      </c>
      <c r="M419" s="1">
        <v>57</v>
      </c>
      <c r="N419" s="6">
        <f t="shared" si="108"/>
        <v>13988.187193710786</v>
      </c>
      <c r="O419" s="6">
        <f t="shared" si="105"/>
        <v>645922.31311386952</v>
      </c>
      <c r="P419" s="6">
        <f t="shared" si="106"/>
        <v>5762.779673322214</v>
      </c>
      <c r="Q419" s="1">
        <v>0.4</v>
      </c>
      <c r="R419" s="1">
        <v>1.5</v>
      </c>
      <c r="S419" s="1">
        <v>1</v>
      </c>
      <c r="T419" s="1">
        <v>0.8</v>
      </c>
      <c r="U419" s="1">
        <v>10</v>
      </c>
      <c r="V419" s="5">
        <f t="shared" si="107"/>
        <v>2.4999999999999991</v>
      </c>
      <c r="X419" s="1">
        <v>57</v>
      </c>
      <c r="Y419" s="6">
        <f t="shared" si="109"/>
        <v>2797.6374387421574</v>
      </c>
      <c r="Z419" s="6">
        <f t="shared" si="110"/>
        <v>71769.145901541051</v>
      </c>
      <c r="AA419" s="6">
        <f t="shared" si="111"/>
        <v>5762.779673322214</v>
      </c>
      <c r="AB419" s="1">
        <f t="shared" si="112"/>
        <v>0.4</v>
      </c>
      <c r="AC419" s="1">
        <f t="shared" si="102"/>
        <v>1.5</v>
      </c>
      <c r="AD419" s="1">
        <f t="shared" si="103"/>
        <v>1</v>
      </c>
      <c r="AE419" s="1">
        <f t="shared" si="113"/>
        <v>10</v>
      </c>
      <c r="AF419" s="33">
        <f t="shared" si="114"/>
        <v>2.4999999999999991</v>
      </c>
    </row>
    <row r="420" spans="4:32" ht="14.25" hidden="1" customHeight="1" outlineLevel="1" x14ac:dyDescent="0.2">
      <c r="D420" s="1">
        <v>58</v>
      </c>
      <c r="E420" s="6">
        <f t="shared" si="115"/>
        <v>293.75193106792653</v>
      </c>
      <c r="F420" s="6">
        <f t="shared" si="115"/>
        <v>9564.0355003122768</v>
      </c>
      <c r="G420" s="6">
        <f t="shared" si="115"/>
        <v>80.678915426510997</v>
      </c>
      <c r="H420" s="1">
        <v>0.4</v>
      </c>
      <c r="I420" s="1">
        <v>1.5</v>
      </c>
      <c r="J420" s="1">
        <v>1</v>
      </c>
      <c r="M420" s="1">
        <v>58</v>
      </c>
      <c r="N420" s="6">
        <f t="shared" si="108"/>
        <v>14687.596553396328</v>
      </c>
      <c r="O420" s="6">
        <f t="shared" si="105"/>
        <v>676375.718010957</v>
      </c>
      <c r="P420" s="6">
        <f t="shared" si="106"/>
        <v>6050.918656988325</v>
      </c>
      <c r="Q420" s="1">
        <v>0.4</v>
      </c>
      <c r="R420" s="1">
        <v>1.5</v>
      </c>
      <c r="S420" s="1">
        <v>1</v>
      </c>
      <c r="T420" s="1">
        <v>0.8</v>
      </c>
      <c r="U420" s="1">
        <v>10</v>
      </c>
      <c r="V420" s="5">
        <f t="shared" si="107"/>
        <v>2.4999999999999996</v>
      </c>
      <c r="X420" s="1">
        <v>58</v>
      </c>
      <c r="Y420" s="6">
        <f t="shared" si="109"/>
        <v>2937.5193106792658</v>
      </c>
      <c r="Z420" s="6">
        <f t="shared" si="110"/>
        <v>75152.857556773</v>
      </c>
      <c r="AA420" s="6">
        <f t="shared" si="111"/>
        <v>6050.918656988325</v>
      </c>
      <c r="AB420" s="1">
        <f t="shared" si="112"/>
        <v>0.4</v>
      </c>
      <c r="AC420" s="1">
        <f t="shared" si="102"/>
        <v>1.5</v>
      </c>
      <c r="AD420" s="1">
        <f t="shared" si="103"/>
        <v>1</v>
      </c>
      <c r="AE420" s="1">
        <f t="shared" si="113"/>
        <v>10</v>
      </c>
      <c r="AF420" s="33">
        <f t="shared" si="114"/>
        <v>2.4999999999999996</v>
      </c>
    </row>
    <row r="421" spans="4:32" ht="14.25" hidden="1" customHeight="1" outlineLevel="1" x14ac:dyDescent="0.2">
      <c r="D421" s="1">
        <v>59</v>
      </c>
      <c r="E421" s="6">
        <f t="shared" si="115"/>
        <v>308.4395276213229</v>
      </c>
      <c r="F421" s="6">
        <f t="shared" si="115"/>
        <v>10042.237275327891</v>
      </c>
      <c r="G421" s="6">
        <f t="shared" si="115"/>
        <v>84.71286119783656</v>
      </c>
      <c r="H421" s="1">
        <v>0.4</v>
      </c>
      <c r="I421" s="1">
        <v>1.5</v>
      </c>
      <c r="J421" s="1">
        <v>1</v>
      </c>
      <c r="M421" s="1">
        <v>59</v>
      </c>
      <c r="N421" s="6">
        <f t="shared" si="108"/>
        <v>15421.976381066146</v>
      </c>
      <c r="O421" s="6">
        <f t="shared" si="105"/>
        <v>708174.1987007712</v>
      </c>
      <c r="P421" s="6">
        <f t="shared" si="106"/>
        <v>6353.4645898377421</v>
      </c>
      <c r="Q421" s="1">
        <v>0.4</v>
      </c>
      <c r="R421" s="1">
        <v>1.5</v>
      </c>
      <c r="S421" s="1">
        <v>1</v>
      </c>
      <c r="T421" s="1">
        <v>0.8</v>
      </c>
      <c r="U421" s="1">
        <v>10</v>
      </c>
      <c r="V421" s="5">
        <f t="shared" si="107"/>
        <v>2.4999999999999987</v>
      </c>
      <c r="X421" s="1">
        <v>59</v>
      </c>
      <c r="Y421" s="6">
        <f t="shared" si="109"/>
        <v>3084.3952762132294</v>
      </c>
      <c r="Z421" s="6">
        <f t="shared" si="110"/>
        <v>78686.022077863468</v>
      </c>
      <c r="AA421" s="6">
        <f t="shared" si="111"/>
        <v>6353.4645898377421</v>
      </c>
      <c r="AB421" s="1">
        <f t="shared" si="112"/>
        <v>0.4</v>
      </c>
      <c r="AC421" s="1">
        <f t="shared" si="102"/>
        <v>1.5</v>
      </c>
      <c r="AD421" s="1">
        <f t="shared" si="103"/>
        <v>1</v>
      </c>
      <c r="AE421" s="1">
        <f t="shared" si="113"/>
        <v>10</v>
      </c>
      <c r="AF421" s="33">
        <f t="shared" si="114"/>
        <v>2.4999999999999987</v>
      </c>
    </row>
    <row r="422" spans="4:32" ht="14.25" hidden="1" customHeight="1" outlineLevel="1" x14ac:dyDescent="0.2">
      <c r="D422" s="1">
        <v>60</v>
      </c>
      <c r="E422" s="6">
        <f t="shared" si="115"/>
        <v>323.86150400238904</v>
      </c>
      <c r="F422" s="6">
        <f t="shared" si="115"/>
        <v>10544.349139094285</v>
      </c>
      <c r="G422" s="6">
        <f t="shared" si="115"/>
        <v>88.948504257728388</v>
      </c>
      <c r="H422" s="1">
        <v>0.4</v>
      </c>
      <c r="I422" s="1">
        <v>1.5</v>
      </c>
      <c r="J422" s="1">
        <v>1</v>
      </c>
      <c r="M422" s="1">
        <v>60</v>
      </c>
      <c r="N422" s="6">
        <f t="shared" si="108"/>
        <v>16193.075200119454</v>
      </c>
      <c r="O422" s="6">
        <f t="shared" si="105"/>
        <v>741368.47285861406</v>
      </c>
      <c r="P422" s="6">
        <f t="shared" si="106"/>
        <v>6671.1378193296287</v>
      </c>
      <c r="Q422" s="1">
        <v>0.4</v>
      </c>
      <c r="R422" s="1">
        <v>1.5</v>
      </c>
      <c r="S422" s="1">
        <v>1</v>
      </c>
      <c r="T422" s="1">
        <v>0.8</v>
      </c>
      <c r="U422" s="1">
        <v>10</v>
      </c>
      <c r="V422" s="5">
        <f t="shared" si="107"/>
        <v>2.4999999999999987</v>
      </c>
      <c r="X422" s="1">
        <v>60</v>
      </c>
      <c r="Y422" s="6">
        <f t="shared" si="109"/>
        <v>3238.6150400238907</v>
      </c>
      <c r="Z422" s="6">
        <f t="shared" si="110"/>
        <v>82374.274762068235</v>
      </c>
      <c r="AA422" s="6">
        <f t="shared" si="111"/>
        <v>6671.1378193296287</v>
      </c>
      <c r="AB422" s="1">
        <f t="shared" si="112"/>
        <v>0.4</v>
      </c>
      <c r="AC422" s="1">
        <f t="shared" si="102"/>
        <v>1.5</v>
      </c>
      <c r="AD422" s="1">
        <f t="shared" si="103"/>
        <v>1</v>
      </c>
      <c r="AE422" s="1">
        <f t="shared" si="113"/>
        <v>10</v>
      </c>
      <c r="AF422" s="33">
        <f t="shared" si="114"/>
        <v>2.4999999999999987</v>
      </c>
    </row>
    <row r="423" spans="4:32" ht="14.25" hidden="1" customHeight="1" outlineLevel="1" x14ac:dyDescent="0.2">
      <c r="D423" s="1">
        <v>61</v>
      </c>
      <c r="E423" s="6">
        <f t="shared" si="115"/>
        <v>340.05457920250842</v>
      </c>
      <c r="F423" s="6">
        <f t="shared" si="115"/>
        <v>11071.566596048999</v>
      </c>
      <c r="G423" s="6">
        <f t="shared" si="115"/>
        <v>93.395929470614789</v>
      </c>
      <c r="H423" s="1">
        <v>0.4</v>
      </c>
      <c r="I423" s="1">
        <v>1.5</v>
      </c>
      <c r="J423" s="1">
        <v>1</v>
      </c>
      <c r="M423" s="1">
        <v>61</v>
      </c>
      <c r="N423" s="6">
        <f t="shared" si="108"/>
        <v>17002.72896012542</v>
      </c>
      <c r="O423" s="6">
        <f t="shared" si="105"/>
        <v>776010.33950127813</v>
      </c>
      <c r="P423" s="6">
        <f t="shared" si="106"/>
        <v>7004.6947102961094</v>
      </c>
      <c r="Q423" s="1">
        <v>0.4</v>
      </c>
      <c r="R423" s="1">
        <v>1.5</v>
      </c>
      <c r="S423" s="1">
        <v>1</v>
      </c>
      <c r="T423" s="1">
        <v>0.8</v>
      </c>
      <c r="U423" s="1">
        <v>10</v>
      </c>
      <c r="V423" s="5">
        <f t="shared" si="107"/>
        <v>2.4999999999999996</v>
      </c>
      <c r="X423" s="1">
        <v>61</v>
      </c>
      <c r="Y423" s="6">
        <f t="shared" si="109"/>
        <v>3400.5457920250838</v>
      </c>
      <c r="Z423" s="6">
        <f t="shared" si="110"/>
        <v>86223.371055697571</v>
      </c>
      <c r="AA423" s="6">
        <f t="shared" si="111"/>
        <v>7004.6947102961094</v>
      </c>
      <c r="AB423" s="1">
        <f t="shared" si="112"/>
        <v>0.4</v>
      </c>
      <c r="AC423" s="1">
        <f t="shared" si="102"/>
        <v>1.5</v>
      </c>
      <c r="AD423" s="1">
        <f t="shared" si="103"/>
        <v>1</v>
      </c>
      <c r="AE423" s="1">
        <f t="shared" si="113"/>
        <v>10</v>
      </c>
      <c r="AF423" s="33">
        <f t="shared" si="114"/>
        <v>2.4999999999999996</v>
      </c>
    </row>
    <row r="424" spans="4:32" ht="14.25" hidden="1" customHeight="1" outlineLevel="1" x14ac:dyDescent="0.2">
      <c r="D424" s="1">
        <v>62</v>
      </c>
      <c r="E424" s="6">
        <f t="shared" si="115"/>
        <v>357.05730816263394</v>
      </c>
      <c r="F424" s="6">
        <f t="shared" si="115"/>
        <v>11625.144925851451</v>
      </c>
      <c r="G424" s="6">
        <f t="shared" si="115"/>
        <v>98.065725944145555</v>
      </c>
      <c r="H424" s="1">
        <v>0.4</v>
      </c>
      <c r="I424" s="1">
        <v>1.5</v>
      </c>
      <c r="J424" s="1">
        <v>1</v>
      </c>
      <c r="M424" s="1">
        <v>62</v>
      </c>
      <c r="N424" s="6">
        <f t="shared" si="108"/>
        <v>17852.8654081317</v>
      </c>
      <c r="O424" s="6">
        <f t="shared" si="105"/>
        <v>812152.6174342623</v>
      </c>
      <c r="P424" s="6">
        <f t="shared" si="106"/>
        <v>7354.9294458109171</v>
      </c>
      <c r="Q424" s="1">
        <v>0.4</v>
      </c>
      <c r="R424" s="1">
        <v>1.5</v>
      </c>
      <c r="S424" s="1">
        <v>1</v>
      </c>
      <c r="T424" s="1">
        <v>0.8</v>
      </c>
      <c r="U424" s="1">
        <v>10</v>
      </c>
      <c r="V424" s="5">
        <f t="shared" si="107"/>
        <v>2.4999999999999991</v>
      </c>
      <c r="X424" s="1">
        <v>62</v>
      </c>
      <c r="Y424" s="6">
        <f t="shared" si="109"/>
        <v>3570.5730816263399</v>
      </c>
      <c r="Z424" s="6">
        <f t="shared" si="110"/>
        <v>90239.179714918035</v>
      </c>
      <c r="AA424" s="6">
        <f t="shared" si="111"/>
        <v>7354.9294458109171</v>
      </c>
      <c r="AB424" s="1">
        <f t="shared" si="112"/>
        <v>0.4</v>
      </c>
      <c r="AC424" s="1">
        <f t="shared" si="102"/>
        <v>1.5</v>
      </c>
      <c r="AD424" s="1">
        <f t="shared" si="103"/>
        <v>1</v>
      </c>
      <c r="AE424" s="1">
        <f t="shared" si="113"/>
        <v>10</v>
      </c>
      <c r="AF424" s="33">
        <f t="shared" si="114"/>
        <v>2.4999999999999991</v>
      </c>
    </row>
    <row r="425" spans="4:32" ht="14.25" hidden="1" customHeight="1" outlineLevel="1" x14ac:dyDescent="0.2">
      <c r="D425" s="1">
        <v>63</v>
      </c>
      <c r="E425" s="6">
        <f t="shared" si="115"/>
        <v>374.91017357076549</v>
      </c>
      <c r="F425" s="6">
        <f t="shared" si="115"/>
        <v>12206.402172144019</v>
      </c>
      <c r="G425" s="6">
        <f t="shared" si="115"/>
        <v>102.9690122413528</v>
      </c>
      <c r="H425" s="1">
        <v>0.4</v>
      </c>
      <c r="I425" s="1">
        <v>1.5</v>
      </c>
      <c r="J425" s="1">
        <v>1</v>
      </c>
      <c r="M425" s="1">
        <v>63</v>
      </c>
      <c r="N425" s="6">
        <f t="shared" si="108"/>
        <v>18745.508678538277</v>
      </c>
      <c r="O425" s="6">
        <f t="shared" si="105"/>
        <v>849849.07319496537</v>
      </c>
      <c r="P425" s="6">
        <f t="shared" si="106"/>
        <v>7722.6759181014604</v>
      </c>
      <c r="Q425" s="1">
        <v>0.4</v>
      </c>
      <c r="R425" s="1">
        <v>1.5</v>
      </c>
      <c r="S425" s="1">
        <v>1</v>
      </c>
      <c r="T425" s="1">
        <v>0.8</v>
      </c>
      <c r="U425" s="1">
        <v>10</v>
      </c>
      <c r="V425" s="5">
        <f t="shared" si="107"/>
        <v>2.4999999999999991</v>
      </c>
      <c r="X425" s="1">
        <v>63</v>
      </c>
      <c r="Y425" s="6">
        <f t="shared" si="109"/>
        <v>3749.1017357076553</v>
      </c>
      <c r="Z425" s="6">
        <f t="shared" si="110"/>
        <v>94427.674799440603</v>
      </c>
      <c r="AA425" s="6">
        <f t="shared" si="111"/>
        <v>7722.6759181014604</v>
      </c>
      <c r="AB425" s="1">
        <f t="shared" si="112"/>
        <v>0.4</v>
      </c>
      <c r="AC425" s="1">
        <f t="shared" si="102"/>
        <v>1.5</v>
      </c>
      <c r="AD425" s="1">
        <f t="shared" si="103"/>
        <v>1</v>
      </c>
      <c r="AE425" s="1">
        <f t="shared" si="113"/>
        <v>10</v>
      </c>
      <c r="AF425" s="33">
        <f t="shared" si="114"/>
        <v>2.4999999999999991</v>
      </c>
    </row>
    <row r="426" spans="4:32" ht="14.25" hidden="1" customHeight="1" outlineLevel="1" x14ac:dyDescent="0.2">
      <c r="D426" s="1">
        <v>64</v>
      </c>
      <c r="E426" s="6">
        <f t="shared" si="115"/>
        <v>393.65568224930394</v>
      </c>
      <c r="F426" s="6">
        <f t="shared" si="115"/>
        <v>12816.722280751224</v>
      </c>
      <c r="G426" s="6">
        <f t="shared" si="115"/>
        <v>108.11746285342048</v>
      </c>
      <c r="H426" s="1">
        <v>0.4</v>
      </c>
      <c r="I426" s="1">
        <v>1.5</v>
      </c>
      <c r="J426" s="1">
        <v>1</v>
      </c>
      <c r="M426" s="1">
        <v>64</v>
      </c>
      <c r="N426" s="6">
        <f t="shared" si="108"/>
        <v>19682.7841124652</v>
      </c>
      <c r="O426" s="6">
        <f t="shared" si="105"/>
        <v>889154.33774478245</v>
      </c>
      <c r="P426" s="6">
        <f t="shared" si="106"/>
        <v>8108.8097140065356</v>
      </c>
      <c r="Q426" s="1">
        <v>0.4</v>
      </c>
      <c r="R426" s="1">
        <v>1.5</v>
      </c>
      <c r="S426" s="1">
        <v>1</v>
      </c>
      <c r="T426" s="1">
        <v>0.8</v>
      </c>
      <c r="U426" s="1">
        <v>10</v>
      </c>
      <c r="V426" s="5">
        <f t="shared" si="107"/>
        <v>2.4999999999999991</v>
      </c>
      <c r="X426" s="1">
        <v>64</v>
      </c>
      <c r="Y426" s="6">
        <f t="shared" si="109"/>
        <v>3936.5568224930403</v>
      </c>
      <c r="Z426" s="6">
        <f t="shared" si="110"/>
        <v>98794.926416086935</v>
      </c>
      <c r="AA426" s="6">
        <f t="shared" si="111"/>
        <v>8108.8097140065356</v>
      </c>
      <c r="AB426" s="1">
        <f t="shared" si="112"/>
        <v>0.4</v>
      </c>
      <c r="AC426" s="1">
        <f t="shared" si="102"/>
        <v>1.5</v>
      </c>
      <c r="AD426" s="1">
        <f t="shared" si="103"/>
        <v>1</v>
      </c>
      <c r="AE426" s="1">
        <f t="shared" si="113"/>
        <v>10</v>
      </c>
      <c r="AF426" s="33">
        <f t="shared" si="114"/>
        <v>2.4999999999999991</v>
      </c>
    </row>
    <row r="427" spans="4:32" ht="14.25" hidden="1" customHeight="1" outlineLevel="1" x14ac:dyDescent="0.2">
      <c r="D427" s="1">
        <v>65</v>
      </c>
      <c r="E427" s="6">
        <f t="shared" si="115"/>
        <v>413.33846636176912</v>
      </c>
      <c r="F427" s="6">
        <f t="shared" si="115"/>
        <v>13457.558394788784</v>
      </c>
      <c r="G427" s="6">
        <f t="shared" si="115"/>
        <v>113.5233359960915</v>
      </c>
      <c r="H427" s="1">
        <v>0.4</v>
      </c>
      <c r="I427" s="1">
        <v>1.5</v>
      </c>
      <c r="J427" s="1">
        <v>1</v>
      </c>
      <c r="M427" s="1">
        <v>65</v>
      </c>
      <c r="N427" s="6">
        <f t="shared" si="108"/>
        <v>20666.923318088458</v>
      </c>
      <c r="O427" s="6">
        <f t="shared" si="105"/>
        <v>930123.81115995161</v>
      </c>
      <c r="P427" s="6">
        <f t="shared" si="106"/>
        <v>8514.250199706863</v>
      </c>
      <c r="Q427" s="1">
        <v>0.4</v>
      </c>
      <c r="R427" s="1">
        <v>1.5</v>
      </c>
      <c r="S427" s="1">
        <v>1</v>
      </c>
      <c r="T427" s="1">
        <v>0.8</v>
      </c>
      <c r="U427" s="1">
        <v>10</v>
      </c>
      <c r="V427" s="5">
        <f t="shared" si="107"/>
        <v>2.4999999999999996</v>
      </c>
      <c r="X427" s="1">
        <v>65</v>
      </c>
      <c r="Y427" s="6">
        <f t="shared" si="109"/>
        <v>4133.3846636176913</v>
      </c>
      <c r="Z427" s="6">
        <f t="shared" si="110"/>
        <v>103347.09012888352</v>
      </c>
      <c r="AA427" s="6">
        <f t="shared" si="111"/>
        <v>8514.250199706863</v>
      </c>
      <c r="AB427" s="1">
        <f t="shared" si="112"/>
        <v>0.4</v>
      </c>
      <c r="AC427" s="1">
        <f t="shared" ref="AC427:AC462" si="116">R427</f>
        <v>1.5</v>
      </c>
      <c r="AD427" s="1">
        <f t="shared" ref="AD427:AD462" si="117">S427</f>
        <v>1</v>
      </c>
      <c r="AE427" s="1">
        <f t="shared" si="113"/>
        <v>10</v>
      </c>
      <c r="AF427" s="33">
        <f t="shared" si="114"/>
        <v>2.4999999999999996</v>
      </c>
    </row>
    <row r="428" spans="4:32" ht="14.25" hidden="1" customHeight="1" outlineLevel="1" x14ac:dyDescent="0.2">
      <c r="D428" s="1">
        <v>66</v>
      </c>
      <c r="E428" s="6">
        <f t="shared" ref="E428:G462" si="118">E$360*E$361^($D428-1)</f>
        <v>434.00538967985761</v>
      </c>
      <c r="F428" s="6">
        <f t="shared" si="118"/>
        <v>14130.436314528226</v>
      </c>
      <c r="G428" s="6">
        <f t="shared" si="118"/>
        <v>119.19950279589608</v>
      </c>
      <c r="H428" s="1">
        <v>0.4</v>
      </c>
      <c r="I428" s="1">
        <v>1.5</v>
      </c>
      <c r="J428" s="1">
        <v>1</v>
      </c>
      <c r="M428" s="1">
        <v>66</v>
      </c>
      <c r="N428" s="6">
        <f t="shared" si="108"/>
        <v>21700.269483992884</v>
      </c>
      <c r="O428" s="6">
        <f t="shared" ref="O428:O462" si="119">F428*$K$21/(1+P428/$P$22)</f>
        <v>972813.55457571638</v>
      </c>
      <c r="P428" s="6">
        <f t="shared" ref="P428:P462" si="120">G428*$K$21</f>
        <v>8939.9627096922068</v>
      </c>
      <c r="Q428" s="1">
        <v>0.4</v>
      </c>
      <c r="R428" s="1">
        <v>1.5</v>
      </c>
      <c r="S428" s="1">
        <v>1</v>
      </c>
      <c r="T428" s="1">
        <v>0.8</v>
      </c>
      <c r="U428" s="1">
        <v>10</v>
      </c>
      <c r="V428" s="5">
        <f t="shared" ref="V428:V462" si="121">E428*$K$21*(1-T428)/(1/U428)/(1+Q428*(R428-1))/N428</f>
        <v>2.4999999999999991</v>
      </c>
      <c r="X428" s="1">
        <v>66</v>
      </c>
      <c r="Y428" s="6">
        <f t="shared" si="109"/>
        <v>4340.0538967985767</v>
      </c>
      <c r="Z428" s="6">
        <f t="shared" si="110"/>
        <v>108090.39495285737</v>
      </c>
      <c r="AA428" s="6">
        <f t="shared" si="111"/>
        <v>8939.9627096922068</v>
      </c>
      <c r="AB428" s="1">
        <f t="shared" si="112"/>
        <v>0.4</v>
      </c>
      <c r="AC428" s="1">
        <f t="shared" si="116"/>
        <v>1.5</v>
      </c>
      <c r="AD428" s="1">
        <f t="shared" si="117"/>
        <v>1</v>
      </c>
      <c r="AE428" s="1">
        <f t="shared" si="113"/>
        <v>10</v>
      </c>
      <c r="AF428" s="33">
        <f t="shared" si="114"/>
        <v>2.4999999999999991</v>
      </c>
    </row>
    <row r="429" spans="4:32" ht="14.25" hidden="1" customHeight="1" outlineLevel="1" x14ac:dyDescent="0.2">
      <c r="D429" s="1">
        <v>67</v>
      </c>
      <c r="E429" s="6">
        <f t="shared" si="118"/>
        <v>455.70565916385044</v>
      </c>
      <c r="F429" s="6">
        <f t="shared" si="118"/>
        <v>14836.958130254636</v>
      </c>
      <c r="G429" s="6">
        <f t="shared" si="118"/>
        <v>125.15947793569089</v>
      </c>
      <c r="H429" s="1">
        <v>0.4</v>
      </c>
      <c r="I429" s="1">
        <v>1.5</v>
      </c>
      <c r="J429" s="1">
        <v>1</v>
      </c>
      <c r="M429" s="1">
        <v>67</v>
      </c>
      <c r="N429" s="6">
        <f t="shared" ref="N429:N462" si="122">E429*T429*$K$21/S429/(1+Q429*(R429-1))</f>
        <v>22785.282958192525</v>
      </c>
      <c r="O429" s="6">
        <f t="shared" si="119"/>
        <v>1017280.1686519871</v>
      </c>
      <c r="P429" s="6">
        <f t="shared" si="120"/>
        <v>9386.9608451768163</v>
      </c>
      <c r="Q429" s="1">
        <v>0.4</v>
      </c>
      <c r="R429" s="1">
        <v>1.5</v>
      </c>
      <c r="S429" s="1">
        <v>1</v>
      </c>
      <c r="T429" s="1">
        <v>0.8</v>
      </c>
      <c r="U429" s="1">
        <v>10</v>
      </c>
      <c r="V429" s="5">
        <f t="shared" si="121"/>
        <v>2.4999999999999987</v>
      </c>
      <c r="X429" s="1">
        <v>67</v>
      </c>
      <c r="Y429" s="6">
        <f t="shared" ref="Y429:Y462" si="123">2*N429/(1+$X$22)</f>
        <v>4557.0565916385049</v>
      </c>
      <c r="Z429" s="6">
        <f t="shared" ref="Z429:Z462" si="124">O429/$X$22</f>
        <v>113031.12985022079</v>
      </c>
      <c r="AA429" s="6">
        <f t="shared" ref="AA429:AA462" si="125">P429</f>
        <v>9386.9608451768163</v>
      </c>
      <c r="AB429" s="1">
        <f t="shared" ref="AB429:AB462" si="126">Q429</f>
        <v>0.4</v>
      </c>
      <c r="AC429" s="1">
        <f t="shared" si="116"/>
        <v>1.5</v>
      </c>
      <c r="AD429" s="1">
        <f t="shared" si="117"/>
        <v>1</v>
      </c>
      <c r="AE429" s="1">
        <f t="shared" ref="AE429:AE462" si="127">U429</f>
        <v>10</v>
      </c>
      <c r="AF429" s="33">
        <f t="shared" ref="AF429:AF462" si="128">V429</f>
        <v>2.4999999999999987</v>
      </c>
    </row>
    <row r="430" spans="4:32" ht="14.25" hidden="1" customHeight="1" outlineLevel="1" x14ac:dyDescent="0.2">
      <c r="D430" s="1">
        <v>68</v>
      </c>
      <c r="E430" s="6">
        <f t="shared" si="118"/>
        <v>478.49094212204301</v>
      </c>
      <c r="F430" s="6">
        <f t="shared" si="118"/>
        <v>15578.80603676737</v>
      </c>
      <c r="G430" s="6">
        <f t="shared" si="118"/>
        <v>131.41745183247542</v>
      </c>
      <c r="H430" s="1">
        <v>0.4</v>
      </c>
      <c r="I430" s="1">
        <v>1.5</v>
      </c>
      <c r="J430" s="1">
        <v>1</v>
      </c>
      <c r="M430" s="1">
        <v>68</v>
      </c>
      <c r="N430" s="6">
        <f t="shared" si="122"/>
        <v>23924.547106102156</v>
      </c>
      <c r="O430" s="6">
        <f t="shared" si="119"/>
        <v>1063580.6578525822</v>
      </c>
      <c r="P430" s="6">
        <f t="shared" si="120"/>
        <v>9856.3088874356563</v>
      </c>
      <c r="Q430" s="1">
        <v>0.4</v>
      </c>
      <c r="R430" s="1">
        <v>1.5</v>
      </c>
      <c r="S430" s="1">
        <v>1</v>
      </c>
      <c r="T430" s="1">
        <v>0.8</v>
      </c>
      <c r="U430" s="1">
        <v>10</v>
      </c>
      <c r="V430" s="5">
        <f t="shared" si="121"/>
        <v>2.4999999999999991</v>
      </c>
      <c r="X430" s="1">
        <v>68</v>
      </c>
      <c r="Y430" s="6">
        <f t="shared" si="123"/>
        <v>4784.9094212204309</v>
      </c>
      <c r="Z430" s="6">
        <f t="shared" si="124"/>
        <v>118175.6286502869</v>
      </c>
      <c r="AA430" s="6">
        <f t="shared" si="125"/>
        <v>9856.3088874356563</v>
      </c>
      <c r="AB430" s="1">
        <f t="shared" si="126"/>
        <v>0.4</v>
      </c>
      <c r="AC430" s="1">
        <f t="shared" si="116"/>
        <v>1.5</v>
      </c>
      <c r="AD430" s="1">
        <f t="shared" si="117"/>
        <v>1</v>
      </c>
      <c r="AE430" s="1">
        <f t="shared" si="127"/>
        <v>10</v>
      </c>
      <c r="AF430" s="33">
        <f t="shared" si="128"/>
        <v>2.4999999999999991</v>
      </c>
    </row>
    <row r="431" spans="4:32" ht="14.25" hidden="1" customHeight="1" outlineLevel="1" x14ac:dyDescent="0.2">
      <c r="D431" s="1">
        <v>69</v>
      </c>
      <c r="E431" s="6">
        <f t="shared" si="118"/>
        <v>502.41548922814513</v>
      </c>
      <c r="F431" s="6">
        <f t="shared" si="118"/>
        <v>16357.746338605735</v>
      </c>
      <c r="G431" s="6">
        <f t="shared" si="118"/>
        <v>137.9883244240992</v>
      </c>
      <c r="H431" s="1">
        <v>0.4</v>
      </c>
      <c r="I431" s="1">
        <v>1.5</v>
      </c>
      <c r="J431" s="1">
        <v>1</v>
      </c>
      <c r="M431" s="1">
        <v>69</v>
      </c>
      <c r="N431" s="6">
        <f t="shared" si="122"/>
        <v>25120.774461407258</v>
      </c>
      <c r="O431" s="6">
        <f t="shared" si="119"/>
        <v>1111772.279865572</v>
      </c>
      <c r="P431" s="6">
        <f t="shared" si="120"/>
        <v>10349.124331807441</v>
      </c>
      <c r="Q431" s="1">
        <v>0.4</v>
      </c>
      <c r="R431" s="1">
        <v>1.5</v>
      </c>
      <c r="S431" s="1">
        <v>1</v>
      </c>
      <c r="T431" s="1">
        <v>0.8</v>
      </c>
      <c r="U431" s="1">
        <v>10</v>
      </c>
      <c r="V431" s="5">
        <f t="shared" si="121"/>
        <v>2.4999999999999991</v>
      </c>
      <c r="X431" s="1">
        <v>69</v>
      </c>
      <c r="Y431" s="6">
        <f t="shared" si="123"/>
        <v>5024.1548922814518</v>
      </c>
      <c r="Z431" s="6">
        <f t="shared" si="124"/>
        <v>123530.25331839689</v>
      </c>
      <c r="AA431" s="6">
        <f t="shared" si="125"/>
        <v>10349.124331807441</v>
      </c>
      <c r="AB431" s="1">
        <f t="shared" si="126"/>
        <v>0.4</v>
      </c>
      <c r="AC431" s="1">
        <f t="shared" si="116"/>
        <v>1.5</v>
      </c>
      <c r="AD431" s="1">
        <f t="shared" si="117"/>
        <v>1</v>
      </c>
      <c r="AE431" s="1">
        <f t="shared" si="127"/>
        <v>10</v>
      </c>
      <c r="AF431" s="33">
        <f t="shared" si="128"/>
        <v>2.4999999999999991</v>
      </c>
    </row>
    <row r="432" spans="4:32" ht="14.25" hidden="1" customHeight="1" outlineLevel="1" x14ac:dyDescent="0.2">
      <c r="D432" s="1">
        <v>70</v>
      </c>
      <c r="E432" s="6">
        <f t="shared" si="118"/>
        <v>527.53626368955236</v>
      </c>
      <c r="F432" s="6">
        <f t="shared" si="118"/>
        <v>17175.633655536025</v>
      </c>
      <c r="G432" s="6">
        <f t="shared" si="118"/>
        <v>144.88774064530415</v>
      </c>
      <c r="H432" s="1">
        <v>0.4</v>
      </c>
      <c r="I432" s="1">
        <v>1.5</v>
      </c>
      <c r="J432" s="1">
        <v>1</v>
      </c>
      <c r="M432" s="1">
        <v>70</v>
      </c>
      <c r="N432" s="6">
        <f t="shared" si="122"/>
        <v>26376.813184477622</v>
      </c>
      <c r="O432" s="6">
        <f t="shared" si="119"/>
        <v>1161912.3795406152</v>
      </c>
      <c r="P432" s="6">
        <f t="shared" si="120"/>
        <v>10866.580548397811</v>
      </c>
      <c r="Q432" s="1">
        <v>0.4</v>
      </c>
      <c r="R432" s="1">
        <v>1.5</v>
      </c>
      <c r="S432" s="1">
        <v>1</v>
      </c>
      <c r="T432" s="1">
        <v>0.8</v>
      </c>
      <c r="U432" s="1">
        <v>10</v>
      </c>
      <c r="V432" s="5">
        <f t="shared" si="121"/>
        <v>2.4999999999999996</v>
      </c>
      <c r="X432" s="1">
        <v>70</v>
      </c>
      <c r="Y432" s="6">
        <f t="shared" si="123"/>
        <v>5275.3626368955247</v>
      </c>
      <c r="Z432" s="6">
        <f t="shared" si="124"/>
        <v>129101.37550451281</v>
      </c>
      <c r="AA432" s="6">
        <f t="shared" si="125"/>
        <v>10866.580548397811</v>
      </c>
      <c r="AB432" s="1">
        <f t="shared" si="126"/>
        <v>0.4</v>
      </c>
      <c r="AC432" s="1">
        <f t="shared" si="116"/>
        <v>1.5</v>
      </c>
      <c r="AD432" s="1">
        <f t="shared" si="117"/>
        <v>1</v>
      </c>
      <c r="AE432" s="1">
        <f t="shared" si="127"/>
        <v>10</v>
      </c>
      <c r="AF432" s="33">
        <f t="shared" si="128"/>
        <v>2.4999999999999996</v>
      </c>
    </row>
    <row r="433" spans="4:32" ht="14.25" hidden="1" customHeight="1" outlineLevel="1" x14ac:dyDescent="0.2">
      <c r="D433" s="1">
        <v>71</v>
      </c>
      <c r="E433" s="6">
        <f t="shared" si="118"/>
        <v>553.91307687403003</v>
      </c>
      <c r="F433" s="6">
        <f t="shared" si="118"/>
        <v>18034.415338312825</v>
      </c>
      <c r="G433" s="6">
        <f t="shared" si="118"/>
        <v>152.13212767756937</v>
      </c>
      <c r="H433" s="1">
        <v>0.4</v>
      </c>
      <c r="I433" s="1">
        <v>1.5</v>
      </c>
      <c r="J433" s="1">
        <v>1</v>
      </c>
      <c r="M433" s="1">
        <v>71</v>
      </c>
      <c r="N433" s="6">
        <f t="shared" si="122"/>
        <v>27695.653843701508</v>
      </c>
      <c r="O433" s="6">
        <f t="shared" si="119"/>
        <v>1214058.2067818579</v>
      </c>
      <c r="P433" s="6">
        <f t="shared" si="120"/>
        <v>11409.909575817703</v>
      </c>
      <c r="Q433" s="1">
        <v>0.4</v>
      </c>
      <c r="R433" s="1">
        <v>1.5</v>
      </c>
      <c r="S433" s="1">
        <v>1</v>
      </c>
      <c r="T433" s="1">
        <v>0.8</v>
      </c>
      <c r="U433" s="1">
        <v>10</v>
      </c>
      <c r="V433" s="5">
        <f t="shared" si="121"/>
        <v>2.4999999999999987</v>
      </c>
      <c r="X433" s="1">
        <v>71</v>
      </c>
      <c r="Y433" s="6">
        <f t="shared" si="123"/>
        <v>5539.1307687403014</v>
      </c>
      <c r="Z433" s="6">
        <f t="shared" si="124"/>
        <v>134895.35630909531</v>
      </c>
      <c r="AA433" s="6">
        <f t="shared" si="125"/>
        <v>11409.909575817703</v>
      </c>
      <c r="AB433" s="1">
        <f t="shared" si="126"/>
        <v>0.4</v>
      </c>
      <c r="AC433" s="1">
        <f t="shared" si="116"/>
        <v>1.5</v>
      </c>
      <c r="AD433" s="1">
        <f t="shared" si="117"/>
        <v>1</v>
      </c>
      <c r="AE433" s="1">
        <f t="shared" si="127"/>
        <v>10</v>
      </c>
      <c r="AF433" s="33">
        <f t="shared" si="128"/>
        <v>2.4999999999999987</v>
      </c>
    </row>
    <row r="434" spans="4:32" ht="14.25" hidden="1" customHeight="1" outlineLevel="1" x14ac:dyDescent="0.2">
      <c r="D434" s="1">
        <v>72</v>
      </c>
      <c r="E434" s="6">
        <f t="shared" si="118"/>
        <v>581.60873071773153</v>
      </c>
      <c r="F434" s="6">
        <f t="shared" si="118"/>
        <v>18936.136105228466</v>
      </c>
      <c r="G434" s="6">
        <f t="shared" si="118"/>
        <v>159.73873406144784</v>
      </c>
      <c r="H434" s="1">
        <v>0.4</v>
      </c>
      <c r="I434" s="1">
        <v>1.5</v>
      </c>
      <c r="J434" s="1">
        <v>1</v>
      </c>
      <c r="M434" s="1">
        <v>72</v>
      </c>
      <c r="N434" s="6">
        <f t="shared" si="122"/>
        <v>29080.43653588658</v>
      </c>
      <c r="O434" s="6">
        <f t="shared" si="119"/>
        <v>1268266.7179133282</v>
      </c>
      <c r="P434" s="6">
        <f t="shared" si="120"/>
        <v>11980.405054608589</v>
      </c>
      <c r="Q434" s="1">
        <v>0.4</v>
      </c>
      <c r="R434" s="1">
        <v>1.5</v>
      </c>
      <c r="S434" s="1">
        <v>1</v>
      </c>
      <c r="T434" s="1">
        <v>0.8</v>
      </c>
      <c r="U434" s="1">
        <v>10</v>
      </c>
      <c r="V434" s="5">
        <f t="shared" si="121"/>
        <v>2.4999999999999991</v>
      </c>
      <c r="X434" s="1">
        <v>72</v>
      </c>
      <c r="Y434" s="6">
        <f t="shared" si="123"/>
        <v>5816.0873071773158</v>
      </c>
      <c r="Z434" s="6">
        <f t="shared" si="124"/>
        <v>140918.52421259202</v>
      </c>
      <c r="AA434" s="6">
        <f t="shared" si="125"/>
        <v>11980.405054608589</v>
      </c>
      <c r="AB434" s="1">
        <f t="shared" si="126"/>
        <v>0.4</v>
      </c>
      <c r="AC434" s="1">
        <f t="shared" si="116"/>
        <v>1.5</v>
      </c>
      <c r="AD434" s="1">
        <f t="shared" si="117"/>
        <v>1</v>
      </c>
      <c r="AE434" s="1">
        <f t="shared" si="127"/>
        <v>10</v>
      </c>
      <c r="AF434" s="33">
        <f t="shared" si="128"/>
        <v>2.4999999999999991</v>
      </c>
    </row>
    <row r="435" spans="4:32" ht="14.25" hidden="1" customHeight="1" outlineLevel="1" x14ac:dyDescent="0.2">
      <c r="D435" s="1">
        <v>73</v>
      </c>
      <c r="E435" s="6">
        <f t="shared" si="118"/>
        <v>610.68916725361817</v>
      </c>
      <c r="F435" s="6">
        <f t="shared" si="118"/>
        <v>19882.942910489892</v>
      </c>
      <c r="G435" s="6">
        <f t="shared" si="118"/>
        <v>167.72567076452023</v>
      </c>
      <c r="H435" s="1">
        <v>0.4</v>
      </c>
      <c r="I435" s="1">
        <v>1.5</v>
      </c>
      <c r="J435" s="1">
        <v>1</v>
      </c>
      <c r="M435" s="1">
        <v>73</v>
      </c>
      <c r="N435" s="6">
        <f t="shared" si="122"/>
        <v>30534.458362680907</v>
      </c>
      <c r="O435" s="6">
        <f t="shared" si="119"/>
        <v>1324594.3601290793</v>
      </c>
      <c r="P435" s="6">
        <f t="shared" si="120"/>
        <v>12579.425307339017</v>
      </c>
      <c r="Q435" s="1">
        <v>0.4</v>
      </c>
      <c r="R435" s="1">
        <v>1.5</v>
      </c>
      <c r="S435" s="1">
        <v>1</v>
      </c>
      <c r="T435" s="1">
        <v>0.8</v>
      </c>
      <c r="U435" s="1">
        <v>10</v>
      </c>
      <c r="V435" s="5">
        <f t="shared" si="121"/>
        <v>2.4999999999999996</v>
      </c>
      <c r="X435" s="1">
        <v>73</v>
      </c>
      <c r="Y435" s="6">
        <f t="shared" si="123"/>
        <v>6106.8916725361814</v>
      </c>
      <c r="Z435" s="6">
        <f t="shared" si="124"/>
        <v>147177.15112545327</v>
      </c>
      <c r="AA435" s="6">
        <f t="shared" si="125"/>
        <v>12579.425307339017</v>
      </c>
      <c r="AB435" s="1">
        <f t="shared" si="126"/>
        <v>0.4</v>
      </c>
      <c r="AC435" s="1">
        <f t="shared" si="116"/>
        <v>1.5</v>
      </c>
      <c r="AD435" s="1">
        <f t="shared" si="117"/>
        <v>1</v>
      </c>
      <c r="AE435" s="1">
        <f t="shared" si="127"/>
        <v>10</v>
      </c>
      <c r="AF435" s="33">
        <f t="shared" si="128"/>
        <v>2.4999999999999996</v>
      </c>
    </row>
    <row r="436" spans="4:32" ht="14.25" hidden="1" customHeight="1" outlineLevel="1" x14ac:dyDescent="0.2">
      <c r="D436" s="1">
        <v>74</v>
      </c>
      <c r="E436" s="6">
        <f t="shared" si="118"/>
        <v>641.22362561629893</v>
      </c>
      <c r="F436" s="6">
        <f t="shared" si="118"/>
        <v>20877.090056014382</v>
      </c>
      <c r="G436" s="6">
        <f t="shared" si="118"/>
        <v>176.11195430274623</v>
      </c>
      <c r="H436" s="1">
        <v>0.4</v>
      </c>
      <c r="I436" s="1">
        <v>1.5</v>
      </c>
      <c r="J436" s="1">
        <v>1</v>
      </c>
      <c r="M436" s="1">
        <v>74</v>
      </c>
      <c r="N436" s="6">
        <f t="shared" si="122"/>
        <v>32061.181280814952</v>
      </c>
      <c r="O436" s="6">
        <f t="shared" si="119"/>
        <v>1383096.8387539035</v>
      </c>
      <c r="P436" s="6">
        <f t="shared" si="120"/>
        <v>13208.396572705968</v>
      </c>
      <c r="Q436" s="1">
        <v>0.4</v>
      </c>
      <c r="R436" s="1">
        <v>1.5</v>
      </c>
      <c r="S436" s="1">
        <v>1</v>
      </c>
      <c r="T436" s="1">
        <v>0.8</v>
      </c>
      <c r="U436" s="1">
        <v>10</v>
      </c>
      <c r="V436" s="5">
        <f t="shared" si="121"/>
        <v>2.4999999999999991</v>
      </c>
      <c r="X436" s="1">
        <v>74</v>
      </c>
      <c r="Y436" s="6">
        <f t="shared" si="123"/>
        <v>6412.2362561629907</v>
      </c>
      <c r="Z436" s="6">
        <f t="shared" si="124"/>
        <v>153677.42652821151</v>
      </c>
      <c r="AA436" s="6">
        <f t="shared" si="125"/>
        <v>13208.396572705968</v>
      </c>
      <c r="AB436" s="1">
        <f t="shared" si="126"/>
        <v>0.4</v>
      </c>
      <c r="AC436" s="1">
        <f t="shared" si="116"/>
        <v>1.5</v>
      </c>
      <c r="AD436" s="1">
        <f t="shared" si="117"/>
        <v>1</v>
      </c>
      <c r="AE436" s="1">
        <f t="shared" si="127"/>
        <v>10</v>
      </c>
      <c r="AF436" s="33">
        <f t="shared" si="128"/>
        <v>2.4999999999999991</v>
      </c>
    </row>
    <row r="437" spans="4:32" ht="14.25" hidden="1" customHeight="1" outlineLevel="1" x14ac:dyDescent="0.2">
      <c r="D437" s="1">
        <v>75</v>
      </c>
      <c r="E437" s="6">
        <f t="shared" si="118"/>
        <v>673.28480689711387</v>
      </c>
      <c r="F437" s="6">
        <f t="shared" si="118"/>
        <v>21920.944558815103</v>
      </c>
      <c r="G437" s="6">
        <f t="shared" si="118"/>
        <v>184.91755201788354</v>
      </c>
      <c r="H437" s="1">
        <v>0.4</v>
      </c>
      <c r="I437" s="1">
        <v>1.5</v>
      </c>
      <c r="J437" s="1">
        <v>1</v>
      </c>
      <c r="M437" s="1">
        <v>75</v>
      </c>
      <c r="N437" s="6">
        <f t="shared" si="122"/>
        <v>33664.240344855694</v>
      </c>
      <c r="O437" s="6">
        <f t="shared" si="119"/>
        <v>1443828.8671733018</v>
      </c>
      <c r="P437" s="6">
        <f t="shared" si="120"/>
        <v>13868.816401341266</v>
      </c>
      <c r="Q437" s="1">
        <v>0.4</v>
      </c>
      <c r="R437" s="1">
        <v>1.5</v>
      </c>
      <c r="S437" s="1">
        <v>1</v>
      </c>
      <c r="T437" s="1">
        <v>0.8</v>
      </c>
      <c r="U437" s="1">
        <v>10</v>
      </c>
      <c r="V437" s="5">
        <f t="shared" si="121"/>
        <v>2.4999999999999991</v>
      </c>
      <c r="X437" s="1">
        <v>75</v>
      </c>
      <c r="Y437" s="6">
        <f t="shared" si="123"/>
        <v>6732.8480689711387</v>
      </c>
      <c r="Z437" s="6">
        <f t="shared" si="124"/>
        <v>160425.42968592243</v>
      </c>
      <c r="AA437" s="6">
        <f t="shared" si="125"/>
        <v>13868.816401341266</v>
      </c>
      <c r="AB437" s="1">
        <f t="shared" si="126"/>
        <v>0.4</v>
      </c>
      <c r="AC437" s="1">
        <f t="shared" si="116"/>
        <v>1.5</v>
      </c>
      <c r="AD437" s="1">
        <f t="shared" si="117"/>
        <v>1</v>
      </c>
      <c r="AE437" s="1">
        <f t="shared" si="127"/>
        <v>10</v>
      </c>
      <c r="AF437" s="33">
        <f t="shared" si="128"/>
        <v>2.4999999999999991</v>
      </c>
    </row>
    <row r="438" spans="4:32" ht="14.25" hidden="1" customHeight="1" outlineLevel="1" x14ac:dyDescent="0.2">
      <c r="D438" s="1">
        <v>76</v>
      </c>
      <c r="E438" s="6">
        <f t="shared" si="118"/>
        <v>706.94904724196965</v>
      </c>
      <c r="F438" s="6">
        <f t="shared" si="118"/>
        <v>23016.991786755858</v>
      </c>
      <c r="G438" s="6">
        <f t="shared" si="118"/>
        <v>194.16342961877774</v>
      </c>
      <c r="H438" s="1">
        <v>0.4</v>
      </c>
      <c r="I438" s="1">
        <v>1.5</v>
      </c>
      <c r="J438" s="1">
        <v>1</v>
      </c>
      <c r="M438" s="1">
        <v>76</v>
      </c>
      <c r="N438" s="6">
        <f t="shared" si="122"/>
        <v>35347.452362098491</v>
      </c>
      <c r="O438" s="6">
        <f t="shared" si="119"/>
        <v>1506843.8994444839</v>
      </c>
      <c r="P438" s="6">
        <f t="shared" si="120"/>
        <v>14562.25722140833</v>
      </c>
      <c r="Q438" s="1">
        <v>0.4</v>
      </c>
      <c r="R438" s="1">
        <v>1.5</v>
      </c>
      <c r="S438" s="1">
        <v>1</v>
      </c>
      <c r="T438" s="1">
        <v>0.8</v>
      </c>
      <c r="U438" s="1">
        <v>10</v>
      </c>
      <c r="V438" s="5">
        <f t="shared" si="121"/>
        <v>2.4999999999999987</v>
      </c>
      <c r="X438" s="1">
        <v>76</v>
      </c>
      <c r="Y438" s="6">
        <f t="shared" si="123"/>
        <v>7069.4904724196986</v>
      </c>
      <c r="Z438" s="6">
        <f t="shared" si="124"/>
        <v>167427.09993827599</v>
      </c>
      <c r="AA438" s="6">
        <f t="shared" si="125"/>
        <v>14562.25722140833</v>
      </c>
      <c r="AB438" s="1">
        <f t="shared" si="126"/>
        <v>0.4</v>
      </c>
      <c r="AC438" s="1">
        <f t="shared" si="116"/>
        <v>1.5</v>
      </c>
      <c r="AD438" s="1">
        <f t="shared" si="117"/>
        <v>1</v>
      </c>
      <c r="AE438" s="1">
        <f t="shared" si="127"/>
        <v>10</v>
      </c>
      <c r="AF438" s="33">
        <f t="shared" si="128"/>
        <v>2.4999999999999987</v>
      </c>
    </row>
    <row r="439" spans="4:32" ht="14.25" hidden="1" customHeight="1" outlineLevel="1" x14ac:dyDescent="0.2">
      <c r="D439" s="1">
        <v>77</v>
      </c>
      <c r="E439" s="6">
        <f t="shared" si="118"/>
        <v>742.29649960406812</v>
      </c>
      <c r="F439" s="6">
        <f t="shared" si="118"/>
        <v>24167.841376093649</v>
      </c>
      <c r="G439" s="6">
        <f t="shared" si="118"/>
        <v>203.8716010997166</v>
      </c>
      <c r="H439" s="1">
        <v>0.4</v>
      </c>
      <c r="I439" s="1">
        <v>1.5</v>
      </c>
      <c r="J439" s="1">
        <v>1</v>
      </c>
      <c r="M439" s="1">
        <v>77</v>
      </c>
      <c r="N439" s="6">
        <f t="shared" si="122"/>
        <v>37114.824980203412</v>
      </c>
      <c r="O439" s="6">
        <f t="shared" si="119"/>
        <v>1572193.8457741945</v>
      </c>
      <c r="P439" s="6">
        <f t="shared" si="120"/>
        <v>15290.370082478745</v>
      </c>
      <c r="Q439" s="1">
        <v>0.4</v>
      </c>
      <c r="R439" s="1">
        <v>1.5</v>
      </c>
      <c r="S439" s="1">
        <v>1</v>
      </c>
      <c r="T439" s="1">
        <v>0.8</v>
      </c>
      <c r="U439" s="1">
        <v>10</v>
      </c>
      <c r="V439" s="5">
        <f t="shared" si="121"/>
        <v>2.4999999999999991</v>
      </c>
      <c r="X439" s="1">
        <v>77</v>
      </c>
      <c r="Y439" s="6">
        <f t="shared" si="123"/>
        <v>7422.9649960406823</v>
      </c>
      <c r="Z439" s="6">
        <f t="shared" si="124"/>
        <v>174688.2050860216</v>
      </c>
      <c r="AA439" s="6">
        <f t="shared" si="125"/>
        <v>15290.370082478745</v>
      </c>
      <c r="AB439" s="1">
        <f t="shared" si="126"/>
        <v>0.4</v>
      </c>
      <c r="AC439" s="1">
        <f t="shared" si="116"/>
        <v>1.5</v>
      </c>
      <c r="AD439" s="1">
        <f t="shared" si="117"/>
        <v>1</v>
      </c>
      <c r="AE439" s="1">
        <f t="shared" si="127"/>
        <v>10</v>
      </c>
      <c r="AF439" s="33">
        <f t="shared" si="128"/>
        <v>2.4999999999999991</v>
      </c>
    </row>
    <row r="440" spans="4:32" ht="14.25" hidden="1" customHeight="1" outlineLevel="1" x14ac:dyDescent="0.2">
      <c r="D440" s="1">
        <v>78</v>
      </c>
      <c r="E440" s="6">
        <f t="shared" si="118"/>
        <v>779.41132458427171</v>
      </c>
      <c r="F440" s="6">
        <f t="shared" si="118"/>
        <v>25376.233444898338</v>
      </c>
      <c r="G440" s="6">
        <f t="shared" si="118"/>
        <v>214.06518115470249</v>
      </c>
      <c r="H440" s="1">
        <v>0.4</v>
      </c>
      <c r="I440" s="1">
        <v>1.5</v>
      </c>
      <c r="J440" s="1">
        <v>1</v>
      </c>
      <c r="M440" s="1">
        <v>78</v>
      </c>
      <c r="N440" s="6">
        <f t="shared" si="122"/>
        <v>38970.566229213589</v>
      </c>
      <c r="O440" s="6">
        <f t="shared" si="119"/>
        <v>1639928.7712444384</v>
      </c>
      <c r="P440" s="6">
        <f t="shared" si="120"/>
        <v>16054.888586602687</v>
      </c>
      <c r="Q440" s="1">
        <v>0.4</v>
      </c>
      <c r="R440" s="1">
        <v>1.5</v>
      </c>
      <c r="S440" s="1">
        <v>1</v>
      </c>
      <c r="T440" s="1">
        <v>0.8</v>
      </c>
      <c r="U440" s="1">
        <v>10</v>
      </c>
      <c r="V440" s="5">
        <f t="shared" si="121"/>
        <v>2.4999999999999991</v>
      </c>
      <c r="X440" s="1">
        <v>78</v>
      </c>
      <c r="Y440" s="6">
        <f t="shared" si="123"/>
        <v>7794.1132458427182</v>
      </c>
      <c r="Z440" s="6">
        <f t="shared" si="124"/>
        <v>182214.30791604871</v>
      </c>
      <c r="AA440" s="6">
        <f t="shared" si="125"/>
        <v>16054.888586602687</v>
      </c>
      <c r="AB440" s="1">
        <f t="shared" si="126"/>
        <v>0.4</v>
      </c>
      <c r="AC440" s="1">
        <f t="shared" si="116"/>
        <v>1.5</v>
      </c>
      <c r="AD440" s="1">
        <f t="shared" si="117"/>
        <v>1</v>
      </c>
      <c r="AE440" s="1">
        <f t="shared" si="127"/>
        <v>10</v>
      </c>
      <c r="AF440" s="33">
        <f t="shared" si="128"/>
        <v>2.4999999999999991</v>
      </c>
    </row>
    <row r="441" spans="4:32" ht="14.25" hidden="1" customHeight="1" outlineLevel="1" x14ac:dyDescent="0.2">
      <c r="D441" s="1">
        <v>79</v>
      </c>
      <c r="E441" s="6">
        <f t="shared" si="118"/>
        <v>818.38189081348503</v>
      </c>
      <c r="F441" s="6">
        <f t="shared" si="118"/>
        <v>26645.045117143247</v>
      </c>
      <c r="G441" s="6">
        <f t="shared" si="118"/>
        <v>224.76844021243753</v>
      </c>
      <c r="H441" s="1">
        <v>0.4</v>
      </c>
      <c r="I441" s="1">
        <v>1.5</v>
      </c>
      <c r="J441" s="1">
        <v>1</v>
      </c>
      <c r="M441" s="1">
        <v>79</v>
      </c>
      <c r="N441" s="6">
        <f t="shared" si="122"/>
        <v>40919.094540674254</v>
      </c>
      <c r="O441" s="6">
        <f t="shared" si="119"/>
        <v>1710096.5783837817</v>
      </c>
      <c r="P441" s="6">
        <f t="shared" si="120"/>
        <v>16857.633015932814</v>
      </c>
      <c r="Q441" s="1">
        <v>0.4</v>
      </c>
      <c r="R441" s="1">
        <v>1.5</v>
      </c>
      <c r="S441" s="1">
        <v>1</v>
      </c>
      <c r="T441" s="1">
        <v>0.8</v>
      </c>
      <c r="U441" s="1">
        <v>10</v>
      </c>
      <c r="V441" s="5">
        <f t="shared" si="121"/>
        <v>2.4999999999999987</v>
      </c>
      <c r="X441" s="1">
        <v>79</v>
      </c>
      <c r="Y441" s="6">
        <f t="shared" si="123"/>
        <v>8183.818908134851</v>
      </c>
      <c r="Z441" s="6">
        <f t="shared" si="124"/>
        <v>190010.73093153129</v>
      </c>
      <c r="AA441" s="6">
        <f t="shared" si="125"/>
        <v>16857.633015932814</v>
      </c>
      <c r="AB441" s="1">
        <f t="shared" si="126"/>
        <v>0.4</v>
      </c>
      <c r="AC441" s="1">
        <f t="shared" si="116"/>
        <v>1.5</v>
      </c>
      <c r="AD441" s="1">
        <f t="shared" si="117"/>
        <v>1</v>
      </c>
      <c r="AE441" s="1">
        <f t="shared" si="127"/>
        <v>10</v>
      </c>
      <c r="AF441" s="33">
        <f t="shared" si="128"/>
        <v>2.4999999999999987</v>
      </c>
    </row>
    <row r="442" spans="4:32" ht="14.25" hidden="1" customHeight="1" outlineLevel="1" x14ac:dyDescent="0.2">
      <c r="D442" s="1">
        <v>80</v>
      </c>
      <c r="E442" s="6">
        <f t="shared" si="118"/>
        <v>859.30098535415948</v>
      </c>
      <c r="F442" s="6">
        <f t="shared" si="118"/>
        <v>27977.297373000416</v>
      </c>
      <c r="G442" s="6">
        <f t="shared" si="118"/>
        <v>236.0068622230595</v>
      </c>
      <c r="H442" s="1">
        <v>0.4</v>
      </c>
      <c r="I442" s="1">
        <v>1.5</v>
      </c>
      <c r="J442" s="1">
        <v>1</v>
      </c>
      <c r="M442" s="1">
        <v>80</v>
      </c>
      <c r="N442" s="6">
        <f t="shared" si="122"/>
        <v>42965.049267707975</v>
      </c>
      <c r="O442" s="6">
        <f t="shared" si="119"/>
        <v>1782742.6744193831</v>
      </c>
      <c r="P442" s="6">
        <f t="shared" si="120"/>
        <v>17700.514666729461</v>
      </c>
      <c r="Q442" s="1">
        <v>0.4</v>
      </c>
      <c r="R442" s="1">
        <v>1.5</v>
      </c>
      <c r="S442" s="1">
        <v>1</v>
      </c>
      <c r="T442" s="1">
        <v>0.8</v>
      </c>
      <c r="U442" s="1">
        <v>10</v>
      </c>
      <c r="V442" s="5">
        <f t="shared" si="121"/>
        <v>2.4999999999999991</v>
      </c>
      <c r="X442" s="1">
        <v>80</v>
      </c>
      <c r="Y442" s="6">
        <f t="shared" si="123"/>
        <v>8593.0098535415946</v>
      </c>
      <c r="Z442" s="6">
        <f t="shared" si="124"/>
        <v>198082.51937993144</v>
      </c>
      <c r="AA442" s="6">
        <f t="shared" si="125"/>
        <v>17700.514666729461</v>
      </c>
      <c r="AB442" s="1">
        <f t="shared" si="126"/>
        <v>0.4</v>
      </c>
      <c r="AC442" s="1">
        <f t="shared" si="116"/>
        <v>1.5</v>
      </c>
      <c r="AD442" s="1">
        <f t="shared" si="117"/>
        <v>1</v>
      </c>
      <c r="AE442" s="1">
        <f t="shared" si="127"/>
        <v>10</v>
      </c>
      <c r="AF442" s="33">
        <f t="shared" si="128"/>
        <v>2.4999999999999991</v>
      </c>
    </row>
    <row r="443" spans="4:32" ht="14.25" hidden="1" customHeight="1" outlineLevel="1" x14ac:dyDescent="0.2">
      <c r="D443" s="1">
        <v>81</v>
      </c>
      <c r="E443" s="6">
        <f t="shared" si="118"/>
        <v>902.26603462186745</v>
      </c>
      <c r="F443" s="6">
        <f t="shared" si="118"/>
        <v>29376.162241650436</v>
      </c>
      <c r="G443" s="6">
        <f t="shared" si="118"/>
        <v>247.80720533421245</v>
      </c>
      <c r="H443" s="1">
        <v>0.4</v>
      </c>
      <c r="I443" s="1">
        <v>1.5</v>
      </c>
      <c r="J443" s="1">
        <v>1</v>
      </c>
      <c r="M443" s="1">
        <v>81</v>
      </c>
      <c r="N443" s="6">
        <f t="shared" si="122"/>
        <v>45113.301731093372</v>
      </c>
      <c r="O443" s="6">
        <f t="shared" si="119"/>
        <v>1857909.6243023553</v>
      </c>
      <c r="P443" s="6">
        <f t="shared" si="120"/>
        <v>18585.540400065933</v>
      </c>
      <c r="Q443" s="1">
        <v>0.4</v>
      </c>
      <c r="R443" s="1">
        <v>1.5</v>
      </c>
      <c r="S443" s="1">
        <v>1</v>
      </c>
      <c r="T443" s="1">
        <v>0.8</v>
      </c>
      <c r="U443" s="1">
        <v>10</v>
      </c>
      <c r="V443" s="5">
        <f t="shared" si="121"/>
        <v>2.4999999999999996</v>
      </c>
      <c r="X443" s="1">
        <v>81</v>
      </c>
      <c r="Y443" s="6">
        <f t="shared" si="123"/>
        <v>9022.660346218674</v>
      </c>
      <c r="Z443" s="6">
        <f t="shared" si="124"/>
        <v>206434.40270026171</v>
      </c>
      <c r="AA443" s="6">
        <f t="shared" si="125"/>
        <v>18585.540400065933</v>
      </c>
      <c r="AB443" s="1">
        <f t="shared" si="126"/>
        <v>0.4</v>
      </c>
      <c r="AC443" s="1">
        <f t="shared" si="116"/>
        <v>1.5</v>
      </c>
      <c r="AD443" s="1">
        <f t="shared" si="117"/>
        <v>1</v>
      </c>
      <c r="AE443" s="1">
        <f t="shared" si="127"/>
        <v>10</v>
      </c>
      <c r="AF443" s="33">
        <f t="shared" si="128"/>
        <v>2.4999999999999996</v>
      </c>
    </row>
    <row r="444" spans="4:32" ht="14.25" hidden="1" customHeight="1" outlineLevel="1" x14ac:dyDescent="0.2">
      <c r="D444" s="1">
        <v>82</v>
      </c>
      <c r="E444" s="6">
        <f t="shared" si="118"/>
        <v>947.37933635296099</v>
      </c>
      <c r="F444" s="6">
        <f t="shared" si="118"/>
        <v>30844.970353732962</v>
      </c>
      <c r="G444" s="6">
        <f t="shared" si="118"/>
        <v>260.1975656009231</v>
      </c>
      <c r="H444" s="1">
        <v>0.4</v>
      </c>
      <c r="I444" s="1">
        <v>1.5</v>
      </c>
      <c r="J444" s="1">
        <v>1</v>
      </c>
      <c r="M444" s="1">
        <v>82</v>
      </c>
      <c r="N444" s="6">
        <f t="shared" si="122"/>
        <v>47368.966817648055</v>
      </c>
      <c r="O444" s="6">
        <f t="shared" si="119"/>
        <v>1935636.7908750237</v>
      </c>
      <c r="P444" s="6">
        <f t="shared" si="120"/>
        <v>19514.817420069234</v>
      </c>
      <c r="Q444" s="1">
        <v>0.4</v>
      </c>
      <c r="R444" s="1">
        <v>1.5</v>
      </c>
      <c r="S444" s="1">
        <v>1</v>
      </c>
      <c r="T444" s="1">
        <v>0.8</v>
      </c>
      <c r="U444" s="1">
        <v>10</v>
      </c>
      <c r="V444" s="5">
        <f t="shared" si="121"/>
        <v>2.4999999999999987</v>
      </c>
      <c r="X444" s="1">
        <v>82</v>
      </c>
      <c r="Y444" s="6">
        <f t="shared" si="123"/>
        <v>9473.7933635296104</v>
      </c>
      <c r="Z444" s="6">
        <f t="shared" si="124"/>
        <v>215070.7545416693</v>
      </c>
      <c r="AA444" s="6">
        <f t="shared" si="125"/>
        <v>19514.817420069234</v>
      </c>
      <c r="AB444" s="1">
        <f t="shared" si="126"/>
        <v>0.4</v>
      </c>
      <c r="AC444" s="1">
        <f t="shared" si="116"/>
        <v>1.5</v>
      </c>
      <c r="AD444" s="1">
        <f t="shared" si="117"/>
        <v>1</v>
      </c>
      <c r="AE444" s="1">
        <f t="shared" si="127"/>
        <v>10</v>
      </c>
      <c r="AF444" s="33">
        <f t="shared" si="128"/>
        <v>2.4999999999999987</v>
      </c>
    </row>
    <row r="445" spans="4:32" ht="14.25" hidden="1" customHeight="1" outlineLevel="1" x14ac:dyDescent="0.2">
      <c r="D445" s="1">
        <v>83</v>
      </c>
      <c r="E445" s="6">
        <f t="shared" si="118"/>
        <v>994.74830317060901</v>
      </c>
      <c r="F445" s="6">
        <f t="shared" si="118"/>
        <v>32387.218871419613</v>
      </c>
      <c r="G445" s="6">
        <f t="shared" si="118"/>
        <v>273.20744388096927</v>
      </c>
      <c r="H445" s="1">
        <v>0.4</v>
      </c>
      <c r="I445" s="1">
        <v>1.5</v>
      </c>
      <c r="J445" s="1">
        <v>1</v>
      </c>
      <c r="M445" s="1">
        <v>83</v>
      </c>
      <c r="N445" s="6">
        <f t="shared" si="122"/>
        <v>49737.41515853045</v>
      </c>
      <c r="O445" s="6">
        <f t="shared" si="119"/>
        <v>2015959.9638409524</v>
      </c>
      <c r="P445" s="6">
        <f t="shared" si="120"/>
        <v>20490.558291072695</v>
      </c>
      <c r="Q445" s="1">
        <v>0.4</v>
      </c>
      <c r="R445" s="1">
        <v>1.5</v>
      </c>
      <c r="S445" s="1">
        <v>1</v>
      </c>
      <c r="T445" s="1">
        <v>0.8</v>
      </c>
      <c r="U445" s="1">
        <v>10</v>
      </c>
      <c r="V445" s="5">
        <f t="shared" si="121"/>
        <v>2.5</v>
      </c>
      <c r="X445" s="1">
        <v>83</v>
      </c>
      <c r="Y445" s="6">
        <f t="shared" si="123"/>
        <v>9947.4830317060896</v>
      </c>
      <c r="Z445" s="6">
        <f t="shared" si="124"/>
        <v>223995.55153788358</v>
      </c>
      <c r="AA445" s="6">
        <f t="shared" si="125"/>
        <v>20490.558291072695</v>
      </c>
      <c r="AB445" s="1">
        <f t="shared" si="126"/>
        <v>0.4</v>
      </c>
      <c r="AC445" s="1">
        <f t="shared" si="116"/>
        <v>1.5</v>
      </c>
      <c r="AD445" s="1">
        <f t="shared" si="117"/>
        <v>1</v>
      </c>
      <c r="AE445" s="1">
        <f t="shared" si="127"/>
        <v>10</v>
      </c>
      <c r="AF445" s="33">
        <f t="shared" si="128"/>
        <v>2.5</v>
      </c>
    </row>
    <row r="446" spans="4:32" ht="14.25" hidden="1" customHeight="1" outlineLevel="1" x14ac:dyDescent="0.2">
      <c r="D446" s="1">
        <v>84</v>
      </c>
      <c r="E446" s="6">
        <f t="shared" si="118"/>
        <v>1044.4857183291394</v>
      </c>
      <c r="F446" s="6">
        <f t="shared" si="118"/>
        <v>34006.57981499059</v>
      </c>
      <c r="G446" s="6">
        <f t="shared" si="118"/>
        <v>286.86781607501769</v>
      </c>
      <c r="H446" s="1">
        <v>0.4</v>
      </c>
      <c r="I446" s="1">
        <v>1.5</v>
      </c>
      <c r="J446" s="1">
        <v>1</v>
      </c>
      <c r="M446" s="1">
        <v>84</v>
      </c>
      <c r="N446" s="6">
        <f t="shared" si="122"/>
        <v>52224.285916456982</v>
      </c>
      <c r="O446" s="6">
        <f t="shared" si="119"/>
        <v>2098910.9795045373</v>
      </c>
      <c r="P446" s="6">
        <f t="shared" si="120"/>
        <v>21515.086205626325</v>
      </c>
      <c r="Q446" s="1">
        <v>0.4</v>
      </c>
      <c r="R446" s="1">
        <v>1.5</v>
      </c>
      <c r="S446" s="1">
        <v>1</v>
      </c>
      <c r="T446" s="1">
        <v>0.8</v>
      </c>
      <c r="U446" s="1">
        <v>10</v>
      </c>
      <c r="V446" s="5">
        <f t="shared" si="121"/>
        <v>2.4999999999999991</v>
      </c>
      <c r="X446" s="1">
        <v>84</v>
      </c>
      <c r="Y446" s="6">
        <f t="shared" si="123"/>
        <v>10444.857183291397</v>
      </c>
      <c r="Z446" s="6">
        <f t="shared" si="124"/>
        <v>233212.33105605969</v>
      </c>
      <c r="AA446" s="6">
        <f t="shared" si="125"/>
        <v>21515.086205626325</v>
      </c>
      <c r="AB446" s="1">
        <f t="shared" si="126"/>
        <v>0.4</v>
      </c>
      <c r="AC446" s="1">
        <f t="shared" si="116"/>
        <v>1.5</v>
      </c>
      <c r="AD446" s="1">
        <f t="shared" si="117"/>
        <v>1</v>
      </c>
      <c r="AE446" s="1">
        <f t="shared" si="127"/>
        <v>10</v>
      </c>
      <c r="AF446" s="33">
        <f t="shared" si="128"/>
        <v>2.4999999999999991</v>
      </c>
    </row>
    <row r="447" spans="4:32" ht="14.25" hidden="1" customHeight="1" outlineLevel="1" x14ac:dyDescent="0.2">
      <c r="D447" s="1">
        <v>85</v>
      </c>
      <c r="E447" s="6">
        <f t="shared" si="118"/>
        <v>1096.7100042455963</v>
      </c>
      <c r="F447" s="6">
        <f t="shared" si="118"/>
        <v>35706.908805740117</v>
      </c>
      <c r="G447" s="6">
        <f t="shared" si="118"/>
        <v>301.21120687876862</v>
      </c>
      <c r="H447" s="1">
        <v>0.4</v>
      </c>
      <c r="I447" s="1">
        <v>1.5</v>
      </c>
      <c r="J447" s="1">
        <v>1</v>
      </c>
      <c r="M447" s="1">
        <v>85</v>
      </c>
      <c r="N447" s="6">
        <f t="shared" si="122"/>
        <v>54835.500212279818</v>
      </c>
      <c r="O447" s="6">
        <f t="shared" si="119"/>
        <v>2184517.3335629455</v>
      </c>
      <c r="P447" s="6">
        <f t="shared" si="120"/>
        <v>22590.840515907646</v>
      </c>
      <c r="Q447" s="1">
        <v>0.4</v>
      </c>
      <c r="R447" s="1">
        <v>1.5</v>
      </c>
      <c r="S447" s="1">
        <v>1</v>
      </c>
      <c r="T447" s="1">
        <v>0.8</v>
      </c>
      <c r="U447" s="1">
        <v>10</v>
      </c>
      <c r="V447" s="5">
        <f t="shared" si="121"/>
        <v>2.4999999999999991</v>
      </c>
      <c r="X447" s="1">
        <v>85</v>
      </c>
      <c r="Y447" s="6">
        <f t="shared" si="123"/>
        <v>10967.100042455964</v>
      </c>
      <c r="Z447" s="6">
        <f t="shared" si="124"/>
        <v>242724.14817366062</v>
      </c>
      <c r="AA447" s="6">
        <f t="shared" si="125"/>
        <v>22590.840515907646</v>
      </c>
      <c r="AB447" s="1">
        <f t="shared" si="126"/>
        <v>0.4</v>
      </c>
      <c r="AC447" s="1">
        <f t="shared" si="116"/>
        <v>1.5</v>
      </c>
      <c r="AD447" s="1">
        <f t="shared" si="117"/>
        <v>1</v>
      </c>
      <c r="AE447" s="1">
        <f t="shared" si="127"/>
        <v>10</v>
      </c>
      <c r="AF447" s="33">
        <f t="shared" si="128"/>
        <v>2.4999999999999991</v>
      </c>
    </row>
    <row r="448" spans="4:32" ht="14.25" hidden="1" customHeight="1" outlineLevel="1" x14ac:dyDescent="0.2">
      <c r="D448" s="1">
        <v>86</v>
      </c>
      <c r="E448" s="6">
        <f t="shared" si="118"/>
        <v>1151.5455044578762</v>
      </c>
      <c r="F448" s="6">
        <f t="shared" si="118"/>
        <v>37492.254246027122</v>
      </c>
      <c r="G448" s="6">
        <f t="shared" si="118"/>
        <v>316.27176722270701</v>
      </c>
      <c r="H448" s="1">
        <v>0.4</v>
      </c>
      <c r="I448" s="1">
        <v>1.5</v>
      </c>
      <c r="J448" s="1">
        <v>1</v>
      </c>
      <c r="M448" s="1">
        <v>86</v>
      </c>
      <c r="N448" s="6">
        <f t="shared" si="122"/>
        <v>57577.275222893804</v>
      </c>
      <c r="O448" s="6">
        <f t="shared" si="119"/>
        <v>2272801.7895549322</v>
      </c>
      <c r="P448" s="6">
        <f t="shared" si="120"/>
        <v>23720.382541703028</v>
      </c>
      <c r="Q448" s="1">
        <v>0.4</v>
      </c>
      <c r="R448" s="1">
        <v>1.5</v>
      </c>
      <c r="S448" s="1">
        <v>1</v>
      </c>
      <c r="T448" s="1">
        <v>0.8</v>
      </c>
      <c r="U448" s="1">
        <v>10</v>
      </c>
      <c r="V448" s="5">
        <f t="shared" si="121"/>
        <v>2.4999999999999996</v>
      </c>
      <c r="X448" s="1">
        <v>86</v>
      </c>
      <c r="Y448" s="6">
        <f t="shared" si="123"/>
        <v>11515.455044578761</v>
      </c>
      <c r="Z448" s="6">
        <f t="shared" si="124"/>
        <v>252533.53217277024</v>
      </c>
      <c r="AA448" s="6">
        <f t="shared" si="125"/>
        <v>23720.382541703028</v>
      </c>
      <c r="AB448" s="1">
        <f t="shared" si="126"/>
        <v>0.4</v>
      </c>
      <c r="AC448" s="1">
        <f t="shared" si="116"/>
        <v>1.5</v>
      </c>
      <c r="AD448" s="1">
        <f t="shared" si="117"/>
        <v>1</v>
      </c>
      <c r="AE448" s="1">
        <f t="shared" si="127"/>
        <v>10</v>
      </c>
      <c r="AF448" s="33">
        <f t="shared" si="128"/>
        <v>2.4999999999999996</v>
      </c>
    </row>
    <row r="449" spans="4:32" ht="14.25" hidden="1" customHeight="1" outlineLevel="1" x14ac:dyDescent="0.2">
      <c r="D449" s="1">
        <v>87</v>
      </c>
      <c r="E449" s="6">
        <f t="shared" si="118"/>
        <v>1209.1227796807698</v>
      </c>
      <c r="F449" s="6">
        <f t="shared" si="118"/>
        <v>39366.866958328479</v>
      </c>
      <c r="G449" s="6">
        <f t="shared" si="118"/>
        <v>332.08535558384233</v>
      </c>
      <c r="H449" s="1">
        <v>0.4</v>
      </c>
      <c r="I449" s="1">
        <v>1.5</v>
      </c>
      <c r="J449" s="1">
        <v>1</v>
      </c>
      <c r="M449" s="1">
        <v>87</v>
      </c>
      <c r="N449" s="6">
        <f t="shared" si="122"/>
        <v>60456.138984038495</v>
      </c>
      <c r="O449" s="6">
        <f t="shared" si="119"/>
        <v>2363781.9858935345</v>
      </c>
      <c r="P449" s="6">
        <f t="shared" si="120"/>
        <v>24906.401668788174</v>
      </c>
      <c r="Q449" s="1">
        <v>0.4</v>
      </c>
      <c r="R449" s="1">
        <v>1.5</v>
      </c>
      <c r="S449" s="1">
        <v>1</v>
      </c>
      <c r="T449" s="1">
        <v>0.8</v>
      </c>
      <c r="U449" s="1">
        <v>10</v>
      </c>
      <c r="V449" s="5">
        <f t="shared" si="121"/>
        <v>2.4999999999999991</v>
      </c>
      <c r="X449" s="1">
        <v>87</v>
      </c>
      <c r="Y449" s="6">
        <f t="shared" si="123"/>
        <v>12091.2277968077</v>
      </c>
      <c r="Z449" s="6">
        <f t="shared" si="124"/>
        <v>262642.44287705939</v>
      </c>
      <c r="AA449" s="6">
        <f t="shared" si="125"/>
        <v>24906.401668788174</v>
      </c>
      <c r="AB449" s="1">
        <f t="shared" si="126"/>
        <v>0.4</v>
      </c>
      <c r="AC449" s="1">
        <f t="shared" si="116"/>
        <v>1.5</v>
      </c>
      <c r="AD449" s="1">
        <f t="shared" si="117"/>
        <v>1</v>
      </c>
      <c r="AE449" s="1">
        <f t="shared" si="127"/>
        <v>10</v>
      </c>
      <c r="AF449" s="33">
        <f t="shared" si="128"/>
        <v>2.4999999999999991</v>
      </c>
    </row>
    <row r="450" spans="4:32" ht="14.25" hidden="1" customHeight="1" outlineLevel="1" x14ac:dyDescent="0.2">
      <c r="D450" s="1">
        <v>88</v>
      </c>
      <c r="E450" s="6">
        <f t="shared" si="118"/>
        <v>1269.5789186648087</v>
      </c>
      <c r="F450" s="6">
        <f t="shared" si="118"/>
        <v>41335.21030624491</v>
      </c>
      <c r="G450" s="6">
        <f t="shared" si="118"/>
        <v>348.68962336303457</v>
      </c>
      <c r="H450" s="1">
        <v>0.4</v>
      </c>
      <c r="I450" s="1">
        <v>1.5</v>
      </c>
      <c r="J450" s="1">
        <v>1</v>
      </c>
      <c r="M450" s="1">
        <v>88</v>
      </c>
      <c r="N450" s="6">
        <f t="shared" si="122"/>
        <v>63478.945933240444</v>
      </c>
      <c r="O450" s="6">
        <f t="shared" si="119"/>
        <v>2457470.0447270158</v>
      </c>
      <c r="P450" s="6">
        <f t="shared" si="120"/>
        <v>26151.721752227593</v>
      </c>
      <c r="Q450" s="1">
        <v>0.4</v>
      </c>
      <c r="R450" s="1">
        <v>1.5</v>
      </c>
      <c r="S450" s="1">
        <v>1</v>
      </c>
      <c r="T450" s="1">
        <v>0.8</v>
      </c>
      <c r="U450" s="1">
        <v>10</v>
      </c>
      <c r="V450" s="5">
        <f t="shared" si="121"/>
        <v>2.4999999999999991</v>
      </c>
      <c r="X450" s="1">
        <v>88</v>
      </c>
      <c r="Y450" s="6">
        <f t="shared" si="123"/>
        <v>12695.78918664809</v>
      </c>
      <c r="Z450" s="6">
        <f t="shared" si="124"/>
        <v>273052.22719189065</v>
      </c>
      <c r="AA450" s="6">
        <f t="shared" si="125"/>
        <v>26151.721752227593</v>
      </c>
      <c r="AB450" s="1">
        <f t="shared" si="126"/>
        <v>0.4</v>
      </c>
      <c r="AC450" s="1">
        <f t="shared" si="116"/>
        <v>1.5</v>
      </c>
      <c r="AD450" s="1">
        <f t="shared" si="117"/>
        <v>1</v>
      </c>
      <c r="AE450" s="1">
        <f t="shared" si="127"/>
        <v>10</v>
      </c>
      <c r="AF450" s="33">
        <f t="shared" si="128"/>
        <v>2.4999999999999991</v>
      </c>
    </row>
    <row r="451" spans="4:32" ht="14.25" hidden="1" customHeight="1" outlineLevel="1" x14ac:dyDescent="0.2">
      <c r="D451" s="1">
        <v>89</v>
      </c>
      <c r="E451" s="6">
        <f t="shared" si="118"/>
        <v>1333.0578645980488</v>
      </c>
      <c r="F451" s="6">
        <f t="shared" si="118"/>
        <v>43401.970821557152</v>
      </c>
      <c r="G451" s="6">
        <f t="shared" si="118"/>
        <v>366.12410453118622</v>
      </c>
      <c r="H451" s="1">
        <v>0.4</v>
      </c>
      <c r="I451" s="1">
        <v>1.5</v>
      </c>
      <c r="J451" s="1">
        <v>1</v>
      </c>
      <c r="M451" s="1">
        <v>89</v>
      </c>
      <c r="N451" s="6">
        <f t="shared" si="122"/>
        <v>66652.89322990246</v>
      </c>
      <c r="O451" s="6">
        <f t="shared" si="119"/>
        <v>2553872.1861781129</v>
      </c>
      <c r="P451" s="6">
        <f t="shared" si="120"/>
        <v>27459.307839838966</v>
      </c>
      <c r="Q451" s="1">
        <v>0.4</v>
      </c>
      <c r="R451" s="1">
        <v>1.5</v>
      </c>
      <c r="S451" s="1">
        <v>1</v>
      </c>
      <c r="T451" s="1">
        <v>0.8</v>
      </c>
      <c r="U451" s="1">
        <v>10</v>
      </c>
      <c r="V451" s="5">
        <f t="shared" si="121"/>
        <v>2.4999999999999987</v>
      </c>
      <c r="X451" s="1">
        <v>89</v>
      </c>
      <c r="Y451" s="6">
        <f t="shared" si="123"/>
        <v>13330.578645980491</v>
      </c>
      <c r="Z451" s="6">
        <f t="shared" si="124"/>
        <v>283763.57624201255</v>
      </c>
      <c r="AA451" s="6">
        <f t="shared" si="125"/>
        <v>27459.307839838966</v>
      </c>
      <c r="AB451" s="1">
        <f t="shared" si="126"/>
        <v>0.4</v>
      </c>
      <c r="AC451" s="1">
        <f t="shared" si="116"/>
        <v>1.5</v>
      </c>
      <c r="AD451" s="1">
        <f t="shared" si="117"/>
        <v>1</v>
      </c>
      <c r="AE451" s="1">
        <f t="shared" si="127"/>
        <v>10</v>
      </c>
      <c r="AF451" s="33">
        <f t="shared" si="128"/>
        <v>2.4999999999999987</v>
      </c>
    </row>
    <row r="452" spans="4:32" ht="14.25" hidden="1" customHeight="1" outlineLevel="1" x14ac:dyDescent="0.2">
      <c r="D452" s="1">
        <v>90</v>
      </c>
      <c r="E452" s="6">
        <f t="shared" si="118"/>
        <v>1399.7107578279515</v>
      </c>
      <c r="F452" s="6">
        <f t="shared" si="118"/>
        <v>45572.069362635011</v>
      </c>
      <c r="G452" s="6">
        <f t="shared" si="118"/>
        <v>384.43030975774553</v>
      </c>
      <c r="H452" s="1">
        <v>0.4</v>
      </c>
      <c r="I452" s="1">
        <v>1.5</v>
      </c>
      <c r="J452" s="1">
        <v>1</v>
      </c>
      <c r="M452" s="1">
        <v>90</v>
      </c>
      <c r="N452" s="6">
        <f t="shared" si="122"/>
        <v>69985.537891397587</v>
      </c>
      <c r="O452" s="6">
        <f t="shared" si="119"/>
        <v>2652988.3517984496</v>
      </c>
      <c r="P452" s="6">
        <f t="shared" si="120"/>
        <v>28832.273231830914</v>
      </c>
      <c r="Q452" s="1">
        <v>0.4</v>
      </c>
      <c r="R452" s="1">
        <v>1.5</v>
      </c>
      <c r="S452" s="1">
        <v>1</v>
      </c>
      <c r="T452" s="1">
        <v>0.8</v>
      </c>
      <c r="U452" s="1">
        <v>10</v>
      </c>
      <c r="V452" s="5">
        <f t="shared" si="121"/>
        <v>2.4999999999999987</v>
      </c>
      <c r="X452" s="1">
        <v>90</v>
      </c>
      <c r="Y452" s="6">
        <f t="shared" si="123"/>
        <v>13997.107578279518</v>
      </c>
      <c r="Z452" s="6">
        <f t="shared" si="124"/>
        <v>294776.48353316105</v>
      </c>
      <c r="AA452" s="6">
        <f t="shared" si="125"/>
        <v>28832.273231830914</v>
      </c>
      <c r="AB452" s="1">
        <f t="shared" si="126"/>
        <v>0.4</v>
      </c>
      <c r="AC452" s="1">
        <f t="shared" si="116"/>
        <v>1.5</v>
      </c>
      <c r="AD452" s="1">
        <f t="shared" si="117"/>
        <v>1</v>
      </c>
      <c r="AE452" s="1">
        <f t="shared" si="127"/>
        <v>10</v>
      </c>
      <c r="AF452" s="33">
        <f t="shared" si="128"/>
        <v>2.4999999999999987</v>
      </c>
    </row>
    <row r="453" spans="4:32" ht="14.25" hidden="1" customHeight="1" outlineLevel="1" x14ac:dyDescent="0.2">
      <c r="D453" s="1">
        <v>91</v>
      </c>
      <c r="E453" s="6">
        <f t="shared" si="118"/>
        <v>1469.6962957193489</v>
      </c>
      <c r="F453" s="6">
        <f t="shared" si="118"/>
        <v>47850.672830766758</v>
      </c>
      <c r="G453" s="6">
        <f t="shared" si="118"/>
        <v>403.65182524563284</v>
      </c>
      <c r="H453" s="1">
        <v>0.4</v>
      </c>
      <c r="I453" s="1">
        <v>1.5</v>
      </c>
      <c r="J453" s="1">
        <v>1</v>
      </c>
      <c r="M453" s="1">
        <v>91</v>
      </c>
      <c r="N453" s="6">
        <f t="shared" si="122"/>
        <v>73484.81478596745</v>
      </c>
      <c r="O453" s="6">
        <f t="shared" si="119"/>
        <v>2754811.8413351071</v>
      </c>
      <c r="P453" s="6">
        <f t="shared" si="120"/>
        <v>30273.886893422463</v>
      </c>
      <c r="Q453" s="1">
        <v>0.4</v>
      </c>
      <c r="R453" s="1">
        <v>1.5</v>
      </c>
      <c r="S453" s="1">
        <v>1</v>
      </c>
      <c r="T453" s="1">
        <v>0.8</v>
      </c>
      <c r="U453" s="1">
        <v>10</v>
      </c>
      <c r="V453" s="5">
        <f t="shared" si="121"/>
        <v>2.4999999999999991</v>
      </c>
      <c r="X453" s="1">
        <v>91</v>
      </c>
      <c r="Y453" s="6">
        <f t="shared" si="123"/>
        <v>14696.962957193489</v>
      </c>
      <c r="Z453" s="6">
        <f t="shared" si="124"/>
        <v>306090.2045927897</v>
      </c>
      <c r="AA453" s="6">
        <f t="shared" si="125"/>
        <v>30273.886893422463</v>
      </c>
      <c r="AB453" s="1">
        <f t="shared" si="126"/>
        <v>0.4</v>
      </c>
      <c r="AC453" s="1">
        <f t="shared" si="116"/>
        <v>1.5</v>
      </c>
      <c r="AD453" s="1">
        <f t="shared" si="117"/>
        <v>1</v>
      </c>
      <c r="AE453" s="1">
        <f t="shared" si="127"/>
        <v>10</v>
      </c>
      <c r="AF453" s="33">
        <f t="shared" si="128"/>
        <v>2.4999999999999991</v>
      </c>
    </row>
    <row r="454" spans="4:32" ht="14.25" hidden="1" customHeight="1" outlineLevel="1" x14ac:dyDescent="0.2">
      <c r="D454" s="1">
        <v>92</v>
      </c>
      <c r="E454" s="6">
        <f t="shared" si="118"/>
        <v>1543.1811105053166</v>
      </c>
      <c r="F454" s="6">
        <f t="shared" si="118"/>
        <v>50243.206472305108</v>
      </c>
      <c r="G454" s="6">
        <f t="shared" si="118"/>
        <v>423.83441650791451</v>
      </c>
      <c r="H454" s="1">
        <v>0.4</v>
      </c>
      <c r="I454" s="1">
        <v>1.5</v>
      </c>
      <c r="J454" s="1">
        <v>1</v>
      </c>
      <c r="M454" s="1">
        <v>92</v>
      </c>
      <c r="N454" s="6">
        <f t="shared" si="122"/>
        <v>77159.055525265852</v>
      </c>
      <c r="O454" s="6">
        <f t="shared" si="119"/>
        <v>2859328.9671315877</v>
      </c>
      <c r="P454" s="6">
        <f t="shared" si="120"/>
        <v>31787.581238093589</v>
      </c>
      <c r="Q454" s="1">
        <v>0.4</v>
      </c>
      <c r="R454" s="1">
        <v>1.5</v>
      </c>
      <c r="S454" s="1">
        <v>1</v>
      </c>
      <c r="T454" s="1">
        <v>0.8</v>
      </c>
      <c r="U454" s="1">
        <v>10</v>
      </c>
      <c r="V454" s="5">
        <f t="shared" si="121"/>
        <v>2.4999999999999982</v>
      </c>
      <c r="X454" s="1">
        <v>92</v>
      </c>
      <c r="Y454" s="6">
        <f t="shared" si="123"/>
        <v>15431.81110505317</v>
      </c>
      <c r="Z454" s="6">
        <f t="shared" si="124"/>
        <v>317703.2185701764</v>
      </c>
      <c r="AA454" s="6">
        <f t="shared" si="125"/>
        <v>31787.581238093589</v>
      </c>
      <c r="AB454" s="1">
        <f t="shared" si="126"/>
        <v>0.4</v>
      </c>
      <c r="AC454" s="1">
        <f t="shared" si="116"/>
        <v>1.5</v>
      </c>
      <c r="AD454" s="1">
        <f t="shared" si="117"/>
        <v>1</v>
      </c>
      <c r="AE454" s="1">
        <f t="shared" si="127"/>
        <v>10</v>
      </c>
      <c r="AF454" s="33">
        <f t="shared" si="128"/>
        <v>2.4999999999999982</v>
      </c>
    </row>
    <row r="455" spans="4:32" ht="14.25" hidden="1" customHeight="1" outlineLevel="1" x14ac:dyDescent="0.2">
      <c r="D455" s="1">
        <v>93</v>
      </c>
      <c r="E455" s="6">
        <f t="shared" si="118"/>
        <v>1620.3401660305822</v>
      </c>
      <c r="F455" s="6">
        <f t="shared" si="118"/>
        <v>52755.366795920352</v>
      </c>
      <c r="G455" s="6">
        <f t="shared" si="118"/>
        <v>445.0261373333102</v>
      </c>
      <c r="H455" s="1">
        <v>0.4</v>
      </c>
      <c r="I455" s="1">
        <v>1.5</v>
      </c>
      <c r="J455" s="1">
        <v>1</v>
      </c>
      <c r="M455" s="1">
        <v>93</v>
      </c>
      <c r="N455" s="6">
        <f t="shared" si="122"/>
        <v>81017.008301529117</v>
      </c>
      <c r="O455" s="6">
        <f t="shared" si="119"/>
        <v>2966518.7306672172</v>
      </c>
      <c r="P455" s="6">
        <f t="shared" si="120"/>
        <v>33376.960299998267</v>
      </c>
      <c r="Q455" s="1">
        <v>0.4</v>
      </c>
      <c r="R455" s="1">
        <v>1.5</v>
      </c>
      <c r="S455" s="1">
        <v>1</v>
      </c>
      <c r="T455" s="1">
        <v>0.8</v>
      </c>
      <c r="U455" s="1">
        <v>10</v>
      </c>
      <c r="V455" s="5">
        <f t="shared" si="121"/>
        <v>2.4999999999999991</v>
      </c>
      <c r="X455" s="1">
        <v>93</v>
      </c>
      <c r="Y455" s="6">
        <f t="shared" si="123"/>
        <v>16203.401660305823</v>
      </c>
      <c r="Z455" s="6">
        <f t="shared" si="124"/>
        <v>329613.19229635748</v>
      </c>
      <c r="AA455" s="6">
        <f t="shared" si="125"/>
        <v>33376.960299998267</v>
      </c>
      <c r="AB455" s="1">
        <f t="shared" si="126"/>
        <v>0.4</v>
      </c>
      <c r="AC455" s="1">
        <f t="shared" si="116"/>
        <v>1.5</v>
      </c>
      <c r="AD455" s="1">
        <f t="shared" si="117"/>
        <v>1</v>
      </c>
      <c r="AE455" s="1">
        <f t="shared" si="127"/>
        <v>10</v>
      </c>
      <c r="AF455" s="33">
        <f t="shared" si="128"/>
        <v>2.4999999999999991</v>
      </c>
    </row>
    <row r="456" spans="4:32" ht="14.25" hidden="1" customHeight="1" outlineLevel="1" x14ac:dyDescent="0.2">
      <c r="D456" s="1">
        <v>94</v>
      </c>
      <c r="E456" s="6">
        <f t="shared" si="118"/>
        <v>1701.3571743321115</v>
      </c>
      <c r="F456" s="6">
        <f t="shared" si="118"/>
        <v>55393.13513571638</v>
      </c>
      <c r="G456" s="6">
        <f t="shared" si="118"/>
        <v>467.27744419997578</v>
      </c>
      <c r="H456" s="1">
        <v>0.4</v>
      </c>
      <c r="I456" s="1">
        <v>1.5</v>
      </c>
      <c r="J456" s="1">
        <v>1</v>
      </c>
      <c r="M456" s="1">
        <v>94</v>
      </c>
      <c r="N456" s="6">
        <f t="shared" si="122"/>
        <v>85067.858716605595</v>
      </c>
      <c r="O456" s="6">
        <f t="shared" si="119"/>
        <v>3076352.5258690547</v>
      </c>
      <c r="P456" s="6">
        <f t="shared" si="120"/>
        <v>35045.808314998183</v>
      </c>
      <c r="Q456" s="1">
        <v>0.4</v>
      </c>
      <c r="R456" s="1">
        <v>1.5</v>
      </c>
      <c r="S456" s="1">
        <v>1</v>
      </c>
      <c r="T456" s="1">
        <v>0.8</v>
      </c>
      <c r="U456" s="1">
        <v>10</v>
      </c>
      <c r="V456" s="5">
        <f t="shared" si="121"/>
        <v>2.4999999999999991</v>
      </c>
      <c r="X456" s="1">
        <v>94</v>
      </c>
      <c r="Y456" s="6">
        <f t="shared" si="123"/>
        <v>17013.571743321118</v>
      </c>
      <c r="Z456" s="6">
        <f t="shared" si="124"/>
        <v>341816.94731878384</v>
      </c>
      <c r="AA456" s="6">
        <f t="shared" si="125"/>
        <v>35045.808314998183</v>
      </c>
      <c r="AB456" s="1">
        <f t="shared" si="126"/>
        <v>0.4</v>
      </c>
      <c r="AC456" s="1">
        <f t="shared" si="116"/>
        <v>1.5</v>
      </c>
      <c r="AD456" s="1">
        <f t="shared" si="117"/>
        <v>1</v>
      </c>
      <c r="AE456" s="1">
        <f t="shared" si="127"/>
        <v>10</v>
      </c>
      <c r="AF456" s="33">
        <f t="shared" si="128"/>
        <v>2.4999999999999991</v>
      </c>
    </row>
    <row r="457" spans="4:32" ht="14.25" hidden="1" customHeight="1" outlineLevel="1" x14ac:dyDescent="0.2">
      <c r="D457" s="1">
        <v>95</v>
      </c>
      <c r="E457" s="6">
        <f t="shared" si="118"/>
        <v>1786.4250330487166</v>
      </c>
      <c r="F457" s="6">
        <f t="shared" si="118"/>
        <v>58162.79189250218</v>
      </c>
      <c r="G457" s="6">
        <f t="shared" si="118"/>
        <v>490.64131640997437</v>
      </c>
      <c r="H457" s="1">
        <v>0.4</v>
      </c>
      <c r="I457" s="1">
        <v>1.5</v>
      </c>
      <c r="J457" s="1">
        <v>1</v>
      </c>
      <c r="M457" s="1">
        <v>95</v>
      </c>
      <c r="N457" s="6">
        <f t="shared" si="122"/>
        <v>89321.251652435836</v>
      </c>
      <c r="O457" s="6">
        <f t="shared" si="119"/>
        <v>3188793.8738999232</v>
      </c>
      <c r="P457" s="6">
        <f t="shared" si="120"/>
        <v>36798.098730748075</v>
      </c>
      <c r="Q457" s="1">
        <v>0.4</v>
      </c>
      <c r="R457" s="1">
        <v>1.5</v>
      </c>
      <c r="S457" s="1">
        <v>1</v>
      </c>
      <c r="T457" s="1">
        <v>0.8</v>
      </c>
      <c r="U457" s="1">
        <v>10</v>
      </c>
      <c r="V457" s="5">
        <f t="shared" si="121"/>
        <v>2.4999999999999991</v>
      </c>
      <c r="X457" s="1">
        <v>95</v>
      </c>
      <c r="Y457" s="6">
        <f t="shared" si="123"/>
        <v>17864.250330487168</v>
      </c>
      <c r="Z457" s="6">
        <f t="shared" si="124"/>
        <v>354310.43043332477</v>
      </c>
      <c r="AA457" s="6">
        <f t="shared" si="125"/>
        <v>36798.098730748075</v>
      </c>
      <c r="AB457" s="1">
        <f t="shared" si="126"/>
        <v>0.4</v>
      </c>
      <c r="AC457" s="1">
        <f t="shared" si="116"/>
        <v>1.5</v>
      </c>
      <c r="AD457" s="1">
        <f t="shared" si="117"/>
        <v>1</v>
      </c>
      <c r="AE457" s="1">
        <f t="shared" si="127"/>
        <v>10</v>
      </c>
      <c r="AF457" s="33">
        <f t="shared" si="128"/>
        <v>2.4999999999999991</v>
      </c>
    </row>
    <row r="458" spans="4:32" ht="14.25" hidden="1" customHeight="1" outlineLevel="1" x14ac:dyDescent="0.2">
      <c r="D458" s="1">
        <v>96</v>
      </c>
      <c r="E458" s="6">
        <f t="shared" si="118"/>
        <v>1875.7462847011532</v>
      </c>
      <c r="F458" s="6">
        <f t="shared" si="118"/>
        <v>61070.931487127309</v>
      </c>
      <c r="G458" s="6">
        <f t="shared" si="118"/>
        <v>515.17338223047329</v>
      </c>
      <c r="H458" s="1">
        <v>0.4</v>
      </c>
      <c r="I458" s="1">
        <v>1.5</v>
      </c>
      <c r="J458" s="1">
        <v>1</v>
      </c>
      <c r="M458" s="1">
        <v>96</v>
      </c>
      <c r="N458" s="6">
        <f t="shared" si="122"/>
        <v>93787.314235057667</v>
      </c>
      <c r="O458" s="6">
        <f t="shared" si="119"/>
        <v>3303798.1941277543</v>
      </c>
      <c r="P458" s="6">
        <f t="shared" si="120"/>
        <v>38638.003667285499</v>
      </c>
      <c r="Q458" s="1">
        <v>0.4</v>
      </c>
      <c r="R458" s="1">
        <v>1.5</v>
      </c>
      <c r="S458" s="1">
        <v>1</v>
      </c>
      <c r="T458" s="1">
        <v>0.8</v>
      </c>
      <c r="U458" s="1">
        <v>10</v>
      </c>
      <c r="V458" s="5">
        <f t="shared" si="121"/>
        <v>2.4999999999999987</v>
      </c>
      <c r="X458" s="1">
        <v>96</v>
      </c>
      <c r="Y458" s="6">
        <f t="shared" si="123"/>
        <v>18757.462847011535</v>
      </c>
      <c r="Z458" s="6">
        <f t="shared" si="124"/>
        <v>367088.68823641713</v>
      </c>
      <c r="AA458" s="6">
        <f t="shared" si="125"/>
        <v>38638.003667285499</v>
      </c>
      <c r="AB458" s="1">
        <f t="shared" si="126"/>
        <v>0.4</v>
      </c>
      <c r="AC458" s="1">
        <f t="shared" si="116"/>
        <v>1.5</v>
      </c>
      <c r="AD458" s="1">
        <f t="shared" si="117"/>
        <v>1</v>
      </c>
      <c r="AE458" s="1">
        <f t="shared" si="127"/>
        <v>10</v>
      </c>
      <c r="AF458" s="33">
        <f t="shared" si="128"/>
        <v>2.4999999999999987</v>
      </c>
    </row>
    <row r="459" spans="4:32" ht="14.25" hidden="1" customHeight="1" outlineLevel="1" x14ac:dyDescent="0.2">
      <c r="D459" s="1">
        <v>97</v>
      </c>
      <c r="E459" s="6">
        <f t="shared" si="118"/>
        <v>1969.5335989362106</v>
      </c>
      <c r="F459" s="6">
        <f t="shared" si="118"/>
        <v>64124.478061483671</v>
      </c>
      <c r="G459" s="6">
        <f t="shared" si="118"/>
        <v>540.93205134199695</v>
      </c>
      <c r="H459" s="1">
        <v>0.4</v>
      </c>
      <c r="I459" s="1">
        <v>1.5</v>
      </c>
      <c r="J459" s="1">
        <v>1</v>
      </c>
      <c r="M459" s="1">
        <v>97</v>
      </c>
      <c r="N459" s="6">
        <f t="shared" si="122"/>
        <v>98476.679946810531</v>
      </c>
      <c r="O459" s="6">
        <f t="shared" si="119"/>
        <v>3421312.615907466</v>
      </c>
      <c r="P459" s="6">
        <f t="shared" si="120"/>
        <v>40569.903850649775</v>
      </c>
      <c r="Q459" s="1">
        <v>0.4</v>
      </c>
      <c r="R459" s="1">
        <v>1.5</v>
      </c>
      <c r="S459" s="1">
        <v>1</v>
      </c>
      <c r="T459" s="1">
        <v>0.8</v>
      </c>
      <c r="U459" s="1">
        <v>10</v>
      </c>
      <c r="V459" s="5">
        <f t="shared" si="121"/>
        <v>2.4999999999999996</v>
      </c>
      <c r="X459" s="1">
        <v>97</v>
      </c>
      <c r="Y459" s="6">
        <f t="shared" si="123"/>
        <v>19695.335989362105</v>
      </c>
      <c r="Z459" s="6">
        <f t="shared" si="124"/>
        <v>380145.84621194069</v>
      </c>
      <c r="AA459" s="6">
        <f t="shared" si="125"/>
        <v>40569.903850649775</v>
      </c>
      <c r="AB459" s="1">
        <f t="shared" si="126"/>
        <v>0.4</v>
      </c>
      <c r="AC459" s="1">
        <f t="shared" si="116"/>
        <v>1.5</v>
      </c>
      <c r="AD459" s="1">
        <f t="shared" si="117"/>
        <v>1</v>
      </c>
      <c r="AE459" s="1">
        <f t="shared" si="127"/>
        <v>10</v>
      </c>
      <c r="AF459" s="33">
        <f t="shared" si="128"/>
        <v>2.4999999999999996</v>
      </c>
    </row>
    <row r="460" spans="4:32" ht="14.25" hidden="1" customHeight="1" outlineLevel="1" x14ac:dyDescent="0.2">
      <c r="D460" s="1">
        <v>98</v>
      </c>
      <c r="E460" s="6">
        <f t="shared" si="118"/>
        <v>2068.0102788830213</v>
      </c>
      <c r="F460" s="6">
        <f t="shared" si="118"/>
        <v>67330.701964557855</v>
      </c>
      <c r="G460" s="6">
        <f t="shared" si="118"/>
        <v>567.97865390909681</v>
      </c>
      <c r="H460" s="1">
        <v>0.4</v>
      </c>
      <c r="I460" s="1">
        <v>1.5</v>
      </c>
      <c r="J460" s="1">
        <v>1</v>
      </c>
      <c r="M460" s="1">
        <v>98</v>
      </c>
      <c r="N460" s="6">
        <f t="shared" si="122"/>
        <v>103400.51394415108</v>
      </c>
      <c r="O460" s="6">
        <f t="shared" si="119"/>
        <v>3541275.8356513078</v>
      </c>
      <c r="P460" s="6">
        <f t="shared" si="120"/>
        <v>42598.39904318226</v>
      </c>
      <c r="Q460" s="1">
        <v>0.4</v>
      </c>
      <c r="R460" s="1">
        <v>1.5</v>
      </c>
      <c r="S460" s="1">
        <v>1</v>
      </c>
      <c r="T460" s="1">
        <v>0.8</v>
      </c>
      <c r="U460" s="1">
        <v>10</v>
      </c>
      <c r="V460" s="5">
        <f t="shared" si="121"/>
        <v>2.4999999999999991</v>
      </c>
      <c r="X460" s="1">
        <v>98</v>
      </c>
      <c r="Y460" s="6">
        <f t="shared" si="123"/>
        <v>20680.102788830216</v>
      </c>
      <c r="Z460" s="6">
        <f t="shared" si="124"/>
        <v>393475.0928501453</v>
      </c>
      <c r="AA460" s="6">
        <f t="shared" si="125"/>
        <v>42598.39904318226</v>
      </c>
      <c r="AB460" s="1">
        <f t="shared" si="126"/>
        <v>0.4</v>
      </c>
      <c r="AC460" s="1">
        <f t="shared" si="116"/>
        <v>1.5</v>
      </c>
      <c r="AD460" s="1">
        <f t="shared" si="117"/>
        <v>1</v>
      </c>
      <c r="AE460" s="1">
        <f t="shared" si="127"/>
        <v>10</v>
      </c>
      <c r="AF460" s="33">
        <f t="shared" si="128"/>
        <v>2.4999999999999991</v>
      </c>
    </row>
    <row r="461" spans="4:32" ht="14.25" hidden="1" customHeight="1" outlineLevel="1" x14ac:dyDescent="0.2">
      <c r="D461" s="1">
        <v>99</v>
      </c>
      <c r="E461" s="6">
        <f t="shared" si="118"/>
        <v>2171.4107928271724</v>
      </c>
      <c r="F461" s="6">
        <f t="shared" si="118"/>
        <v>70697.237062785745</v>
      </c>
      <c r="G461" s="6">
        <f t="shared" si="118"/>
        <v>596.37758660455165</v>
      </c>
      <c r="H461" s="1">
        <v>0.4</v>
      </c>
      <c r="I461" s="1">
        <v>1.5</v>
      </c>
      <c r="J461" s="1">
        <v>1</v>
      </c>
      <c r="M461" s="1">
        <v>99</v>
      </c>
      <c r="N461" s="6">
        <f t="shared" si="122"/>
        <v>108570.53964135861</v>
      </c>
      <c r="O461" s="6">
        <f t="shared" si="119"/>
        <v>3663618.0234219437</v>
      </c>
      <c r="P461" s="6">
        <f t="shared" si="120"/>
        <v>44728.318995341375</v>
      </c>
      <c r="Q461" s="1">
        <v>0.4</v>
      </c>
      <c r="R461" s="1">
        <v>1.5</v>
      </c>
      <c r="S461" s="1">
        <v>1</v>
      </c>
      <c r="T461" s="1">
        <v>0.8</v>
      </c>
      <c r="U461" s="1">
        <v>10</v>
      </c>
      <c r="V461" s="5">
        <f t="shared" si="121"/>
        <v>2.4999999999999996</v>
      </c>
      <c r="X461" s="1">
        <v>99</v>
      </c>
      <c r="Y461" s="6">
        <f t="shared" si="123"/>
        <v>21714.107928271722</v>
      </c>
      <c r="Z461" s="6">
        <f t="shared" si="124"/>
        <v>407068.66926910484</v>
      </c>
      <c r="AA461" s="6">
        <f t="shared" si="125"/>
        <v>44728.318995341375</v>
      </c>
      <c r="AB461" s="1">
        <f t="shared" si="126"/>
        <v>0.4</v>
      </c>
      <c r="AC461" s="1">
        <f t="shared" si="116"/>
        <v>1.5</v>
      </c>
      <c r="AD461" s="1">
        <f t="shared" si="117"/>
        <v>1</v>
      </c>
      <c r="AE461" s="1">
        <f t="shared" si="127"/>
        <v>10</v>
      </c>
      <c r="AF461" s="33">
        <f t="shared" si="128"/>
        <v>2.4999999999999996</v>
      </c>
    </row>
    <row r="462" spans="4:32" ht="14.25" hidden="1" customHeight="1" outlineLevel="1" x14ac:dyDescent="0.2">
      <c r="D462" s="1">
        <v>100</v>
      </c>
      <c r="E462" s="6">
        <f t="shared" si="118"/>
        <v>2279.981332468531</v>
      </c>
      <c r="F462" s="6">
        <f t="shared" si="118"/>
        <v>74232.098915925046</v>
      </c>
      <c r="G462" s="6">
        <f t="shared" si="118"/>
        <v>626.19646593477933</v>
      </c>
      <c r="H462" s="1">
        <v>0.4</v>
      </c>
      <c r="I462" s="1">
        <v>1.5</v>
      </c>
      <c r="J462" s="1">
        <v>1</v>
      </c>
      <c r="M462" s="1">
        <v>100</v>
      </c>
      <c r="N462" s="6">
        <f t="shared" si="122"/>
        <v>113999.06662342655</v>
      </c>
      <c r="O462" s="6">
        <f t="shared" si="119"/>
        <v>3788260.7829516474</v>
      </c>
      <c r="P462" s="6">
        <f t="shared" si="120"/>
        <v>46964.734945108452</v>
      </c>
      <c r="Q462" s="1">
        <v>0.4</v>
      </c>
      <c r="R462" s="1">
        <v>1.5</v>
      </c>
      <c r="S462" s="1">
        <v>1</v>
      </c>
      <c r="T462" s="1">
        <v>0.8</v>
      </c>
      <c r="U462" s="1">
        <v>10</v>
      </c>
      <c r="V462" s="5">
        <f t="shared" si="121"/>
        <v>2.4999999999999996</v>
      </c>
      <c r="X462" s="1">
        <v>100</v>
      </c>
      <c r="Y462" s="6">
        <f t="shared" si="123"/>
        <v>22799.81332468531</v>
      </c>
      <c r="Z462" s="6">
        <f t="shared" si="124"/>
        <v>420917.86477240524</v>
      </c>
      <c r="AA462" s="6">
        <f t="shared" si="125"/>
        <v>46964.734945108452</v>
      </c>
      <c r="AB462" s="1">
        <f t="shared" si="126"/>
        <v>0.4</v>
      </c>
      <c r="AC462" s="1">
        <f t="shared" si="116"/>
        <v>1.5</v>
      </c>
      <c r="AD462" s="1">
        <f t="shared" si="117"/>
        <v>1</v>
      </c>
      <c r="AE462" s="1">
        <f t="shared" si="127"/>
        <v>10</v>
      </c>
      <c r="AF462" s="33">
        <f t="shared" si="128"/>
        <v>2.4999999999999996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ignoredErrors>
    <ignoredError sqref="F128:F131 F241:F244 F354:F357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D1925-F17C-465A-A7A8-68F2FCA76537}">
  <sheetPr codeName="Sheet10"/>
  <dimension ref="A1:Z62"/>
  <sheetViews>
    <sheetView tabSelected="1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I60" sqref="I60"/>
    </sheetView>
  </sheetViews>
  <sheetFormatPr defaultRowHeight="14.25" customHeight="1" x14ac:dyDescent="0.2"/>
  <cols>
    <col min="1" max="16384" width="9" style="1"/>
  </cols>
  <sheetData>
    <row r="1" spans="1:26" ht="14.25" customHeight="1" x14ac:dyDescent="0.2">
      <c r="A1" s="108" t="s">
        <v>221</v>
      </c>
      <c r="B1" s="109"/>
      <c r="D1" s="68" t="s">
        <v>260</v>
      </c>
      <c r="G1" s="1">
        <v>1000</v>
      </c>
      <c r="J1" s="68" t="s">
        <v>261</v>
      </c>
      <c r="L1" s="6"/>
      <c r="M1" s="6"/>
    </row>
    <row r="2" spans="1:26" ht="14.25" customHeight="1" x14ac:dyDescent="0.2">
      <c r="A2" s="110"/>
      <c r="B2" s="111"/>
      <c r="D2" s="5">
        <f>D3/$G$1</f>
        <v>4.8000000000000001E-2</v>
      </c>
      <c r="G2" s="5">
        <f>G3/$G$1</f>
        <v>0.89600000000000002</v>
      </c>
      <c r="J2" s="5">
        <f>J3/$G$1</f>
        <v>5.5E-2</v>
      </c>
      <c r="L2" s="6"/>
      <c r="M2" s="6"/>
    </row>
    <row r="3" spans="1:26" ht="14.25" customHeight="1" thickBot="1" x14ac:dyDescent="0.25">
      <c r="C3" s="3" t="s">
        <v>222</v>
      </c>
      <c r="D3" s="42">
        <v>48</v>
      </c>
      <c r="E3" s="42"/>
      <c r="F3" s="42">
        <v>24</v>
      </c>
      <c r="G3" s="1">
        <v>896</v>
      </c>
      <c r="H3" s="42">
        <f>G1-D3-G3-J3</f>
        <v>1</v>
      </c>
      <c r="I3" s="42"/>
      <c r="J3" s="42">
        <v>55</v>
      </c>
      <c r="L3" s="6"/>
      <c r="M3" s="6"/>
    </row>
    <row r="4" spans="1:26" ht="14.25" customHeight="1" x14ac:dyDescent="0.2">
      <c r="C4" s="45"/>
      <c r="D4" s="130" t="s">
        <v>242</v>
      </c>
      <c r="E4" s="131"/>
      <c r="F4" s="132"/>
      <c r="G4" s="46"/>
      <c r="H4" s="130" t="s">
        <v>243</v>
      </c>
      <c r="I4" s="131"/>
      <c r="J4" s="132"/>
      <c r="K4" s="67"/>
      <c r="L4" s="6">
        <f>Y10+Z10+Y13+Z13+Y17/2+Z17/2</f>
        <v>1143.75</v>
      </c>
      <c r="M4" s="6">
        <f>0.6+0.4*1.5</f>
        <v>1.2000000000000002</v>
      </c>
      <c r="N4" s="10">
        <f>L4*M4</f>
        <v>1372.5000000000002</v>
      </c>
      <c r="O4" s="1">
        <f>1+N10/100000</f>
        <v>1.0082500000000001</v>
      </c>
      <c r="P4" s="1">
        <f>M10*O4</f>
        <v>8333.3333333333339</v>
      </c>
      <c r="Q4" s="1">
        <f>P4/N4</f>
        <v>6.0716454159077102</v>
      </c>
    </row>
    <row r="5" spans="1:26" ht="14.25" customHeight="1" x14ac:dyDescent="0.2">
      <c r="C5" s="45"/>
      <c r="D5" s="54">
        <v>7</v>
      </c>
      <c r="E5" s="1">
        <v>4</v>
      </c>
      <c r="F5" s="65">
        <v>1</v>
      </c>
      <c r="G5" s="46"/>
      <c r="H5" s="54">
        <v>1</v>
      </c>
      <c r="I5" s="1">
        <v>4</v>
      </c>
      <c r="J5" s="65">
        <v>7</v>
      </c>
      <c r="K5" s="47"/>
      <c r="L5" s="6">
        <f>Y10+Y13+Y17/2</f>
        <v>243.06249999999994</v>
      </c>
      <c r="M5" s="6"/>
      <c r="N5" s="10">
        <f>L5+N4</f>
        <v>1615.5625000000002</v>
      </c>
      <c r="Q5" s="1">
        <f>P4/N5</f>
        <v>5.1581621468270855</v>
      </c>
    </row>
    <row r="6" spans="1:26" ht="14.25" customHeight="1" x14ac:dyDescent="0.2">
      <c r="C6" s="45"/>
      <c r="D6" s="54">
        <v>8</v>
      </c>
      <c r="E6" s="1">
        <v>5</v>
      </c>
      <c r="F6" s="65">
        <v>2</v>
      </c>
      <c r="G6" s="46"/>
      <c r="H6" s="54">
        <v>2</v>
      </c>
      <c r="I6" s="1">
        <v>5</v>
      </c>
      <c r="J6" s="65">
        <v>8</v>
      </c>
      <c r="K6" s="67"/>
      <c r="L6" s="6"/>
      <c r="M6" s="6"/>
      <c r="N6" s="10"/>
    </row>
    <row r="7" spans="1:26" ht="14.25" customHeight="1" thickBot="1" x14ac:dyDescent="0.25">
      <c r="C7" s="45"/>
      <c r="D7" s="56">
        <v>9</v>
      </c>
      <c r="E7" s="57">
        <v>6</v>
      </c>
      <c r="F7" s="66">
        <v>3</v>
      </c>
      <c r="G7" s="46"/>
      <c r="H7" s="56">
        <v>3</v>
      </c>
      <c r="I7" s="57">
        <v>6</v>
      </c>
      <c r="J7" s="66">
        <v>9</v>
      </c>
      <c r="K7" s="47"/>
      <c r="L7" s="6"/>
      <c r="M7" s="6">
        <f>M10/((Y10+Z10)*M4)</f>
        <v>24.489321125406747</v>
      </c>
    </row>
    <row r="8" spans="1:26" ht="14.25" customHeight="1" thickBot="1" x14ac:dyDescent="0.25">
      <c r="D8" s="64">
        <v>1</v>
      </c>
      <c r="E8" s="64">
        <v>2</v>
      </c>
      <c r="F8" s="64">
        <v>3</v>
      </c>
      <c r="G8" s="48">
        <v>4</v>
      </c>
      <c r="H8" s="64">
        <v>5</v>
      </c>
      <c r="I8" s="64">
        <v>6</v>
      </c>
      <c r="J8" s="61">
        <v>1</v>
      </c>
      <c r="K8" s="49">
        <v>0</v>
      </c>
      <c r="L8" s="48">
        <v>9</v>
      </c>
      <c r="M8" s="48">
        <v>10</v>
      </c>
      <c r="N8" s="48">
        <v>11</v>
      </c>
      <c r="O8" s="48">
        <v>12</v>
      </c>
      <c r="P8" s="48">
        <v>13</v>
      </c>
      <c r="Q8" s="48">
        <v>14</v>
      </c>
      <c r="R8" s="48">
        <v>15</v>
      </c>
      <c r="S8" s="48">
        <v>16</v>
      </c>
      <c r="T8" s="48">
        <v>17</v>
      </c>
      <c r="U8" s="48">
        <v>18</v>
      </c>
      <c r="V8" s="42" t="s">
        <v>238</v>
      </c>
      <c r="W8" s="42" t="s">
        <v>239</v>
      </c>
      <c r="X8" s="42" t="s">
        <v>240</v>
      </c>
    </row>
    <row r="9" spans="1:26" ht="14.25" customHeight="1" x14ac:dyDescent="0.2">
      <c r="A9" s="4">
        <f>B9/(SUM(M10:M18)*$G$1)</f>
        <v>6.2681832051462343E-3</v>
      </c>
      <c r="B9" s="6">
        <v>154206.83773847308</v>
      </c>
      <c r="C9" s="45">
        <f>ROW(D10)</f>
        <v>10</v>
      </c>
      <c r="D9" s="50" t="s">
        <v>244</v>
      </c>
      <c r="E9" s="51" t="s">
        <v>245</v>
      </c>
      <c r="F9" s="51" t="s">
        <v>223</v>
      </c>
      <c r="G9" s="52" t="s">
        <v>150</v>
      </c>
      <c r="H9" s="51" t="s">
        <v>87</v>
      </c>
      <c r="I9" s="51" t="s">
        <v>88</v>
      </c>
      <c r="J9" s="52" t="s">
        <v>232</v>
      </c>
      <c r="K9" s="52" t="s">
        <v>233</v>
      </c>
      <c r="L9" s="51" t="s">
        <v>32</v>
      </c>
      <c r="M9" s="51" t="s">
        <v>205</v>
      </c>
      <c r="N9" s="51" t="s">
        <v>33</v>
      </c>
      <c r="O9" s="51" t="s">
        <v>140</v>
      </c>
      <c r="P9" s="51" t="s">
        <v>141</v>
      </c>
      <c r="Q9" s="51" t="s">
        <v>142</v>
      </c>
      <c r="R9" s="51" t="s">
        <v>168</v>
      </c>
      <c r="S9" s="51" t="s">
        <v>198</v>
      </c>
      <c r="T9" s="51" t="s">
        <v>258</v>
      </c>
      <c r="U9" s="51" t="s">
        <v>199</v>
      </c>
      <c r="V9" s="51" t="s">
        <v>200</v>
      </c>
      <c r="W9" s="51" t="s">
        <v>202</v>
      </c>
      <c r="X9" s="53" t="s">
        <v>230</v>
      </c>
      <c r="Y9" s="47"/>
    </row>
    <row r="10" spans="1:26" ht="14.25" customHeight="1" x14ac:dyDescent="0.2">
      <c r="C10" s="45">
        <f>COLUMN(D10)</f>
        <v>4</v>
      </c>
      <c r="D10" s="54">
        <f>IFERROR(MOD(F10+3-1,3)+1,"")</f>
        <v>1</v>
      </c>
      <c r="E10" s="1">
        <f>IFERROR(ABS(INT((F10-7)/3))+1,"")</f>
        <v>3</v>
      </c>
      <c r="F10" s="1">
        <f t="shared" ref="F10:F17" si="0">IF(G10="","",ROW(G10)-$C$9+1)</f>
        <v>1</v>
      </c>
      <c r="G10" s="1" t="s">
        <v>265</v>
      </c>
      <c r="H10" s="1" t="str">
        <f>IFERROR(VLOOKUP($G10,角色设定!$R:$S,2,0),"")</f>
        <v>防御</v>
      </c>
      <c r="I10" s="1" t="str">
        <f>IFERROR(VLOOKUP(H10,角色设定!$D$9:$E$15,2,0),"")</f>
        <v>坦克</v>
      </c>
      <c r="J10" s="1">
        <f t="shared" ref="J10:K17" si="1">IF($G10="","",J$8)</f>
        <v>1</v>
      </c>
      <c r="K10" s="1">
        <f t="shared" si="1"/>
        <v>0</v>
      </c>
      <c r="L10" s="8">
        <f>IFERROR(VLOOKUP($G10,角色设定!$AB$9:$AJ$21,MATCH(角色成长!$E$17,角色设定!$AB$9:$AJ$9,0),0)*VLOOKUP($J10,角色成长!$D$17:$J$117,MATCH(角色成长!$E$17,角色成长!$D$17:$J$17,0),0)*角色成长!$L$15*R10/Q10/(1+O10*(P10-1)),"")</f>
        <v>234.375</v>
      </c>
      <c r="M10" s="8">
        <f>IFERROR(VLOOKUP($G10,角色设定!$AB$9:$AJ$21,MATCH(角色成长!$F$17,角色设定!$AB$9:$AJ$9,0),0)*VLOOKUP($J10,角色成长!$D$17:$J$117,MATCH(角色成长!$F$17,角色成长!$D$17:$J$17,0),0)*角色成长!$L$15/(1+N10/角色成长!$N$16),"")</f>
        <v>8265.1458798247786</v>
      </c>
      <c r="N10" s="8">
        <f>IFERROR(VLOOKUP($G10,角色设定!$AB$9:$AJ$21,MATCH(N$9,角色设定!$AB$9:$AJ$9,0),0)*VLOOKUP($J10,角色成长!$D$17:$J$117,MATCH(N$9,角色成长!$D$17:$J$17,0),0)*角色成长!$L$15,"")</f>
        <v>825</v>
      </c>
      <c r="O10" s="1">
        <f>IFERROR(VLOOKUP($G10,角色设定!$AB$9:$AJ$21,MATCH(O$9,角色设定!$AB$9:$AJ$9,0),0)*VLOOKUP($J10,角色成长!$D$17:$J$117,MATCH(O$9,角色成长!$D$17:$J$17,0),0),"")</f>
        <v>0.4</v>
      </c>
      <c r="P10" s="1">
        <f>IFERROR(VLOOKUP($G10,角色设定!$AB$9:$AJ$21,MATCH(P$9,角色设定!$AB$9:$AJ$9,0),0)*VLOOKUP($J10,角色成长!$D$17:$J$117,MATCH(P$9,角色成长!$D$17:$J$17,0),0),"")</f>
        <v>1.5</v>
      </c>
      <c r="Q10" s="1">
        <f>IFERROR(VLOOKUP($G10,角色设定!$AB$9:$AJ$21,MATCH(Q$9,角色设定!$AB$9:$AJ$9,0),0)*VLOOKUP($J10,角色成长!$D$17:$J$117,MATCH(Q$9,角色成长!$D$17:$J$17,0),0),"")</f>
        <v>0.9</v>
      </c>
      <c r="R10" s="1">
        <f>IFERROR(VLOOKUP($G10,角色设定!$AB$9:$AJ$21,MATCH(R$9,角色设定!$AB$9:$AJ$9,0),0),"")</f>
        <v>0.75</v>
      </c>
      <c r="S10" s="1">
        <f>IFERROR(VLOOKUP($G10,角色技能!$D:$M,MATCH(S$9,角色技能!$D$4:$M$4,0),0),"")</f>
        <v>10</v>
      </c>
      <c r="T10" s="1">
        <f>IFERROR(VLOOKUP($G10,角色技能!$D:$M,MATCH(T$9,角色技能!$D$4:$M$4,0),0),"")</f>
        <v>5</v>
      </c>
      <c r="U10" s="6">
        <f>IFERROR(VLOOKUP($G10,角色技能!$D:$M,MATCH(U$9,角色技能!$D$4:$M$4,0),0)*(1+$K10/100*(VLOOKUP($H10,技能模板!$D$13:$U$19,MATCH(技能模板!R$13,技能模板!$D$13:$U$13,0),0)-1)),"")</f>
        <v>3.333333333333333</v>
      </c>
      <c r="V10" s="6">
        <f>IFERROR(VLOOKUP($G10,角色技能!$D:$M,MATCH(V$9,角色技能!$D$4:$M$4,0),0)*(1+$K10/100*(VLOOKUP($H10,技能模板!$D$13:$U$19,MATCH(技能模板!S$13,技能模板!$D$13:$U$13,0),0)-1)),"")</f>
        <v>0</v>
      </c>
      <c r="W10" s="6">
        <f>IFERROR(VLOOKUP($G10,角色技能!$D:$M,MATCH(W$9,角色技能!$D$4:$M$4,0),0)*(1+$K10/100*(VLOOKUP($H10,技能模板!$D$13:$U$19,MATCH(技能模板!T$13,技能模板!$D$13:$U$13,0),0)-1)),"")</f>
        <v>0.6</v>
      </c>
      <c r="X10" s="55">
        <f>IFERROR(VLOOKUP($G10,角色技能!$D:$M,MATCH(X$9,角色技能!$D$4:$M$4,0),0)*(1+$K10/100*(VLOOKUP($H10,技能模板!$D$13:$U$19,MATCH(技能模板!U$13,技能模板!$D$13:$U$13,0),0)-1)),"")</f>
        <v>0</v>
      </c>
      <c r="Y10" s="47">
        <f>U10*L10/S10*Q10</f>
        <v>70.312499999999986</v>
      </c>
      <c r="Z10" s="8">
        <f>L10*Q10</f>
        <v>210.9375</v>
      </c>
    </row>
    <row r="11" spans="1:26" ht="14.25" customHeight="1" x14ac:dyDescent="0.2">
      <c r="C11" s="45">
        <f>ROW(X18)</f>
        <v>18</v>
      </c>
      <c r="D11" s="54" t="str">
        <f t="shared" ref="D11:D17" si="2">IFERROR(MOD(F11+3-1,3)+1,"")</f>
        <v/>
      </c>
      <c r="E11" s="1" t="str">
        <f t="shared" ref="E11:E17" si="3">IFERROR(ABS(INT((F11-7)/3))+1,"")</f>
        <v/>
      </c>
      <c r="F11" s="1" t="str">
        <f t="shared" si="0"/>
        <v/>
      </c>
      <c r="H11" s="1" t="str">
        <f>IFERROR(VLOOKUP($G11,角色设定!$R:$S,2,0),"")</f>
        <v/>
      </c>
      <c r="I11" s="1" t="str">
        <f>IFERROR(VLOOKUP(H11,角色设定!$D$9:$E$15,2,0),"")</f>
        <v/>
      </c>
      <c r="J11" s="1" t="str">
        <f t="shared" si="1"/>
        <v/>
      </c>
      <c r="K11" s="1" t="str">
        <f t="shared" si="1"/>
        <v/>
      </c>
      <c r="L11" s="8" t="str">
        <f>IFERROR(VLOOKUP($G11,角色设定!$AB$9:$AJ$21,MATCH(角色成长!$E$17,角色设定!$AB$9:$AJ$9,0),0)*VLOOKUP($J11,角色成长!$D$17:$J$117,MATCH(角色成长!$E$17,角色成长!$D$17:$J$17,0),0)*角色成长!$L$15*R11/Q11/(1+O11*(P11-1)),"")</f>
        <v/>
      </c>
      <c r="M11" s="8" t="str">
        <f>IFERROR(VLOOKUP($G11,角色设定!$AB$9:$AJ$21,MATCH(角色成长!$F$17,角色设定!$AB$9:$AJ$9,0),0)*VLOOKUP($J11,角色成长!$D$17:$J$117,MATCH(角色成长!$F$17,角色成长!$D$17:$J$17,0),0)*角色成长!$L$15/(1+N11/角色成长!$N$16),"")</f>
        <v/>
      </c>
      <c r="N11" s="8" t="str">
        <f>IFERROR(VLOOKUP($G11,角色设定!$AB$9:$AJ$21,MATCH(N$9,角色设定!$AB$9:$AJ$9,0),0)*VLOOKUP($J11,角色成长!$D$17:$J$117,MATCH(N$9,角色成长!$D$17:$J$17,0),0)*角色成长!$L$15,"")</f>
        <v/>
      </c>
      <c r="O11" s="1" t="str">
        <f>IFERROR(VLOOKUP($G11,角色设定!$AB$9:$AJ$21,MATCH(O$9,角色设定!$AB$9:$AJ$9,0),0)*VLOOKUP($J11,角色成长!$D$17:$J$117,MATCH(O$9,角色成长!$D$17:$J$17,0),0),"")</f>
        <v/>
      </c>
      <c r="P11" s="1" t="str">
        <f>IFERROR(VLOOKUP($G11,角色设定!$AB$9:$AJ$21,MATCH(P$9,角色设定!$AB$9:$AJ$9,0),0)*VLOOKUP($J11,角色成长!$D$17:$J$117,MATCH(P$9,角色成长!$D$17:$J$17,0),0),"")</f>
        <v/>
      </c>
      <c r="Q11" s="1" t="str">
        <f>IFERROR(VLOOKUP($G11,角色设定!$AB$9:$AJ$21,MATCH(Q$9,角色设定!$AB$9:$AJ$9,0),0)*VLOOKUP($J11,角色成长!$D$17:$J$117,MATCH(Q$9,角色成长!$D$17:$J$17,0),0),"")</f>
        <v/>
      </c>
      <c r="R11" s="1" t="str">
        <f>IFERROR(VLOOKUP($G11,角色设定!$AB$9:$AJ$21,MATCH(R$9,角色设定!$AB$9:$AJ$9,0),0),"")</f>
        <v/>
      </c>
      <c r="S11" s="1" t="str">
        <f>IFERROR(VLOOKUP($G11,角色技能!$D:$M,MATCH(S$9,角色技能!$D$4:$M$4,0),0),"")</f>
        <v/>
      </c>
      <c r="T11" s="1" t="str">
        <f>IFERROR(VLOOKUP($G11,角色技能!$D:$M,MATCH(T$9,角色技能!$D$4:$M$4,0),0),"")</f>
        <v/>
      </c>
      <c r="U11" s="6" t="str">
        <f>IFERROR(VLOOKUP($G11,角色技能!$D:$M,MATCH(U$9,角色技能!$D$4:$M$4,0),0)*(1+$K11/100*(VLOOKUP($H11,技能模板!$D$13:$U$19,MATCH(技能模板!R$13,技能模板!$D$13:$U$13,0),0)-1)),"")</f>
        <v/>
      </c>
      <c r="V11" s="6" t="str">
        <f>IFERROR(VLOOKUP($G11,角色技能!$D:$M,MATCH(V$9,角色技能!$D$4:$M$4,0),0)*(1+$K11/100*(VLOOKUP($H11,技能模板!$D$13:$U$19,MATCH(技能模板!S$13,技能模板!$D$13:$U$13,0),0)-1)),"")</f>
        <v/>
      </c>
      <c r="W11" s="6" t="str">
        <f>IFERROR(VLOOKUP($G11,角色技能!$D:$M,MATCH(W$9,角色技能!$D$4:$M$4,0),0)*(1+$K11/100*(VLOOKUP($H11,技能模板!$D$13:$U$19,MATCH(技能模板!T$13,技能模板!$D$13:$U$13,0),0)-1)),"")</f>
        <v/>
      </c>
      <c r="X11" s="55" t="str">
        <f>IFERROR(VLOOKUP($G11,角色技能!$D:$M,MATCH(X$9,角色技能!$D$4:$M$4,0),0)*(1+$K11/100*(VLOOKUP($H11,技能模板!$D$13:$U$19,MATCH(技能模板!U$13,技能模板!$D$13:$U$13,0),0)-1)),"")</f>
        <v/>
      </c>
      <c r="Y11" s="134">
        <f>Y10/SUM($Y10:$Z10)</f>
        <v>0.24999999999999994</v>
      </c>
      <c r="Z11" s="134">
        <f>Z10/SUM($Y10:$Z10)</f>
        <v>0.75</v>
      </c>
    </row>
    <row r="12" spans="1:26" ht="14.25" customHeight="1" x14ac:dyDescent="0.2">
      <c r="C12" s="45">
        <f>COLUMN(X18)</f>
        <v>24</v>
      </c>
      <c r="D12" s="54">
        <f t="shared" si="2"/>
        <v>3</v>
      </c>
      <c r="E12" s="1">
        <f t="shared" si="3"/>
        <v>3</v>
      </c>
      <c r="F12" s="1">
        <f t="shared" si="0"/>
        <v>3</v>
      </c>
      <c r="G12" s="1" t="s">
        <v>247</v>
      </c>
      <c r="H12" s="1" t="str">
        <f>IFERROR(VLOOKUP($G12,角色设定!$R:$S,2,0),"")</f>
        <v>防御</v>
      </c>
      <c r="I12" s="1" t="str">
        <f>IFERROR(VLOOKUP(H12,角色设定!$D$9:$E$15,2,0),"")</f>
        <v>坦克</v>
      </c>
      <c r="J12" s="1">
        <f t="shared" si="1"/>
        <v>1</v>
      </c>
      <c r="K12" s="1">
        <f t="shared" si="1"/>
        <v>0</v>
      </c>
      <c r="L12" s="8">
        <f>IFERROR(VLOOKUP($G12,角色设定!$AB$9:$AJ$21,MATCH(角色成长!$E$17,角色设定!$AB$9:$AJ$9,0),0)*VLOOKUP($J12,角色成长!$D$17:$J$117,MATCH(角色成长!$E$17,角色成长!$D$17:$J$17,0),0)*角色成长!$L$15*R12/Q12/(1+O12*(P12-1)),"")</f>
        <v>260.41666666666669</v>
      </c>
      <c r="M12" s="8">
        <f>IFERROR(VLOOKUP($G12,角色设定!$AB$9:$AJ$21,MATCH(角色成长!$F$17,角色设定!$AB$9:$AJ$9,0),0)*VLOOKUP($J12,角色成长!$D$17:$J$117,MATCH(角色成长!$F$17,角色成长!$D$17:$J$17,0),0)*角色成长!$L$15/(1+N12/角色成长!$N$16),"")</f>
        <v>7438.6312918423</v>
      </c>
      <c r="N12" s="8">
        <f>IFERROR(VLOOKUP($G12,角色设定!$AB$9:$AJ$21,MATCH(N$9,角色设定!$AB$9:$AJ$9,0),0)*VLOOKUP($J12,角色成长!$D$17:$J$117,MATCH(N$9,角色成长!$D$17:$J$17,0),0)*角色成长!$L$15,"")</f>
        <v>825</v>
      </c>
      <c r="O12" s="1">
        <f>IFERROR(VLOOKUP($G12,角色设定!$AB$9:$AJ$21,MATCH(O$9,角色设定!$AB$9:$AJ$9,0),0)*VLOOKUP($J12,角色成长!$D$17:$J$117,MATCH(O$9,角色成长!$D$17:$J$17,0),0),"")</f>
        <v>0.4</v>
      </c>
      <c r="P12" s="1">
        <f>IFERROR(VLOOKUP($G12,角色设定!$AB$9:$AJ$21,MATCH(P$9,角色设定!$AB$9:$AJ$9,0),0)*VLOOKUP($J12,角色成长!$D$17:$J$117,MATCH(P$9,角色成长!$D$17:$J$17,0),0),"")</f>
        <v>1.5</v>
      </c>
      <c r="Q12" s="1">
        <f>IFERROR(VLOOKUP($G12,角色设定!$AB$9:$AJ$21,MATCH(Q$9,角色设定!$AB$9:$AJ$9,0),0)*VLOOKUP($J12,角色成长!$D$17:$J$117,MATCH(Q$9,角色成长!$D$17:$J$17,0),0),"")</f>
        <v>0.9</v>
      </c>
      <c r="R12" s="1">
        <f>IFERROR(VLOOKUP($G12,角色设定!$AB$9:$AJ$21,MATCH(R$9,角色设定!$AB$9:$AJ$9,0),0),"")</f>
        <v>0.75</v>
      </c>
      <c r="S12" s="1">
        <f>IFERROR(VLOOKUP($G12,角色技能!$D:$M,MATCH(S$9,角色技能!$D$4:$M$4,0),0),"")</f>
        <v>10</v>
      </c>
      <c r="T12" s="1">
        <f>IFERROR(VLOOKUP($G12,角色技能!$D:$M,MATCH(T$9,角色技能!$D$4:$M$4,0),0),"")</f>
        <v>5</v>
      </c>
      <c r="U12" s="6">
        <f>IFERROR(VLOOKUP($G12,角色技能!$D:$M,MATCH(U$9,角色技能!$D$4:$M$4,0),0)*(1+$K12/100*(VLOOKUP($H12,技能模板!$D$13:$U$19,MATCH(技能模板!R$13,技能模板!$D$13:$U$13,0),0)-1)),"")</f>
        <v>3.333333333333333</v>
      </c>
      <c r="V12" s="6">
        <f>IFERROR(VLOOKUP($G12,角色技能!$D:$M,MATCH(V$9,角色技能!$D$4:$M$4,0),0)*(1+$K12/100*(VLOOKUP($H12,技能模板!$D$13:$U$19,MATCH(技能模板!S$13,技能模板!$D$13:$U$13,0),0)-1)),"")</f>
        <v>0</v>
      </c>
      <c r="W12" s="6">
        <f>IFERROR(VLOOKUP($G12,角色技能!$D:$M,MATCH(W$9,角色技能!$D$4:$M$4,0),0)*(1+$K12/100*(VLOOKUP($H12,技能模板!$D$13:$U$19,MATCH(技能模板!T$13,技能模板!$D$13:$U$13,0),0)-1)),"")</f>
        <v>0.6</v>
      </c>
      <c r="X12" s="55">
        <f>IFERROR(VLOOKUP($G12,角色技能!$D:$M,MATCH(X$9,角色技能!$D$4:$M$4,0),0)*(1+$K12/100*(VLOOKUP($H12,技能模板!$D$13:$U$19,MATCH(技能模板!U$13,技能模板!$D$13:$U$13,0),0)-1)),"")</f>
        <v>0</v>
      </c>
      <c r="Y12" s="47"/>
    </row>
    <row r="13" spans="1:26" ht="14.25" customHeight="1" x14ac:dyDescent="0.2">
      <c r="C13" s="45"/>
      <c r="D13" s="54">
        <f t="shared" si="2"/>
        <v>1</v>
      </c>
      <c r="E13" s="1">
        <f t="shared" si="3"/>
        <v>2</v>
      </c>
      <c r="F13" s="1">
        <f t="shared" si="0"/>
        <v>4</v>
      </c>
      <c r="G13" s="1" t="s">
        <v>250</v>
      </c>
      <c r="H13" s="1" t="str">
        <f>IFERROR(VLOOKUP($G13,角色设定!$R:$S,2,0),"")</f>
        <v>魔法</v>
      </c>
      <c r="I13" s="1" t="str">
        <f>IFERROR(VLOOKUP(H13,角色设定!$D$9:$E$15,2,0),"")</f>
        <v>输出</v>
      </c>
      <c r="J13" s="1">
        <f t="shared" si="1"/>
        <v>1</v>
      </c>
      <c r="K13" s="1">
        <f t="shared" si="1"/>
        <v>0</v>
      </c>
      <c r="L13" s="8">
        <f>IFERROR(VLOOKUP($G13,角色设定!$AB$9:$AJ$21,MATCH(角色成长!$E$17,角色设定!$AB$9:$AJ$9,0),0)*VLOOKUP($J13,角色成长!$D$17:$J$117,MATCH(角色成长!$E$17,角色成长!$D$17:$J$17,0),0)*角色成长!$L$15*R13/Q13/(1+O13*(P13-1)),"")</f>
        <v>590</v>
      </c>
      <c r="M13" s="8">
        <f>IFERROR(VLOOKUP($G13,角色设定!$AB$9:$AJ$21,MATCH(角色成长!$F$17,角色设定!$AB$9:$AJ$9,0),0)*VLOOKUP($J13,角色成长!$D$17:$J$117,MATCH(角色成长!$F$17,角色成长!$D$17:$J$17,0),0)*角色成长!$L$15/(1+N13/角色成长!$N$16),"")</f>
        <v>2532.8746015999327</v>
      </c>
      <c r="N13" s="8">
        <f>IFERROR(VLOOKUP($G13,角色设定!$AB$9:$AJ$21,MATCH(N$9,角色设定!$AB$9:$AJ$9,0),0)*VLOOKUP($J13,角色成长!$D$17:$J$117,MATCH(N$9,角色成长!$D$17:$J$17,0),0)*角色成长!$L$15,"")</f>
        <v>375</v>
      </c>
      <c r="O13" s="1">
        <f>IFERROR(VLOOKUP($G13,角色设定!$AB$9:$AJ$21,MATCH(O$9,角色设定!$AB$9:$AJ$9,0),0)*VLOOKUP($J13,角色成长!$D$17:$J$117,MATCH(O$9,角色成长!$D$17:$J$17,0),0),"")</f>
        <v>0.4</v>
      </c>
      <c r="P13" s="1">
        <f>IFERROR(VLOOKUP($G13,角色设定!$AB$9:$AJ$21,MATCH(P$9,角色设定!$AB$9:$AJ$9,0),0)*VLOOKUP($J13,角色成长!$D$17:$J$117,MATCH(P$9,角色成长!$D$17:$J$17,0),0),"")</f>
        <v>1.5</v>
      </c>
      <c r="Q13" s="1">
        <f>IFERROR(VLOOKUP($G13,角色设定!$AB$9:$AJ$21,MATCH(Q$9,角色设定!$AB$9:$AJ$9,0),0)*VLOOKUP($J13,角色成长!$D$17:$J$117,MATCH(Q$9,角色成长!$D$17:$J$17,0),0),"")</f>
        <v>1</v>
      </c>
      <c r="R13" s="1">
        <f>IFERROR(VLOOKUP($G13,角色设定!$AB$9:$AJ$21,MATCH(R$9,角色设定!$AB$9:$AJ$9,0),0),"")</f>
        <v>0.8</v>
      </c>
      <c r="S13" s="1">
        <f>IFERROR(VLOOKUP($G13,角色技能!$D:$M,MATCH(S$9,角色技能!$D$4:$M$4,0),0),"")</f>
        <v>20</v>
      </c>
      <c r="T13" s="1">
        <f>IFERROR(VLOOKUP($G13,角色技能!$D:$M,MATCH(T$9,角色技能!$D$4:$M$4,0),0),"")</f>
        <v>10</v>
      </c>
      <c r="U13" s="6">
        <f>IFERROR(VLOOKUP($G13,角色技能!$D:$M,MATCH(U$9,角色技能!$D$4:$M$4,0),0)*(1+$K13/100*(VLOOKUP($H13,技能模板!$D$13:$U$19,MATCH(技能模板!R$13,技能模板!$D$13:$U$13,0),0)-1)),"")</f>
        <v>4.9999999999999982</v>
      </c>
      <c r="V13" s="6">
        <f>IFERROR(VLOOKUP($G13,角色技能!$D:$M,MATCH(V$9,角色技能!$D$4:$M$4,0),0)*(1+$K13/100*(VLOOKUP($H13,技能模板!$D$13:$U$19,MATCH(技能模板!S$13,技能模板!$D$13:$U$13,0),0)-1)),"")</f>
        <v>0</v>
      </c>
      <c r="W13" s="6">
        <f>IFERROR(VLOOKUP($G13,角色技能!$D:$M,MATCH(W$9,角色技能!$D$4:$M$4,0),0)*(1+$K13/100*(VLOOKUP($H13,技能模板!$D$13:$U$19,MATCH(技能模板!T$13,技能模板!$D$13:$U$13,0),0)-1)),"")</f>
        <v>0</v>
      </c>
      <c r="X13" s="55">
        <f>IFERROR(VLOOKUP($G13,角色技能!$D:$M,MATCH(X$9,角色技能!$D$4:$M$4,0),0)*(1+$K13/100*(VLOOKUP($H13,技能模板!$D$13:$U$19,MATCH(技能模板!U$13,技能模板!$D$13:$U$13,0),0)-1)),"")</f>
        <v>0</v>
      </c>
      <c r="Y13" s="107">
        <f>U13*L13/S13*Q13</f>
        <v>147.49999999999994</v>
      </c>
      <c r="Z13" s="8">
        <f>L13*Q13</f>
        <v>590</v>
      </c>
    </row>
    <row r="14" spans="1:26" ht="14.25" customHeight="1" x14ac:dyDescent="0.2">
      <c r="C14" s="45"/>
      <c r="D14" s="54" t="str">
        <f t="shared" si="2"/>
        <v/>
      </c>
      <c r="E14" s="1" t="str">
        <f t="shared" si="3"/>
        <v/>
      </c>
      <c r="F14" s="1" t="str">
        <f t="shared" si="0"/>
        <v/>
      </c>
      <c r="H14" s="1" t="str">
        <f>IFERROR(VLOOKUP($G14,角色设定!$R:$S,2,0),"")</f>
        <v/>
      </c>
      <c r="I14" s="1" t="str">
        <f>IFERROR(VLOOKUP(H14,角色设定!$D$9:$E$15,2,0),"")</f>
        <v/>
      </c>
      <c r="J14" s="1" t="str">
        <f t="shared" si="1"/>
        <v/>
      </c>
      <c r="K14" s="1" t="str">
        <f t="shared" si="1"/>
        <v/>
      </c>
      <c r="L14" s="8" t="str">
        <f>IFERROR(VLOOKUP($G14,角色设定!$AB$9:$AJ$21,MATCH(角色成长!$E$17,角色设定!$AB$9:$AJ$9,0),0)*VLOOKUP($J14,角色成长!$D$17:$J$117,MATCH(角色成长!$E$17,角色成长!$D$17:$J$17,0),0)*角色成长!$L$15*R14/Q14/(1+O14*(P14-1)),"")</f>
        <v/>
      </c>
      <c r="M14" s="8" t="str">
        <f>IFERROR(VLOOKUP($G14,角色设定!$AB$9:$AJ$21,MATCH(角色成长!$F$17,角色设定!$AB$9:$AJ$9,0),0)*VLOOKUP($J14,角色成长!$D$17:$J$117,MATCH(角色成长!$F$17,角色成长!$D$17:$J$17,0),0)*角色成长!$L$15/(1+N14/角色成长!$N$16),"")</f>
        <v/>
      </c>
      <c r="N14" s="8" t="str">
        <f>IFERROR(VLOOKUP($G14,角色设定!$AB$9:$AJ$21,MATCH(N$9,角色设定!$AB$9:$AJ$9,0),0)*VLOOKUP($J14,角色成长!$D$17:$J$117,MATCH(N$9,角色成长!$D$17:$J$17,0),0)*角色成长!$L$15,"")</f>
        <v/>
      </c>
      <c r="O14" s="1" t="str">
        <f>IFERROR(VLOOKUP($G14,角色设定!$AB$9:$AJ$21,MATCH(O$9,角色设定!$AB$9:$AJ$9,0),0)*VLOOKUP($J14,角色成长!$D$17:$J$117,MATCH(O$9,角色成长!$D$17:$J$17,0),0),"")</f>
        <v/>
      </c>
      <c r="P14" s="1" t="str">
        <f>IFERROR(VLOOKUP($G14,角色设定!$AB$9:$AJ$21,MATCH(P$9,角色设定!$AB$9:$AJ$9,0),0)*VLOOKUP($J14,角色成长!$D$17:$J$117,MATCH(P$9,角色成长!$D$17:$J$17,0),0),"")</f>
        <v/>
      </c>
      <c r="Q14" s="1" t="str">
        <f>IFERROR(VLOOKUP($G14,角色设定!$AB$9:$AJ$21,MATCH(Q$9,角色设定!$AB$9:$AJ$9,0),0)*VLOOKUP($J14,角色成长!$D$17:$J$117,MATCH(Q$9,角色成长!$D$17:$J$17,0),0),"")</f>
        <v/>
      </c>
      <c r="R14" s="1" t="str">
        <f>IFERROR(VLOOKUP($G14,角色设定!$AB$9:$AJ$21,MATCH(R$9,角色设定!$AB$9:$AJ$9,0),0),"")</f>
        <v/>
      </c>
      <c r="S14" s="1" t="str">
        <f>IFERROR(VLOOKUP($G14,角色技能!$D:$M,MATCH(S$9,角色技能!$D$4:$M$4,0),0),"")</f>
        <v/>
      </c>
      <c r="T14" s="1" t="str">
        <f>IFERROR(VLOOKUP($G14,角色技能!$D:$M,MATCH(T$9,角色技能!$D$4:$M$4,0),0),"")</f>
        <v/>
      </c>
      <c r="U14" s="6" t="str">
        <f>IFERROR(VLOOKUP($G14,角色技能!$D:$M,MATCH(U$9,角色技能!$D$4:$M$4,0),0)*(1+$K14/100*(VLOOKUP($H14,技能模板!$D$13:$U$19,MATCH(技能模板!R$13,技能模板!$D$13:$U$13,0),0)-1)),"")</f>
        <v/>
      </c>
      <c r="V14" s="6" t="str">
        <f>IFERROR(VLOOKUP($G14,角色技能!$D:$M,MATCH(V$9,角色技能!$D$4:$M$4,0),0)*(1+$K14/100*(VLOOKUP($H14,技能模板!$D$13:$U$19,MATCH(技能模板!S$13,技能模板!$D$13:$U$13,0),0)-1)),"")</f>
        <v/>
      </c>
      <c r="W14" s="6" t="str">
        <f>IFERROR(VLOOKUP($G14,角色技能!$D:$M,MATCH(W$9,角色技能!$D$4:$M$4,0),0)*(1+$K14/100*(VLOOKUP($H14,技能模板!$D$13:$U$19,MATCH(技能模板!T$13,技能模板!$D$13:$U$13,0),0)-1)),"")</f>
        <v/>
      </c>
      <c r="X14" s="55" t="str">
        <f>IFERROR(VLOOKUP($G14,角色技能!$D:$M,MATCH(X$9,角色技能!$D$4:$M$4,0),0)*(1+$K14/100*(VLOOKUP($H14,技能模板!$D$13:$U$19,MATCH(技能模板!U$13,技能模板!$D$13:$U$13,0),0)-1)),"")</f>
        <v/>
      </c>
      <c r="Y14" s="134">
        <f>Y13/SUM($Y13:$Z13)</f>
        <v>0.19999999999999993</v>
      </c>
      <c r="Z14" s="134">
        <f>Z13/SUM($Y13:$Z13)</f>
        <v>0.8</v>
      </c>
    </row>
    <row r="15" spans="1:26" ht="14.25" customHeight="1" x14ac:dyDescent="0.2">
      <c r="C15" s="45"/>
      <c r="D15" s="54">
        <f t="shared" si="2"/>
        <v>3</v>
      </c>
      <c r="E15" s="1">
        <f t="shared" si="3"/>
        <v>2</v>
      </c>
      <c r="F15" s="1">
        <f t="shared" si="0"/>
        <v>6</v>
      </c>
      <c r="G15" s="1" t="s">
        <v>252</v>
      </c>
      <c r="H15" s="1" t="str">
        <f>IFERROR(VLOOKUP($G15,角色设定!$R:$S,2,0),"")</f>
        <v>射击</v>
      </c>
      <c r="I15" s="1" t="str">
        <f>IFERROR(VLOOKUP(H15,角色设定!$D$9:$E$15,2,0),"")</f>
        <v>输出</v>
      </c>
      <c r="J15" s="1">
        <f t="shared" si="1"/>
        <v>1</v>
      </c>
      <c r="K15" s="1">
        <f t="shared" si="1"/>
        <v>0</v>
      </c>
      <c r="L15" s="8">
        <f>IFERROR(VLOOKUP($G15,角色设定!$AB$9:$AJ$21,MATCH(角色成长!$E$17,角色设定!$AB$9:$AJ$9,0),0)*VLOOKUP($J15,角色成长!$D$17:$J$117,MATCH(角色成长!$E$17,角色成长!$D$17:$J$17,0),0)*角色成长!$L$15*R15/Q15/(1+O15*(P15-1)),"")</f>
        <v>521.4204545454545</v>
      </c>
      <c r="M15" s="8">
        <f>IFERROR(VLOOKUP($G15,角色设定!$AB$9:$AJ$21,MATCH(角色成长!$F$17,角色设定!$AB$9:$AJ$9,0),0)*VLOOKUP($J15,角色成长!$D$17:$J$117,MATCH(角色成长!$F$17,角色成长!$D$17:$J$17,0),0)*角色成长!$L$15/(1+N15/角色成长!$N$16),"")</f>
        <v>2622.7272429235545</v>
      </c>
      <c r="N15" s="8">
        <f>IFERROR(VLOOKUP($G15,角色设定!$AB$9:$AJ$21,MATCH(N$9,角色设定!$AB$9:$AJ$9,0),0)*VLOOKUP($J15,角色成长!$D$17:$J$117,MATCH(N$9,角色成长!$D$17:$J$17,0),0)*角色成长!$L$15,"")</f>
        <v>337.5</v>
      </c>
      <c r="O15" s="1">
        <f>IFERROR(VLOOKUP($G15,角色设定!$AB$9:$AJ$21,MATCH(O$9,角色设定!$AB$9:$AJ$9,0),0)*VLOOKUP($J15,角色成长!$D$17:$J$117,MATCH(O$9,角色成长!$D$17:$J$17,0),0),"")</f>
        <v>0.4</v>
      </c>
      <c r="P15" s="1">
        <f>IFERROR(VLOOKUP($G15,角色设定!$AB$9:$AJ$21,MATCH(P$9,角色设定!$AB$9:$AJ$9,0),0)*VLOOKUP($J15,角色成长!$D$17:$J$117,MATCH(P$9,角色成长!$D$17:$J$17,0),0),"")</f>
        <v>1.5</v>
      </c>
      <c r="Q15" s="1">
        <f>IFERROR(VLOOKUP($G15,角色设定!$AB$9:$AJ$21,MATCH(Q$9,角色设定!$AB$9:$AJ$9,0),0)*VLOOKUP($J15,角色成长!$D$17:$J$117,MATCH(Q$9,角色成长!$D$17:$J$17,0),0),"")</f>
        <v>1.1000000000000001</v>
      </c>
      <c r="R15" s="1">
        <f>IFERROR(VLOOKUP($G15,角色设定!$AB$9:$AJ$21,MATCH(R$9,角色设定!$AB$9:$AJ$9,0),0),"")</f>
        <v>0.80500000000000005</v>
      </c>
      <c r="S15" s="1">
        <f>IFERROR(VLOOKUP($G15,角色技能!$D:$M,MATCH(S$9,角色技能!$D$4:$M$4,0),0),"")</f>
        <v>20</v>
      </c>
      <c r="T15" s="1">
        <f>IFERROR(VLOOKUP($G15,角色技能!$D:$M,MATCH(T$9,角色技能!$D$4:$M$4,0),0),"")</f>
        <v>10</v>
      </c>
      <c r="U15" s="6">
        <f>IFERROR(VLOOKUP($G15,角色技能!$D:$M,MATCH(U$9,角色技能!$D$4:$M$4,0),0)*(1+$K15/100*(VLOOKUP($H15,技能模板!$D$13:$U$19,MATCH(技能模板!R$13,技能模板!$D$13:$U$13,0),0)-1)),"")</f>
        <v>4.8447204968944071</v>
      </c>
      <c r="V15" s="6">
        <f>IFERROR(VLOOKUP($G15,角色技能!$D:$M,MATCH(V$9,角色技能!$D$4:$M$4,0),0)*(1+$K15/100*(VLOOKUP($H15,技能模板!$D$13:$U$19,MATCH(技能模板!S$13,技能模板!$D$13:$U$13,0),0)-1)),"")</f>
        <v>0</v>
      </c>
      <c r="W15" s="6">
        <f>IFERROR(VLOOKUP($G15,角色技能!$D:$M,MATCH(W$9,角色技能!$D$4:$M$4,0),0)*(1+$K15/100*(VLOOKUP($H15,技能模板!$D$13:$U$19,MATCH(技能模板!T$13,技能模板!$D$13:$U$13,0),0)-1)),"")</f>
        <v>0</v>
      </c>
      <c r="X15" s="55">
        <f>IFERROR(VLOOKUP($G15,角色技能!$D:$M,MATCH(X$9,角色技能!$D$4:$M$4,0),0)*(1+$K15/100*(VLOOKUP($H15,技能模板!$D$13:$U$19,MATCH(技能模板!U$13,技能模板!$D$13:$U$13,0),0)-1)),"")</f>
        <v>0</v>
      </c>
      <c r="Y15" s="47"/>
    </row>
    <row r="16" spans="1:26" ht="14.25" customHeight="1" x14ac:dyDescent="0.2">
      <c r="C16" s="45"/>
      <c r="D16" s="54" t="str">
        <f t="shared" si="2"/>
        <v/>
      </c>
      <c r="E16" s="1" t="str">
        <f t="shared" si="3"/>
        <v/>
      </c>
      <c r="F16" s="1" t="str">
        <f t="shared" si="0"/>
        <v/>
      </c>
      <c r="H16" s="1" t="str">
        <f>IFERROR(VLOOKUP($G16,角色设定!$R:$S,2,0),"")</f>
        <v/>
      </c>
      <c r="I16" s="1" t="str">
        <f>IFERROR(VLOOKUP(H16,角色设定!$D$9:$E$15,2,0),"")</f>
        <v/>
      </c>
      <c r="J16" s="1" t="str">
        <f t="shared" si="1"/>
        <v/>
      </c>
      <c r="K16" s="1" t="str">
        <f t="shared" si="1"/>
        <v/>
      </c>
      <c r="L16" s="8" t="str">
        <f>IFERROR(VLOOKUP($G16,角色设定!$AB$9:$AJ$21,MATCH(角色成长!$E$17,角色设定!$AB$9:$AJ$9,0),0)*VLOOKUP($J16,角色成长!$D$17:$J$117,MATCH(角色成长!$E$17,角色成长!$D$17:$J$17,0),0)*角色成长!$L$15*R16/Q16/(1+O16*(P16-1)),"")</f>
        <v/>
      </c>
      <c r="M16" s="8" t="str">
        <f>IFERROR(VLOOKUP($G16,角色设定!$AB$9:$AJ$21,MATCH(角色成长!$F$17,角色设定!$AB$9:$AJ$9,0),0)*VLOOKUP($J16,角色成长!$D$17:$J$117,MATCH(角色成长!$F$17,角色成长!$D$17:$J$17,0),0)*角色成长!$L$15/(1+N16/角色成长!$N$16),"")</f>
        <v/>
      </c>
      <c r="N16" s="8" t="str">
        <f>IFERROR(VLOOKUP($G16,角色设定!$AB$9:$AJ$21,MATCH(N$9,角色设定!$AB$9:$AJ$9,0),0)*VLOOKUP($J16,角色成长!$D$17:$J$117,MATCH(N$9,角色成长!$D$17:$J$17,0),0)*角色成长!$L$15,"")</f>
        <v/>
      </c>
      <c r="O16" s="1" t="str">
        <f>IFERROR(VLOOKUP($G16,角色设定!$AB$9:$AJ$21,MATCH(O$9,角色设定!$AB$9:$AJ$9,0),0)*VLOOKUP($J16,角色成长!$D$17:$J$117,MATCH(O$9,角色成长!$D$17:$J$17,0),0),"")</f>
        <v/>
      </c>
      <c r="P16" s="1" t="str">
        <f>IFERROR(VLOOKUP($G16,角色设定!$AB$9:$AJ$21,MATCH(P$9,角色设定!$AB$9:$AJ$9,0),0)*VLOOKUP($J16,角色成长!$D$17:$J$117,MATCH(P$9,角色成长!$D$17:$J$17,0),0),"")</f>
        <v/>
      </c>
      <c r="Q16" s="1" t="str">
        <f>IFERROR(VLOOKUP($G16,角色设定!$AB$9:$AJ$21,MATCH(Q$9,角色设定!$AB$9:$AJ$9,0),0)*VLOOKUP($J16,角色成长!$D$17:$J$117,MATCH(Q$9,角色成长!$D$17:$J$17,0),0),"")</f>
        <v/>
      </c>
      <c r="R16" s="1" t="str">
        <f>IFERROR(VLOOKUP($G16,角色设定!$AB$9:$AJ$21,MATCH(R$9,角色设定!$AB$9:$AJ$9,0),0),"")</f>
        <v/>
      </c>
      <c r="S16" s="1" t="str">
        <f>IFERROR(VLOOKUP($G16,角色技能!$D:$M,MATCH(S$9,角色技能!$D$4:$M$4,0),0),"")</f>
        <v/>
      </c>
      <c r="T16" s="1" t="str">
        <f>IFERROR(VLOOKUP($G16,角色技能!$D:$M,MATCH(T$9,角色技能!$D$4:$M$4,0),0),"")</f>
        <v/>
      </c>
      <c r="U16" s="6" t="str">
        <f>IFERROR(VLOOKUP($G16,角色技能!$D:$M,MATCH(U$9,角色技能!$D$4:$M$4,0),0)*(1+$K16/100*(VLOOKUP($H16,技能模板!$D$13:$U$19,MATCH(技能模板!R$13,技能模板!$D$13:$U$13,0),0)-1)),"")</f>
        <v/>
      </c>
      <c r="V16" s="6" t="str">
        <f>IFERROR(VLOOKUP($G16,角色技能!$D:$M,MATCH(V$9,角色技能!$D$4:$M$4,0),0)*(1+$K16/100*(VLOOKUP($H16,技能模板!$D$13:$U$19,MATCH(技能模板!S$13,技能模板!$D$13:$U$13,0),0)-1)),"")</f>
        <v/>
      </c>
      <c r="W16" s="6" t="str">
        <f>IFERROR(VLOOKUP($G16,角色技能!$D:$M,MATCH(W$9,角色技能!$D$4:$M$4,0),0)*(1+$K16/100*(VLOOKUP($H16,技能模板!$D$13:$U$19,MATCH(技能模板!T$13,技能模板!$D$13:$U$13,0),0)-1)),"")</f>
        <v/>
      </c>
      <c r="X16" s="55" t="str">
        <f>IFERROR(VLOOKUP($G16,角色技能!$D:$M,MATCH(X$9,角色技能!$D$4:$M$4,0),0)*(1+$K16/100*(VLOOKUP($H16,技能模板!$D$13:$U$19,MATCH(技能模板!U$13,技能模板!$D$13:$U$13,0),0)-1)),"")</f>
        <v/>
      </c>
      <c r="Y16" s="47"/>
    </row>
    <row r="17" spans="1:26" ht="14.25" customHeight="1" x14ac:dyDescent="0.2">
      <c r="C17" s="45"/>
      <c r="D17" s="54">
        <f t="shared" si="2"/>
        <v>2</v>
      </c>
      <c r="E17" s="1">
        <f t="shared" si="3"/>
        <v>1</v>
      </c>
      <c r="F17" s="1">
        <f t="shared" si="0"/>
        <v>8</v>
      </c>
      <c r="G17" s="1" t="s">
        <v>256</v>
      </c>
      <c r="H17" s="1" t="str">
        <f>IFERROR(VLOOKUP($G17,角色设定!$R:$S,2,0),"")</f>
        <v>恢复</v>
      </c>
      <c r="I17" s="1" t="str">
        <f>IFERROR(VLOOKUP(H17,角色设定!$D$9:$E$15,2,0),"")</f>
        <v>治疗</v>
      </c>
      <c r="J17" s="1">
        <f t="shared" si="1"/>
        <v>1</v>
      </c>
      <c r="K17" s="1">
        <f t="shared" si="1"/>
        <v>0</v>
      </c>
      <c r="L17" s="8">
        <f>IFERROR(VLOOKUP($G17,角色设定!$AB$9:$AJ$21,MATCH(角色成长!$E$17,角色设定!$AB$9:$AJ$9,0),0)*VLOOKUP($J17,角色成长!$D$17:$J$117,MATCH(角色成长!$E$17,角色成长!$D$17:$J$17,0),0)*角色成长!$L$15*R17/Q17/(1+O17*(P17-1)),"")</f>
        <v>221.66666666666669</v>
      </c>
      <c r="M17" s="8">
        <f>IFERROR(VLOOKUP($G17,角色设定!$AB$9:$AJ$21,MATCH(角色成长!$F$17,角色设定!$AB$9:$AJ$9,0),0)*VLOOKUP($J17,角色成长!$D$17:$J$117,MATCH(角色成长!$F$17,角色成长!$D$17:$J$17,0),0)*角色成长!$L$15/(1+N17/角色成长!$N$16),"")</f>
        <v>3742.1415028440274</v>
      </c>
      <c r="N17" s="8">
        <f>IFERROR(VLOOKUP($G17,角色设定!$AB$9:$AJ$21,MATCH(N$9,角色设定!$AB$9:$AJ$9,0),0)*VLOOKUP($J17,角色成长!$D$17:$J$117,MATCH(N$9,角色成长!$D$17:$J$17,0),0)*角色成长!$L$15,"")</f>
        <v>210</v>
      </c>
      <c r="O17" s="1">
        <f>IFERROR(VLOOKUP($G17,角色设定!$AB$9:$AJ$21,MATCH(O$9,角色设定!$AB$9:$AJ$9,0),0)*VLOOKUP($J17,角色成长!$D$17:$J$117,MATCH(O$9,角色成长!$D$17:$J$17,0),0),"")</f>
        <v>0.4</v>
      </c>
      <c r="P17" s="1">
        <f>IFERROR(VLOOKUP($G17,角色设定!$AB$9:$AJ$21,MATCH(P$9,角色设定!$AB$9:$AJ$9,0),0)*VLOOKUP($J17,角色成长!$D$17:$J$117,MATCH(P$9,角色成长!$D$17:$J$17,0),0),"")</f>
        <v>1.5</v>
      </c>
      <c r="Q17" s="1">
        <f>IFERROR(VLOOKUP($G17,角色设定!$AB$9:$AJ$21,MATCH(Q$9,角色设定!$AB$9:$AJ$9,0),0)*VLOOKUP($J17,角色成长!$D$17:$J$117,MATCH(Q$9,角色成长!$D$17:$J$17,0),0),"")</f>
        <v>0.9</v>
      </c>
      <c r="R17" s="1">
        <f>IFERROR(VLOOKUP($G17,角色设定!$AB$9:$AJ$21,MATCH(R$9,角色设定!$AB$9:$AJ$9,0),0),"")</f>
        <v>0.79800000000000004</v>
      </c>
      <c r="S17" s="1">
        <f>IFERROR(VLOOKUP($G17,角色技能!$D:$M,MATCH(S$9,角色技能!$D$4:$M$4,0),0),"")</f>
        <v>10</v>
      </c>
      <c r="T17" s="1">
        <f>IFERROR(VLOOKUP($G17,角色技能!$D:$M,MATCH(T$9,角色技能!$D$4:$M$4,0),0),"")</f>
        <v>5</v>
      </c>
      <c r="U17" s="6">
        <f>IFERROR(VLOOKUP($G17,角色技能!$D:$M,MATCH(U$9,角色技能!$D$4:$M$4,0),0)*(1+$K17/100*(VLOOKUP($H17,技能模板!$D$13:$U$19,MATCH(技能模板!R$13,技能模板!$D$13:$U$13,0),0)-1)),"")</f>
        <v>2.5313283208020043</v>
      </c>
      <c r="V17" s="6">
        <f>IFERROR(VLOOKUP($G17,角色技能!$D:$M,MATCH(V$9,角色技能!$D$4:$M$4,0),0)*(1+$K17/100*(VLOOKUP($H17,技能模板!$D$13:$U$19,MATCH(技能模板!S$13,技能模板!$D$13:$U$13,0),0)-1)),"")</f>
        <v>0</v>
      </c>
      <c r="W17" s="6">
        <f>IFERROR(VLOOKUP($G17,角色技能!$D:$M,MATCH(W$9,角色技能!$D$4:$M$4,0),0)*(1+$K17/100*(VLOOKUP($H17,技能模板!$D$13:$U$19,MATCH(技能模板!T$13,技能模板!$D$13:$U$13,0),0)-1)),"")</f>
        <v>0</v>
      </c>
      <c r="X17" s="55">
        <f>IFERROR(VLOOKUP($G17,角色技能!$D:$M,MATCH(X$9,角色技能!$D$4:$M$4,0),0)*(1+$K17/100*(VLOOKUP($H17,技能模板!$D$13:$U$19,MATCH(技能模板!U$13,技能模板!$D$13:$U$13,0),0)-1)),"")</f>
        <v>0.55892431003178</v>
      </c>
      <c r="Y17" s="107">
        <f>U17*L17/S17*Q17</f>
        <v>50.499999999999993</v>
      </c>
      <c r="Z17" s="8">
        <f>L17*Q17</f>
        <v>199.50000000000003</v>
      </c>
    </row>
    <row r="18" spans="1:26" ht="14.25" customHeight="1" x14ac:dyDescent="0.2">
      <c r="C18" s="45"/>
      <c r="D18" s="54" t="str">
        <f t="shared" ref="D18" si="4">IFERROR(MOD(F18+3-1,3)+1,"")</f>
        <v/>
      </c>
      <c r="E18" s="1" t="str">
        <f t="shared" ref="E18" si="5">IFERROR(ABS(INT((F18-7)/3))+1,"")</f>
        <v/>
      </c>
      <c r="F18" s="1" t="str">
        <f t="shared" ref="F18" si="6">IF(G18="","",ROW(G18)-$C$9+1)</f>
        <v/>
      </c>
      <c r="H18" s="1" t="str">
        <f>IFERROR(VLOOKUP($G18,角色设定!$R:$S,2,0),"")</f>
        <v/>
      </c>
      <c r="I18" s="1" t="str">
        <f>IFERROR(VLOOKUP(H18,角色设定!$D$9:$E$15,2,0),"")</f>
        <v/>
      </c>
      <c r="J18" s="1" t="str">
        <f t="shared" ref="J18:K18" si="7">IF($G18="","",J$8)</f>
        <v/>
      </c>
      <c r="K18" s="1" t="str">
        <f t="shared" si="7"/>
        <v/>
      </c>
      <c r="L18" s="8" t="str">
        <f>IFERROR(VLOOKUP($G18,角色设定!$AB$9:$AJ$21,MATCH(角色成长!$E$17,角色设定!$AB$9:$AJ$9,0),0)*VLOOKUP($J18,角色成长!$D$17:$J$117,MATCH(角色成长!$E$17,角色成长!$D$17:$J$17,0),0)*角色成长!$L$15*R18/Q18/(1+O18*(P18-1)),"")</f>
        <v/>
      </c>
      <c r="M18" s="8" t="str">
        <f>IFERROR(VLOOKUP($G18,角色设定!$AB$9:$AJ$21,MATCH(角色成长!$F$17,角色设定!$AB$9:$AJ$9,0),0)*VLOOKUP($J18,角色成长!$D$17:$J$117,MATCH(角色成长!$F$17,角色成长!$D$17:$J$17,0),0)*角色成长!$L$15/(1+N18/角色成长!$N$16),"")</f>
        <v/>
      </c>
      <c r="N18" s="8" t="str">
        <f>IFERROR(VLOOKUP($G18,角色设定!$AB$9:$AJ$21,MATCH(N$9,角色设定!$AB$9:$AJ$9,0),0)*VLOOKUP($J18,角色成长!$D$17:$J$117,MATCH(N$9,角色成长!$D$17:$J$17,0),0)*角色成长!$L$15,"")</f>
        <v/>
      </c>
      <c r="O18" s="1" t="str">
        <f>IFERROR(VLOOKUP($G18,角色设定!$AB$9:$AJ$21,MATCH(O$9,角色设定!$AB$9:$AJ$9,0),0)*VLOOKUP($J18,角色成长!$D$17:$J$117,MATCH(O$9,角色成长!$D$17:$J$17,0),0),"")</f>
        <v/>
      </c>
      <c r="P18" s="1" t="str">
        <f>IFERROR(VLOOKUP($G18,角色设定!$AB$9:$AJ$21,MATCH(P$9,角色设定!$AB$9:$AJ$9,0),0)*VLOOKUP($J18,角色成长!$D$17:$J$117,MATCH(P$9,角色成长!$D$17:$J$17,0),0),"")</f>
        <v/>
      </c>
      <c r="Q18" s="1" t="str">
        <f>IFERROR(VLOOKUP($G18,角色设定!$AB$9:$AJ$21,MATCH(Q$9,角色设定!$AB$9:$AJ$9,0),0)*VLOOKUP($J18,角色成长!$D$17:$J$117,MATCH(Q$9,角色成长!$D$17:$J$17,0),0),"")</f>
        <v/>
      </c>
      <c r="R18" s="1" t="str">
        <f>IFERROR(VLOOKUP($G18,角色设定!$AB$9:$AJ$21,MATCH(R$9,角色设定!$AB$9:$AJ$9,0),0),"")</f>
        <v/>
      </c>
      <c r="S18" s="1" t="str">
        <f>IFERROR(VLOOKUP($G18,角色技能!$D:$M,MATCH(S$9,角色技能!$D$4:$M$4,0),0),"")</f>
        <v/>
      </c>
      <c r="T18" s="1" t="str">
        <f>IFERROR(VLOOKUP($G18,角色技能!$D:$M,MATCH(T$9,角色技能!$D$4:$M$4,0),0),"")</f>
        <v/>
      </c>
      <c r="U18" s="6" t="str">
        <f>IFERROR(VLOOKUP($G18,角色技能!$D:$M,MATCH(U$9,角色技能!$D$4:$M$4,0),0)*(1+$K18/100*(VLOOKUP($H18,技能模板!$D$13:$U$19,MATCH(技能模板!R$13,技能模板!$D$13:$U$13,0),0)-1)),"")</f>
        <v/>
      </c>
      <c r="V18" s="6" t="str">
        <f>IFERROR(VLOOKUP($G18,角色技能!$D:$M,MATCH(V$9,角色技能!$D$4:$M$4,0),0)*(1+$K18/100*(VLOOKUP($H18,技能模板!$D$13:$U$19,MATCH(技能模板!S$13,技能模板!$D$13:$U$13,0),0)-1)),"")</f>
        <v/>
      </c>
      <c r="W18" s="6" t="str">
        <f>IFERROR(VLOOKUP($G18,角色技能!$D:$M,MATCH(W$9,角色技能!$D$4:$M$4,0),0)*(1+$K18/100*(VLOOKUP($H18,技能模板!$D$13:$U$19,MATCH(技能模板!T$13,技能模板!$D$13:$U$13,0),0)-1)),"")</f>
        <v/>
      </c>
      <c r="X18" s="55" t="str">
        <f>IFERROR(VLOOKUP($G18,角色技能!$D:$M,MATCH(X$9,角色技能!$D$4:$M$4,0),0)*(1+$K18/100*(VLOOKUP($H18,技能模板!$D$13:$U$19,MATCH(技能模板!U$13,技能模板!$D$13:$U$13,0),0)-1)),"")</f>
        <v/>
      </c>
      <c r="Y18" s="133">
        <f>Y17/SUM($Y17:$Z17)</f>
        <v>0.20199999999999996</v>
      </c>
      <c r="Z18" s="133">
        <f>Z17/SUM($Y17:$Z17)</f>
        <v>0.79800000000000004</v>
      </c>
    </row>
    <row r="19" spans="1:26" ht="14.25" customHeight="1" thickBot="1" x14ac:dyDescent="0.25">
      <c r="D19" s="43"/>
      <c r="E19" s="43"/>
      <c r="F19" s="43"/>
      <c r="G19" s="43"/>
      <c r="H19" s="43"/>
      <c r="I19" s="43"/>
      <c r="J19" s="61">
        <v>1</v>
      </c>
      <c r="K19" s="61">
        <v>0</v>
      </c>
      <c r="L19" s="62"/>
      <c r="M19" s="62"/>
      <c r="N19" s="62"/>
      <c r="O19" s="43"/>
      <c r="P19" s="43"/>
      <c r="Q19" s="43"/>
      <c r="R19" s="43"/>
      <c r="S19" s="43">
        <v>0</v>
      </c>
      <c r="T19" s="43">
        <v>0</v>
      </c>
      <c r="U19" s="63"/>
      <c r="V19" s="43" t="s">
        <v>238</v>
      </c>
      <c r="W19" s="43" t="s">
        <v>239</v>
      </c>
      <c r="X19" s="43" t="s">
        <v>240</v>
      </c>
    </row>
    <row r="20" spans="1:26" ht="14.25" customHeight="1" x14ac:dyDescent="0.2">
      <c r="A20" s="4">
        <f>B20/(SUM(M21:M29)*$G$1)</f>
        <v>6.8674146335254357E-3</v>
      </c>
      <c r="B20" s="6">
        <v>168948.84201939442</v>
      </c>
      <c r="C20" s="45">
        <f>ROW(D21)</f>
        <v>21</v>
      </c>
      <c r="D20" s="50" t="s">
        <v>244</v>
      </c>
      <c r="E20" s="51" t="s">
        <v>245</v>
      </c>
      <c r="F20" s="51" t="s">
        <v>224</v>
      </c>
      <c r="G20" s="52" t="s">
        <v>150</v>
      </c>
      <c r="H20" s="51" t="s">
        <v>87</v>
      </c>
      <c r="I20" s="51" t="s">
        <v>88</v>
      </c>
      <c r="J20" s="52" t="s">
        <v>232</v>
      </c>
      <c r="K20" s="52" t="s">
        <v>233</v>
      </c>
      <c r="L20" s="51" t="s">
        <v>32</v>
      </c>
      <c r="M20" s="51" t="s">
        <v>205</v>
      </c>
      <c r="N20" s="51" t="s">
        <v>33</v>
      </c>
      <c r="O20" s="51" t="s">
        <v>140</v>
      </c>
      <c r="P20" s="51" t="s">
        <v>141</v>
      </c>
      <c r="Q20" s="51" t="s">
        <v>142</v>
      </c>
      <c r="R20" s="51" t="s">
        <v>168</v>
      </c>
      <c r="S20" s="51" t="s">
        <v>198</v>
      </c>
      <c r="T20" s="51" t="s">
        <v>258</v>
      </c>
      <c r="U20" s="51" t="s">
        <v>199</v>
      </c>
      <c r="V20" s="51" t="s">
        <v>200</v>
      </c>
      <c r="W20" s="51" t="s">
        <v>202</v>
      </c>
      <c r="X20" s="53" t="s">
        <v>230</v>
      </c>
      <c r="Y20" s="47"/>
    </row>
    <row r="21" spans="1:26" ht="14.25" customHeight="1" x14ac:dyDescent="0.2">
      <c r="C21" s="45">
        <f>COLUMN(D21)</f>
        <v>4</v>
      </c>
      <c r="D21" s="54">
        <f>IFERROR(MOD(F21+3-1,3)+1,"")</f>
        <v>1</v>
      </c>
      <c r="E21" s="1">
        <f>IFERROR(INT((F21-1)/3)+5,"")</f>
        <v>5</v>
      </c>
      <c r="F21" s="1">
        <f t="shared" ref="F21:F28" si="8">IF(G21="","",ROW(G21)-$C$20+1)</f>
        <v>1</v>
      </c>
      <c r="G21" s="1" t="s">
        <v>265</v>
      </c>
      <c r="H21" s="1" t="str">
        <f>IFERROR(VLOOKUP($G21,角色设定!$R:$S,2,0),"")</f>
        <v>防御</v>
      </c>
      <c r="I21" s="1" t="str">
        <f>IFERROR(VLOOKUP(H21,角色设定!$D$9:$E$15,2,0),"")</f>
        <v>坦克</v>
      </c>
      <c r="J21" s="1">
        <f t="shared" ref="J21:K28" si="9">IF($G21="","",J$19)</f>
        <v>1</v>
      </c>
      <c r="K21" s="1">
        <f t="shared" si="9"/>
        <v>0</v>
      </c>
      <c r="L21" s="8">
        <f>IFERROR(VLOOKUP($G21,角色设定!$AB$9:$AJ$21,MATCH(角色成长!$E$17,角色设定!$AB$9:$AJ$9,0),0)*VLOOKUP($J21,角色成长!$D$17:$J$117,MATCH(角色成长!$E$17,角色成长!$D$17:$J$17,0),0)*角色成长!$L$15*R21/Q21/(1+O21*(P21-1)),"")</f>
        <v>234.375</v>
      </c>
      <c r="M21" s="8">
        <f>IFERROR(VLOOKUP($G21,角色设定!$AB$9:$AJ$21,MATCH(角色成长!$F$17,角色设定!$AB$9:$AJ$9,0),0)*VLOOKUP($J21,角色成长!$D$17:$J$117,MATCH(角色成长!$F$17,角色成长!$D$17:$J$17,0),0)*角色成长!$L$15/(1+N21/角色成长!$N$16),"")</f>
        <v>8265.1458798247786</v>
      </c>
      <c r="N21" s="8">
        <f>IFERROR(VLOOKUP($G21,角色设定!$AB$9:$AJ$21,MATCH(N$9,角色设定!$AB$9:$AJ$9,0),0)*VLOOKUP($J21,角色成长!$D$17:$J$117,MATCH(N$9,角色成长!$D$17:$J$17,0),0)*角色成长!$L$15,"")</f>
        <v>825</v>
      </c>
      <c r="O21" s="1">
        <f>IFERROR(VLOOKUP($G21,角色设定!$AB$9:$AJ$21,MATCH(O$9,角色设定!$AB$9:$AJ$9,0),0)*VLOOKUP($J21,角色成长!$D$17:$J$117,MATCH(O$9,角色成长!$D$17:$J$17,0),0),"")</f>
        <v>0.4</v>
      </c>
      <c r="P21" s="1">
        <f>IFERROR(VLOOKUP($G21,角色设定!$AB$9:$AJ$21,MATCH(P$9,角色设定!$AB$9:$AJ$9,0),0)*VLOOKUP($J21,角色成长!$D$17:$J$117,MATCH(P$9,角色成长!$D$17:$J$17,0),0),"")</f>
        <v>1.5</v>
      </c>
      <c r="Q21" s="1">
        <f>IFERROR(VLOOKUP($G21,角色设定!$AB$9:$AJ$21,MATCH(Q$9,角色设定!$AB$9:$AJ$9,0),0)*VLOOKUP($J21,角色成长!$D$17:$J$117,MATCH(Q$9,角色成长!$D$17:$J$17,0),0),"")</f>
        <v>0.9</v>
      </c>
      <c r="R21" s="1">
        <f>IFERROR(VLOOKUP($G21,角色设定!$AB$9:$AJ$21,MATCH(R$9,角色设定!$AB$9:$AJ$9,0),0),"")</f>
        <v>0.75</v>
      </c>
      <c r="S21" s="1">
        <f>IFERROR(VLOOKUP($G21,角色技能!$D:$M,MATCH(S$9,角色技能!$D$4:$M$4,0),0)*(1-$S$19),"")</f>
        <v>10</v>
      </c>
      <c r="T21" s="1">
        <f>IFERROR(VLOOKUP($G21,角色技能!$D:$M,MATCH(T$9,角色技能!$D$4:$M$4,0),0)*(1-$T$19),"")</f>
        <v>5</v>
      </c>
      <c r="U21" s="6">
        <f>IFERROR(VLOOKUP($G21,角色技能!$D:$M,MATCH(U$9,角色技能!$D$4:$M$4,0),0)*(1+$K21/100*(VLOOKUP($H21,技能模板!$D$13:$U$19,MATCH(技能模板!R$13,技能模板!$D$13:$U$13,0),0)-1)),"")</f>
        <v>3.333333333333333</v>
      </c>
      <c r="V21" s="6">
        <f>IFERROR(VLOOKUP($G21,角色技能!$D:$M,MATCH(V$9,角色技能!$D$4:$M$4,0),0)*(1+$K21/100*(VLOOKUP($H21,技能模板!$D$13:$U$19,MATCH(技能模板!S$13,技能模板!$D$13:$U$13,0),0)-1)),"")</f>
        <v>0</v>
      </c>
      <c r="W21" s="6">
        <f>IFERROR(VLOOKUP($G21,角色技能!$D:$M,MATCH(W$9,角色技能!$D$4:$M$4,0),0)*(1+$K21/100*(VLOOKUP($H21,技能模板!$D$13:$U$19,MATCH(技能模板!T$13,技能模板!$D$13:$U$13,0),0)-1)),"")</f>
        <v>0.6</v>
      </c>
      <c r="X21" s="55">
        <f>IFERROR(VLOOKUP($G21,角色技能!$D:$M,MATCH(X$9,角色技能!$D$4:$M$4,0),0)*(1+$K21/100*(VLOOKUP($H21,技能模板!$D$13:$U$19,MATCH(技能模板!U$13,技能模板!$D$13:$U$13,0),0)-1)),"")</f>
        <v>0</v>
      </c>
      <c r="Y21" s="47"/>
    </row>
    <row r="22" spans="1:26" ht="14.25" customHeight="1" x14ac:dyDescent="0.2">
      <c r="A22" s="1" t="s">
        <v>265</v>
      </c>
      <c r="C22" s="45">
        <f>ROW(X29)</f>
        <v>29</v>
      </c>
      <c r="D22" s="54" t="str">
        <f t="shared" ref="D22:D26" si="10">IFERROR(MOD(F22+3-1,3)+1,"")</f>
        <v/>
      </c>
      <c r="E22" s="1" t="str">
        <f t="shared" ref="E22:E26" si="11">IFERROR(INT((F22-1)/3)+5,"")</f>
        <v/>
      </c>
      <c r="F22" s="1" t="str">
        <f t="shared" si="8"/>
        <v/>
      </c>
      <c r="H22" s="1" t="str">
        <f>IFERROR(VLOOKUP($G22,角色设定!$R:$S,2,0),"")</f>
        <v/>
      </c>
      <c r="I22" s="1" t="str">
        <f>IFERROR(VLOOKUP(H22,角色设定!$D$9:$E$15,2,0),"")</f>
        <v/>
      </c>
      <c r="J22" s="1" t="str">
        <f t="shared" si="9"/>
        <v/>
      </c>
      <c r="K22" s="1" t="str">
        <f t="shared" si="9"/>
        <v/>
      </c>
      <c r="L22" s="8" t="str">
        <f>IFERROR(VLOOKUP($G22,角色设定!$AB$9:$AJ$21,MATCH(角色成长!$E$17,角色设定!$AB$9:$AJ$9,0),0)*VLOOKUP($J22,角色成长!$D$17:$J$117,MATCH(角色成长!$E$17,角色成长!$D$17:$J$17,0),0)*角色成长!$L$15*R22/Q22/(1+O22*(P22-1)),"")</f>
        <v/>
      </c>
      <c r="M22" s="8" t="str">
        <f>IFERROR(VLOOKUP($G22,角色设定!$AB$9:$AJ$21,MATCH(角色成长!$F$17,角色设定!$AB$9:$AJ$9,0),0)*VLOOKUP($J22,角色成长!$D$17:$J$117,MATCH(角色成长!$F$17,角色成长!$D$17:$J$17,0),0)*角色成长!$L$15/(1+N22/角色成长!$N$16),"")</f>
        <v/>
      </c>
      <c r="N22" s="8" t="str">
        <f>IFERROR(VLOOKUP($G22,角色设定!$AB$9:$AJ$21,MATCH(N$9,角色设定!$AB$9:$AJ$9,0),0)*VLOOKUP($J22,角色成长!$D$17:$J$117,MATCH(N$9,角色成长!$D$17:$J$17,0),0)*角色成长!$L$15,"")</f>
        <v/>
      </c>
      <c r="O22" s="1" t="str">
        <f>IFERROR(VLOOKUP($G22,角色设定!$AB$9:$AJ$21,MATCH(O$9,角色设定!$AB$9:$AJ$9,0),0)*VLOOKUP($J22,角色成长!$D$17:$J$117,MATCH(O$9,角色成长!$D$17:$J$17,0),0),"")</f>
        <v/>
      </c>
      <c r="P22" s="1" t="str">
        <f>IFERROR(VLOOKUP($G22,角色设定!$AB$9:$AJ$21,MATCH(P$9,角色设定!$AB$9:$AJ$9,0),0)*VLOOKUP($J22,角色成长!$D$17:$J$117,MATCH(P$9,角色成长!$D$17:$J$17,0),0),"")</f>
        <v/>
      </c>
      <c r="Q22" s="1" t="str">
        <f>IFERROR(VLOOKUP($G22,角色设定!$AB$9:$AJ$21,MATCH(Q$9,角色设定!$AB$9:$AJ$9,0),0)*VLOOKUP($J22,角色成长!$D$17:$J$117,MATCH(Q$9,角色成长!$D$17:$J$17,0),0),"")</f>
        <v/>
      </c>
      <c r="R22" s="1" t="str">
        <f>IFERROR(VLOOKUP($G22,角色设定!$AB$9:$AJ$21,MATCH(R$9,角色设定!$AB$9:$AJ$9,0),0),"")</f>
        <v/>
      </c>
      <c r="S22" s="1" t="str">
        <f>IFERROR(VLOOKUP($G22,角色技能!$D:$M,MATCH(S$9,角色技能!$D$4:$M$4,0),0)*(1-$S$19),"")</f>
        <v/>
      </c>
      <c r="T22" s="1" t="str">
        <f>IFERROR(VLOOKUP($G22,角色技能!$D:$M,MATCH(T$9,角色技能!$D$4:$M$4,0),0)*(1-$T$19),"")</f>
        <v/>
      </c>
      <c r="U22" s="6" t="str">
        <f>IFERROR(VLOOKUP($G22,角色技能!$D:$M,MATCH(U$9,角色技能!$D$4:$M$4,0),0)*(1+$K22/100*(VLOOKUP($H22,技能模板!$D$13:$U$19,MATCH(技能模板!R$13,技能模板!$D$13:$U$13,0),0)-1)),"")</f>
        <v/>
      </c>
      <c r="V22" s="6" t="str">
        <f>IFERROR(VLOOKUP($G22,角色技能!$D:$M,MATCH(V$9,角色技能!$D$4:$M$4,0),0)*(1+$K22/100*(VLOOKUP($H22,技能模板!$D$13:$U$19,MATCH(技能模板!S$13,技能模板!$D$13:$U$13,0),0)-1)),"")</f>
        <v/>
      </c>
      <c r="W22" s="6" t="str">
        <f>IFERROR(VLOOKUP($G22,角色技能!$D:$M,MATCH(W$9,角色技能!$D$4:$M$4,0),0)*(1+$K22/100*(VLOOKUP($H22,技能模板!$D$13:$U$19,MATCH(技能模板!T$13,技能模板!$D$13:$U$13,0),0)-1)),"")</f>
        <v/>
      </c>
      <c r="X22" s="55" t="str">
        <f>IFERROR(VLOOKUP($G22,角色技能!$D:$M,MATCH(X$9,角色技能!$D$4:$M$4,0),0)*(1+$K22/100*(VLOOKUP($H22,技能模板!$D$13:$U$19,MATCH(技能模板!U$13,技能模板!$D$13:$U$13,0),0)-1)),"")</f>
        <v/>
      </c>
      <c r="Y22" s="47"/>
    </row>
    <row r="23" spans="1:26" ht="14.25" customHeight="1" x14ac:dyDescent="0.2">
      <c r="C23" s="45">
        <f>COLUMN(X29)</f>
        <v>24</v>
      </c>
      <c r="D23" s="54">
        <f t="shared" si="10"/>
        <v>3</v>
      </c>
      <c r="E23" s="1">
        <f t="shared" si="11"/>
        <v>5</v>
      </c>
      <c r="F23" s="1">
        <f t="shared" si="8"/>
        <v>3</v>
      </c>
      <c r="G23" s="1" t="s">
        <v>247</v>
      </c>
      <c r="H23" s="1" t="str">
        <f>IFERROR(VLOOKUP($G23,角色设定!$R:$S,2,0),"")</f>
        <v>防御</v>
      </c>
      <c r="I23" s="1" t="str">
        <f>IFERROR(VLOOKUP(H23,角色设定!$D$9:$E$15,2,0),"")</f>
        <v>坦克</v>
      </c>
      <c r="J23" s="1">
        <f t="shared" si="9"/>
        <v>1</v>
      </c>
      <c r="K23" s="1">
        <f t="shared" si="9"/>
        <v>0</v>
      </c>
      <c r="L23" s="8">
        <f>IFERROR(VLOOKUP($G23,角色设定!$AB$9:$AJ$21,MATCH(角色成长!$E$17,角色设定!$AB$9:$AJ$9,0),0)*VLOOKUP($J23,角色成长!$D$17:$J$117,MATCH(角色成长!$E$17,角色成长!$D$17:$J$17,0),0)*角色成长!$L$15*R23/Q23/(1+O23*(P23-1)),"")</f>
        <v>260.41666666666669</v>
      </c>
      <c r="M23" s="8">
        <f>IFERROR(VLOOKUP($G23,角色设定!$AB$9:$AJ$21,MATCH(角色成长!$F$17,角色设定!$AB$9:$AJ$9,0),0)*VLOOKUP($J23,角色成长!$D$17:$J$117,MATCH(角色成长!$F$17,角色成长!$D$17:$J$17,0),0)*角色成长!$L$15/(1+N23/角色成长!$N$16),"")</f>
        <v>7438.6312918423</v>
      </c>
      <c r="N23" s="8">
        <f>IFERROR(VLOOKUP($G23,角色设定!$AB$9:$AJ$21,MATCH(N$9,角色设定!$AB$9:$AJ$9,0),0)*VLOOKUP($J23,角色成长!$D$17:$J$117,MATCH(N$9,角色成长!$D$17:$J$17,0),0)*角色成长!$L$15,"")</f>
        <v>825</v>
      </c>
      <c r="O23" s="1">
        <f>IFERROR(VLOOKUP($G23,角色设定!$AB$9:$AJ$21,MATCH(O$9,角色设定!$AB$9:$AJ$9,0),0)*VLOOKUP($J23,角色成长!$D$17:$J$117,MATCH(O$9,角色成长!$D$17:$J$17,0),0),"")</f>
        <v>0.4</v>
      </c>
      <c r="P23" s="1">
        <f>IFERROR(VLOOKUP($G23,角色设定!$AB$9:$AJ$21,MATCH(P$9,角色设定!$AB$9:$AJ$9,0),0)*VLOOKUP($J23,角色成长!$D$17:$J$117,MATCH(P$9,角色成长!$D$17:$J$17,0),0),"")</f>
        <v>1.5</v>
      </c>
      <c r="Q23" s="1">
        <f>IFERROR(VLOOKUP($G23,角色设定!$AB$9:$AJ$21,MATCH(Q$9,角色设定!$AB$9:$AJ$9,0),0)*VLOOKUP($J23,角色成长!$D$17:$J$117,MATCH(Q$9,角色成长!$D$17:$J$17,0),0),"")</f>
        <v>0.9</v>
      </c>
      <c r="R23" s="1">
        <f>IFERROR(VLOOKUP($G23,角色设定!$AB$9:$AJ$21,MATCH(R$9,角色设定!$AB$9:$AJ$9,0),0),"")</f>
        <v>0.75</v>
      </c>
      <c r="S23" s="1">
        <f>IFERROR(VLOOKUP($G23,角色技能!$D:$M,MATCH(S$9,角色技能!$D$4:$M$4,0),0)*(1-$S$19),"")</f>
        <v>10</v>
      </c>
      <c r="T23" s="1">
        <f>IFERROR(VLOOKUP($G23,角色技能!$D:$M,MATCH(T$9,角色技能!$D$4:$M$4,0),0)*(1-$T$19),"")</f>
        <v>5</v>
      </c>
      <c r="U23" s="6">
        <f>IFERROR(VLOOKUP($G23,角色技能!$D:$M,MATCH(U$9,角色技能!$D$4:$M$4,0),0)*(1+$K23/100*(VLOOKUP($H23,技能模板!$D$13:$U$19,MATCH(技能模板!R$13,技能模板!$D$13:$U$13,0),0)-1)),"")</f>
        <v>3.333333333333333</v>
      </c>
      <c r="V23" s="6">
        <f>IFERROR(VLOOKUP($G23,角色技能!$D:$M,MATCH(V$9,角色技能!$D$4:$M$4,0),0)*(1+$K23/100*(VLOOKUP($H23,技能模板!$D$13:$U$19,MATCH(技能模板!S$13,技能模板!$D$13:$U$13,0),0)-1)),"")</f>
        <v>0</v>
      </c>
      <c r="W23" s="6">
        <f>IFERROR(VLOOKUP($G23,角色技能!$D:$M,MATCH(W$9,角色技能!$D$4:$M$4,0),0)*(1+$K23/100*(VLOOKUP($H23,技能模板!$D$13:$U$19,MATCH(技能模板!T$13,技能模板!$D$13:$U$13,0),0)-1)),"")</f>
        <v>0.6</v>
      </c>
      <c r="X23" s="55">
        <f>IFERROR(VLOOKUP($G23,角色技能!$D:$M,MATCH(X$9,角色技能!$D$4:$M$4,0),0)*(1+$K23/100*(VLOOKUP($H23,技能模板!$D$13:$U$19,MATCH(技能模板!U$13,技能模板!$D$13:$U$13,0),0)-1)),"")</f>
        <v>0</v>
      </c>
      <c r="Y23" s="47"/>
    </row>
    <row r="24" spans="1:26" ht="14.25" customHeight="1" x14ac:dyDescent="0.2">
      <c r="A24" s="1" t="s">
        <v>247</v>
      </c>
      <c r="C24" s="45"/>
      <c r="D24" s="54">
        <f t="shared" si="10"/>
        <v>1</v>
      </c>
      <c r="E24" s="1">
        <f t="shared" si="11"/>
        <v>6</v>
      </c>
      <c r="F24" s="1">
        <f t="shared" si="8"/>
        <v>4</v>
      </c>
      <c r="G24" s="1" t="s">
        <v>250</v>
      </c>
      <c r="H24" s="1" t="str">
        <f>IFERROR(VLOOKUP($G24,角色设定!$R:$S,2,0),"")</f>
        <v>魔法</v>
      </c>
      <c r="I24" s="1" t="str">
        <f>IFERROR(VLOOKUP(H24,角色设定!$D$9:$E$15,2,0),"")</f>
        <v>输出</v>
      </c>
      <c r="J24" s="1">
        <f t="shared" si="9"/>
        <v>1</v>
      </c>
      <c r="K24" s="1">
        <f t="shared" si="9"/>
        <v>0</v>
      </c>
      <c r="L24" s="8">
        <f>IFERROR(VLOOKUP($G24,角色设定!$AB$9:$AJ$21,MATCH(角色成长!$E$17,角色设定!$AB$9:$AJ$9,0),0)*VLOOKUP($J24,角色成长!$D$17:$J$117,MATCH(角色成长!$E$17,角色成长!$D$17:$J$17,0),0)*角色成长!$L$15*R24/Q24/(1+O24*(P24-1)),"")</f>
        <v>590</v>
      </c>
      <c r="M24" s="8">
        <f>IFERROR(VLOOKUP($G24,角色设定!$AB$9:$AJ$21,MATCH(角色成长!$F$17,角色设定!$AB$9:$AJ$9,0),0)*VLOOKUP($J24,角色成长!$D$17:$J$117,MATCH(角色成长!$F$17,角色成长!$D$17:$J$17,0),0)*角色成长!$L$15/(1+N24/角色成长!$N$16),"")</f>
        <v>2532.8746015999327</v>
      </c>
      <c r="N24" s="8">
        <f>IFERROR(VLOOKUP($G24,角色设定!$AB$9:$AJ$21,MATCH(N$9,角色设定!$AB$9:$AJ$9,0),0)*VLOOKUP($J24,角色成长!$D$17:$J$117,MATCH(N$9,角色成长!$D$17:$J$17,0),0)*角色成长!$L$15,"")</f>
        <v>375</v>
      </c>
      <c r="O24" s="1">
        <f>IFERROR(VLOOKUP($G24,角色设定!$AB$9:$AJ$21,MATCH(O$9,角色设定!$AB$9:$AJ$9,0),0)*VLOOKUP($J24,角色成长!$D$17:$J$117,MATCH(O$9,角色成长!$D$17:$J$17,0),0),"")</f>
        <v>0.4</v>
      </c>
      <c r="P24" s="1">
        <f>IFERROR(VLOOKUP($G24,角色设定!$AB$9:$AJ$21,MATCH(P$9,角色设定!$AB$9:$AJ$9,0),0)*VLOOKUP($J24,角色成长!$D$17:$J$117,MATCH(P$9,角色成长!$D$17:$J$17,0),0),"")</f>
        <v>1.5</v>
      </c>
      <c r="Q24" s="1">
        <f>IFERROR(VLOOKUP($G24,角色设定!$AB$9:$AJ$21,MATCH(Q$9,角色设定!$AB$9:$AJ$9,0),0)*VLOOKUP($J24,角色成长!$D$17:$J$117,MATCH(Q$9,角色成长!$D$17:$J$17,0),0),"")</f>
        <v>1</v>
      </c>
      <c r="R24" s="1">
        <f>IFERROR(VLOOKUP($G24,角色设定!$AB$9:$AJ$21,MATCH(R$9,角色设定!$AB$9:$AJ$9,0),0),"")</f>
        <v>0.8</v>
      </c>
      <c r="S24" s="1">
        <f>IFERROR(VLOOKUP($G24,角色技能!$D:$M,MATCH(S$9,角色技能!$D$4:$M$4,0),0)*(1-$S$19),"")</f>
        <v>20</v>
      </c>
      <c r="T24" s="1">
        <f>IFERROR(VLOOKUP($G24,角色技能!$D:$M,MATCH(T$9,角色技能!$D$4:$M$4,0),0)*(1-$T$19),"")</f>
        <v>10</v>
      </c>
      <c r="U24" s="6">
        <f>IFERROR(VLOOKUP($G24,角色技能!$D:$M,MATCH(U$9,角色技能!$D$4:$M$4,0),0)*(1+$K24/100*(VLOOKUP($H24,技能模板!$D$13:$U$19,MATCH(技能模板!R$13,技能模板!$D$13:$U$13,0),0)-1)),"")</f>
        <v>4.9999999999999982</v>
      </c>
      <c r="V24" s="6">
        <f>IFERROR(VLOOKUP($G24,角色技能!$D:$M,MATCH(V$9,角色技能!$D$4:$M$4,0),0)*(1+$K24/100*(VLOOKUP($H24,技能模板!$D$13:$U$19,MATCH(技能模板!S$13,技能模板!$D$13:$U$13,0),0)-1)),"")</f>
        <v>0</v>
      </c>
      <c r="W24" s="6">
        <f>IFERROR(VLOOKUP($G24,角色技能!$D:$M,MATCH(W$9,角色技能!$D$4:$M$4,0),0)*(1+$K24/100*(VLOOKUP($H24,技能模板!$D$13:$U$19,MATCH(技能模板!T$13,技能模板!$D$13:$U$13,0),0)-1)),"")</f>
        <v>0</v>
      </c>
      <c r="X24" s="55">
        <f>IFERROR(VLOOKUP($G24,角色技能!$D:$M,MATCH(X$9,角色技能!$D$4:$M$4,0),0)*(1+$K24/100*(VLOOKUP($H24,技能模板!$D$13:$U$19,MATCH(技能模板!U$13,技能模板!$D$13:$U$13,0),0)-1)),"")</f>
        <v>0</v>
      </c>
      <c r="Y24" s="47"/>
    </row>
    <row r="25" spans="1:26" ht="14.25" customHeight="1" x14ac:dyDescent="0.2">
      <c r="A25" s="1" t="s">
        <v>250</v>
      </c>
      <c r="C25" s="45"/>
      <c r="D25" s="54" t="str">
        <f t="shared" si="10"/>
        <v/>
      </c>
      <c r="E25" s="1" t="str">
        <f t="shared" si="11"/>
        <v/>
      </c>
      <c r="F25" s="1" t="str">
        <f t="shared" si="8"/>
        <v/>
      </c>
      <c r="H25" s="1" t="str">
        <f>IFERROR(VLOOKUP($G25,角色设定!$R:$S,2,0),"")</f>
        <v/>
      </c>
      <c r="I25" s="1" t="str">
        <f>IFERROR(VLOOKUP(H25,角色设定!$D$9:$E$15,2,0),"")</f>
        <v/>
      </c>
      <c r="J25" s="1" t="str">
        <f t="shared" si="9"/>
        <v/>
      </c>
      <c r="K25" s="1" t="str">
        <f t="shared" si="9"/>
        <v/>
      </c>
      <c r="L25" s="8" t="str">
        <f>IFERROR(VLOOKUP($G25,角色设定!$AB$9:$AJ$21,MATCH(角色成长!$E$17,角色设定!$AB$9:$AJ$9,0),0)*VLOOKUP($J25,角色成长!$D$17:$J$117,MATCH(角色成长!$E$17,角色成长!$D$17:$J$17,0),0)*角色成长!$L$15*R25/Q25/(1+O25*(P25-1)),"")</f>
        <v/>
      </c>
      <c r="M25" s="8" t="str">
        <f>IFERROR(VLOOKUP($G25,角色设定!$AB$9:$AJ$21,MATCH(角色成长!$F$17,角色设定!$AB$9:$AJ$9,0),0)*VLOOKUP($J25,角色成长!$D$17:$J$117,MATCH(角色成长!$F$17,角色成长!$D$17:$J$17,0),0)*角色成长!$L$15/(1+N25/角色成长!$N$16),"")</f>
        <v/>
      </c>
      <c r="N25" s="8" t="str">
        <f>IFERROR(VLOOKUP($G25,角色设定!$AB$9:$AJ$21,MATCH(N$9,角色设定!$AB$9:$AJ$9,0),0)*VLOOKUP($J25,角色成长!$D$17:$J$117,MATCH(N$9,角色成长!$D$17:$J$17,0),0)*角色成长!$L$15,"")</f>
        <v/>
      </c>
      <c r="O25" s="1" t="str">
        <f>IFERROR(VLOOKUP($G25,角色设定!$AB$9:$AJ$21,MATCH(O$9,角色设定!$AB$9:$AJ$9,0),0)*VLOOKUP($J25,角色成长!$D$17:$J$117,MATCH(O$9,角色成长!$D$17:$J$17,0),0),"")</f>
        <v/>
      </c>
      <c r="P25" s="1" t="str">
        <f>IFERROR(VLOOKUP($G25,角色设定!$AB$9:$AJ$21,MATCH(P$9,角色设定!$AB$9:$AJ$9,0),0)*VLOOKUP($J25,角色成长!$D$17:$J$117,MATCH(P$9,角色成长!$D$17:$J$17,0),0),"")</f>
        <v/>
      </c>
      <c r="Q25" s="1" t="str">
        <f>IFERROR(VLOOKUP($G25,角色设定!$AB$9:$AJ$21,MATCH(Q$9,角色设定!$AB$9:$AJ$9,0),0)*VLOOKUP($J25,角色成长!$D$17:$J$117,MATCH(Q$9,角色成长!$D$17:$J$17,0),0),"")</f>
        <v/>
      </c>
      <c r="R25" s="1" t="str">
        <f>IFERROR(VLOOKUP($G25,角色设定!$AB$9:$AJ$21,MATCH(R$9,角色设定!$AB$9:$AJ$9,0),0),"")</f>
        <v/>
      </c>
      <c r="S25" s="1" t="str">
        <f>IFERROR(VLOOKUP($G25,角色技能!$D:$M,MATCH(S$9,角色技能!$D$4:$M$4,0),0)*(1-$S$19),"")</f>
        <v/>
      </c>
      <c r="T25" s="1" t="str">
        <f>IFERROR(VLOOKUP($G25,角色技能!$D:$M,MATCH(T$9,角色技能!$D$4:$M$4,0),0)*(1-$T$19),"")</f>
        <v/>
      </c>
      <c r="U25" s="6" t="str">
        <f>IFERROR(VLOOKUP($G25,角色技能!$D:$M,MATCH(U$9,角色技能!$D$4:$M$4,0),0)*(1+$K25/100*(VLOOKUP($H25,技能模板!$D$13:$U$19,MATCH(技能模板!R$13,技能模板!$D$13:$U$13,0),0)-1)),"")</f>
        <v/>
      </c>
      <c r="V25" s="6" t="str">
        <f>IFERROR(VLOOKUP($G25,角色技能!$D:$M,MATCH(V$9,角色技能!$D$4:$M$4,0),0)*(1+$K25/100*(VLOOKUP($H25,技能模板!$D$13:$U$19,MATCH(技能模板!S$13,技能模板!$D$13:$U$13,0),0)-1)),"")</f>
        <v/>
      </c>
      <c r="W25" s="6" t="str">
        <f>IFERROR(VLOOKUP($G25,角色技能!$D:$M,MATCH(W$9,角色技能!$D$4:$M$4,0),0)*(1+$K25/100*(VLOOKUP($H25,技能模板!$D$13:$U$19,MATCH(技能模板!T$13,技能模板!$D$13:$U$13,0),0)-1)),"")</f>
        <v/>
      </c>
      <c r="X25" s="55" t="str">
        <f>IFERROR(VLOOKUP($G25,角色技能!$D:$M,MATCH(X$9,角色技能!$D$4:$M$4,0),0)*(1+$K25/100*(VLOOKUP($H25,技能模板!$D$13:$U$19,MATCH(技能模板!U$13,技能模板!$D$13:$U$13,0),0)-1)),"")</f>
        <v/>
      </c>
      <c r="Y25" s="47"/>
    </row>
    <row r="26" spans="1:26" ht="14.25" customHeight="1" x14ac:dyDescent="0.2">
      <c r="C26" s="45"/>
      <c r="D26" s="54">
        <f t="shared" si="10"/>
        <v>3</v>
      </c>
      <c r="E26" s="1">
        <f t="shared" si="11"/>
        <v>6</v>
      </c>
      <c r="F26" s="1">
        <f t="shared" si="8"/>
        <v>6</v>
      </c>
      <c r="G26" s="1" t="s">
        <v>252</v>
      </c>
      <c r="H26" s="1" t="str">
        <f>IFERROR(VLOOKUP($G26,角色设定!$R:$S,2,0),"")</f>
        <v>射击</v>
      </c>
      <c r="I26" s="1" t="str">
        <f>IFERROR(VLOOKUP(H26,角色设定!$D$9:$E$15,2,0),"")</f>
        <v>输出</v>
      </c>
      <c r="J26" s="1">
        <f t="shared" si="9"/>
        <v>1</v>
      </c>
      <c r="K26" s="1">
        <f t="shared" si="9"/>
        <v>0</v>
      </c>
      <c r="L26" s="8">
        <f>IFERROR(VLOOKUP($G26,角色设定!$AB$9:$AJ$21,MATCH(角色成长!$E$17,角色设定!$AB$9:$AJ$9,0),0)*VLOOKUP($J26,角色成长!$D$17:$J$117,MATCH(角色成长!$E$17,角色成长!$D$17:$J$17,0),0)*角色成长!$L$15*R26/Q26/(1+O26*(P26-1)),"")</f>
        <v>521.4204545454545</v>
      </c>
      <c r="M26" s="8">
        <f>IFERROR(VLOOKUP($G26,角色设定!$AB$9:$AJ$21,MATCH(角色成长!$F$17,角色设定!$AB$9:$AJ$9,0),0)*VLOOKUP($J26,角色成长!$D$17:$J$117,MATCH(角色成长!$F$17,角色成长!$D$17:$J$17,0),0)*角色成长!$L$15/(1+N26/角色成长!$N$16),"")</f>
        <v>2622.7272429235545</v>
      </c>
      <c r="N26" s="8">
        <f>IFERROR(VLOOKUP($G26,角色设定!$AB$9:$AJ$21,MATCH(N$9,角色设定!$AB$9:$AJ$9,0),0)*VLOOKUP($J26,角色成长!$D$17:$J$117,MATCH(N$9,角色成长!$D$17:$J$17,0),0)*角色成长!$L$15,"")</f>
        <v>337.5</v>
      </c>
      <c r="O26" s="1">
        <f>IFERROR(VLOOKUP($G26,角色设定!$AB$9:$AJ$21,MATCH(O$9,角色设定!$AB$9:$AJ$9,0),0)*VLOOKUP($J26,角色成长!$D$17:$J$117,MATCH(O$9,角色成长!$D$17:$J$17,0),0),"")</f>
        <v>0.4</v>
      </c>
      <c r="P26" s="1">
        <f>IFERROR(VLOOKUP($G26,角色设定!$AB$9:$AJ$21,MATCH(P$9,角色设定!$AB$9:$AJ$9,0),0)*VLOOKUP($J26,角色成长!$D$17:$J$117,MATCH(P$9,角色成长!$D$17:$J$17,0),0),"")</f>
        <v>1.5</v>
      </c>
      <c r="Q26" s="1">
        <f>IFERROR(VLOOKUP($G26,角色设定!$AB$9:$AJ$21,MATCH(Q$9,角色设定!$AB$9:$AJ$9,0),0)*VLOOKUP($J26,角色成长!$D$17:$J$117,MATCH(Q$9,角色成长!$D$17:$J$17,0),0),"")</f>
        <v>1.1000000000000001</v>
      </c>
      <c r="R26" s="1">
        <f>IFERROR(VLOOKUP($G26,角色设定!$AB$9:$AJ$21,MATCH(R$9,角色设定!$AB$9:$AJ$9,0),0),"")</f>
        <v>0.80500000000000005</v>
      </c>
      <c r="S26" s="1">
        <f>IFERROR(VLOOKUP($G26,角色技能!$D:$M,MATCH(S$9,角色技能!$D$4:$M$4,0),0)*(1-$S$19),"")</f>
        <v>20</v>
      </c>
      <c r="T26" s="1">
        <f>IFERROR(VLOOKUP($G26,角色技能!$D:$M,MATCH(T$9,角色技能!$D$4:$M$4,0),0)*(1-$T$19),"")</f>
        <v>10</v>
      </c>
      <c r="U26" s="6">
        <f>IFERROR(VLOOKUP($G26,角色技能!$D:$M,MATCH(U$9,角色技能!$D$4:$M$4,0),0)*(1+$K26/100*(VLOOKUP($H26,技能模板!$D$13:$U$19,MATCH(技能模板!R$13,技能模板!$D$13:$U$13,0),0)-1)),"")</f>
        <v>4.8447204968944071</v>
      </c>
      <c r="V26" s="6">
        <f>IFERROR(VLOOKUP($G26,角色技能!$D:$M,MATCH(V$9,角色技能!$D$4:$M$4,0),0)*(1+$K26/100*(VLOOKUP($H26,技能模板!$D$13:$U$19,MATCH(技能模板!S$13,技能模板!$D$13:$U$13,0),0)-1)),"")</f>
        <v>0</v>
      </c>
      <c r="W26" s="6">
        <f>IFERROR(VLOOKUP($G26,角色技能!$D:$M,MATCH(W$9,角色技能!$D$4:$M$4,0),0)*(1+$K26/100*(VLOOKUP($H26,技能模板!$D$13:$U$19,MATCH(技能模板!T$13,技能模板!$D$13:$U$13,0),0)-1)),"")</f>
        <v>0</v>
      </c>
      <c r="X26" s="55">
        <f>IFERROR(VLOOKUP($G26,角色技能!$D:$M,MATCH(X$9,角色技能!$D$4:$M$4,0),0)*(1+$K26/100*(VLOOKUP($H26,技能模板!$D$13:$U$19,MATCH(技能模板!U$13,技能模板!$D$13:$U$13,0),0)-1)),"")</f>
        <v>0</v>
      </c>
      <c r="Y26" s="47"/>
    </row>
    <row r="27" spans="1:26" ht="14.25" customHeight="1" x14ac:dyDescent="0.2">
      <c r="A27" s="1" t="s">
        <v>252</v>
      </c>
      <c r="C27" s="45"/>
      <c r="D27" s="54" t="str">
        <f t="shared" ref="D27:D29" si="12">IFERROR(MOD(F27+3-1,3)+1,"")</f>
        <v/>
      </c>
      <c r="E27" s="1" t="str">
        <f t="shared" ref="E27:E29" si="13">IFERROR(INT((F27-1)/3)+5,"")</f>
        <v/>
      </c>
      <c r="F27" s="1" t="str">
        <f t="shared" si="8"/>
        <v/>
      </c>
      <c r="H27" s="1" t="str">
        <f>IFERROR(VLOOKUP($G27,角色设定!$R:$S,2,0),"")</f>
        <v/>
      </c>
      <c r="I27" s="1" t="str">
        <f>IFERROR(VLOOKUP(H27,角色设定!$D$9:$E$15,2,0),"")</f>
        <v/>
      </c>
      <c r="J27" s="1" t="str">
        <f t="shared" si="9"/>
        <v/>
      </c>
      <c r="K27" s="1" t="str">
        <f t="shared" si="9"/>
        <v/>
      </c>
      <c r="L27" s="8" t="str">
        <f>IFERROR(VLOOKUP($G27,角色设定!$AB$9:$AJ$21,MATCH(角色成长!$E$17,角色设定!$AB$9:$AJ$9,0),0)*VLOOKUP($J27,角色成长!$D$17:$J$117,MATCH(角色成长!$E$17,角色成长!$D$17:$J$17,0),0)*角色成长!$L$15*R27/Q27/(1+O27*(P27-1)),"")</f>
        <v/>
      </c>
      <c r="M27" s="8" t="str">
        <f>IFERROR(VLOOKUP($G27,角色设定!$AB$9:$AJ$21,MATCH(角色成长!$F$17,角色设定!$AB$9:$AJ$9,0),0)*VLOOKUP($J27,角色成长!$D$17:$J$117,MATCH(角色成长!$F$17,角色成长!$D$17:$J$17,0),0)*角色成长!$L$15/(1+N27/角色成长!$N$16),"")</f>
        <v/>
      </c>
      <c r="N27" s="8" t="str">
        <f>IFERROR(VLOOKUP($G27,角色设定!$AB$9:$AJ$21,MATCH(N$9,角色设定!$AB$9:$AJ$9,0),0)*VLOOKUP($J27,角色成长!$D$17:$J$117,MATCH(N$9,角色成长!$D$17:$J$17,0),0)*角色成长!$L$15,"")</f>
        <v/>
      </c>
      <c r="O27" s="1" t="str">
        <f>IFERROR(VLOOKUP($G27,角色设定!$AB$9:$AJ$21,MATCH(O$9,角色设定!$AB$9:$AJ$9,0),0)*VLOOKUP($J27,角色成长!$D$17:$J$117,MATCH(O$9,角色成长!$D$17:$J$17,0),0),"")</f>
        <v/>
      </c>
      <c r="P27" s="1" t="str">
        <f>IFERROR(VLOOKUP($G27,角色设定!$AB$9:$AJ$21,MATCH(P$9,角色设定!$AB$9:$AJ$9,0),0)*VLOOKUP($J27,角色成长!$D$17:$J$117,MATCH(P$9,角色成长!$D$17:$J$17,0),0),"")</f>
        <v/>
      </c>
      <c r="Q27" s="1" t="str">
        <f>IFERROR(VLOOKUP($G27,角色设定!$AB$9:$AJ$21,MATCH(Q$9,角色设定!$AB$9:$AJ$9,0),0)*VLOOKUP($J27,角色成长!$D$17:$J$117,MATCH(Q$9,角色成长!$D$17:$J$17,0),0),"")</f>
        <v/>
      </c>
      <c r="R27" s="1" t="str">
        <f>IFERROR(VLOOKUP($G27,角色设定!$AB$9:$AJ$21,MATCH(R$9,角色设定!$AB$9:$AJ$9,0),0),"")</f>
        <v/>
      </c>
      <c r="S27" s="1" t="str">
        <f>IFERROR(VLOOKUP($G27,角色技能!$D:$M,MATCH(S$9,角色技能!$D$4:$M$4,0),0)*(1-$S$19),"")</f>
        <v/>
      </c>
      <c r="T27" s="1" t="str">
        <f>IFERROR(VLOOKUP($G27,角色技能!$D:$M,MATCH(T$9,角色技能!$D$4:$M$4,0),0)*(1-$T$19),"")</f>
        <v/>
      </c>
      <c r="U27" s="6" t="str">
        <f>IFERROR(VLOOKUP($G27,角色技能!$D:$M,MATCH(U$9,角色技能!$D$4:$M$4,0),0)*(1+$K27/100*(VLOOKUP($H27,技能模板!$D$13:$U$19,MATCH(技能模板!R$13,技能模板!$D$13:$U$13,0),0)-1)),"")</f>
        <v/>
      </c>
      <c r="V27" s="6" t="str">
        <f>IFERROR(VLOOKUP($G27,角色技能!$D:$M,MATCH(V$9,角色技能!$D$4:$M$4,0),0)*(1+$K27/100*(VLOOKUP($H27,技能模板!$D$13:$U$19,MATCH(技能模板!S$13,技能模板!$D$13:$U$13,0),0)-1)),"")</f>
        <v/>
      </c>
      <c r="W27" s="6" t="str">
        <f>IFERROR(VLOOKUP($G27,角色技能!$D:$M,MATCH(W$9,角色技能!$D$4:$M$4,0),0)*(1+$K27/100*(VLOOKUP($H27,技能模板!$D$13:$U$19,MATCH(技能模板!T$13,技能模板!$D$13:$U$13,0),0)-1)),"")</f>
        <v/>
      </c>
      <c r="X27" s="55" t="str">
        <f>IFERROR(VLOOKUP($G27,角色技能!$D:$M,MATCH(X$9,角色技能!$D$4:$M$4,0),0)*(1+$K27/100*(VLOOKUP($H27,技能模板!$D$13:$U$19,MATCH(技能模板!U$13,技能模板!$D$13:$U$13,0),0)-1)),"")</f>
        <v/>
      </c>
      <c r="Y27" s="47"/>
    </row>
    <row r="28" spans="1:26" ht="14.25" customHeight="1" x14ac:dyDescent="0.2">
      <c r="C28" s="45"/>
      <c r="D28" s="54">
        <f t="shared" si="12"/>
        <v>2</v>
      </c>
      <c r="E28" s="1">
        <f t="shared" si="13"/>
        <v>7</v>
      </c>
      <c r="F28" s="1">
        <f t="shared" si="8"/>
        <v>8</v>
      </c>
      <c r="G28" s="1" t="s">
        <v>256</v>
      </c>
      <c r="H28" s="1" t="str">
        <f>IFERROR(VLOOKUP($G28,角色设定!$R:$S,2,0),"")</f>
        <v>恢复</v>
      </c>
      <c r="I28" s="1" t="str">
        <f>IFERROR(VLOOKUP(H28,角色设定!$D$9:$E$15,2,0),"")</f>
        <v>治疗</v>
      </c>
      <c r="J28" s="1">
        <f t="shared" si="9"/>
        <v>1</v>
      </c>
      <c r="K28" s="1">
        <f t="shared" si="9"/>
        <v>0</v>
      </c>
      <c r="L28" s="8">
        <f>IFERROR(VLOOKUP($G28,角色设定!$AB$9:$AJ$21,MATCH(角色成长!$E$17,角色设定!$AB$9:$AJ$9,0),0)*VLOOKUP($J28,角色成长!$D$17:$J$117,MATCH(角色成长!$E$17,角色成长!$D$17:$J$17,0),0)*角色成长!$L$15*R28/Q28/(1+O28*(P28-1)),"")</f>
        <v>221.66666666666669</v>
      </c>
      <c r="M28" s="8">
        <f>IFERROR(VLOOKUP($G28,角色设定!$AB$9:$AJ$21,MATCH(角色成长!$F$17,角色设定!$AB$9:$AJ$9,0),0)*VLOOKUP($J28,角色成长!$D$17:$J$117,MATCH(角色成长!$F$17,角色成长!$D$17:$J$17,0),0)*角色成长!$L$15/(1+N28/角色成长!$N$16),"")</f>
        <v>3742.1415028440274</v>
      </c>
      <c r="N28" s="8">
        <f>IFERROR(VLOOKUP($G28,角色设定!$AB$9:$AJ$21,MATCH(N$9,角色设定!$AB$9:$AJ$9,0),0)*VLOOKUP($J28,角色成长!$D$17:$J$117,MATCH(N$9,角色成长!$D$17:$J$17,0),0)*角色成长!$L$15,"")</f>
        <v>210</v>
      </c>
      <c r="O28" s="1">
        <f>IFERROR(VLOOKUP($G28,角色设定!$AB$9:$AJ$21,MATCH(O$9,角色设定!$AB$9:$AJ$9,0),0)*VLOOKUP($J28,角色成长!$D$17:$J$117,MATCH(O$9,角色成长!$D$17:$J$17,0),0),"")</f>
        <v>0.4</v>
      </c>
      <c r="P28" s="1">
        <f>IFERROR(VLOOKUP($G28,角色设定!$AB$9:$AJ$21,MATCH(P$9,角色设定!$AB$9:$AJ$9,0),0)*VLOOKUP($J28,角色成长!$D$17:$J$117,MATCH(P$9,角色成长!$D$17:$J$17,0),0),"")</f>
        <v>1.5</v>
      </c>
      <c r="Q28" s="1">
        <f>IFERROR(VLOOKUP($G28,角色设定!$AB$9:$AJ$21,MATCH(Q$9,角色设定!$AB$9:$AJ$9,0),0)*VLOOKUP($J28,角色成长!$D$17:$J$117,MATCH(Q$9,角色成长!$D$17:$J$17,0),0),"")</f>
        <v>0.9</v>
      </c>
      <c r="R28" s="1">
        <f>IFERROR(VLOOKUP($G28,角色设定!$AB$9:$AJ$21,MATCH(R$9,角色设定!$AB$9:$AJ$9,0),0),"")</f>
        <v>0.79800000000000004</v>
      </c>
      <c r="S28" s="1">
        <f>IFERROR(VLOOKUP($G28,角色技能!$D:$M,MATCH(S$9,角色技能!$D$4:$M$4,0),0)*(1-$S$19),"")</f>
        <v>10</v>
      </c>
      <c r="T28" s="1">
        <f>IFERROR(VLOOKUP($G28,角色技能!$D:$M,MATCH(T$9,角色技能!$D$4:$M$4,0),0)*(1-$T$19),"")</f>
        <v>5</v>
      </c>
      <c r="U28" s="6">
        <f>IFERROR(VLOOKUP($G28,角色技能!$D:$M,MATCH(U$9,角色技能!$D$4:$M$4,0),0)*(1+$K28/100*(VLOOKUP($H28,技能模板!$D$13:$U$19,MATCH(技能模板!R$13,技能模板!$D$13:$U$13,0),0)-1)),"")</f>
        <v>2.5313283208020043</v>
      </c>
      <c r="V28" s="6">
        <f>IFERROR(VLOOKUP($G28,角色技能!$D:$M,MATCH(V$9,角色技能!$D$4:$M$4,0),0)*(1+$K28/100*(VLOOKUP($H28,技能模板!$D$13:$U$19,MATCH(技能模板!S$13,技能模板!$D$13:$U$13,0),0)-1)),"")</f>
        <v>0</v>
      </c>
      <c r="W28" s="6">
        <f>IFERROR(VLOOKUP($G28,角色技能!$D:$M,MATCH(W$9,角色技能!$D$4:$M$4,0),0)*(1+$K28/100*(VLOOKUP($H28,技能模板!$D$13:$U$19,MATCH(技能模板!T$13,技能模板!$D$13:$U$13,0),0)-1)),"")</f>
        <v>0</v>
      </c>
      <c r="X28" s="55">
        <f>IFERROR(VLOOKUP($G28,角色技能!$D:$M,MATCH(X$9,角色技能!$D$4:$M$4,0),0)*(1+$K28/100*(VLOOKUP($H28,技能模板!$D$13:$U$19,MATCH(技能模板!U$13,技能模板!$D$13:$U$13,0),0)-1)),"")</f>
        <v>0.55892431003178</v>
      </c>
      <c r="Y28" s="47"/>
    </row>
    <row r="29" spans="1:26" ht="14.25" customHeight="1" x14ac:dyDescent="0.2">
      <c r="A29" s="1" t="s">
        <v>256</v>
      </c>
      <c r="C29" s="45"/>
      <c r="D29" s="54" t="str">
        <f t="shared" si="12"/>
        <v/>
      </c>
      <c r="E29" s="1" t="str">
        <f t="shared" si="13"/>
        <v/>
      </c>
      <c r="F29" s="1" t="str">
        <f t="shared" ref="F29" si="14">IF(G29="","",ROW(G29)-$C$20+1)</f>
        <v/>
      </c>
      <c r="H29" s="1" t="str">
        <f>IFERROR(VLOOKUP($G29,角色设定!$R:$S,2,0),"")</f>
        <v/>
      </c>
      <c r="I29" s="1" t="str">
        <f>IFERROR(VLOOKUP(H29,角色设定!$D$9:$E$15,2,0),"")</f>
        <v/>
      </c>
      <c r="J29" s="1" t="str">
        <f t="shared" ref="J29:K29" si="15">IF($G29="","",J$19)</f>
        <v/>
      </c>
      <c r="K29" s="1" t="str">
        <f t="shared" si="15"/>
        <v/>
      </c>
      <c r="L29" s="8" t="str">
        <f>IFERROR(VLOOKUP($G29,角色设定!$AB$9:$AJ$21,MATCH(角色成长!$E$17,角色设定!$AB$9:$AJ$9,0),0)*VLOOKUP($J29,角色成长!$D$17:$J$117,MATCH(角色成长!$E$17,角色成长!$D$17:$J$17,0),0)*角色成长!$L$15*R29/Q29/(1+O29*(P29-1)),"")</f>
        <v/>
      </c>
      <c r="M29" s="8" t="str">
        <f>IFERROR(VLOOKUP($G29,角色设定!$AB$9:$AJ$21,MATCH(角色成长!$F$17,角色设定!$AB$9:$AJ$9,0),0)*VLOOKUP($J29,角色成长!$D$17:$J$117,MATCH(角色成长!$F$17,角色成长!$D$17:$J$17,0),0)*角色成长!$L$15/(1+N29/角色成长!$N$16),"")</f>
        <v/>
      </c>
      <c r="N29" s="8" t="str">
        <f>IFERROR(VLOOKUP($G29,角色设定!$AB$9:$AJ$21,MATCH(N$9,角色设定!$AB$9:$AJ$9,0),0)*VLOOKUP($J29,角色成长!$D$17:$J$117,MATCH(N$9,角色成长!$D$17:$J$17,0),0)*角色成长!$L$15,"")</f>
        <v/>
      </c>
      <c r="O29" s="1" t="str">
        <f>IFERROR(VLOOKUP($G29,角色设定!$AB$9:$AJ$21,MATCH(O$9,角色设定!$AB$9:$AJ$9,0),0)*VLOOKUP($J29,角色成长!$D$17:$J$117,MATCH(O$9,角色成长!$D$17:$J$17,0),0),"")</f>
        <v/>
      </c>
      <c r="P29" s="1" t="str">
        <f>IFERROR(VLOOKUP($G29,角色设定!$AB$9:$AJ$21,MATCH(P$9,角色设定!$AB$9:$AJ$9,0),0)*VLOOKUP($J29,角色成长!$D$17:$J$117,MATCH(P$9,角色成长!$D$17:$J$17,0),0),"")</f>
        <v/>
      </c>
      <c r="Q29" s="1" t="str">
        <f>IFERROR(VLOOKUP($G29,角色设定!$AB$9:$AJ$21,MATCH(Q$9,角色设定!$AB$9:$AJ$9,0),0)*VLOOKUP($J29,角色成长!$D$17:$J$117,MATCH(Q$9,角色成长!$D$17:$J$17,0),0),"")</f>
        <v/>
      </c>
      <c r="R29" s="1" t="str">
        <f>IFERROR(VLOOKUP($G29,角色设定!$AB$9:$AJ$21,MATCH(R$9,角色设定!$AB$9:$AJ$9,0),0),"")</f>
        <v/>
      </c>
      <c r="S29" s="1" t="str">
        <f>IFERROR(VLOOKUP($G29,角色技能!$D:$M,MATCH(S$9,角色技能!$D$4:$M$4,0),0)*(1-$S$19),"")</f>
        <v/>
      </c>
      <c r="T29" s="1" t="str">
        <f>IFERROR(VLOOKUP($G29,角色技能!$D:$M,MATCH(T$9,角色技能!$D$4:$M$4,0),0)*(1-$T$19),"")</f>
        <v/>
      </c>
      <c r="U29" s="6" t="str">
        <f>IFERROR(VLOOKUP($G29,角色技能!$D:$M,MATCH(U$9,角色技能!$D$4:$M$4,0),0)*(1+$K29/100*(VLOOKUP($H29,技能模板!$D$13:$U$19,MATCH(技能模板!R$13,技能模板!$D$13:$U$13,0),0)-1)),"")</f>
        <v/>
      </c>
      <c r="V29" s="6" t="str">
        <f>IFERROR(VLOOKUP($G29,角色技能!$D:$M,MATCH(V$9,角色技能!$D$4:$M$4,0),0)*(1+$K29/100*(VLOOKUP($H29,技能模板!$D$13:$U$19,MATCH(技能模板!S$13,技能模板!$D$13:$U$13,0),0)-1)),"")</f>
        <v/>
      </c>
      <c r="W29" s="6" t="str">
        <f>IFERROR(VLOOKUP($G29,角色技能!$D:$M,MATCH(W$9,角色技能!$D$4:$M$4,0),0)*(1+$K29/100*(VLOOKUP($H29,技能模板!$D$13:$U$19,MATCH(技能模板!T$13,技能模板!$D$13:$U$13,0),0)-1)),"")</f>
        <v/>
      </c>
      <c r="X29" s="55" t="str">
        <f>IFERROR(VLOOKUP($G29,角色技能!$D:$M,MATCH(X$9,角色技能!$D$4:$M$4,0),0)*(1+$K29/100*(VLOOKUP($H29,技能模板!$D$13:$U$19,MATCH(技能模板!U$13,技能模板!$D$13:$U$13,0),0)-1)),"")</f>
        <v/>
      </c>
      <c r="Y29" s="47"/>
    </row>
    <row r="30" spans="1:26" ht="14.25" customHeight="1" x14ac:dyDescent="0.2"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</row>
    <row r="31" spans="1:26" ht="14.25" customHeight="1" x14ac:dyDescent="0.2">
      <c r="D31" s="2"/>
    </row>
    <row r="32" spans="1:26" ht="14.25" customHeight="1" x14ac:dyDescent="0.2">
      <c r="D32" s="2"/>
    </row>
    <row r="33" spans="1:25" ht="14.25" customHeight="1" x14ac:dyDescent="0.2">
      <c r="D33" s="68" t="s">
        <v>260</v>
      </c>
      <c r="G33" s="1">
        <v>1000</v>
      </c>
      <c r="J33" s="68" t="s">
        <v>261</v>
      </c>
    </row>
    <row r="34" spans="1:25" ht="14.25" customHeight="1" x14ac:dyDescent="0.2">
      <c r="D34" s="5">
        <f>D35/G33</f>
        <v>0.30099999999999999</v>
      </c>
      <c r="G34" s="5">
        <f>G35/$G$1</f>
        <v>0</v>
      </c>
      <c r="J34" s="5">
        <f>J35/G33</f>
        <v>0.69699999999999995</v>
      </c>
    </row>
    <row r="35" spans="1:25" ht="14.25" customHeight="1" thickBot="1" x14ac:dyDescent="0.25">
      <c r="C35" s="3" t="s">
        <v>259</v>
      </c>
      <c r="D35" s="69">
        <v>301</v>
      </c>
      <c r="E35" s="69"/>
      <c r="F35" s="69">
        <v>29</v>
      </c>
      <c r="G35" s="1">
        <v>0</v>
      </c>
      <c r="H35" s="69">
        <f>G33-D35-G35-J35</f>
        <v>2</v>
      </c>
      <c r="I35" s="69"/>
      <c r="J35" s="69">
        <v>697</v>
      </c>
      <c r="M35" s="1" t="s">
        <v>241</v>
      </c>
    </row>
    <row r="36" spans="1:25" ht="14.25" customHeight="1" x14ac:dyDescent="0.2">
      <c r="D36" s="130" t="s">
        <v>242</v>
      </c>
      <c r="E36" s="131"/>
      <c r="F36" s="132"/>
      <c r="G36" s="73"/>
      <c r="H36" s="130" t="s">
        <v>243</v>
      </c>
      <c r="I36" s="131"/>
      <c r="J36" s="132"/>
    </row>
    <row r="37" spans="1:25" ht="14.25" customHeight="1" x14ac:dyDescent="0.2">
      <c r="D37" s="54">
        <v>7</v>
      </c>
      <c r="E37" s="1">
        <v>4</v>
      </c>
      <c r="F37" s="65">
        <v>1</v>
      </c>
      <c r="G37" s="73"/>
      <c r="H37" s="54">
        <v>1</v>
      </c>
      <c r="I37" s="1">
        <v>4</v>
      </c>
      <c r="J37" s="65">
        <v>7</v>
      </c>
    </row>
    <row r="38" spans="1:25" ht="14.25" customHeight="1" x14ac:dyDescent="0.2">
      <c r="D38" s="54">
        <v>8</v>
      </c>
      <c r="E38" s="1">
        <v>5</v>
      </c>
      <c r="F38" s="65">
        <v>2</v>
      </c>
      <c r="G38" s="73"/>
      <c r="H38" s="54">
        <v>2</v>
      </c>
      <c r="I38" s="1">
        <v>5</v>
      </c>
      <c r="J38" s="65">
        <v>8</v>
      </c>
    </row>
    <row r="39" spans="1:25" ht="14.25" customHeight="1" thickBot="1" x14ac:dyDescent="0.25">
      <c r="D39" s="56">
        <v>9</v>
      </c>
      <c r="E39" s="57">
        <v>6</v>
      </c>
      <c r="F39" s="66">
        <v>3</v>
      </c>
      <c r="G39" s="73"/>
      <c r="H39" s="56">
        <v>3</v>
      </c>
      <c r="I39" s="57">
        <v>6</v>
      </c>
      <c r="J39" s="66">
        <v>9</v>
      </c>
    </row>
    <row r="40" spans="1:25" ht="14.25" customHeight="1" thickBot="1" x14ac:dyDescent="0.25">
      <c r="D40" s="64">
        <v>1</v>
      </c>
      <c r="E40" s="64">
        <v>2</v>
      </c>
      <c r="F40" s="64">
        <v>3</v>
      </c>
      <c r="G40" s="48">
        <v>4</v>
      </c>
      <c r="H40" s="64">
        <v>5</v>
      </c>
      <c r="I40" s="64">
        <v>6</v>
      </c>
      <c r="J40" s="61">
        <v>10</v>
      </c>
      <c r="K40" s="49">
        <v>0</v>
      </c>
      <c r="L40" s="48">
        <v>9</v>
      </c>
      <c r="M40" s="48">
        <v>10</v>
      </c>
      <c r="N40" s="48">
        <v>11</v>
      </c>
      <c r="O40" s="48">
        <v>12</v>
      </c>
      <c r="P40" s="48">
        <v>13</v>
      </c>
      <c r="Q40" s="48">
        <v>14</v>
      </c>
      <c r="R40" s="48">
        <v>15</v>
      </c>
      <c r="S40" s="48">
        <v>16</v>
      </c>
      <c r="T40" s="48">
        <v>17</v>
      </c>
      <c r="U40" s="48">
        <v>18</v>
      </c>
      <c r="V40" s="69" t="s">
        <v>238</v>
      </c>
      <c r="W40" s="69" t="s">
        <v>239</v>
      </c>
      <c r="X40" s="69" t="s">
        <v>240</v>
      </c>
    </row>
    <row r="41" spans="1:25" ht="14.25" customHeight="1" x14ac:dyDescent="0.2">
      <c r="A41" s="4">
        <f>B41/(SUM(M42:M50)*$G$1)</f>
        <v>9.637638934507782E-2</v>
      </c>
      <c r="B41" s="6">
        <v>3665513.7995292302</v>
      </c>
      <c r="C41" s="72">
        <f>ROW(D42)</f>
        <v>42</v>
      </c>
      <c r="D41" s="50" t="s">
        <v>244</v>
      </c>
      <c r="E41" s="51" t="s">
        <v>245</v>
      </c>
      <c r="F41" s="51" t="s">
        <v>223</v>
      </c>
      <c r="G41" s="52" t="s">
        <v>150</v>
      </c>
      <c r="H41" s="51" t="s">
        <v>87</v>
      </c>
      <c r="I41" s="51" t="s">
        <v>88</v>
      </c>
      <c r="J41" s="52" t="s">
        <v>232</v>
      </c>
      <c r="K41" s="52" t="s">
        <v>233</v>
      </c>
      <c r="L41" s="51" t="s">
        <v>32</v>
      </c>
      <c r="M41" s="51" t="s">
        <v>34</v>
      </c>
      <c r="N41" s="51" t="s">
        <v>33</v>
      </c>
      <c r="O41" s="51" t="s">
        <v>140</v>
      </c>
      <c r="P41" s="51" t="s">
        <v>141</v>
      </c>
      <c r="Q41" s="51" t="s">
        <v>142</v>
      </c>
      <c r="R41" s="51" t="s">
        <v>168</v>
      </c>
      <c r="S41" s="51" t="s">
        <v>198</v>
      </c>
      <c r="T41" s="51" t="s">
        <v>258</v>
      </c>
      <c r="U41" s="51" t="s">
        <v>199</v>
      </c>
      <c r="V41" s="51" t="s">
        <v>200</v>
      </c>
      <c r="W41" s="51" t="s">
        <v>202</v>
      </c>
      <c r="X41" s="53" t="s">
        <v>230</v>
      </c>
      <c r="Y41" s="74"/>
    </row>
    <row r="42" spans="1:25" ht="14.25" customHeight="1" x14ac:dyDescent="0.2">
      <c r="C42" s="72">
        <f>COLUMN(D42)</f>
        <v>4</v>
      </c>
      <c r="D42" s="54">
        <f>IFERROR(MOD(F42+3-1,3)+1,"")</f>
        <v>1</v>
      </c>
      <c r="E42" s="1">
        <f>IFERROR(ABS(INT((F42-7)/3))+1,"")</f>
        <v>3</v>
      </c>
      <c r="F42" s="1">
        <f>IF(G42="","",ROW(G42)-$C$41+1)</f>
        <v>1</v>
      </c>
      <c r="G42" s="1" t="s">
        <v>265</v>
      </c>
      <c r="H42" s="1" t="str">
        <f>IFERROR(VLOOKUP($G42,角色设定!$R:$S,2,0),"")</f>
        <v>防御</v>
      </c>
      <c r="I42" s="1" t="str">
        <f>IFERROR(VLOOKUP(H42,角色设定!$D$9:$E$15,2,0),"")</f>
        <v>坦克</v>
      </c>
      <c r="J42" s="1">
        <f>IF($G42="","",J$40)</f>
        <v>10</v>
      </c>
      <c r="K42" s="1">
        <f>IF($G42="","",K$40)</f>
        <v>0</v>
      </c>
      <c r="L42" s="8">
        <f>IFERROR(VLOOKUP($G42,角色设定!$AB$9:$AJ$21,MATCH(角色成长!$E$17,角色设定!$AB$9:$AJ$9,0),0)*VLOOKUP($J42,角色成长!$D$17:$J$117,MATCH(角色成长!$E$17,角色成长!$D$17:$J$17,0),0)*角色成长!$L$15*R42/Q42/(1+O42*(P42-1)),"")</f>
        <v>363.59255061996458</v>
      </c>
      <c r="M42" s="8">
        <f>IFERROR(VLOOKUP($G42,角色设定!$AB$9:$AJ$21,MATCH(角色成长!$F$17,角色设定!$AB$9:$AJ$9,0),0)*VLOOKUP($J42,角色成长!$D$17:$J$117,MATCH(角色成长!$F$17,角色成长!$D$17:$J$17,0),0)*角色成长!$L$15/(1+N42/角色成长!$N$16),"")</f>
        <v>12764.370871444586</v>
      </c>
      <c r="N42" s="8">
        <f>IFERROR(VLOOKUP($G42,角色设定!$AB$9:$AJ$21,MATCH(N$9,角色设定!$AB$9:$AJ$9,0),0)*VLOOKUP($J42,角色成长!$D$17:$J$117,MATCH(N$9,角色成长!$D$17:$J$17,0),0)*角色成长!$L$15,"")</f>
        <v>1279.8457781822756</v>
      </c>
      <c r="O42" s="1">
        <f>IFERROR(VLOOKUP($G42,角色设定!$AB$9:$AJ$21,MATCH(O$9,角色设定!$AB$9:$AJ$9,0),0)*VLOOKUP($J42,角色成长!$D$17:$J$117,MATCH(O$9,角色成长!$D$17:$J$17,0),0),"")</f>
        <v>0.4</v>
      </c>
      <c r="P42" s="1">
        <f>IFERROR(VLOOKUP($G42,角色设定!$AB$9:$AJ$21,MATCH(P$9,角色设定!$AB$9:$AJ$9,0),0)*VLOOKUP($J42,角色成长!$D$17:$J$117,MATCH(P$9,角色成长!$D$17:$J$17,0),0),"")</f>
        <v>1.5</v>
      </c>
      <c r="Q42" s="1">
        <f>IFERROR(VLOOKUP($G42,角色设定!$AB$9:$AJ$21,MATCH(Q$9,角色设定!$AB$9:$AJ$9,0),0)*VLOOKUP($J42,角色成长!$D$17:$J$117,MATCH(Q$9,角色成长!$D$17:$J$17,0),0),"")</f>
        <v>0.9</v>
      </c>
      <c r="R42" s="1">
        <f>IFERROR(VLOOKUP($G42,角色设定!$AB$9:$AJ$21,MATCH(R$9,角色设定!$AB$9:$AJ$9,0),0),"")</f>
        <v>0.75</v>
      </c>
      <c r="S42" s="1">
        <f>IFERROR(VLOOKUP($G42,角色技能!$D:$M,MATCH(S$9,角色技能!$D$4:$M$4,0),0),"")</f>
        <v>10</v>
      </c>
      <c r="T42" s="1">
        <f>IFERROR(VLOOKUP($G42,角色技能!$D:$M,MATCH(T$9,角色技能!$D$4:$M$4,0),0),"")</f>
        <v>5</v>
      </c>
      <c r="U42" s="6">
        <f>IFERROR(VLOOKUP($G42,角色技能!$D:$M,MATCH(U$9,角色技能!$D$4:$M$4,0),0)*(1+$K42/100*(VLOOKUP($H42,技能模板!$D$13:$U$19,MATCH(技能模板!R$13,技能模板!$D$13:$U$13,0),0)-1)),"")</f>
        <v>3.333333333333333</v>
      </c>
      <c r="V42" s="6">
        <f>IFERROR(VLOOKUP($G42,角色技能!$D:$M,MATCH(V$9,角色技能!$D$4:$M$4,0),0)*(1+$K42/100*(VLOOKUP($H42,技能模板!$D$13:$U$19,MATCH(技能模板!S$13,技能模板!$D$13:$U$13,0),0)-1)),"")</f>
        <v>0</v>
      </c>
      <c r="W42" s="6">
        <f>IFERROR(VLOOKUP($G42,角色技能!$D:$M,MATCH(W$9,角色技能!$D$4:$M$4,0),0)*(1+$K42/100*(VLOOKUP($H42,技能模板!$D$13:$U$19,MATCH(技能模板!T$13,技能模板!$D$13:$U$13,0),0)-1)),"")</f>
        <v>0.6</v>
      </c>
      <c r="X42" s="55">
        <f>IFERROR(VLOOKUP($G42,角色技能!$D:$M,MATCH(X$9,角色技能!$D$4:$M$4,0),0)*(1+$K42/100*(VLOOKUP($H42,技能模板!$D$13:$U$19,MATCH(技能模板!U$13,技能模板!$D$13:$U$13,0),0)-1)),"")</f>
        <v>0</v>
      </c>
      <c r="Y42" s="74"/>
    </row>
    <row r="43" spans="1:25" ht="14.25" customHeight="1" x14ac:dyDescent="0.2">
      <c r="C43" s="72">
        <f>ROW(X50)</f>
        <v>50</v>
      </c>
      <c r="D43" s="54" t="str">
        <f t="shared" ref="D43:D50" si="16">IFERROR(MOD(F43+3-1,3)+1,"")</f>
        <v/>
      </c>
      <c r="E43" s="1" t="str">
        <f t="shared" ref="E43:E50" si="17">IFERROR(ABS(INT((F43-7)/3))+1,"")</f>
        <v/>
      </c>
      <c r="F43" s="1" t="str">
        <f t="shared" ref="F43:F50" si="18">IF(G43="","",ROW(G43)-$C$41+1)</f>
        <v/>
      </c>
      <c r="H43" s="1" t="str">
        <f>IFERROR(VLOOKUP($G43,角色设定!$R:$S,2,0),"")</f>
        <v/>
      </c>
      <c r="I43" s="1" t="str">
        <f>IFERROR(VLOOKUP(H43,角色设定!$D$9:$E$15,2,0),"")</f>
        <v/>
      </c>
      <c r="J43" s="1" t="str">
        <f t="shared" ref="J43:K49" si="19">IF($G43="","",J$40)</f>
        <v/>
      </c>
      <c r="K43" s="1" t="str">
        <f t="shared" si="19"/>
        <v/>
      </c>
      <c r="L43" s="8" t="str">
        <f>IFERROR(VLOOKUP($G43,角色设定!$AB$9:$AJ$21,MATCH(角色成长!$E$17,角色设定!$AB$9:$AJ$9,0),0)*VLOOKUP($J43,角色成长!$D$17:$J$117,MATCH(角色成长!$E$17,角色成长!$D$17:$J$17,0),0)*角色成长!$L$15*R43/Q43/(1+O43*(P43-1)),"")</f>
        <v/>
      </c>
      <c r="M43" s="8" t="str">
        <f>IFERROR(VLOOKUP($G43,角色设定!$AB$9:$AJ$21,MATCH(角色成长!$F$17,角色设定!$AB$9:$AJ$9,0),0)*VLOOKUP($J43,角色成长!$D$17:$J$117,MATCH(角色成长!$F$17,角色成长!$D$17:$J$17,0),0)*角色成长!$L$15/(1+N43/角色成长!$N$16),"")</f>
        <v/>
      </c>
      <c r="N43" s="8" t="str">
        <f>IFERROR(VLOOKUP($G43,角色设定!$AB$9:$AJ$21,MATCH(N$9,角色设定!$AB$9:$AJ$9,0),0)*VLOOKUP($J43,角色成长!$D$17:$J$117,MATCH(N$9,角色成长!$D$17:$J$17,0),0)*角色成长!$L$15,"")</f>
        <v/>
      </c>
      <c r="O43" s="1" t="str">
        <f>IFERROR(VLOOKUP($G43,角色设定!$AB$9:$AJ$21,MATCH(O$9,角色设定!$AB$9:$AJ$9,0),0)*VLOOKUP($J43,角色成长!$D$17:$J$117,MATCH(O$9,角色成长!$D$17:$J$17,0),0),"")</f>
        <v/>
      </c>
      <c r="P43" s="1" t="str">
        <f>IFERROR(VLOOKUP($G43,角色设定!$AB$9:$AJ$21,MATCH(P$9,角色设定!$AB$9:$AJ$9,0),0)*VLOOKUP($J43,角色成长!$D$17:$J$117,MATCH(P$9,角色成长!$D$17:$J$17,0),0),"")</f>
        <v/>
      </c>
      <c r="Q43" s="1" t="str">
        <f>IFERROR(VLOOKUP($G43,角色设定!$AB$9:$AJ$21,MATCH(Q$9,角色设定!$AB$9:$AJ$9,0),0)*VLOOKUP($J43,角色成长!$D$17:$J$117,MATCH(Q$9,角色成长!$D$17:$J$17,0),0),"")</f>
        <v/>
      </c>
      <c r="R43" s="1" t="str">
        <f>IFERROR(VLOOKUP($G43,角色设定!$AB$9:$AJ$21,MATCH(R$9,角色设定!$AB$9:$AJ$9,0),0),"")</f>
        <v/>
      </c>
      <c r="S43" s="1" t="str">
        <f>IFERROR(VLOOKUP($G43,角色技能!$D:$M,MATCH(S$9,角色技能!$D$4:$M$4,0),0),"")</f>
        <v/>
      </c>
      <c r="T43" s="1" t="str">
        <f>IFERROR(VLOOKUP($G43,角色技能!$D:$M,MATCH(T$9,角色技能!$D$4:$M$4,0),0),"")</f>
        <v/>
      </c>
      <c r="U43" s="6" t="str">
        <f>IFERROR(VLOOKUP($G43,角色技能!$D:$M,MATCH(U$9,角色技能!$D$4:$M$4,0),0)*(1+$K43/100*(VLOOKUP($H43,技能模板!$D$13:$U$19,MATCH(技能模板!R$13,技能模板!$D$13:$U$13,0),0)-1)),"")</f>
        <v/>
      </c>
      <c r="V43" s="6" t="str">
        <f>IFERROR(VLOOKUP($G43,角色技能!$D:$M,MATCH(V$9,角色技能!$D$4:$M$4,0),0)*(1+$K43/100*(VLOOKUP($H43,技能模板!$D$13:$U$19,MATCH(技能模板!S$13,技能模板!$D$13:$U$13,0),0)-1)),"")</f>
        <v/>
      </c>
      <c r="W43" s="6" t="str">
        <f>IFERROR(VLOOKUP($G43,角色技能!$D:$M,MATCH(W$9,角色技能!$D$4:$M$4,0),0)*(1+$K43/100*(VLOOKUP($H43,技能模板!$D$13:$U$19,MATCH(技能模板!T$13,技能模板!$D$13:$U$13,0),0)-1)),"")</f>
        <v/>
      </c>
      <c r="X43" s="55" t="str">
        <f>IFERROR(VLOOKUP($G43,角色技能!$D:$M,MATCH(X$9,角色技能!$D$4:$M$4,0),0)*(1+$K43/100*(VLOOKUP($H43,技能模板!$D$13:$U$19,MATCH(技能模板!U$13,技能模板!$D$13:$U$13,0),0)-1)),"")</f>
        <v/>
      </c>
      <c r="Y43" s="74"/>
    </row>
    <row r="44" spans="1:25" ht="14.25" customHeight="1" x14ac:dyDescent="0.2">
      <c r="C44" s="72">
        <f>COLUMN(X50)</f>
        <v>24</v>
      </c>
      <c r="D44" s="54">
        <f t="shared" si="16"/>
        <v>3</v>
      </c>
      <c r="E44" s="1">
        <f t="shared" si="17"/>
        <v>3</v>
      </c>
      <c r="F44" s="1">
        <f t="shared" si="18"/>
        <v>3</v>
      </c>
      <c r="G44" s="1" t="s">
        <v>330</v>
      </c>
      <c r="H44" s="1" t="str">
        <f>IFERROR(VLOOKUP($G44,角色设定!$R:$S,2,0),"")</f>
        <v>防御</v>
      </c>
      <c r="I44" s="1" t="str">
        <f>IFERROR(VLOOKUP(H44,角色设定!$D$9:$E$15,2,0),"")</f>
        <v>坦克</v>
      </c>
      <c r="J44" s="1">
        <f t="shared" si="19"/>
        <v>10</v>
      </c>
      <c r="K44" s="1">
        <f t="shared" si="19"/>
        <v>0</v>
      </c>
      <c r="L44" s="8">
        <f>IFERROR(VLOOKUP($G44,角色设定!$AB$9:$AJ$21,MATCH(角色成长!$E$17,角色设定!$AB$9:$AJ$9,0),0)*VLOOKUP($J44,角色成长!$D$17:$J$117,MATCH(角色成长!$E$17,角色成长!$D$17:$J$17,0),0)*角色成长!$L$15*R44/Q44/(1+O44*(P44-1)),"")</f>
        <v>403.99172291107186</v>
      </c>
      <c r="M44" s="8">
        <f>IFERROR(VLOOKUP($G44,角色设定!$AB$9:$AJ$21,MATCH(角色成长!$F$17,角色设定!$AB$9:$AJ$9,0),0)*VLOOKUP($J44,角色成长!$D$17:$J$117,MATCH(角色成长!$F$17,角色成长!$D$17:$J$17,0),0)*角色成长!$L$15/(1+N44/角色成长!$N$16),"")</f>
        <v>11487.933784300129</v>
      </c>
      <c r="N44" s="8">
        <f>IFERROR(VLOOKUP($G44,角色设定!$AB$9:$AJ$21,MATCH(N$9,角色设定!$AB$9:$AJ$9,0),0)*VLOOKUP($J44,角色成长!$D$17:$J$117,MATCH(N$9,角色成长!$D$17:$J$17,0),0)*角色成长!$L$15,"")</f>
        <v>1279.8457781822756</v>
      </c>
      <c r="O44" s="1">
        <f>IFERROR(VLOOKUP($G44,角色设定!$AB$9:$AJ$21,MATCH(O$9,角色设定!$AB$9:$AJ$9,0),0)*VLOOKUP($J44,角色成长!$D$17:$J$117,MATCH(O$9,角色成长!$D$17:$J$17,0),0),"")</f>
        <v>0.4</v>
      </c>
      <c r="P44" s="1">
        <f>IFERROR(VLOOKUP($G44,角色设定!$AB$9:$AJ$21,MATCH(P$9,角色设定!$AB$9:$AJ$9,0),0)*VLOOKUP($J44,角色成长!$D$17:$J$117,MATCH(P$9,角色成长!$D$17:$J$17,0),0),"")</f>
        <v>1.5</v>
      </c>
      <c r="Q44" s="1">
        <f>IFERROR(VLOOKUP($G44,角色设定!$AB$9:$AJ$21,MATCH(Q$9,角色设定!$AB$9:$AJ$9,0),0)*VLOOKUP($J44,角色成长!$D$17:$J$117,MATCH(Q$9,角色成长!$D$17:$J$17,0),0),"")</f>
        <v>0.9</v>
      </c>
      <c r="R44" s="1">
        <f>IFERROR(VLOOKUP($G44,角色设定!$AB$9:$AJ$21,MATCH(R$9,角色设定!$AB$9:$AJ$9,0),0),"")</f>
        <v>0.75</v>
      </c>
      <c r="S44" s="1">
        <f>IFERROR(VLOOKUP($G44,角色技能!$D:$M,MATCH(S$9,角色技能!$D$4:$M$4,0),0),"")</f>
        <v>10</v>
      </c>
      <c r="T44" s="1">
        <f>IFERROR(VLOOKUP($G44,角色技能!$D:$M,MATCH(T$9,角色技能!$D$4:$M$4,0),0),"")</f>
        <v>5</v>
      </c>
      <c r="U44" s="6">
        <f>IFERROR(VLOOKUP($G44,角色技能!$D:$M,MATCH(U$9,角色技能!$D$4:$M$4,0),0)*(1+$K44/100*(VLOOKUP($H44,技能模板!$D$13:$U$19,MATCH(技能模板!R$13,技能模板!$D$13:$U$13,0),0)-1)),"")</f>
        <v>3.333333333333333</v>
      </c>
      <c r="V44" s="6">
        <f>IFERROR(VLOOKUP($G44,角色技能!$D:$M,MATCH(V$9,角色技能!$D$4:$M$4,0),0)*(1+$K44/100*(VLOOKUP($H44,技能模板!$D$13:$U$19,MATCH(技能模板!S$13,技能模板!$D$13:$U$13,0),0)-1)),"")</f>
        <v>0</v>
      </c>
      <c r="W44" s="6">
        <f>IFERROR(VLOOKUP($G44,角色技能!$D:$M,MATCH(W$9,角色技能!$D$4:$M$4,0),0)*(1+$K44/100*(VLOOKUP($H44,技能模板!$D$13:$U$19,MATCH(技能模板!T$13,技能模板!$D$13:$U$13,0),0)-1)),"")</f>
        <v>0.6</v>
      </c>
      <c r="X44" s="55">
        <f>IFERROR(VLOOKUP($G44,角色技能!$D:$M,MATCH(X$9,角色技能!$D$4:$M$4,0),0)*(1+$K44/100*(VLOOKUP($H44,技能模板!$D$13:$U$19,MATCH(技能模板!U$13,技能模板!$D$13:$U$13,0),0)-1)),"")</f>
        <v>0</v>
      </c>
      <c r="Y44" s="74"/>
    </row>
    <row r="45" spans="1:25" ht="14.25" customHeight="1" x14ac:dyDescent="0.2">
      <c r="C45" s="72"/>
      <c r="D45" s="54">
        <f t="shared" si="16"/>
        <v>1</v>
      </c>
      <c r="E45" s="1">
        <f t="shared" si="17"/>
        <v>2</v>
      </c>
      <c r="F45" s="1">
        <f t="shared" si="18"/>
        <v>4</v>
      </c>
      <c r="G45" s="1" t="s">
        <v>250</v>
      </c>
      <c r="H45" s="1" t="str">
        <f>IFERROR(VLOOKUP($G45,角色设定!$R:$S,2,0),"")</f>
        <v>魔法</v>
      </c>
      <c r="I45" s="1" t="str">
        <f>IFERROR(VLOOKUP(H45,角色设定!$D$9:$E$15,2,0),"")</f>
        <v>输出</v>
      </c>
      <c r="J45" s="1">
        <f t="shared" si="19"/>
        <v>10</v>
      </c>
      <c r="K45" s="1">
        <f t="shared" si="19"/>
        <v>0</v>
      </c>
      <c r="L45" s="8">
        <f>IFERROR(VLOOKUP($G45,角色设定!$AB$9:$AJ$21,MATCH(角色成长!$E$17,角色设定!$AB$9:$AJ$9,0),0)*VLOOKUP($J45,角色成长!$D$17:$J$117,MATCH(角色成长!$E$17,角色成长!$D$17:$J$17,0),0)*角色成长!$L$15*R45/Q45/(1+O45*(P45-1)),"")</f>
        <v>915.28364742732424</v>
      </c>
      <c r="M45" s="8">
        <f>IFERROR(VLOOKUP($G45,角色设定!$AB$9:$AJ$21,MATCH(角色成长!$F$17,角色设定!$AB$9:$AJ$9,0),0)*VLOOKUP($J45,角色成长!$D$17:$J$117,MATCH(角色成长!$F$17,角色成长!$D$17:$J$17,0),0)*角色成长!$L$15/(1+N45/角色成长!$N$16),"")</f>
        <v>3921.243030306221</v>
      </c>
      <c r="N45" s="8">
        <f>IFERROR(VLOOKUP($G45,角色设定!$AB$9:$AJ$21,MATCH(N$9,角色设定!$AB$9:$AJ$9,0),0)*VLOOKUP($J45,角色成长!$D$17:$J$117,MATCH(N$9,角色成长!$D$17:$J$17,0),0)*角色成长!$L$15,"")</f>
        <v>581.74808099194343</v>
      </c>
      <c r="O45" s="1">
        <f>IFERROR(VLOOKUP($G45,角色设定!$AB$9:$AJ$21,MATCH(O$9,角色设定!$AB$9:$AJ$9,0),0)*VLOOKUP($J45,角色成长!$D$17:$J$117,MATCH(O$9,角色成长!$D$17:$J$17,0),0),"")</f>
        <v>0.4</v>
      </c>
      <c r="P45" s="1">
        <f>IFERROR(VLOOKUP($G45,角色设定!$AB$9:$AJ$21,MATCH(P$9,角色设定!$AB$9:$AJ$9,0),0)*VLOOKUP($J45,角色成长!$D$17:$J$117,MATCH(P$9,角色成长!$D$17:$J$17,0),0),"")</f>
        <v>1.5</v>
      </c>
      <c r="Q45" s="1">
        <f>IFERROR(VLOOKUP($G45,角色设定!$AB$9:$AJ$21,MATCH(Q$9,角色设定!$AB$9:$AJ$9,0),0)*VLOOKUP($J45,角色成长!$D$17:$J$117,MATCH(Q$9,角色成长!$D$17:$J$17,0),0),"")</f>
        <v>1</v>
      </c>
      <c r="R45" s="1">
        <f>IFERROR(VLOOKUP($G45,角色设定!$AB$9:$AJ$21,MATCH(R$9,角色设定!$AB$9:$AJ$9,0),0),"")</f>
        <v>0.8</v>
      </c>
      <c r="S45" s="1">
        <f>IFERROR(VLOOKUP($G45,角色技能!$D:$M,MATCH(S$9,角色技能!$D$4:$M$4,0),0),"")</f>
        <v>20</v>
      </c>
      <c r="T45" s="1">
        <f>IFERROR(VLOOKUP($G45,角色技能!$D:$M,MATCH(T$9,角色技能!$D$4:$M$4,0),0),"")</f>
        <v>10</v>
      </c>
      <c r="U45" s="6">
        <f>IFERROR(VLOOKUP($G45,角色技能!$D:$M,MATCH(U$9,角色技能!$D$4:$M$4,0),0)*(1+$K45/100*(VLOOKUP($H45,技能模板!$D$13:$U$19,MATCH(技能模板!R$13,技能模板!$D$13:$U$13,0),0)-1)),"")</f>
        <v>4.9999999999999982</v>
      </c>
      <c r="V45" s="6">
        <f>IFERROR(VLOOKUP($G45,角色技能!$D:$M,MATCH(V$9,角色技能!$D$4:$M$4,0),0)*(1+$K45/100*(VLOOKUP($H45,技能模板!$D$13:$U$19,MATCH(技能模板!S$13,技能模板!$D$13:$U$13,0),0)-1)),"")</f>
        <v>0</v>
      </c>
      <c r="W45" s="6">
        <f>IFERROR(VLOOKUP($G45,角色技能!$D:$M,MATCH(W$9,角色技能!$D$4:$M$4,0),0)*(1+$K45/100*(VLOOKUP($H45,技能模板!$D$13:$U$19,MATCH(技能模板!T$13,技能模板!$D$13:$U$13,0),0)-1)),"")</f>
        <v>0</v>
      </c>
      <c r="X45" s="55">
        <f>IFERROR(VLOOKUP($G45,角色技能!$D:$M,MATCH(X$9,角色技能!$D$4:$M$4,0),0)*(1+$K45/100*(VLOOKUP($H45,技能模板!$D$13:$U$19,MATCH(技能模板!U$13,技能模板!$D$13:$U$13,0),0)-1)),"")</f>
        <v>0</v>
      </c>
      <c r="Y45" s="74"/>
    </row>
    <row r="46" spans="1:25" ht="14.25" customHeight="1" x14ac:dyDescent="0.2">
      <c r="C46" s="72"/>
      <c r="D46" s="54" t="str">
        <f t="shared" si="16"/>
        <v/>
      </c>
      <c r="E46" s="1" t="str">
        <f t="shared" si="17"/>
        <v/>
      </c>
      <c r="F46" s="1" t="str">
        <f t="shared" si="18"/>
        <v/>
      </c>
      <c r="H46" s="1" t="str">
        <f>IFERROR(VLOOKUP($G46,角色设定!$R:$S,2,0),"")</f>
        <v/>
      </c>
      <c r="I46" s="1" t="str">
        <f>IFERROR(VLOOKUP(H46,角色设定!$D$9:$E$15,2,0),"")</f>
        <v/>
      </c>
      <c r="J46" s="1" t="str">
        <f t="shared" si="19"/>
        <v/>
      </c>
      <c r="K46" s="1" t="str">
        <f t="shared" si="19"/>
        <v/>
      </c>
      <c r="L46" s="8" t="str">
        <f>IFERROR(VLOOKUP($G46,角色设定!$AB$9:$AJ$21,MATCH(角色成长!$E$17,角色设定!$AB$9:$AJ$9,0),0)*VLOOKUP($J46,角色成长!$D$17:$J$117,MATCH(角色成长!$E$17,角色成长!$D$17:$J$17,0),0)*角色成长!$L$15*R46/Q46/(1+O46*(P46-1)),"")</f>
        <v/>
      </c>
      <c r="M46" s="8" t="str">
        <f>IFERROR(VLOOKUP($G46,角色设定!$AB$9:$AJ$21,MATCH(角色成长!$F$17,角色设定!$AB$9:$AJ$9,0),0)*VLOOKUP($J46,角色成长!$D$17:$J$117,MATCH(角色成长!$F$17,角色成长!$D$17:$J$17,0),0)*角色成长!$L$15/(1+N46/角色成长!$N$16),"")</f>
        <v/>
      </c>
      <c r="N46" s="8" t="str">
        <f>IFERROR(VLOOKUP($G46,角色设定!$AB$9:$AJ$21,MATCH(N$9,角色设定!$AB$9:$AJ$9,0),0)*VLOOKUP($J46,角色成长!$D$17:$J$117,MATCH(N$9,角色成长!$D$17:$J$17,0),0)*角色成长!$L$15,"")</f>
        <v/>
      </c>
      <c r="O46" s="1" t="str">
        <f>IFERROR(VLOOKUP($G46,角色设定!$AB$9:$AJ$21,MATCH(O$9,角色设定!$AB$9:$AJ$9,0),0)*VLOOKUP($J46,角色成长!$D$17:$J$117,MATCH(O$9,角色成长!$D$17:$J$17,0),0),"")</f>
        <v/>
      </c>
      <c r="P46" s="1" t="str">
        <f>IFERROR(VLOOKUP($G46,角色设定!$AB$9:$AJ$21,MATCH(P$9,角色设定!$AB$9:$AJ$9,0),0)*VLOOKUP($J46,角色成长!$D$17:$J$117,MATCH(P$9,角色成长!$D$17:$J$17,0),0),"")</f>
        <v/>
      </c>
      <c r="Q46" s="1" t="str">
        <f>IFERROR(VLOOKUP($G46,角色设定!$AB$9:$AJ$21,MATCH(Q$9,角色设定!$AB$9:$AJ$9,0),0)*VLOOKUP($J46,角色成长!$D$17:$J$117,MATCH(Q$9,角色成长!$D$17:$J$17,0),0),"")</f>
        <v/>
      </c>
      <c r="R46" s="1" t="str">
        <f>IFERROR(VLOOKUP($G46,角色设定!$AB$9:$AJ$21,MATCH(R$9,角色设定!$AB$9:$AJ$9,0),0),"")</f>
        <v/>
      </c>
      <c r="S46" s="1" t="str">
        <f>IFERROR(VLOOKUP($G46,角色技能!$D:$M,MATCH(S$9,角色技能!$D$4:$M$4,0),0),"")</f>
        <v/>
      </c>
      <c r="T46" s="1" t="str">
        <f>IFERROR(VLOOKUP($G46,角色技能!$D:$M,MATCH(T$9,角色技能!$D$4:$M$4,0),0),"")</f>
        <v/>
      </c>
      <c r="U46" s="6" t="str">
        <f>IFERROR(VLOOKUP($G46,角色技能!$D:$M,MATCH(U$9,角色技能!$D$4:$M$4,0),0)*(1+$K46/100*(VLOOKUP($H46,技能模板!$D$13:$U$19,MATCH(技能模板!R$13,技能模板!$D$13:$U$13,0),0)-1)),"")</f>
        <v/>
      </c>
      <c r="V46" s="6" t="str">
        <f>IFERROR(VLOOKUP($G46,角色技能!$D:$M,MATCH(V$9,角色技能!$D$4:$M$4,0),0)*(1+$K46/100*(VLOOKUP($H46,技能模板!$D$13:$U$19,MATCH(技能模板!S$13,技能模板!$D$13:$U$13,0),0)-1)),"")</f>
        <v/>
      </c>
      <c r="W46" s="6" t="str">
        <f>IFERROR(VLOOKUP($G46,角色技能!$D:$M,MATCH(W$9,角色技能!$D$4:$M$4,0),0)*(1+$K46/100*(VLOOKUP($H46,技能模板!$D$13:$U$19,MATCH(技能模板!T$13,技能模板!$D$13:$U$13,0),0)-1)),"")</f>
        <v/>
      </c>
      <c r="X46" s="55" t="str">
        <f>IFERROR(VLOOKUP($G46,角色技能!$D:$M,MATCH(X$9,角色技能!$D$4:$M$4,0),0)*(1+$K46/100*(VLOOKUP($H46,技能模板!$D$13:$U$19,MATCH(技能模板!U$13,技能模板!$D$13:$U$13,0),0)-1)),"")</f>
        <v/>
      </c>
      <c r="Y46" s="74"/>
    </row>
    <row r="47" spans="1:25" ht="14.25" customHeight="1" x14ac:dyDescent="0.2">
      <c r="C47" s="72"/>
      <c r="D47" s="54">
        <f t="shared" si="16"/>
        <v>3</v>
      </c>
      <c r="E47" s="1">
        <f t="shared" si="17"/>
        <v>2</v>
      </c>
      <c r="F47" s="1">
        <f t="shared" si="18"/>
        <v>6</v>
      </c>
      <c r="G47" s="1" t="s">
        <v>252</v>
      </c>
      <c r="H47" s="1" t="str">
        <f>IFERROR(VLOOKUP($G47,角色设定!$R:$S,2,0),"")</f>
        <v>射击</v>
      </c>
      <c r="I47" s="1" t="str">
        <f>IFERROR(VLOOKUP(H47,角色设定!$D$9:$E$15,2,0),"")</f>
        <v>输出</v>
      </c>
      <c r="J47" s="1">
        <f t="shared" si="19"/>
        <v>10</v>
      </c>
      <c r="K47" s="1">
        <f t="shared" si="19"/>
        <v>0</v>
      </c>
      <c r="L47" s="8">
        <f>IFERROR(VLOOKUP($G47,角色设定!$AB$9:$AJ$21,MATCH(角色成长!$E$17,角色设定!$AB$9:$AJ$9,0),0)*VLOOKUP($J47,角色成长!$D$17:$J$117,MATCH(角色成长!$E$17,角色成长!$D$17:$J$17,0),0)*角色成长!$L$15*R47/Q47/(1+O47*(P47-1)),"")</f>
        <v>808.89426352470684</v>
      </c>
      <c r="M47" s="8">
        <f>IFERROR(VLOOKUP($G47,角色设定!$AB$9:$AJ$21,MATCH(角色成长!$F$17,角色设定!$AB$9:$AJ$9,0),0)*VLOOKUP($J47,角色成长!$D$17:$J$117,MATCH(角色成长!$F$17,角色成长!$D$17:$J$17,0),0)*角色成长!$L$15/(1+N47/角色成长!$N$16),"")</f>
        <v>4061.1794236014766</v>
      </c>
      <c r="N47" s="8">
        <f>IFERROR(VLOOKUP($G47,角色设定!$AB$9:$AJ$21,MATCH(N$9,角色设定!$AB$9:$AJ$9,0),0)*VLOOKUP($J47,角色成长!$D$17:$J$117,MATCH(N$9,角色成长!$D$17:$J$17,0),0)*角色成长!$L$15,"")</f>
        <v>523.57327289274906</v>
      </c>
      <c r="O47" s="1">
        <f>IFERROR(VLOOKUP($G47,角色设定!$AB$9:$AJ$21,MATCH(O$9,角色设定!$AB$9:$AJ$9,0),0)*VLOOKUP($J47,角色成长!$D$17:$J$117,MATCH(O$9,角色成长!$D$17:$J$17,0),0),"")</f>
        <v>0.4</v>
      </c>
      <c r="P47" s="1">
        <f>IFERROR(VLOOKUP($G47,角色设定!$AB$9:$AJ$21,MATCH(P$9,角色设定!$AB$9:$AJ$9,0),0)*VLOOKUP($J47,角色成长!$D$17:$J$117,MATCH(P$9,角色成长!$D$17:$J$17,0),0),"")</f>
        <v>1.5</v>
      </c>
      <c r="Q47" s="1">
        <f>IFERROR(VLOOKUP($G47,角色设定!$AB$9:$AJ$21,MATCH(Q$9,角色设定!$AB$9:$AJ$9,0),0)*VLOOKUP($J47,角色成长!$D$17:$J$117,MATCH(Q$9,角色成长!$D$17:$J$17,0),0),"")</f>
        <v>1.1000000000000001</v>
      </c>
      <c r="R47" s="1">
        <f>IFERROR(VLOOKUP($G47,角色设定!$AB$9:$AJ$21,MATCH(R$9,角色设定!$AB$9:$AJ$9,0),0),"")</f>
        <v>0.80500000000000005</v>
      </c>
      <c r="S47" s="1">
        <f>IFERROR(VLOOKUP($G47,角色技能!$D:$M,MATCH(S$9,角色技能!$D$4:$M$4,0),0),"")</f>
        <v>20</v>
      </c>
      <c r="T47" s="1">
        <f>IFERROR(VLOOKUP($G47,角色技能!$D:$M,MATCH(T$9,角色技能!$D$4:$M$4,0),0),"")</f>
        <v>10</v>
      </c>
      <c r="U47" s="6">
        <f>IFERROR(VLOOKUP($G47,角色技能!$D:$M,MATCH(U$9,角色技能!$D$4:$M$4,0),0)*(1+$K47/100*(VLOOKUP($H47,技能模板!$D$13:$U$19,MATCH(技能模板!R$13,技能模板!$D$13:$U$13,0),0)-1)),"")</f>
        <v>4.8447204968944071</v>
      </c>
      <c r="V47" s="6">
        <f>IFERROR(VLOOKUP($G47,角色技能!$D:$M,MATCH(V$9,角色技能!$D$4:$M$4,0),0)*(1+$K47/100*(VLOOKUP($H47,技能模板!$D$13:$U$19,MATCH(技能模板!S$13,技能模板!$D$13:$U$13,0),0)-1)),"")</f>
        <v>0</v>
      </c>
      <c r="W47" s="6">
        <f>IFERROR(VLOOKUP($G47,角色技能!$D:$M,MATCH(W$9,角色技能!$D$4:$M$4,0),0)*(1+$K47/100*(VLOOKUP($H47,技能模板!$D$13:$U$19,MATCH(技能模板!T$13,技能模板!$D$13:$U$13,0),0)-1)),"")</f>
        <v>0</v>
      </c>
      <c r="X47" s="55">
        <f>IFERROR(VLOOKUP($G47,角色技能!$D:$M,MATCH(X$9,角色技能!$D$4:$M$4,0),0)*(1+$K47/100*(VLOOKUP($H47,技能模板!$D$13:$U$19,MATCH(技能模板!U$13,技能模板!$D$13:$U$13,0),0)-1)),"")</f>
        <v>0</v>
      </c>
      <c r="Y47" s="74"/>
    </row>
    <row r="48" spans="1:25" ht="14.25" customHeight="1" x14ac:dyDescent="0.2">
      <c r="C48" s="72"/>
      <c r="D48" s="54" t="str">
        <f t="shared" si="16"/>
        <v/>
      </c>
      <c r="E48" s="1" t="str">
        <f t="shared" si="17"/>
        <v/>
      </c>
      <c r="F48" s="1" t="str">
        <f t="shared" si="18"/>
        <v/>
      </c>
      <c r="H48" s="1" t="str">
        <f>IFERROR(VLOOKUP($G48,角色设定!$R:$S,2,0),"")</f>
        <v/>
      </c>
      <c r="I48" s="1" t="str">
        <f>IFERROR(VLOOKUP(H48,角色设定!$D$9:$E$15,2,0),"")</f>
        <v/>
      </c>
      <c r="J48" s="1" t="str">
        <f t="shared" si="19"/>
        <v/>
      </c>
      <c r="K48" s="1" t="str">
        <f t="shared" si="19"/>
        <v/>
      </c>
      <c r="L48" s="8" t="str">
        <f>IFERROR(VLOOKUP($G48,角色设定!$AB$9:$AJ$21,MATCH(角色成长!$E$17,角色设定!$AB$9:$AJ$9,0),0)*VLOOKUP($J48,角色成长!$D$17:$J$117,MATCH(角色成长!$E$17,角色成长!$D$17:$J$17,0),0)*角色成长!$L$15*R48/Q48/(1+O48*(P48-1)),"")</f>
        <v/>
      </c>
      <c r="M48" s="8" t="str">
        <f>IFERROR(VLOOKUP($G48,角色设定!$AB$9:$AJ$21,MATCH(角色成长!$F$17,角色设定!$AB$9:$AJ$9,0),0)*VLOOKUP($J48,角色成长!$D$17:$J$117,MATCH(角色成长!$F$17,角色成长!$D$17:$J$17,0),0)*角色成长!$L$15/(1+N48/角色成长!$N$16),"")</f>
        <v/>
      </c>
      <c r="N48" s="8" t="str">
        <f>IFERROR(VLOOKUP($G48,角色设定!$AB$9:$AJ$21,MATCH(N$9,角色设定!$AB$9:$AJ$9,0),0)*VLOOKUP($J48,角色成长!$D$17:$J$117,MATCH(N$9,角色成长!$D$17:$J$17,0),0)*角色成长!$L$15,"")</f>
        <v/>
      </c>
      <c r="O48" s="1" t="str">
        <f>IFERROR(VLOOKUP($G48,角色设定!$AB$9:$AJ$21,MATCH(O$9,角色设定!$AB$9:$AJ$9,0),0)*VLOOKUP($J48,角色成长!$D$17:$J$117,MATCH(O$9,角色成长!$D$17:$J$17,0),0),"")</f>
        <v/>
      </c>
      <c r="P48" s="1" t="str">
        <f>IFERROR(VLOOKUP($G48,角色设定!$AB$9:$AJ$21,MATCH(P$9,角色设定!$AB$9:$AJ$9,0),0)*VLOOKUP($J48,角色成长!$D$17:$J$117,MATCH(P$9,角色成长!$D$17:$J$17,0),0),"")</f>
        <v/>
      </c>
      <c r="Q48" s="1" t="str">
        <f>IFERROR(VLOOKUP($G48,角色设定!$AB$9:$AJ$21,MATCH(Q$9,角色设定!$AB$9:$AJ$9,0),0)*VLOOKUP($J48,角色成长!$D$17:$J$117,MATCH(Q$9,角色成长!$D$17:$J$17,0),0),"")</f>
        <v/>
      </c>
      <c r="R48" s="1" t="str">
        <f>IFERROR(VLOOKUP($G48,角色设定!$AB$9:$AJ$21,MATCH(R$9,角色设定!$AB$9:$AJ$9,0),0),"")</f>
        <v/>
      </c>
      <c r="S48" s="1" t="str">
        <f>IFERROR(VLOOKUP($G48,角色技能!$D:$M,MATCH(S$9,角色技能!$D$4:$M$4,0),0),"")</f>
        <v/>
      </c>
      <c r="T48" s="1" t="str">
        <f>IFERROR(VLOOKUP($G48,角色技能!$D:$M,MATCH(T$9,角色技能!$D$4:$M$4,0),0),"")</f>
        <v/>
      </c>
      <c r="U48" s="6" t="str">
        <f>IFERROR(VLOOKUP($G48,角色技能!$D:$M,MATCH(U$9,角色技能!$D$4:$M$4,0),0)*(1+$K48/100*(VLOOKUP($H48,技能模板!$D$13:$U$19,MATCH(技能模板!R$13,技能模板!$D$13:$U$13,0),0)-1)),"")</f>
        <v/>
      </c>
      <c r="V48" s="6" t="str">
        <f>IFERROR(VLOOKUP($G48,角色技能!$D:$M,MATCH(V$9,角色技能!$D$4:$M$4,0),0)*(1+$K48/100*(VLOOKUP($H48,技能模板!$D$13:$U$19,MATCH(技能模板!S$13,技能模板!$D$13:$U$13,0),0)-1)),"")</f>
        <v/>
      </c>
      <c r="W48" s="6" t="str">
        <f>IFERROR(VLOOKUP($G48,角色技能!$D:$M,MATCH(W$9,角色技能!$D$4:$M$4,0),0)*(1+$K48/100*(VLOOKUP($H48,技能模板!$D$13:$U$19,MATCH(技能模板!T$13,技能模板!$D$13:$U$13,0),0)-1)),"")</f>
        <v/>
      </c>
      <c r="X48" s="55" t="str">
        <f>IFERROR(VLOOKUP($G48,角色技能!$D:$M,MATCH(X$9,角色技能!$D$4:$M$4,0),0)*(1+$K48/100*(VLOOKUP($H48,技能模板!$D$13:$U$19,MATCH(技能模板!U$13,技能模板!$D$13:$U$13,0),0)-1)),"")</f>
        <v/>
      </c>
      <c r="Y48" s="74"/>
    </row>
    <row r="49" spans="1:25" ht="14.25" customHeight="1" x14ac:dyDescent="0.2">
      <c r="C49" s="72"/>
      <c r="D49" s="54">
        <f t="shared" si="16"/>
        <v>2</v>
      </c>
      <c r="E49" s="1">
        <f t="shared" si="17"/>
        <v>1</v>
      </c>
      <c r="F49" s="1">
        <f t="shared" si="18"/>
        <v>8</v>
      </c>
      <c r="G49" s="1" t="s">
        <v>256</v>
      </c>
      <c r="H49" s="1" t="str">
        <f>IFERROR(VLOOKUP($G49,角色设定!$R:$S,2,0),"")</f>
        <v>恢复</v>
      </c>
      <c r="I49" s="1" t="str">
        <f>IFERROR(VLOOKUP(H49,角色设定!$D$9:$E$15,2,0),"")</f>
        <v>治疗</v>
      </c>
      <c r="J49" s="1">
        <f t="shared" si="19"/>
        <v>10</v>
      </c>
      <c r="K49" s="1">
        <f t="shared" si="19"/>
        <v>0</v>
      </c>
      <c r="L49" s="8">
        <f>IFERROR(VLOOKUP($G49,角色设定!$AB$9:$AJ$21,MATCH(角色成长!$E$17,角色设定!$AB$9:$AJ$9,0),0)*VLOOKUP($J49,角色成长!$D$17:$J$117,MATCH(角色成长!$E$17,角色成长!$D$17:$J$17,0),0)*角色成长!$L$15*R49/Q49/(1+O49*(P49-1)),"")</f>
        <v>343.87775454190438</v>
      </c>
      <c r="M49" s="8">
        <f>IFERROR(VLOOKUP($G49,角色设定!$AB$9:$AJ$21,MATCH(角色成长!$F$17,角色设定!$AB$9:$AJ$9,0),0)*VLOOKUP($J49,角色成长!$D$17:$J$117,MATCH(角色成长!$F$17,角色成长!$D$17:$J$17,0),0)*角色成长!$L$15/(1+N49/角色成长!$N$16),"")</f>
        <v>5798.5902249986657</v>
      </c>
      <c r="N49" s="8">
        <f>IFERROR(VLOOKUP($G49,角色设定!$AB$9:$AJ$21,MATCH(N$9,角色设定!$AB$9:$AJ$9,0),0)*VLOOKUP($J49,角色成长!$D$17:$J$117,MATCH(N$9,角色成长!$D$17:$J$17,0),0)*角色成长!$L$15,"")</f>
        <v>325.7789253554883</v>
      </c>
      <c r="O49" s="1">
        <f>IFERROR(VLOOKUP($G49,角色设定!$AB$9:$AJ$21,MATCH(O$9,角色设定!$AB$9:$AJ$9,0),0)*VLOOKUP($J49,角色成长!$D$17:$J$117,MATCH(O$9,角色成长!$D$17:$J$17,0),0),"")</f>
        <v>0.4</v>
      </c>
      <c r="P49" s="1">
        <f>IFERROR(VLOOKUP($G49,角色设定!$AB$9:$AJ$21,MATCH(P$9,角色设定!$AB$9:$AJ$9,0),0)*VLOOKUP($J49,角色成长!$D$17:$J$117,MATCH(P$9,角色成长!$D$17:$J$17,0),0),"")</f>
        <v>1.5</v>
      </c>
      <c r="Q49" s="1">
        <f>IFERROR(VLOOKUP($G49,角色设定!$AB$9:$AJ$21,MATCH(Q$9,角色设定!$AB$9:$AJ$9,0),0)*VLOOKUP($J49,角色成长!$D$17:$J$117,MATCH(Q$9,角色成长!$D$17:$J$17,0),0),"")</f>
        <v>0.9</v>
      </c>
      <c r="R49" s="1">
        <f>IFERROR(VLOOKUP($G49,角色设定!$AB$9:$AJ$21,MATCH(R$9,角色设定!$AB$9:$AJ$9,0),0),"")</f>
        <v>0.79800000000000004</v>
      </c>
      <c r="S49" s="1">
        <f>IFERROR(VLOOKUP($G49,角色技能!$D:$M,MATCH(S$9,角色技能!$D$4:$M$4,0),0),"")</f>
        <v>10</v>
      </c>
      <c r="T49" s="1">
        <f>IFERROR(VLOOKUP($G49,角色技能!$D:$M,MATCH(T$9,角色技能!$D$4:$M$4,0),0),"")</f>
        <v>5</v>
      </c>
      <c r="U49" s="6">
        <f>IFERROR(VLOOKUP($G49,角色技能!$D:$M,MATCH(U$9,角色技能!$D$4:$M$4,0),0)*(1+$K49/100*(VLOOKUP($H49,技能模板!$D$13:$U$19,MATCH(技能模板!R$13,技能模板!$D$13:$U$13,0),0)-1)),"")</f>
        <v>2.5313283208020043</v>
      </c>
      <c r="V49" s="6">
        <f>IFERROR(VLOOKUP($G49,角色技能!$D:$M,MATCH(V$9,角色技能!$D$4:$M$4,0),0)*(1+$K49/100*(VLOOKUP($H49,技能模板!$D$13:$U$19,MATCH(技能模板!S$13,技能模板!$D$13:$U$13,0),0)-1)),"")</f>
        <v>0</v>
      </c>
      <c r="W49" s="6">
        <f>IFERROR(VLOOKUP($G49,角色技能!$D:$M,MATCH(W$9,角色技能!$D$4:$M$4,0),0)*(1+$K49/100*(VLOOKUP($H49,技能模板!$D$13:$U$19,MATCH(技能模板!T$13,技能模板!$D$13:$U$13,0),0)-1)),"")</f>
        <v>0</v>
      </c>
      <c r="X49" s="55">
        <f>IFERROR(VLOOKUP($G49,角色技能!$D:$M,MATCH(X$9,角色技能!$D$4:$M$4,0),0)*(1+$K49/100*(VLOOKUP($H49,技能模板!$D$13:$U$19,MATCH(技能模板!U$13,技能模板!$D$13:$U$13,0),0)-1)),"")</f>
        <v>0.55892431003178</v>
      </c>
      <c r="Y49" s="74"/>
    </row>
    <row r="50" spans="1:25" ht="14.25" customHeight="1" thickBot="1" x14ac:dyDescent="0.25">
      <c r="C50" s="72"/>
      <c r="D50" s="56" t="str">
        <f t="shared" si="16"/>
        <v/>
      </c>
      <c r="E50" s="57" t="str">
        <f t="shared" si="17"/>
        <v/>
      </c>
      <c r="F50" s="57" t="str">
        <f t="shared" si="18"/>
        <v/>
      </c>
      <c r="G50" s="57"/>
      <c r="H50" s="57" t="str">
        <f>IFERROR(VLOOKUP($G50,角色设定!$R:$S,2,0),"")</f>
        <v/>
      </c>
      <c r="I50" s="57" t="str">
        <f>IFERROR(VLOOKUP(H50,角色设定!$D$9:$E$15,2,0),"")</f>
        <v/>
      </c>
      <c r="J50" s="57" t="str">
        <f>IF($G50="","",J$40)</f>
        <v/>
      </c>
      <c r="K50" s="57" t="str">
        <f>IF($G50="","",K$40)</f>
        <v/>
      </c>
      <c r="L50" s="58" t="str">
        <f>IFERROR(VLOOKUP($G50,角色设定!$AB$9:$AJ$21,MATCH(角色成长!$E$17,角色设定!$AB$9:$AJ$9,0),0)*VLOOKUP($J50,角色成长!$D$17:$J$117,MATCH(角色成长!$E$17,角色成长!$D$17:$J$17,0),0)*角色成长!$L$15*R50/Q50/(1+O50*(P50-1)),"")</f>
        <v/>
      </c>
      <c r="M50" s="58" t="str">
        <f>IFERROR(VLOOKUP($G50,角色设定!$AB$9:$AJ$21,MATCH(角色成长!$F$17,角色设定!$AB$9:$AJ$9,0),0)*VLOOKUP($J50,角色成长!$D$17:$J$117,MATCH(角色成长!$F$17,角色成长!$D$17:$J$17,0),0)*角色成长!$L$15/(1+N50/角色成长!$N$16),"")</f>
        <v/>
      </c>
      <c r="N50" s="58" t="str">
        <f>IFERROR(VLOOKUP($G50,角色设定!$AB$9:$AJ$21,MATCH(N$9,角色设定!$AB$9:$AJ$9,0),0)*VLOOKUP($J50,角色成长!$D$17:$J$117,MATCH(N$9,角色成长!$D$17:$J$17,0),0)*角色成长!$L$15,"")</f>
        <v/>
      </c>
      <c r="O50" s="57" t="str">
        <f>IFERROR(VLOOKUP($G50,角色设定!$AB$9:$AJ$21,MATCH(O$9,角色设定!$AB$9:$AJ$9,0),0)*VLOOKUP($J50,角色成长!$D$17:$J$117,MATCH(O$9,角色成长!$D$17:$J$17,0),0),"")</f>
        <v/>
      </c>
      <c r="P50" s="57" t="str">
        <f>IFERROR(VLOOKUP($G50,角色设定!$AB$9:$AJ$21,MATCH(P$9,角色设定!$AB$9:$AJ$9,0),0)*VLOOKUP($J50,角色成长!$D$17:$J$117,MATCH(P$9,角色成长!$D$17:$J$17,0),0),"")</f>
        <v/>
      </c>
      <c r="Q50" s="57" t="str">
        <f>IFERROR(VLOOKUP($G50,角色设定!$AB$9:$AJ$21,MATCH(Q$9,角色设定!$AB$9:$AJ$9,0),0)*VLOOKUP($J50,角色成长!$D$17:$J$117,MATCH(Q$9,角色成长!$D$17:$J$17,0),0),"")</f>
        <v/>
      </c>
      <c r="R50" s="57" t="str">
        <f>IFERROR(VLOOKUP($G50,角色设定!$AB$9:$AJ$21,MATCH(R$9,角色设定!$AB$9:$AJ$9,0),0),"")</f>
        <v/>
      </c>
      <c r="S50" s="57" t="str">
        <f>IFERROR(VLOOKUP($G50,角色技能!$D:$M,MATCH(S$9,角色技能!$D$4:$M$4,0),0),"")</f>
        <v/>
      </c>
      <c r="T50" s="57" t="str">
        <f>IFERROR(VLOOKUP($G50,角色技能!$D:$M,MATCH(T$9,角色技能!$D$4:$M$4,0),0),"")</f>
        <v/>
      </c>
      <c r="U50" s="59" t="str">
        <f>IFERROR(VLOOKUP($G50,角色技能!$D:$M,MATCH(U$9,角色技能!$D$4:$M$4,0),0)*(1+$K50/100*(VLOOKUP($H50,技能模板!$D$13:$U$19,MATCH(技能模板!R$13,技能模板!$D$13:$U$13,0),0)-1)),"")</f>
        <v/>
      </c>
      <c r="V50" s="59" t="str">
        <f>IFERROR(VLOOKUP($G50,角色技能!$D:$M,MATCH(V$9,角色技能!$D$4:$M$4,0),0)*(1+$K50/100*(VLOOKUP($H50,技能模板!$D$13:$U$19,MATCH(技能模板!S$13,技能模板!$D$13:$U$13,0),0)-1)),"")</f>
        <v/>
      </c>
      <c r="W50" s="59" t="str">
        <f>IFERROR(VLOOKUP($G50,角色技能!$D:$M,MATCH(W$9,角色技能!$D$4:$M$4,0),0)*(1+$K50/100*(VLOOKUP($H50,技能模板!$D$13:$U$19,MATCH(技能模板!T$13,技能模板!$D$13:$U$13,0),0)-1)),"")</f>
        <v/>
      </c>
      <c r="X50" s="60" t="str">
        <f>IFERROR(VLOOKUP($G50,角色技能!$D:$M,MATCH(X$9,角色技能!$D$4:$M$4,0),0)*(1+$K50/100*(VLOOKUP($H50,技能模板!$D$13:$U$19,MATCH(技能模板!U$13,技能模板!$D$13:$U$13,0),0)-1)),"")</f>
        <v/>
      </c>
      <c r="Y50" s="74"/>
    </row>
    <row r="51" spans="1:25" ht="14.25" customHeight="1" thickBot="1" x14ac:dyDescent="0.25">
      <c r="C51" s="2" t="s">
        <v>263</v>
      </c>
      <c r="D51" s="70"/>
      <c r="E51" s="70"/>
      <c r="F51" s="70"/>
      <c r="G51" s="70"/>
      <c r="H51" s="70"/>
      <c r="I51" s="70"/>
      <c r="J51" s="61">
        <v>50</v>
      </c>
      <c r="K51" s="61">
        <v>1</v>
      </c>
      <c r="L51" s="62"/>
      <c r="M51" s="62"/>
      <c r="N51" s="62"/>
      <c r="O51" s="70"/>
      <c r="P51" s="70"/>
      <c r="Q51" s="70"/>
      <c r="R51" s="70"/>
      <c r="S51" s="70">
        <v>0</v>
      </c>
      <c r="T51" s="70">
        <v>0</v>
      </c>
      <c r="U51" s="63"/>
      <c r="V51" s="70" t="s">
        <v>238</v>
      </c>
      <c r="W51" s="70" t="s">
        <v>239</v>
      </c>
      <c r="X51" s="70" t="s">
        <v>240</v>
      </c>
    </row>
    <row r="52" spans="1:25" ht="14.25" customHeight="1" x14ac:dyDescent="0.2">
      <c r="A52" s="4">
        <f>B52/(SUM(M53:M61)*$G$1)</f>
        <v>0.13642225076938128</v>
      </c>
      <c r="B52" s="6">
        <v>12734757.855177151</v>
      </c>
      <c r="C52" s="72">
        <f>ROW(D53)</f>
        <v>53</v>
      </c>
      <c r="D52" s="50" t="s">
        <v>244</v>
      </c>
      <c r="E52" s="51" t="s">
        <v>245</v>
      </c>
      <c r="F52" s="51" t="s">
        <v>224</v>
      </c>
      <c r="G52" s="52" t="s">
        <v>150</v>
      </c>
      <c r="H52" s="51" t="s">
        <v>87</v>
      </c>
      <c r="I52" s="51" t="s">
        <v>88</v>
      </c>
      <c r="J52" s="52" t="s">
        <v>232</v>
      </c>
      <c r="K52" s="52" t="s">
        <v>233</v>
      </c>
      <c r="L52" s="51" t="s">
        <v>32</v>
      </c>
      <c r="M52" s="51" t="s">
        <v>34</v>
      </c>
      <c r="N52" s="51" t="s">
        <v>33</v>
      </c>
      <c r="O52" s="51" t="s">
        <v>140</v>
      </c>
      <c r="P52" s="51" t="s">
        <v>141</v>
      </c>
      <c r="Q52" s="51" t="s">
        <v>142</v>
      </c>
      <c r="R52" s="51" t="s">
        <v>168</v>
      </c>
      <c r="S52" s="51" t="s">
        <v>198</v>
      </c>
      <c r="T52" s="51" t="s">
        <v>258</v>
      </c>
      <c r="U52" s="51" t="s">
        <v>199</v>
      </c>
      <c r="V52" s="51" t="s">
        <v>200</v>
      </c>
      <c r="W52" s="51" t="s">
        <v>202</v>
      </c>
      <c r="X52" s="53" t="s">
        <v>230</v>
      </c>
      <c r="Y52" s="74"/>
    </row>
    <row r="53" spans="1:25" ht="14.25" customHeight="1" x14ac:dyDescent="0.2">
      <c r="C53" s="72">
        <f>COLUMN(D53)</f>
        <v>4</v>
      </c>
      <c r="D53" s="54">
        <f>IFERROR(MOD(F53+3-1,3)+1,"")</f>
        <v>1</v>
      </c>
      <c r="E53" s="1">
        <f>IFERROR(INT((F53-1)/3)+5,"")</f>
        <v>5</v>
      </c>
      <c r="F53" s="1">
        <f>IF(G53="","",ROW(G53)-$C$52+1)</f>
        <v>1</v>
      </c>
      <c r="G53" s="1" t="s">
        <v>262</v>
      </c>
      <c r="H53" s="1" t="str">
        <f>IFERROR(VLOOKUP($G53,角色设定!$R:$S,2,0),"")</f>
        <v/>
      </c>
      <c r="I53" s="1" t="str">
        <f>IFERROR(VLOOKUP(H53,角色设定!$D$9:$E$15,2,0),"")</f>
        <v/>
      </c>
      <c r="J53" s="1">
        <f t="shared" ref="J53:K61" si="20">IF($G53="","",J$51)</f>
        <v>50</v>
      </c>
      <c r="K53" s="1">
        <f t="shared" si="20"/>
        <v>1</v>
      </c>
      <c r="L53" s="1">
        <v>197.01868342927153</v>
      </c>
      <c r="M53" s="1">
        <v>9334.809961979714</v>
      </c>
      <c r="N53" s="1">
        <v>11634.961619838869</v>
      </c>
      <c r="O53" s="8">
        <v>0.4</v>
      </c>
      <c r="P53" s="8">
        <v>1.5</v>
      </c>
      <c r="Q53" s="8">
        <v>1</v>
      </c>
      <c r="R53" s="8"/>
      <c r="S53" s="8">
        <v>10</v>
      </c>
      <c r="T53" s="1">
        <v>5</v>
      </c>
      <c r="U53" s="8">
        <v>2.4999999999999991</v>
      </c>
      <c r="V53" s="6">
        <v>0</v>
      </c>
      <c r="W53" s="6">
        <v>0</v>
      </c>
      <c r="X53" s="55">
        <v>0</v>
      </c>
      <c r="Y53" s="74"/>
    </row>
    <row r="54" spans="1:25" ht="14.25" customHeight="1" x14ac:dyDescent="0.2">
      <c r="C54" s="72">
        <f>ROW(X61)</f>
        <v>61</v>
      </c>
      <c r="D54" s="54">
        <f t="shared" ref="D54:D61" si="21">IFERROR(MOD(F54+3-1,3)+1,"")</f>
        <v>2</v>
      </c>
      <c r="E54" s="1">
        <f t="shared" ref="E54:E61" si="22">IFERROR(INT((F54-1)/3)+5,"")</f>
        <v>5</v>
      </c>
      <c r="F54" s="1">
        <f t="shared" ref="F54:F61" si="23">IF(G54="","",ROW(G54)-$C$52+1)</f>
        <v>2</v>
      </c>
      <c r="G54" s="1" t="s">
        <v>328</v>
      </c>
      <c r="H54" s="1" t="str">
        <f>IFERROR(VLOOKUP($G54,角色设定!$R:$S,2,0),"")</f>
        <v/>
      </c>
      <c r="I54" s="1" t="str">
        <f>IFERROR(VLOOKUP(H54,角色设定!$D$9:$E$15,2,0),"")</f>
        <v/>
      </c>
      <c r="J54" s="1">
        <f t="shared" si="20"/>
        <v>50</v>
      </c>
      <c r="K54" s="1">
        <f t="shared" si="20"/>
        <v>1</v>
      </c>
      <c r="L54" s="1">
        <v>197.01868342927153</v>
      </c>
      <c r="M54" s="1">
        <v>9334.809961979714</v>
      </c>
      <c r="N54" s="1">
        <v>11634.961619838869</v>
      </c>
      <c r="O54" s="8">
        <v>0.4</v>
      </c>
      <c r="P54" s="8">
        <v>1.5</v>
      </c>
      <c r="Q54" s="8">
        <v>1</v>
      </c>
      <c r="R54" s="8"/>
      <c r="S54" s="8">
        <v>10</v>
      </c>
      <c r="T54" s="1">
        <v>5</v>
      </c>
      <c r="U54" s="8">
        <v>2.4999999999999991</v>
      </c>
      <c r="V54" s="6">
        <v>0</v>
      </c>
      <c r="W54" s="6">
        <v>0</v>
      </c>
      <c r="X54" s="55">
        <v>0</v>
      </c>
      <c r="Y54" s="74"/>
    </row>
    <row r="55" spans="1:25" ht="14.25" customHeight="1" x14ac:dyDescent="0.2">
      <c r="C55" s="72">
        <f>COLUMN(X50)</f>
        <v>24</v>
      </c>
      <c r="D55" s="54">
        <f>IFERROR(MOD(F55+3-1,3)+1,"")</f>
        <v>3</v>
      </c>
      <c r="E55" s="1">
        <f>IFERROR(INT((F55-1)/3)+5,"")</f>
        <v>5</v>
      </c>
      <c r="F55" s="1">
        <f t="shared" si="23"/>
        <v>3</v>
      </c>
      <c r="G55" s="1" t="s">
        <v>327</v>
      </c>
      <c r="H55" s="1" t="str">
        <f>IFERROR(VLOOKUP($G55,角色设定!$R:$S,2,0),"")</f>
        <v/>
      </c>
      <c r="I55" s="1" t="str">
        <f>IFERROR(VLOOKUP(H55,角色设定!$D$9:$E$15,2,0),"")</f>
        <v/>
      </c>
      <c r="J55" s="1">
        <f t="shared" si="20"/>
        <v>50</v>
      </c>
      <c r="K55" s="1">
        <f t="shared" si="20"/>
        <v>1</v>
      </c>
      <c r="L55" s="1">
        <v>197.01868342927153</v>
      </c>
      <c r="M55" s="1">
        <v>9334.809961979714</v>
      </c>
      <c r="N55" s="1">
        <v>11634.961619838869</v>
      </c>
      <c r="O55" s="8">
        <v>0.4</v>
      </c>
      <c r="P55" s="8">
        <v>1.5</v>
      </c>
      <c r="Q55" s="8">
        <v>1</v>
      </c>
      <c r="R55" s="8"/>
      <c r="S55" s="8">
        <v>10</v>
      </c>
      <c r="T55" s="1">
        <v>5</v>
      </c>
      <c r="U55" s="8">
        <v>2.4999999999999991</v>
      </c>
      <c r="V55" s="6">
        <v>0</v>
      </c>
      <c r="W55" s="6">
        <v>0</v>
      </c>
      <c r="X55" s="55">
        <v>0</v>
      </c>
      <c r="Y55" s="74"/>
    </row>
    <row r="56" spans="1:25" ht="14.25" customHeight="1" x14ac:dyDescent="0.2">
      <c r="C56" s="72"/>
      <c r="D56" s="54">
        <f t="shared" ref="D56:D61" si="24">IFERROR(MOD(F56+3-1,3)+1,"")</f>
        <v>1</v>
      </c>
      <c r="E56" s="1">
        <f t="shared" ref="E56:E61" si="25">IFERROR(INT((F56-1)/3)+5,"")</f>
        <v>6</v>
      </c>
      <c r="F56" s="1">
        <f t="shared" si="23"/>
        <v>4</v>
      </c>
      <c r="G56" s="1" t="s">
        <v>329</v>
      </c>
      <c r="H56" s="1" t="str">
        <f>IFERROR(VLOOKUP($G56,角色设定!$R:$S,2,0),"")</f>
        <v/>
      </c>
      <c r="I56" s="1" t="str">
        <f>IFERROR(VLOOKUP(H56,角色设定!$D$9:$E$15,2,0),"")</f>
        <v/>
      </c>
      <c r="J56" s="1">
        <f t="shared" si="20"/>
        <v>50</v>
      </c>
      <c r="K56" s="1">
        <f t="shared" si="20"/>
        <v>1</v>
      </c>
      <c r="L56" s="1">
        <v>394.03736685854307</v>
      </c>
      <c r="M56" s="1">
        <v>18669.619923959428</v>
      </c>
      <c r="N56" s="1">
        <v>11634.961619838869</v>
      </c>
      <c r="O56" s="8">
        <v>0.4</v>
      </c>
      <c r="P56" s="8">
        <v>1.5</v>
      </c>
      <c r="Q56" s="8">
        <v>1</v>
      </c>
      <c r="R56" s="8"/>
      <c r="S56" s="8">
        <v>10</v>
      </c>
      <c r="T56" s="1">
        <v>5</v>
      </c>
      <c r="U56" s="8">
        <v>2.4999999999999991</v>
      </c>
      <c r="V56" s="6">
        <v>0</v>
      </c>
      <c r="W56" s="6">
        <v>0</v>
      </c>
      <c r="X56" s="55">
        <v>0</v>
      </c>
      <c r="Y56" s="74"/>
    </row>
    <row r="57" spans="1:25" ht="14.25" customHeight="1" x14ac:dyDescent="0.2">
      <c r="C57" s="72"/>
      <c r="D57" s="54" t="str">
        <f t="shared" si="24"/>
        <v/>
      </c>
      <c r="E57" s="1" t="str">
        <f t="shared" si="25"/>
        <v/>
      </c>
      <c r="F57" s="1" t="str">
        <f t="shared" si="23"/>
        <v/>
      </c>
      <c r="H57" s="1" t="str">
        <f>IFERROR(VLOOKUP($G57,角色设定!$R:$S,2,0),"")</f>
        <v/>
      </c>
      <c r="I57" s="1" t="str">
        <f>IFERROR(VLOOKUP(H57,角色设定!$D$9:$E$15,2,0),"")</f>
        <v/>
      </c>
      <c r="J57" s="1" t="str">
        <f t="shared" si="20"/>
        <v/>
      </c>
      <c r="K57" s="1" t="str">
        <f t="shared" si="20"/>
        <v/>
      </c>
      <c r="Y57" s="74"/>
    </row>
    <row r="58" spans="1:25" ht="14.25" customHeight="1" x14ac:dyDescent="0.2">
      <c r="C58" s="72"/>
      <c r="D58" s="54">
        <f t="shared" si="24"/>
        <v>3</v>
      </c>
      <c r="E58" s="1">
        <f t="shared" si="25"/>
        <v>6</v>
      </c>
      <c r="F58" s="1">
        <f t="shared" si="23"/>
        <v>6</v>
      </c>
      <c r="G58" s="1" t="s">
        <v>329</v>
      </c>
      <c r="H58" s="1" t="str">
        <f>IFERROR(VLOOKUP($G58,角色设定!$R:$S,2,0),"")</f>
        <v/>
      </c>
      <c r="I58" s="1" t="str">
        <f>IFERROR(VLOOKUP(H58,角色设定!$D$9:$E$15,2,0),"")</f>
        <v/>
      </c>
      <c r="J58" s="1">
        <f t="shared" si="20"/>
        <v>50</v>
      </c>
      <c r="K58" s="1">
        <f t="shared" si="20"/>
        <v>1</v>
      </c>
      <c r="L58" s="1">
        <v>394.03736685854307</v>
      </c>
      <c r="M58" s="1">
        <v>18669.619923959428</v>
      </c>
      <c r="N58" s="1">
        <v>11634.961619838869</v>
      </c>
      <c r="O58" s="8">
        <v>0.4</v>
      </c>
      <c r="P58" s="8">
        <v>1.5</v>
      </c>
      <c r="Q58" s="8">
        <v>1</v>
      </c>
      <c r="R58" s="8"/>
      <c r="S58" s="8">
        <v>10</v>
      </c>
      <c r="T58" s="1">
        <v>5</v>
      </c>
      <c r="U58" s="8">
        <v>2.4999999999999991</v>
      </c>
      <c r="V58" s="6">
        <v>0</v>
      </c>
      <c r="W58" s="6">
        <v>0</v>
      </c>
      <c r="X58" s="55">
        <v>0</v>
      </c>
      <c r="Y58" s="74"/>
    </row>
    <row r="59" spans="1:25" ht="14.25" customHeight="1" x14ac:dyDescent="0.2">
      <c r="C59" s="72"/>
      <c r="D59" s="54" t="str">
        <f t="shared" si="24"/>
        <v/>
      </c>
      <c r="E59" s="1" t="str">
        <f t="shared" si="25"/>
        <v/>
      </c>
      <c r="F59" s="1" t="str">
        <f t="shared" si="23"/>
        <v/>
      </c>
      <c r="H59" s="1" t="str">
        <f>IFERROR(VLOOKUP($G59,角色设定!$R:$S,2,0),"")</f>
        <v/>
      </c>
      <c r="I59" s="1" t="str">
        <f>IFERROR(VLOOKUP(H59,角色设定!$D$9:$E$15,2,0),"")</f>
        <v/>
      </c>
      <c r="J59" s="1" t="str">
        <f t="shared" si="20"/>
        <v/>
      </c>
      <c r="K59" s="1" t="str">
        <f t="shared" si="20"/>
        <v/>
      </c>
      <c r="Y59" s="74"/>
    </row>
    <row r="60" spans="1:25" ht="14.25" customHeight="1" x14ac:dyDescent="0.2">
      <c r="C60" s="72"/>
      <c r="D60" s="54">
        <f t="shared" si="24"/>
        <v>2</v>
      </c>
      <c r="E60" s="1">
        <f t="shared" si="25"/>
        <v>7</v>
      </c>
      <c r="F60" s="1">
        <f t="shared" si="23"/>
        <v>8</v>
      </c>
      <c r="G60" s="1" t="s">
        <v>329</v>
      </c>
      <c r="H60" s="1" t="str">
        <f>IFERROR(VLOOKUP($G60,角色设定!$R:$S,2,0),"")</f>
        <v/>
      </c>
      <c r="I60" s="1" t="str">
        <f>IFERROR(VLOOKUP(H60,角色设定!$D$9:$E$15,2,0),"")</f>
        <v/>
      </c>
      <c r="J60" s="1">
        <f t="shared" si="20"/>
        <v>50</v>
      </c>
      <c r="K60" s="1">
        <f t="shared" si="20"/>
        <v>1</v>
      </c>
      <c r="L60" s="1">
        <v>591.05605028781463</v>
      </c>
      <c r="M60" s="1">
        <v>28004.429885939146</v>
      </c>
      <c r="N60" s="1">
        <v>11634.961619838869</v>
      </c>
      <c r="O60" s="8">
        <v>0.4</v>
      </c>
      <c r="P60" s="8">
        <v>1.5</v>
      </c>
      <c r="Q60" s="8">
        <v>1</v>
      </c>
      <c r="R60" s="8"/>
      <c r="S60" s="8">
        <v>10</v>
      </c>
      <c r="T60" s="1">
        <v>5</v>
      </c>
      <c r="U60" s="8">
        <v>2.4999999999999991</v>
      </c>
      <c r="V60" s="6">
        <v>0</v>
      </c>
      <c r="W60" s="6">
        <v>0</v>
      </c>
      <c r="X60" s="55">
        <v>0</v>
      </c>
      <c r="Y60" s="74"/>
    </row>
    <row r="61" spans="1:25" ht="14.25" customHeight="1" x14ac:dyDescent="0.2">
      <c r="C61" s="72"/>
      <c r="D61" s="54" t="str">
        <f t="shared" si="24"/>
        <v/>
      </c>
      <c r="E61" s="1" t="str">
        <f t="shared" si="25"/>
        <v/>
      </c>
      <c r="F61" s="1" t="str">
        <f t="shared" si="23"/>
        <v/>
      </c>
      <c r="H61" s="1" t="str">
        <f>IFERROR(VLOOKUP($G61,角色设定!$R:$S,2,0),"")</f>
        <v/>
      </c>
      <c r="I61" s="1" t="str">
        <f>IFERROR(VLOOKUP(H61,角色设定!$D$9:$E$15,2,0),"")</f>
        <v/>
      </c>
      <c r="J61" s="1" t="str">
        <f t="shared" si="20"/>
        <v/>
      </c>
      <c r="K61" s="1" t="str">
        <f t="shared" si="20"/>
        <v/>
      </c>
      <c r="L61" s="6"/>
      <c r="O61" s="8"/>
      <c r="P61" s="8"/>
      <c r="Q61" s="8"/>
      <c r="R61" s="8"/>
      <c r="S61" s="8"/>
      <c r="U61" s="8"/>
      <c r="V61" s="6"/>
      <c r="W61" s="6"/>
      <c r="X61" s="55"/>
      <c r="Y61" s="74"/>
    </row>
    <row r="62" spans="1:25" ht="14.25" customHeight="1" x14ac:dyDescent="0.2"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</row>
  </sheetData>
  <mergeCells count="5">
    <mergeCell ref="A1:B2"/>
    <mergeCell ref="D4:F4"/>
    <mergeCell ref="H4:J4"/>
    <mergeCell ref="D36:F36"/>
    <mergeCell ref="H36:J3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基础模型(废）</vt:lpstr>
      <vt:lpstr>基础模型</vt:lpstr>
      <vt:lpstr>战斗公式</vt:lpstr>
      <vt:lpstr>角色设定</vt:lpstr>
      <vt:lpstr>角色成长</vt:lpstr>
      <vt:lpstr>角色品星</vt:lpstr>
      <vt:lpstr>角色升级</vt:lpstr>
      <vt:lpstr>技能模板</vt:lpstr>
      <vt:lpstr>角色技能</vt:lpstr>
      <vt:lpstr>怪物设定</vt:lpstr>
      <vt:lpstr>战斗模拟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2022-10-28T10:54:35Z</dcterms:created>
  <dcterms:modified xsi:type="dcterms:W3CDTF">2023-02-08T09:01:04Z</dcterms:modified>
</cp:coreProperties>
</file>
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91394F6C-1C40-4CB7-83DE-A59E4165453E}" xr6:coauthVersionLast="47" xr6:coauthVersionMax="47" xr10:uidLastSave="{00000000-0000-0000-0000-000000000000}"/>
  <bookViews>
    <workbookView xWindow="0" yWindow="-45" windowWidth="29040" windowHeight="15525" activeTab="9" xr2:uid="{2E0BB1D1-6406-4149-80A4-465E20523C8B}"/>
  </bookViews>
  <sheets>
    <sheet name="基础模型(废）" sheetId="2" r:id="rId1"/>
    <sheet name="基础模型" sheetId="3" r:id="rId2"/>
    <sheet name="战斗公式" sheetId="1" r:id="rId3"/>
    <sheet name="角色设定" sheetId="4" r:id="rId4"/>
    <sheet name="角色成长" sheetId="5" r:id="rId5"/>
    <sheet name="角色品星" sheetId="6" r:id="rId6"/>
    <sheet name="角色升级" sheetId="7" r:id="rId7"/>
    <sheet name="技能模板" sheetId="8" r:id="rId8"/>
    <sheet name="角色技能" sheetId="10" r:id="rId9"/>
    <sheet name="战斗模拟" sheetId="9" r:id="rId10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4" i="9" l="1"/>
  <c r="F55" i="9"/>
  <c r="F56" i="9"/>
  <c r="F57" i="9"/>
  <c r="F58" i="9"/>
  <c r="F59" i="9"/>
  <c r="F60" i="9"/>
  <c r="F61" i="9"/>
  <c r="E61" i="9" s="1"/>
  <c r="F43" i="9"/>
  <c r="F44" i="9"/>
  <c r="F45" i="9"/>
  <c r="F46" i="9"/>
  <c r="F47" i="9"/>
  <c r="F48" i="9"/>
  <c r="E48" i="9" s="1"/>
  <c r="F49" i="9"/>
  <c r="F50" i="9"/>
  <c r="N42" i="9"/>
  <c r="O42" i="9"/>
  <c r="P42" i="9"/>
  <c r="Q42" i="9"/>
  <c r="J50" i="9"/>
  <c r="K50" i="9"/>
  <c r="J43" i="9"/>
  <c r="K43" i="9"/>
  <c r="J44" i="9"/>
  <c r="K44" i="9"/>
  <c r="J45" i="9"/>
  <c r="K45" i="9"/>
  <c r="J46" i="9"/>
  <c r="K46" i="9"/>
  <c r="J47" i="9"/>
  <c r="K47" i="9"/>
  <c r="J48" i="9"/>
  <c r="P48" i="9" s="1"/>
  <c r="K48" i="9"/>
  <c r="X48" i="9" s="1"/>
  <c r="J49" i="9"/>
  <c r="K49" i="9"/>
  <c r="K42" i="9"/>
  <c r="J42" i="9"/>
  <c r="K54" i="9"/>
  <c r="K55" i="9"/>
  <c r="K56" i="9"/>
  <c r="K57" i="9"/>
  <c r="K58" i="9"/>
  <c r="K59" i="9"/>
  <c r="K60" i="9"/>
  <c r="K61" i="9"/>
  <c r="K53" i="9"/>
  <c r="J54" i="9"/>
  <c r="J55" i="9"/>
  <c r="J56" i="9"/>
  <c r="J57" i="9"/>
  <c r="J58" i="9"/>
  <c r="J59" i="9"/>
  <c r="J60" i="9"/>
  <c r="J61" i="9"/>
  <c r="J53" i="9"/>
  <c r="C55" i="9"/>
  <c r="C44" i="9"/>
  <c r="C20" i="9"/>
  <c r="C21" i="9"/>
  <c r="C22" i="9"/>
  <c r="C23" i="9"/>
  <c r="C12" i="9"/>
  <c r="H61" i="9"/>
  <c r="I61" i="9" s="1"/>
  <c r="H60" i="9"/>
  <c r="I60" i="9" s="1"/>
  <c r="E60" i="9"/>
  <c r="H59" i="9"/>
  <c r="I59" i="9" s="1"/>
  <c r="E59" i="9"/>
  <c r="H58" i="9"/>
  <c r="I58" i="9" s="1"/>
  <c r="E58" i="9"/>
  <c r="H57" i="9"/>
  <c r="I57" i="9" s="1"/>
  <c r="E57" i="9"/>
  <c r="H56" i="9"/>
  <c r="I56" i="9" s="1"/>
  <c r="E56" i="9"/>
  <c r="H55" i="9"/>
  <c r="I55" i="9" s="1"/>
  <c r="E55" i="9"/>
  <c r="I54" i="9"/>
  <c r="H54" i="9"/>
  <c r="D54" i="9"/>
  <c r="E54" i="9"/>
  <c r="C54" i="9"/>
  <c r="H53" i="9"/>
  <c r="C53" i="9"/>
  <c r="C52" i="9"/>
  <c r="F53" i="9" s="1"/>
  <c r="E53" i="9" s="1"/>
  <c r="T50" i="9"/>
  <c r="S50" i="9"/>
  <c r="R50" i="9"/>
  <c r="Q50" i="9"/>
  <c r="U50" i="9"/>
  <c r="P50" i="9"/>
  <c r="H50" i="9"/>
  <c r="I50" i="9" s="1"/>
  <c r="E50" i="9"/>
  <c r="D50" i="9"/>
  <c r="T49" i="9"/>
  <c r="S49" i="9"/>
  <c r="R49" i="9"/>
  <c r="U49" i="9"/>
  <c r="P49" i="9"/>
  <c r="H49" i="9"/>
  <c r="I49" i="9" s="1"/>
  <c r="E49" i="9"/>
  <c r="D49" i="9"/>
  <c r="T48" i="9"/>
  <c r="S48" i="9"/>
  <c r="R48" i="9"/>
  <c r="H48" i="9"/>
  <c r="I48" i="9" s="1"/>
  <c r="T47" i="9"/>
  <c r="S47" i="9"/>
  <c r="R47" i="9"/>
  <c r="U47" i="9"/>
  <c r="P47" i="9"/>
  <c r="H47" i="9"/>
  <c r="I47" i="9" s="1"/>
  <c r="E47" i="9"/>
  <c r="D47" i="9"/>
  <c r="T46" i="9"/>
  <c r="S46" i="9"/>
  <c r="R46" i="9"/>
  <c r="U46" i="9"/>
  <c r="P46" i="9"/>
  <c r="H46" i="9"/>
  <c r="I46" i="9" s="1"/>
  <c r="E46" i="9"/>
  <c r="D46" i="9"/>
  <c r="T45" i="9"/>
  <c r="S45" i="9"/>
  <c r="R45" i="9"/>
  <c r="O45" i="9"/>
  <c r="U45" i="9"/>
  <c r="P45" i="9"/>
  <c r="H45" i="9"/>
  <c r="I45" i="9" s="1"/>
  <c r="E45" i="9"/>
  <c r="D45" i="9"/>
  <c r="T44" i="9"/>
  <c r="S44" i="9"/>
  <c r="R44" i="9"/>
  <c r="U44" i="9"/>
  <c r="P44" i="9"/>
  <c r="H44" i="9"/>
  <c r="I44" i="9" s="1"/>
  <c r="E44" i="9"/>
  <c r="D44" i="9"/>
  <c r="T43" i="9"/>
  <c r="S43" i="9"/>
  <c r="R43" i="9"/>
  <c r="V43" i="9"/>
  <c r="O43" i="9"/>
  <c r="H43" i="9"/>
  <c r="E43" i="9"/>
  <c r="D43" i="9"/>
  <c r="C43" i="9"/>
  <c r="T42" i="9"/>
  <c r="S42" i="9"/>
  <c r="R42" i="9"/>
  <c r="W42" i="9"/>
  <c r="I42" i="9"/>
  <c r="H42" i="9"/>
  <c r="C42" i="9"/>
  <c r="C41" i="9"/>
  <c r="F42" i="9" s="1"/>
  <c r="H35" i="9"/>
  <c r="J34" i="9"/>
  <c r="G34" i="9"/>
  <c r="D34" i="9"/>
  <c r="H3" i="9"/>
  <c r="G2" i="9"/>
  <c r="T22" i="9"/>
  <c r="T23" i="9"/>
  <c r="T24" i="9"/>
  <c r="T25" i="9"/>
  <c r="T26" i="9"/>
  <c r="T27" i="9"/>
  <c r="T28" i="9"/>
  <c r="T21" i="9"/>
  <c r="S22" i="9"/>
  <c r="S23" i="9"/>
  <c r="S24" i="9"/>
  <c r="S25" i="9"/>
  <c r="S26" i="9"/>
  <c r="S27" i="9"/>
  <c r="S28" i="9"/>
  <c r="S29" i="9"/>
  <c r="S21" i="9"/>
  <c r="J2" i="9"/>
  <c r="D2" i="9"/>
  <c r="J22" i="9"/>
  <c r="K22" i="9"/>
  <c r="J23" i="9"/>
  <c r="K23" i="9"/>
  <c r="J24" i="9"/>
  <c r="K24" i="9"/>
  <c r="J25" i="9"/>
  <c r="K25" i="9"/>
  <c r="J26" i="9"/>
  <c r="K26" i="9"/>
  <c r="J27" i="9"/>
  <c r="K27" i="9"/>
  <c r="J28" i="9"/>
  <c r="K28" i="9"/>
  <c r="J29" i="9"/>
  <c r="K29" i="9"/>
  <c r="K21" i="9"/>
  <c r="J21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J18" i="9"/>
  <c r="K18" i="9"/>
  <c r="K10" i="9"/>
  <c r="J10" i="9"/>
  <c r="F22" i="9"/>
  <c r="D22" i="9" s="1"/>
  <c r="F25" i="9"/>
  <c r="D25" i="9" s="1"/>
  <c r="F27" i="9"/>
  <c r="E27" i="9" s="1"/>
  <c r="F29" i="9"/>
  <c r="E29" i="9" s="1"/>
  <c r="F11" i="9"/>
  <c r="E11" i="9" s="1"/>
  <c r="F14" i="9"/>
  <c r="D14" i="9" s="1"/>
  <c r="F16" i="9"/>
  <c r="D16" i="9" s="1"/>
  <c r="F18" i="9"/>
  <c r="D18" i="9" s="1"/>
  <c r="E14" i="9"/>
  <c r="E18" i="9"/>
  <c r="D11" i="9"/>
  <c r="T29" i="9"/>
  <c r="T11" i="9"/>
  <c r="T12" i="9"/>
  <c r="T13" i="9"/>
  <c r="T14" i="9"/>
  <c r="T15" i="9"/>
  <c r="T16" i="9"/>
  <c r="T17" i="9"/>
  <c r="T18" i="9"/>
  <c r="T10" i="9"/>
  <c r="H6" i="10"/>
  <c r="H7" i="10"/>
  <c r="H8" i="10"/>
  <c r="H9" i="10"/>
  <c r="H10" i="10"/>
  <c r="H11" i="10"/>
  <c r="H12" i="10"/>
  <c r="H13" i="10"/>
  <c r="H14" i="10"/>
  <c r="H15" i="10"/>
  <c r="H16" i="10"/>
  <c r="H5" i="10"/>
  <c r="I15" i="8"/>
  <c r="I16" i="8"/>
  <c r="I17" i="8"/>
  <c r="I18" i="8"/>
  <c r="I19" i="8"/>
  <c r="I14" i="8"/>
  <c r="F21" i="9"/>
  <c r="D21" i="9" s="1"/>
  <c r="C11" i="9"/>
  <c r="C9" i="9"/>
  <c r="F10" i="9" s="1"/>
  <c r="C10" i="9"/>
  <c r="H22" i="9"/>
  <c r="I22" i="9" s="1"/>
  <c r="H23" i="9"/>
  <c r="H24" i="9"/>
  <c r="H25" i="9"/>
  <c r="H26" i="9"/>
  <c r="I26" i="9" s="1"/>
  <c r="H27" i="9"/>
  <c r="H28" i="9"/>
  <c r="I28" i="9" s="1"/>
  <c r="H29" i="9"/>
  <c r="H16" i="9"/>
  <c r="S16" i="9"/>
  <c r="H17" i="9"/>
  <c r="S17" i="9"/>
  <c r="H18" i="9"/>
  <c r="S18" i="9"/>
  <c r="S15" i="9"/>
  <c r="S11" i="9"/>
  <c r="S12" i="9"/>
  <c r="S13" i="9"/>
  <c r="S14" i="9"/>
  <c r="S10" i="9"/>
  <c r="H21" i="9"/>
  <c r="I21" i="9" s="1"/>
  <c r="H11" i="9"/>
  <c r="I11" i="9" s="1"/>
  <c r="H12" i="9"/>
  <c r="I12" i="9" s="1"/>
  <c r="H13" i="9"/>
  <c r="I13" i="9" s="1"/>
  <c r="H14" i="9"/>
  <c r="I14" i="9" s="1"/>
  <c r="H15" i="9"/>
  <c r="I15" i="9" s="1"/>
  <c r="H10" i="9"/>
  <c r="I10" i="9" s="1"/>
  <c r="D48" i="9" l="1"/>
  <c r="E42" i="9"/>
  <c r="D42" i="9"/>
  <c r="L42" i="9"/>
  <c r="U48" i="9"/>
  <c r="W46" i="9"/>
  <c r="X46" i="9"/>
  <c r="V46" i="9"/>
  <c r="X44" i="9"/>
  <c r="W44" i="9"/>
  <c r="X42" i="9"/>
  <c r="W50" i="9"/>
  <c r="V47" i="9"/>
  <c r="X47" i="9"/>
  <c r="U42" i="9"/>
  <c r="W45" i="9"/>
  <c r="V42" i="9"/>
  <c r="V45" i="9"/>
  <c r="X45" i="9"/>
  <c r="W47" i="9"/>
  <c r="V44" i="9"/>
  <c r="V48" i="9"/>
  <c r="V50" i="9"/>
  <c r="W43" i="9"/>
  <c r="W48" i="9"/>
  <c r="Q46" i="9"/>
  <c r="O48" i="9"/>
  <c r="M42" i="9"/>
  <c r="P43" i="9"/>
  <c r="Q48" i="9"/>
  <c r="Q45" i="9"/>
  <c r="L45" i="9" s="1"/>
  <c r="O50" i="9"/>
  <c r="L50" i="9" s="1"/>
  <c r="Q49" i="9"/>
  <c r="N43" i="9"/>
  <c r="M43" i="9" s="1"/>
  <c r="Q43" i="9"/>
  <c r="L43" i="9" s="1"/>
  <c r="O47" i="9"/>
  <c r="O44" i="9"/>
  <c r="Q47" i="9"/>
  <c r="L47" i="9" s="1"/>
  <c r="O49" i="9"/>
  <c r="O46" i="9"/>
  <c r="L46" i="9" s="1"/>
  <c r="Q44" i="9"/>
  <c r="L44" i="9" s="1"/>
  <c r="I53" i="9"/>
  <c r="L48" i="9"/>
  <c r="W49" i="9"/>
  <c r="D55" i="9"/>
  <c r="D56" i="9"/>
  <c r="D57" i="9"/>
  <c r="D58" i="9"/>
  <c r="D59" i="9"/>
  <c r="D60" i="9"/>
  <c r="D61" i="9"/>
  <c r="X49" i="9"/>
  <c r="X50" i="9"/>
  <c r="I43" i="9"/>
  <c r="N44" i="9"/>
  <c r="M44" i="9" s="1"/>
  <c r="N45" i="9"/>
  <c r="M45" i="9" s="1"/>
  <c r="N46" i="9"/>
  <c r="M46" i="9" s="1"/>
  <c r="N47" i="9"/>
  <c r="M47" i="9" s="1"/>
  <c r="N48" i="9"/>
  <c r="M48" i="9" s="1"/>
  <c r="N49" i="9"/>
  <c r="M49" i="9" s="1"/>
  <c r="N50" i="9"/>
  <c r="M50" i="9" s="1"/>
  <c r="X43" i="9"/>
  <c r="U43" i="9"/>
  <c r="V49" i="9"/>
  <c r="D53" i="9"/>
  <c r="F15" i="9"/>
  <c r="F12" i="9"/>
  <c r="E16" i="9"/>
  <c r="F17" i="9"/>
  <c r="F13" i="9"/>
  <c r="E22" i="9"/>
  <c r="E21" i="9"/>
  <c r="E25" i="9"/>
  <c r="F28" i="9"/>
  <c r="F26" i="9"/>
  <c r="D29" i="9"/>
  <c r="D27" i="9"/>
  <c r="U29" i="9"/>
  <c r="U25" i="9"/>
  <c r="U27" i="9"/>
  <c r="W24" i="9"/>
  <c r="U18" i="9"/>
  <c r="X16" i="9"/>
  <c r="F24" i="9"/>
  <c r="F23" i="9"/>
  <c r="D10" i="9"/>
  <c r="E10" i="9"/>
  <c r="I25" i="9"/>
  <c r="U16" i="9"/>
  <c r="I27" i="9"/>
  <c r="W15" i="9"/>
  <c r="W14" i="9"/>
  <c r="I16" i="9"/>
  <c r="I29" i="9"/>
  <c r="V14" i="9"/>
  <c r="W16" i="9"/>
  <c r="V16" i="9"/>
  <c r="V15" i="9"/>
  <c r="X14" i="9"/>
  <c r="X18" i="9"/>
  <c r="I18" i="9"/>
  <c r="W18" i="9"/>
  <c r="X25" i="9"/>
  <c r="V18" i="9"/>
  <c r="W25" i="9"/>
  <c r="V25" i="9"/>
  <c r="I23" i="9"/>
  <c r="X22" i="9"/>
  <c r="W22" i="9"/>
  <c r="V22" i="9"/>
  <c r="V24" i="9"/>
  <c r="U22" i="9"/>
  <c r="X15" i="9"/>
  <c r="V29" i="9"/>
  <c r="W29" i="9"/>
  <c r="V26" i="9"/>
  <c r="X29" i="9"/>
  <c r="X27" i="9"/>
  <c r="V27" i="9"/>
  <c r="X24" i="9"/>
  <c r="X26" i="9"/>
  <c r="I24" i="9"/>
  <c r="W26" i="9"/>
  <c r="W27" i="9"/>
  <c r="I17" i="9"/>
  <c r="X13" i="9"/>
  <c r="W13" i="9"/>
  <c r="U14" i="9"/>
  <c r="V13" i="9"/>
  <c r="X11" i="9"/>
  <c r="V11" i="9"/>
  <c r="U11" i="9"/>
  <c r="W11" i="9"/>
  <c r="M19" i="8"/>
  <c r="L14" i="8"/>
  <c r="K14" i="8"/>
  <c r="M14" i="8"/>
  <c r="E6" i="10"/>
  <c r="F6" i="10" s="1"/>
  <c r="E7" i="10"/>
  <c r="F7" i="10" s="1"/>
  <c r="E8" i="10"/>
  <c r="E9" i="10"/>
  <c r="E10" i="10"/>
  <c r="E11" i="10"/>
  <c r="E12" i="10"/>
  <c r="E13" i="10"/>
  <c r="E14" i="10"/>
  <c r="E15" i="10"/>
  <c r="E16" i="10"/>
  <c r="E5" i="10"/>
  <c r="K5" i="10" s="1"/>
  <c r="F29" i="8"/>
  <c r="E29" i="8"/>
  <c r="E28" i="8"/>
  <c r="E27" i="8"/>
  <c r="E24" i="8"/>
  <c r="E26" i="8"/>
  <c r="E25" i="8"/>
  <c r="F7" i="4"/>
  <c r="F6" i="4"/>
  <c r="F5" i="4"/>
  <c r="E7" i="4"/>
  <c r="E6" i="4"/>
  <c r="E5" i="4"/>
  <c r="L49" i="9" l="1"/>
  <c r="A41" i="9"/>
  <c r="A52" i="9"/>
  <c r="D13" i="9"/>
  <c r="E13" i="9"/>
  <c r="D17" i="9"/>
  <c r="E17" i="9"/>
  <c r="E12" i="9"/>
  <c r="D12" i="9"/>
  <c r="D15" i="9"/>
  <c r="E15" i="9"/>
  <c r="D23" i="9"/>
  <c r="E23" i="9"/>
  <c r="E28" i="9"/>
  <c r="D28" i="9"/>
  <c r="E26" i="9"/>
  <c r="D26" i="9"/>
  <c r="E24" i="9"/>
  <c r="D24" i="9"/>
  <c r="F14" i="10"/>
  <c r="F13" i="10"/>
  <c r="F11" i="10"/>
  <c r="F9" i="10"/>
  <c r="F12" i="10"/>
  <c r="F16" i="10"/>
  <c r="L16" i="10"/>
  <c r="F15" i="10"/>
  <c r="L15" i="10"/>
  <c r="F10" i="10"/>
  <c r="F8" i="10"/>
  <c r="K8" i="10"/>
  <c r="K7" i="10"/>
  <c r="K6" i="10"/>
  <c r="F5" i="10"/>
  <c r="H23" i="2"/>
  <c r="H24" i="2"/>
  <c r="G23" i="2"/>
  <c r="E18" i="3"/>
  <c r="F18" i="3"/>
  <c r="F24" i="3" s="1"/>
  <c r="G18" i="3"/>
  <c r="E19" i="3"/>
  <c r="F19" i="3"/>
  <c r="G19" i="3"/>
  <c r="E20" i="3"/>
  <c r="F20" i="3"/>
  <c r="G20" i="3"/>
  <c r="E21" i="3"/>
  <c r="E25" i="3" s="1"/>
  <c r="F21" i="3"/>
  <c r="G21" i="3"/>
  <c r="G24" i="3" s="1"/>
  <c r="F17" i="3"/>
  <c r="G17" i="3"/>
  <c r="E17" i="3"/>
  <c r="E23" i="2"/>
  <c r="N6" i="8"/>
  <c r="N7" i="8"/>
  <c r="N8" i="8"/>
  <c r="N9" i="8"/>
  <c r="N10" i="8"/>
  <c r="N5" i="8"/>
  <c r="K6" i="8"/>
  <c r="L6" i="8"/>
  <c r="M6" i="8"/>
  <c r="K7" i="8"/>
  <c r="L7" i="8"/>
  <c r="M7" i="8"/>
  <c r="K8" i="8"/>
  <c r="L8" i="8"/>
  <c r="M8" i="8"/>
  <c r="K9" i="8"/>
  <c r="L9" i="8"/>
  <c r="M9" i="8"/>
  <c r="K10" i="8"/>
  <c r="L10" i="8"/>
  <c r="M10" i="8"/>
  <c r="L5" i="8"/>
  <c r="M5" i="8"/>
  <c r="K5" i="8"/>
  <c r="F6" i="8"/>
  <c r="G6" i="8"/>
  <c r="P6" i="8" s="1"/>
  <c r="F7" i="8"/>
  <c r="G7" i="8"/>
  <c r="P7" i="8" s="1"/>
  <c r="F8" i="8"/>
  <c r="G8" i="8"/>
  <c r="Q8" i="8" s="1"/>
  <c r="F9" i="8"/>
  <c r="G9" i="8"/>
  <c r="Q9" i="8" s="1"/>
  <c r="F10" i="8"/>
  <c r="G10" i="8"/>
  <c r="Q10" i="8" s="1"/>
  <c r="G5" i="8"/>
  <c r="F5" i="8"/>
  <c r="J28" i="4"/>
  <c r="Q6" i="7"/>
  <c r="R6" i="7"/>
  <c r="Q7" i="7"/>
  <c r="R7" i="7"/>
  <c r="Q8" i="7"/>
  <c r="R8" i="7"/>
  <c r="Q9" i="7"/>
  <c r="R9" i="7"/>
  <c r="Q10" i="7"/>
  <c r="R10" i="7"/>
  <c r="Q11" i="7"/>
  <c r="R11" i="7"/>
  <c r="Q12" i="7"/>
  <c r="R12" i="7"/>
  <c r="Q13" i="7"/>
  <c r="R13" i="7"/>
  <c r="Q14" i="7"/>
  <c r="R14" i="7"/>
  <c r="Q15" i="7"/>
  <c r="R15" i="7"/>
  <c r="Q16" i="7"/>
  <c r="R16" i="7"/>
  <c r="Q17" i="7"/>
  <c r="R17" i="7"/>
  <c r="Q18" i="7"/>
  <c r="R18" i="7"/>
  <c r="Q19" i="7"/>
  <c r="R19" i="7"/>
  <c r="Q20" i="7"/>
  <c r="R20" i="7"/>
  <c r="Q21" i="7"/>
  <c r="R21" i="7"/>
  <c r="Q22" i="7"/>
  <c r="R22" i="7"/>
  <c r="Q23" i="7"/>
  <c r="R23" i="7"/>
  <c r="Q24" i="7"/>
  <c r="R24" i="7"/>
  <c r="Q25" i="7"/>
  <c r="R25" i="7"/>
  <c r="Q26" i="7"/>
  <c r="R26" i="7"/>
  <c r="Q27" i="7"/>
  <c r="R27" i="7"/>
  <c r="Q28" i="7"/>
  <c r="R28" i="7"/>
  <c r="Q29" i="7"/>
  <c r="R29" i="7"/>
  <c r="Q30" i="7"/>
  <c r="R30" i="7"/>
  <c r="Q31" i="7"/>
  <c r="R31" i="7"/>
  <c r="Q32" i="7"/>
  <c r="R32" i="7"/>
  <c r="Q33" i="7"/>
  <c r="R33" i="7"/>
  <c r="Q34" i="7"/>
  <c r="R34" i="7"/>
  <c r="Q35" i="7"/>
  <c r="R35" i="7"/>
  <c r="Q36" i="7"/>
  <c r="R36" i="7"/>
  <c r="Q37" i="7"/>
  <c r="R37" i="7"/>
  <c r="Q38" i="7"/>
  <c r="R38" i="7"/>
  <c r="Q39" i="7"/>
  <c r="R39" i="7"/>
  <c r="Q40" i="7"/>
  <c r="R40" i="7"/>
  <c r="Q41" i="7"/>
  <c r="R41" i="7"/>
  <c r="Q42" i="7"/>
  <c r="R42" i="7"/>
  <c r="Q43" i="7"/>
  <c r="R43" i="7"/>
  <c r="Q44" i="7"/>
  <c r="R44" i="7"/>
  <c r="Q45" i="7"/>
  <c r="R45" i="7"/>
  <c r="Q46" i="7"/>
  <c r="R46" i="7"/>
  <c r="Q47" i="7"/>
  <c r="R47" i="7"/>
  <c r="Q48" i="7"/>
  <c r="R48" i="7"/>
  <c r="Q49" i="7"/>
  <c r="R49" i="7"/>
  <c r="Q50" i="7"/>
  <c r="R50" i="7"/>
  <c r="Q51" i="7"/>
  <c r="R51" i="7"/>
  <c r="Q52" i="7"/>
  <c r="R52" i="7"/>
  <c r="Q53" i="7"/>
  <c r="R53" i="7"/>
  <c r="Q54" i="7"/>
  <c r="R54" i="7"/>
  <c r="Q55" i="7"/>
  <c r="R55" i="7"/>
  <c r="Q56" i="7"/>
  <c r="R56" i="7"/>
  <c r="Q57" i="7"/>
  <c r="R57" i="7"/>
  <c r="Q58" i="7"/>
  <c r="R58" i="7"/>
  <c r="Q59" i="7"/>
  <c r="R59" i="7"/>
  <c r="Q60" i="7"/>
  <c r="R60" i="7"/>
  <c r="Q61" i="7"/>
  <c r="R61" i="7"/>
  <c r="Q62" i="7"/>
  <c r="R62" i="7"/>
  <c r="Q63" i="7"/>
  <c r="R63" i="7"/>
  <c r="Q64" i="7"/>
  <c r="R64" i="7"/>
  <c r="Q65" i="7"/>
  <c r="R65" i="7"/>
  <c r="Q66" i="7"/>
  <c r="R66" i="7"/>
  <c r="Q67" i="7"/>
  <c r="R67" i="7"/>
  <c r="Q68" i="7"/>
  <c r="R68" i="7"/>
  <c r="Q69" i="7"/>
  <c r="R69" i="7"/>
  <c r="Q70" i="7"/>
  <c r="R70" i="7"/>
  <c r="Q71" i="7"/>
  <c r="R71" i="7"/>
  <c r="Q72" i="7"/>
  <c r="R72" i="7"/>
  <c r="Q73" i="7"/>
  <c r="R73" i="7"/>
  <c r="Q74" i="7"/>
  <c r="R74" i="7"/>
  <c r="Q75" i="7"/>
  <c r="R75" i="7"/>
  <c r="Q76" i="7"/>
  <c r="R76" i="7"/>
  <c r="Q77" i="7"/>
  <c r="R77" i="7"/>
  <c r="Q78" i="7"/>
  <c r="R78" i="7"/>
  <c r="Q79" i="7"/>
  <c r="R79" i="7"/>
  <c r="Q80" i="7"/>
  <c r="R80" i="7"/>
  <c r="Q81" i="7"/>
  <c r="R81" i="7"/>
  <c r="Q82" i="7"/>
  <c r="R82" i="7"/>
  <c r="Q83" i="7"/>
  <c r="R83" i="7"/>
  <c r="Q84" i="7"/>
  <c r="R84" i="7"/>
  <c r="Q85" i="7"/>
  <c r="R85" i="7"/>
  <c r="Q86" i="7"/>
  <c r="R86" i="7"/>
  <c r="Q87" i="7"/>
  <c r="R87" i="7"/>
  <c r="Q88" i="7"/>
  <c r="R88" i="7"/>
  <c r="Q89" i="7"/>
  <c r="R89" i="7"/>
  <c r="Q90" i="7"/>
  <c r="R90" i="7"/>
  <c r="Q91" i="7"/>
  <c r="R91" i="7"/>
  <c r="Q92" i="7"/>
  <c r="R92" i="7"/>
  <c r="Q93" i="7"/>
  <c r="R93" i="7"/>
  <c r="Q94" i="7"/>
  <c r="R94" i="7"/>
  <c r="Q95" i="7"/>
  <c r="R95" i="7"/>
  <c r="Q96" i="7"/>
  <c r="R96" i="7"/>
  <c r="Q97" i="7"/>
  <c r="R97" i="7"/>
  <c r="Q98" i="7"/>
  <c r="R98" i="7"/>
  <c r="Q99" i="7"/>
  <c r="R99" i="7"/>
  <c r="Q100" i="7"/>
  <c r="R100" i="7"/>
  <c r="Q101" i="7"/>
  <c r="R101" i="7"/>
  <c r="Q102" i="7"/>
  <c r="R102" i="7"/>
  <c r="Q103" i="7"/>
  <c r="R103" i="7"/>
  <c r="Q104" i="7"/>
  <c r="R104" i="7"/>
  <c r="R5" i="7"/>
  <c r="Q5" i="7"/>
  <c r="E5" i="6"/>
  <c r="E6" i="6"/>
  <c r="E7" i="6"/>
  <c r="E8" i="6"/>
  <c r="E9" i="6"/>
  <c r="E10" i="6"/>
  <c r="E11" i="6"/>
  <c r="E12" i="6"/>
  <c r="E13" i="6"/>
  <c r="E14" i="6"/>
  <c r="E4" i="6"/>
  <c r="J29" i="4"/>
  <c r="J30" i="4"/>
  <c r="J31" i="4"/>
  <c r="J32" i="4"/>
  <c r="J33" i="4"/>
  <c r="X16" i="5"/>
  <c r="W16" i="5"/>
  <c r="Z2" i="7"/>
  <c r="Y2" i="7"/>
  <c r="O3" i="7"/>
  <c r="AD13" i="5"/>
  <c r="AA11" i="4"/>
  <c r="AJ11" i="4" s="1"/>
  <c r="AA12" i="4"/>
  <c r="AJ12" i="4" s="1"/>
  <c r="AA13" i="4"/>
  <c r="AJ13" i="4" s="1"/>
  <c r="AA14" i="4"/>
  <c r="AJ14" i="4" s="1"/>
  <c r="AA15" i="4"/>
  <c r="AJ15" i="4" s="1"/>
  <c r="AA16" i="4"/>
  <c r="AJ16" i="4" s="1"/>
  <c r="AA17" i="4"/>
  <c r="AJ17" i="4" s="1"/>
  <c r="AA18" i="4"/>
  <c r="AJ18" i="4" s="1"/>
  <c r="AA19" i="4"/>
  <c r="AJ19" i="4" s="1"/>
  <c r="AA20" i="4"/>
  <c r="AJ20" i="4" s="1"/>
  <c r="AA21" i="4"/>
  <c r="AJ21" i="4" s="1"/>
  <c r="AA10" i="4"/>
  <c r="AJ10" i="4" s="1"/>
  <c r="AB11" i="4"/>
  <c r="AB12" i="4"/>
  <c r="AB13" i="4"/>
  <c r="AB14" i="4"/>
  <c r="AB15" i="4"/>
  <c r="AB16" i="4"/>
  <c r="AB17" i="4"/>
  <c r="AB18" i="4"/>
  <c r="AB19" i="4"/>
  <c r="AB20" i="4"/>
  <c r="AB21" i="4"/>
  <c r="AB10" i="4"/>
  <c r="H6" i="5"/>
  <c r="I6" i="5" s="1"/>
  <c r="H7" i="5"/>
  <c r="H5" i="5"/>
  <c r="O8" i="5"/>
  <c r="O14" i="5" s="1"/>
  <c r="H16" i="4"/>
  <c r="I26" i="4" s="1"/>
  <c r="I28" i="4" s="1"/>
  <c r="O28" i="4"/>
  <c r="O29" i="4"/>
  <c r="O30" i="4"/>
  <c r="O31" i="4"/>
  <c r="O32" i="4"/>
  <c r="O27" i="4"/>
  <c r="J15" i="7" l="1"/>
  <c r="J5" i="7"/>
  <c r="AB5" i="7" s="1"/>
  <c r="J8" i="7"/>
  <c r="J14" i="7"/>
  <c r="J12" i="7"/>
  <c r="J7" i="7"/>
  <c r="J13" i="7"/>
  <c r="J11" i="7"/>
  <c r="J10" i="7"/>
  <c r="J9" i="7"/>
  <c r="J6" i="7"/>
  <c r="P18" i="9"/>
  <c r="Q18" i="9"/>
  <c r="N21" i="9"/>
  <c r="M21" i="9" s="1"/>
  <c r="N24" i="9"/>
  <c r="M24" i="9" s="1"/>
  <c r="R18" i="9"/>
  <c r="N11" i="9"/>
  <c r="M11" i="9" s="1"/>
  <c r="R26" i="9"/>
  <c r="N16" i="9"/>
  <c r="M16" i="9" s="1"/>
  <c r="N12" i="9"/>
  <c r="M12" i="9" s="1"/>
  <c r="O14" i="9"/>
  <c r="O16" i="9"/>
  <c r="N13" i="9"/>
  <c r="M13" i="9" s="1"/>
  <c r="P14" i="9"/>
  <c r="P16" i="9"/>
  <c r="N14" i="9"/>
  <c r="M14" i="9" s="1"/>
  <c r="Q14" i="9"/>
  <c r="R24" i="9"/>
  <c r="Q16" i="9"/>
  <c r="N27" i="9"/>
  <c r="M27" i="9" s="1"/>
  <c r="N29" i="9"/>
  <c r="M29" i="9" s="1"/>
  <c r="R16" i="9"/>
  <c r="V18" i="5"/>
  <c r="U18" i="5" s="1"/>
  <c r="R25" i="9"/>
  <c r="R23" i="9"/>
  <c r="N26" i="9"/>
  <c r="M26" i="9" s="1"/>
  <c r="N22" i="9"/>
  <c r="M22" i="9" s="1"/>
  <c r="O27" i="9"/>
  <c r="O29" i="9"/>
  <c r="N10" i="9"/>
  <c r="M10" i="9" s="1"/>
  <c r="P27" i="9"/>
  <c r="P29" i="9"/>
  <c r="R11" i="9"/>
  <c r="Q27" i="9"/>
  <c r="R12" i="9"/>
  <c r="N25" i="9"/>
  <c r="M25" i="9" s="1"/>
  <c r="R29" i="9"/>
  <c r="O25" i="9"/>
  <c r="N15" i="9"/>
  <c r="M15" i="9" s="1"/>
  <c r="Q25" i="9"/>
  <c r="N28" i="9"/>
  <c r="M28" i="9" s="1"/>
  <c r="R17" i="9"/>
  <c r="P11" i="9"/>
  <c r="R21" i="9"/>
  <c r="O18" i="9"/>
  <c r="O22" i="9"/>
  <c r="P22" i="9"/>
  <c r="Q29" i="9"/>
  <c r="Q22" i="9"/>
  <c r="R27" i="9"/>
  <c r="N17" i="9"/>
  <c r="M17" i="9" s="1"/>
  <c r="R13" i="9"/>
  <c r="R22" i="9"/>
  <c r="R14" i="9"/>
  <c r="P25" i="9"/>
  <c r="R10" i="9"/>
  <c r="O11" i="9"/>
  <c r="N23" i="9"/>
  <c r="M23" i="9" s="1"/>
  <c r="R15" i="9"/>
  <c r="Q11" i="9"/>
  <c r="N18" i="9"/>
  <c r="M18" i="9" s="1"/>
  <c r="R28" i="9"/>
  <c r="F23" i="3"/>
  <c r="H25" i="3"/>
  <c r="E23" i="3"/>
  <c r="F25" i="3"/>
  <c r="E24" i="3"/>
  <c r="H24" i="3" s="1"/>
  <c r="G23" i="3"/>
  <c r="S9" i="8"/>
  <c r="S8" i="8"/>
  <c r="S7" i="8"/>
  <c r="Q7" i="8"/>
  <c r="Q6" i="8"/>
  <c r="P5" i="8"/>
  <c r="P10" i="8"/>
  <c r="P9" i="8"/>
  <c r="P8" i="8"/>
  <c r="Q5" i="8"/>
  <c r="AB55" i="7"/>
  <c r="AB41" i="7"/>
  <c r="AB102" i="7"/>
  <c r="AB83" i="7"/>
  <c r="AB101" i="7"/>
  <c r="AB33" i="7"/>
  <c r="AB60" i="7"/>
  <c r="AB8" i="7"/>
  <c r="AB104" i="7"/>
  <c r="AB96" i="7"/>
  <c r="AB85" i="7"/>
  <c r="AB13" i="7"/>
  <c r="AB100" i="7"/>
  <c r="AB88" i="7"/>
  <c r="AB78" i="7"/>
  <c r="AB52" i="7"/>
  <c r="AB24" i="7"/>
  <c r="AB97" i="7"/>
  <c r="AB87" i="7"/>
  <c r="AB49" i="7"/>
  <c r="AB94" i="7"/>
  <c r="AB77" i="7"/>
  <c r="AB69" i="7"/>
  <c r="AB58" i="7"/>
  <c r="AB35" i="7"/>
  <c r="AB16" i="7"/>
  <c r="AB99" i="7"/>
  <c r="AB91" i="7"/>
  <c r="AB86" i="7"/>
  <c r="AB80" i="7"/>
  <c r="AB75" i="7"/>
  <c r="AB66" i="7"/>
  <c r="AB44" i="7"/>
  <c r="AB103" i="7"/>
  <c r="AB90" i="7"/>
  <c r="AB82" i="7"/>
  <c r="AB79" i="7"/>
  <c r="AB74" i="7"/>
  <c r="AB71" i="7"/>
  <c r="AB63" i="7"/>
  <c r="AB54" i="7"/>
  <c r="AB46" i="7"/>
  <c r="AB43" i="7"/>
  <c r="AB38" i="7"/>
  <c r="AB29" i="7"/>
  <c r="AB27" i="7"/>
  <c r="AB18" i="7"/>
  <c r="AB10" i="7"/>
  <c r="AB7" i="7"/>
  <c r="AB50" i="7"/>
  <c r="AB47" i="7"/>
  <c r="AB39" i="7"/>
  <c r="AB30" i="7"/>
  <c r="AB22" i="7"/>
  <c r="AB19" i="7"/>
  <c r="AB14" i="7"/>
  <c r="AB92" i="7"/>
  <c r="AB89" i="7"/>
  <c r="AB81" i="7"/>
  <c r="AB72" i="7"/>
  <c r="AB64" i="7"/>
  <c r="AB61" i="7"/>
  <c r="AB56" i="7"/>
  <c r="AB53" i="7"/>
  <c r="AB45" i="7"/>
  <c r="AB36" i="7"/>
  <c r="AB28" i="7"/>
  <c r="AB25" i="7"/>
  <c r="AB20" i="7"/>
  <c r="AB11" i="7"/>
  <c r="AB9" i="7"/>
  <c r="AB70" i="7"/>
  <c r="AB67" i="7"/>
  <c r="AB62" i="7"/>
  <c r="AB59" i="7"/>
  <c r="AB51" i="7"/>
  <c r="AB42" i="7"/>
  <c r="AB34" i="7"/>
  <c r="AB31" i="7"/>
  <c r="AB26" i="7"/>
  <c r="AB17" i="7"/>
  <c r="AB15" i="7"/>
  <c r="AB6" i="7"/>
  <c r="AB98" i="7"/>
  <c r="AB95" i="7"/>
  <c r="AB93" i="7"/>
  <c r="AB84" i="7"/>
  <c r="AB76" i="7"/>
  <c r="AB73" i="7"/>
  <c r="AB68" i="7"/>
  <c r="AB65" i="7"/>
  <c r="AB57" i="7"/>
  <c r="AB48" i="7"/>
  <c r="AB40" i="7"/>
  <c r="AB37" i="7"/>
  <c r="AB32" i="7"/>
  <c r="AB23" i="7"/>
  <c r="AB21" i="7"/>
  <c r="AB12" i="7"/>
  <c r="I7" i="5"/>
  <c r="Z20" i="5"/>
  <c r="Z23" i="5"/>
  <c r="Z27" i="5"/>
  <c r="Z30" i="5"/>
  <c r="Z34" i="5"/>
  <c r="Z44" i="5"/>
  <c r="Z47" i="5"/>
  <c r="Z62" i="5"/>
  <c r="Z65" i="5"/>
  <c r="Z73" i="5"/>
  <c r="Z76" i="5"/>
  <c r="Z80" i="5"/>
  <c r="Z83" i="5"/>
  <c r="Z87" i="5"/>
  <c r="Z90" i="5"/>
  <c r="Z101" i="5"/>
  <c r="Z105" i="5"/>
  <c r="Z109" i="5"/>
  <c r="Z112" i="5"/>
  <c r="Z19" i="5"/>
  <c r="Z22" i="5"/>
  <c r="Z26" i="5"/>
  <c r="Z29" i="5"/>
  <c r="Z33" i="5"/>
  <c r="Z36" i="5"/>
  <c r="Z43" i="5"/>
  <c r="Z46" i="5"/>
  <c r="Z50" i="5"/>
  <c r="Z54" i="5"/>
  <c r="Z61" i="5"/>
  <c r="Z64" i="5"/>
  <c r="Z68" i="5"/>
  <c r="Z75" i="5"/>
  <c r="Z79" i="5"/>
  <c r="Z82" i="5"/>
  <c r="Z89" i="5"/>
  <c r="Z96" i="5"/>
  <c r="Z100" i="5"/>
  <c r="Z107" i="5"/>
  <c r="Z111" i="5"/>
  <c r="Z32" i="5"/>
  <c r="Z39" i="5"/>
  <c r="Z42" i="5"/>
  <c r="Z53" i="5"/>
  <c r="Z57" i="5"/>
  <c r="Z60" i="5"/>
  <c r="Z71" i="5"/>
  <c r="Z78" i="5"/>
  <c r="Z85" i="5"/>
  <c r="Z92" i="5"/>
  <c r="Z95" i="5"/>
  <c r="Z99" i="5"/>
  <c r="Z103" i="5"/>
  <c r="Z24" i="5"/>
  <c r="Z31" i="5"/>
  <c r="Z38" i="5"/>
  <c r="Z41" i="5"/>
  <c r="Z48" i="5"/>
  <c r="Z52" i="5"/>
  <c r="Z21" i="5"/>
  <c r="Z51" i="5"/>
  <c r="Z66" i="5"/>
  <c r="Z91" i="5"/>
  <c r="Z94" i="5"/>
  <c r="Z113" i="5"/>
  <c r="Z117" i="5"/>
  <c r="Z93" i="5"/>
  <c r="Z115" i="5"/>
  <c r="Z28" i="5"/>
  <c r="Z63" i="5"/>
  <c r="Z77" i="5"/>
  <c r="Z110" i="5"/>
  <c r="Z35" i="5"/>
  <c r="Z55" i="5"/>
  <c r="Z58" i="5"/>
  <c r="Z69" i="5"/>
  <c r="Z72" i="5"/>
  <c r="Z86" i="5"/>
  <c r="Z97" i="5"/>
  <c r="Z108" i="5"/>
  <c r="Z37" i="5"/>
  <c r="Z88" i="5"/>
  <c r="Z114" i="5"/>
  <c r="Z40" i="5"/>
  <c r="Z67" i="5"/>
  <c r="Z81" i="5"/>
  <c r="Z84" i="5"/>
  <c r="Z106" i="5"/>
  <c r="Z116" i="5"/>
  <c r="Z18" i="5"/>
  <c r="Z25" i="5"/>
  <c r="Z45" i="5"/>
  <c r="Z49" i="5"/>
  <c r="Z56" i="5"/>
  <c r="Z59" i="5"/>
  <c r="Z70" i="5"/>
  <c r="Z98" i="5"/>
  <c r="Z104" i="5"/>
  <c r="Z74" i="5"/>
  <c r="Z102" i="5"/>
  <c r="AF10" i="4"/>
  <c r="H5" i="7" s="1"/>
  <c r="A9" i="9" l="1"/>
  <c r="A20" i="9"/>
  <c r="L18" i="9"/>
  <c r="L22" i="9"/>
  <c r="L25" i="9"/>
  <c r="L16" i="9"/>
  <c r="L11" i="9"/>
  <c r="L14" i="9"/>
  <c r="L27" i="9"/>
  <c r="L29" i="9"/>
  <c r="H23" i="3"/>
  <c r="E32" i="3" s="1"/>
  <c r="Q2" i="8"/>
  <c r="R6" i="8" s="1"/>
  <c r="S6" i="8" s="1"/>
  <c r="AG11" i="4"/>
  <c r="AH11" i="4"/>
  <c r="AI11" i="4"/>
  <c r="AG12" i="4"/>
  <c r="AH12" i="4"/>
  <c r="AI12" i="4"/>
  <c r="I7" i="7" s="1"/>
  <c r="AG13" i="4"/>
  <c r="AH13" i="4"/>
  <c r="AI13" i="4"/>
  <c r="I8" i="7" s="1"/>
  <c r="AG14" i="4"/>
  <c r="AH14" i="4"/>
  <c r="AI14" i="4"/>
  <c r="AG15" i="4"/>
  <c r="AH15" i="4"/>
  <c r="AI15" i="4"/>
  <c r="I10" i="7" s="1"/>
  <c r="AG16" i="4"/>
  <c r="AH16" i="4"/>
  <c r="AI16" i="4"/>
  <c r="AG17" i="4"/>
  <c r="AH17" i="4"/>
  <c r="AI17" i="4"/>
  <c r="I12" i="7" s="1"/>
  <c r="AG18" i="4"/>
  <c r="AH18" i="4"/>
  <c r="AI18" i="4"/>
  <c r="I13" i="7" s="1"/>
  <c r="AG19" i="4"/>
  <c r="AH19" i="4"/>
  <c r="AI19" i="4"/>
  <c r="I14" i="7" s="1"/>
  <c r="AG20" i="4"/>
  <c r="AH20" i="4"/>
  <c r="AI20" i="4"/>
  <c r="AG21" i="4"/>
  <c r="AH21" i="4"/>
  <c r="AI21" i="4"/>
  <c r="AH10" i="4"/>
  <c r="AI10" i="4"/>
  <c r="AG10" i="4"/>
  <c r="AF11" i="4"/>
  <c r="H6" i="7" s="1"/>
  <c r="Y11" i="4"/>
  <c r="Y12" i="4"/>
  <c r="Y13" i="4"/>
  <c r="Y14" i="4"/>
  <c r="Y15" i="4"/>
  <c r="Y16" i="4"/>
  <c r="Y17" i="4"/>
  <c r="Y18" i="4"/>
  <c r="Y19" i="4"/>
  <c r="Y20" i="4"/>
  <c r="Y21" i="4"/>
  <c r="Y10" i="4"/>
  <c r="T11" i="4"/>
  <c r="T12" i="4"/>
  <c r="T13" i="4"/>
  <c r="T14" i="4"/>
  <c r="T15" i="4"/>
  <c r="T16" i="4"/>
  <c r="T17" i="4"/>
  <c r="T18" i="4"/>
  <c r="T19" i="4"/>
  <c r="T20" i="4"/>
  <c r="T21" i="4"/>
  <c r="T10" i="4"/>
  <c r="AC11" i="4"/>
  <c r="E6" i="7" s="1"/>
  <c r="AC12" i="4"/>
  <c r="E7" i="7" s="1"/>
  <c r="AC13" i="4"/>
  <c r="E8" i="7" s="1"/>
  <c r="AC14" i="4"/>
  <c r="E9" i="7" s="1"/>
  <c r="AC15" i="4"/>
  <c r="E10" i="7" s="1"/>
  <c r="AC16" i="4"/>
  <c r="E11" i="7" s="1"/>
  <c r="AC17" i="4"/>
  <c r="E12" i="7" s="1"/>
  <c r="AC18" i="4"/>
  <c r="E13" i="7" s="1"/>
  <c r="AC19" i="4"/>
  <c r="E14" i="7" s="1"/>
  <c r="AC20" i="4"/>
  <c r="E15" i="7" s="1"/>
  <c r="AC21" i="4"/>
  <c r="AC10" i="4"/>
  <c r="E5" i="7" s="1"/>
  <c r="K28" i="4"/>
  <c r="L28" i="4"/>
  <c r="K29" i="4"/>
  <c r="L29" i="4"/>
  <c r="K30" i="4"/>
  <c r="L30" i="4"/>
  <c r="K31" i="4"/>
  <c r="L31" i="4"/>
  <c r="K32" i="4"/>
  <c r="L32" i="4"/>
  <c r="K33" i="4"/>
  <c r="L33" i="4"/>
  <c r="AF15" i="4"/>
  <c r="H10" i="7" s="1"/>
  <c r="F8" i="5"/>
  <c r="F7" i="5"/>
  <c r="P18" i="5"/>
  <c r="G21" i="2"/>
  <c r="G17" i="2"/>
  <c r="G18" i="2"/>
  <c r="G19" i="2"/>
  <c r="G20" i="2"/>
  <c r="N16" i="3"/>
  <c r="N44" i="3" s="1"/>
  <c r="E21" i="2"/>
  <c r="E42" i="1"/>
  <c r="O30" i="5"/>
  <c r="P30" i="5"/>
  <c r="Q30" i="5"/>
  <c r="O31" i="5"/>
  <c r="P31" i="5"/>
  <c r="Q31" i="5"/>
  <c r="O32" i="5"/>
  <c r="P32" i="5"/>
  <c r="Q32" i="5"/>
  <c r="O33" i="5"/>
  <c r="P33" i="5"/>
  <c r="Q33" i="5"/>
  <c r="O34" i="5"/>
  <c r="P34" i="5"/>
  <c r="Q34" i="5"/>
  <c r="O35" i="5"/>
  <c r="P35" i="5"/>
  <c r="Q35" i="5"/>
  <c r="O36" i="5"/>
  <c r="P36" i="5"/>
  <c r="Q36" i="5"/>
  <c r="O37" i="5"/>
  <c r="P37" i="5"/>
  <c r="Q37" i="5"/>
  <c r="O38" i="5"/>
  <c r="P38" i="5"/>
  <c r="Q38" i="5"/>
  <c r="O39" i="5"/>
  <c r="P39" i="5"/>
  <c r="Q39" i="5"/>
  <c r="O40" i="5"/>
  <c r="P40" i="5"/>
  <c r="Q40" i="5"/>
  <c r="O41" i="5"/>
  <c r="P41" i="5"/>
  <c r="Q41" i="5"/>
  <c r="O42" i="5"/>
  <c r="P42" i="5"/>
  <c r="Q42" i="5"/>
  <c r="O43" i="5"/>
  <c r="P43" i="5"/>
  <c r="Q43" i="5"/>
  <c r="O44" i="5"/>
  <c r="P44" i="5"/>
  <c r="Q44" i="5"/>
  <c r="O45" i="5"/>
  <c r="P45" i="5"/>
  <c r="Q45" i="5"/>
  <c r="O46" i="5"/>
  <c r="P46" i="5"/>
  <c r="Q46" i="5"/>
  <c r="O47" i="5"/>
  <c r="P47" i="5"/>
  <c r="Q47" i="5"/>
  <c r="O48" i="5"/>
  <c r="P48" i="5"/>
  <c r="Q48" i="5"/>
  <c r="O49" i="5"/>
  <c r="P49" i="5"/>
  <c r="Q49" i="5"/>
  <c r="O50" i="5"/>
  <c r="P50" i="5"/>
  <c r="Q50" i="5"/>
  <c r="O51" i="5"/>
  <c r="P51" i="5"/>
  <c r="Q51" i="5"/>
  <c r="O52" i="5"/>
  <c r="P52" i="5"/>
  <c r="Q52" i="5"/>
  <c r="O53" i="5"/>
  <c r="P53" i="5"/>
  <c r="Q53" i="5"/>
  <c r="O54" i="5"/>
  <c r="P54" i="5"/>
  <c r="Q54" i="5"/>
  <c r="O55" i="5"/>
  <c r="P55" i="5"/>
  <c r="Q55" i="5"/>
  <c r="O56" i="5"/>
  <c r="P56" i="5"/>
  <c r="Q56" i="5"/>
  <c r="O57" i="5"/>
  <c r="P57" i="5"/>
  <c r="Q57" i="5"/>
  <c r="O58" i="5"/>
  <c r="P58" i="5"/>
  <c r="Q58" i="5"/>
  <c r="O59" i="5"/>
  <c r="P59" i="5"/>
  <c r="Q59" i="5"/>
  <c r="O60" i="5"/>
  <c r="P60" i="5"/>
  <c r="Q60" i="5"/>
  <c r="O61" i="5"/>
  <c r="P61" i="5"/>
  <c r="Q61" i="5"/>
  <c r="O62" i="5"/>
  <c r="P62" i="5"/>
  <c r="Q62" i="5"/>
  <c r="O63" i="5"/>
  <c r="P63" i="5"/>
  <c r="Q63" i="5"/>
  <c r="O64" i="5"/>
  <c r="P64" i="5"/>
  <c r="Q64" i="5"/>
  <c r="O65" i="5"/>
  <c r="P65" i="5"/>
  <c r="Q65" i="5"/>
  <c r="O66" i="5"/>
  <c r="P66" i="5"/>
  <c r="Q66" i="5"/>
  <c r="O67" i="5"/>
  <c r="P67" i="5"/>
  <c r="Q67" i="5"/>
  <c r="O68" i="5"/>
  <c r="P68" i="5"/>
  <c r="Q68" i="5"/>
  <c r="O69" i="5"/>
  <c r="P69" i="5"/>
  <c r="Q69" i="5"/>
  <c r="O70" i="5"/>
  <c r="P70" i="5"/>
  <c r="Q70" i="5"/>
  <c r="O71" i="5"/>
  <c r="P71" i="5"/>
  <c r="Q71" i="5"/>
  <c r="O72" i="5"/>
  <c r="P72" i="5"/>
  <c r="Q72" i="5"/>
  <c r="O73" i="5"/>
  <c r="P73" i="5"/>
  <c r="Q73" i="5"/>
  <c r="O74" i="5"/>
  <c r="P74" i="5"/>
  <c r="Q74" i="5"/>
  <c r="O75" i="5"/>
  <c r="P75" i="5"/>
  <c r="Q75" i="5"/>
  <c r="O76" i="5"/>
  <c r="P76" i="5"/>
  <c r="Q76" i="5"/>
  <c r="O77" i="5"/>
  <c r="P77" i="5"/>
  <c r="Q77" i="5"/>
  <c r="O78" i="5"/>
  <c r="P78" i="5"/>
  <c r="Q78" i="5"/>
  <c r="O79" i="5"/>
  <c r="P79" i="5"/>
  <c r="Q79" i="5"/>
  <c r="O80" i="5"/>
  <c r="P80" i="5"/>
  <c r="Q80" i="5"/>
  <c r="O81" i="5"/>
  <c r="P81" i="5"/>
  <c r="Q81" i="5"/>
  <c r="O82" i="5"/>
  <c r="P82" i="5"/>
  <c r="Q82" i="5"/>
  <c r="O83" i="5"/>
  <c r="P83" i="5"/>
  <c r="Q83" i="5"/>
  <c r="O84" i="5"/>
  <c r="P84" i="5"/>
  <c r="Q84" i="5"/>
  <c r="O85" i="5"/>
  <c r="P85" i="5"/>
  <c r="Q85" i="5"/>
  <c r="O86" i="5"/>
  <c r="P86" i="5"/>
  <c r="Q86" i="5"/>
  <c r="O87" i="5"/>
  <c r="P87" i="5"/>
  <c r="Q87" i="5"/>
  <c r="O88" i="5"/>
  <c r="P88" i="5"/>
  <c r="Q88" i="5"/>
  <c r="O89" i="5"/>
  <c r="P89" i="5"/>
  <c r="Q89" i="5"/>
  <c r="O90" i="5"/>
  <c r="P90" i="5"/>
  <c r="Q90" i="5"/>
  <c r="O91" i="5"/>
  <c r="P91" i="5"/>
  <c r="Q91" i="5"/>
  <c r="O92" i="5"/>
  <c r="P92" i="5"/>
  <c r="Q92" i="5"/>
  <c r="O93" i="5"/>
  <c r="P93" i="5"/>
  <c r="Q93" i="5"/>
  <c r="O94" i="5"/>
  <c r="P94" i="5"/>
  <c r="Q94" i="5"/>
  <c r="O95" i="5"/>
  <c r="P95" i="5"/>
  <c r="Q95" i="5"/>
  <c r="O96" i="5"/>
  <c r="P96" i="5"/>
  <c r="Q96" i="5"/>
  <c r="O97" i="5"/>
  <c r="P97" i="5"/>
  <c r="Q97" i="5"/>
  <c r="O98" i="5"/>
  <c r="P98" i="5"/>
  <c r="Q98" i="5"/>
  <c r="O99" i="5"/>
  <c r="P99" i="5"/>
  <c r="Q99" i="5"/>
  <c r="O100" i="5"/>
  <c r="P100" i="5"/>
  <c r="Q100" i="5"/>
  <c r="O101" i="5"/>
  <c r="P101" i="5"/>
  <c r="Q101" i="5"/>
  <c r="O102" i="5"/>
  <c r="P102" i="5"/>
  <c r="Q102" i="5"/>
  <c r="O103" i="5"/>
  <c r="P103" i="5"/>
  <c r="Q103" i="5"/>
  <c r="O104" i="5"/>
  <c r="P104" i="5"/>
  <c r="Q104" i="5"/>
  <c r="O105" i="5"/>
  <c r="P105" i="5"/>
  <c r="Q105" i="5"/>
  <c r="O106" i="5"/>
  <c r="P106" i="5"/>
  <c r="Q106" i="5"/>
  <c r="O107" i="5"/>
  <c r="P107" i="5"/>
  <c r="Q107" i="5"/>
  <c r="O108" i="5"/>
  <c r="P108" i="5"/>
  <c r="Q108" i="5"/>
  <c r="O109" i="5"/>
  <c r="P109" i="5"/>
  <c r="Q109" i="5"/>
  <c r="O110" i="5"/>
  <c r="P110" i="5"/>
  <c r="Q110" i="5"/>
  <c r="O111" i="5"/>
  <c r="P111" i="5"/>
  <c r="Q111" i="5"/>
  <c r="O112" i="5"/>
  <c r="P112" i="5"/>
  <c r="Q112" i="5"/>
  <c r="O113" i="5"/>
  <c r="P113" i="5"/>
  <c r="Q113" i="5"/>
  <c r="O114" i="5"/>
  <c r="P114" i="5"/>
  <c r="Q114" i="5"/>
  <c r="O115" i="5"/>
  <c r="P115" i="5"/>
  <c r="Q115" i="5"/>
  <c r="O116" i="5"/>
  <c r="P116" i="5"/>
  <c r="Q116" i="5"/>
  <c r="O117" i="5"/>
  <c r="P117" i="5"/>
  <c r="Q117" i="5"/>
  <c r="Q19" i="5"/>
  <c r="Q20" i="5"/>
  <c r="Q21" i="5"/>
  <c r="Q22" i="5"/>
  <c r="Q23" i="5"/>
  <c r="Q24" i="5"/>
  <c r="Q25" i="5"/>
  <c r="Q26" i="5"/>
  <c r="Q27" i="5"/>
  <c r="Q28" i="5"/>
  <c r="Q29" i="5"/>
  <c r="Q18" i="5"/>
  <c r="P19" i="5"/>
  <c r="P20" i="5"/>
  <c r="P21" i="5"/>
  <c r="P22" i="5"/>
  <c r="P23" i="5"/>
  <c r="P24" i="5"/>
  <c r="P25" i="5"/>
  <c r="P26" i="5"/>
  <c r="P27" i="5"/>
  <c r="P28" i="5"/>
  <c r="P29" i="5"/>
  <c r="O19" i="5"/>
  <c r="O20" i="5"/>
  <c r="O21" i="5"/>
  <c r="O22" i="5"/>
  <c r="O23" i="5"/>
  <c r="O24" i="5"/>
  <c r="O25" i="5"/>
  <c r="O26" i="5"/>
  <c r="O27" i="5"/>
  <c r="O28" i="5"/>
  <c r="O29" i="5"/>
  <c r="O18" i="5"/>
  <c r="I11" i="7" l="1"/>
  <c r="Q26" i="9"/>
  <c r="Q15" i="9"/>
  <c r="P26" i="9"/>
  <c r="P15" i="9"/>
  <c r="O21" i="9"/>
  <c r="O10" i="9"/>
  <c r="O15" i="9"/>
  <c r="O26" i="9"/>
  <c r="I5" i="7"/>
  <c r="AA27" i="7" s="1"/>
  <c r="S27" i="7" s="1"/>
  <c r="Q10" i="9"/>
  <c r="Q21" i="9"/>
  <c r="P21" i="9"/>
  <c r="P10" i="9"/>
  <c r="I9" i="7"/>
  <c r="Q13" i="9"/>
  <c r="Q24" i="9"/>
  <c r="P13" i="9"/>
  <c r="P24" i="9"/>
  <c r="I15" i="7"/>
  <c r="Q28" i="9"/>
  <c r="Q17" i="9"/>
  <c r="O24" i="9"/>
  <c r="O13" i="9"/>
  <c r="P28" i="9"/>
  <c r="P17" i="9"/>
  <c r="O17" i="9"/>
  <c r="O28" i="9"/>
  <c r="I6" i="7"/>
  <c r="Q23" i="9"/>
  <c r="Q12" i="9"/>
  <c r="P12" i="9"/>
  <c r="P23" i="9"/>
  <c r="O23" i="9"/>
  <c r="O12" i="9"/>
  <c r="E28" i="3"/>
  <c r="E29" i="3"/>
  <c r="E31" i="3" s="1"/>
  <c r="E30" i="3"/>
  <c r="R5" i="8"/>
  <c r="R10" i="8"/>
  <c r="S10" i="8" s="1"/>
  <c r="Y37" i="5"/>
  <c r="Y40" i="5"/>
  <c r="Y51" i="5"/>
  <c r="Y55" i="5"/>
  <c r="Y58" i="5"/>
  <c r="Y69" i="5"/>
  <c r="Y72" i="5"/>
  <c r="Y86" i="5"/>
  <c r="Y93" i="5"/>
  <c r="Y97" i="5"/>
  <c r="Y104" i="5"/>
  <c r="Y108" i="5"/>
  <c r="Y19" i="5"/>
  <c r="Y22" i="5"/>
  <c r="Y26" i="5"/>
  <c r="Y29" i="5"/>
  <c r="Y32" i="5"/>
  <c r="Y39" i="5"/>
  <c r="Y42" i="5"/>
  <c r="Y53" i="5"/>
  <c r="Y57" i="5"/>
  <c r="Y60" i="5"/>
  <c r="Y71" i="5"/>
  <c r="Y78" i="5"/>
  <c r="Y85" i="5"/>
  <c r="Y92" i="5"/>
  <c r="Y95" i="5"/>
  <c r="Y99" i="5"/>
  <c r="Y103" i="5"/>
  <c r="Y21" i="5"/>
  <c r="Y25" i="5"/>
  <c r="Y28" i="5"/>
  <c r="Y35" i="5"/>
  <c r="Y45" i="5"/>
  <c r="Y49" i="5"/>
  <c r="Y63" i="5"/>
  <c r="Y67" i="5"/>
  <c r="Y74" i="5"/>
  <c r="Y77" i="5"/>
  <c r="Y81" i="5"/>
  <c r="Y84" i="5"/>
  <c r="Y88" i="5"/>
  <c r="Y102" i="5"/>
  <c r="Y106" i="5"/>
  <c r="Y110" i="5"/>
  <c r="Y20" i="5"/>
  <c r="Y23" i="5"/>
  <c r="Y27" i="5"/>
  <c r="Y30" i="5"/>
  <c r="Y34" i="5"/>
  <c r="Y44" i="5"/>
  <c r="Y47" i="5"/>
  <c r="Y43" i="5"/>
  <c r="Y80" i="5"/>
  <c r="Y83" i="5"/>
  <c r="Y105" i="5"/>
  <c r="Y109" i="5"/>
  <c r="Y115" i="5"/>
  <c r="Y54" i="5"/>
  <c r="Y107" i="5"/>
  <c r="Y94" i="5"/>
  <c r="Y31" i="5"/>
  <c r="Y48" i="5"/>
  <c r="Y52" i="5"/>
  <c r="Y61" i="5"/>
  <c r="Y64" i="5"/>
  <c r="Y75" i="5"/>
  <c r="Y89" i="5"/>
  <c r="Y100" i="5"/>
  <c r="Y111" i="5"/>
  <c r="Y116" i="5"/>
  <c r="Y73" i="5"/>
  <c r="Y87" i="5"/>
  <c r="Y90" i="5"/>
  <c r="Y101" i="5"/>
  <c r="Y112" i="5"/>
  <c r="Y50" i="5"/>
  <c r="Y68" i="5"/>
  <c r="Y79" i="5"/>
  <c r="Y96" i="5"/>
  <c r="Y114" i="5"/>
  <c r="Y38" i="5"/>
  <c r="Y24" i="5"/>
  <c r="Y36" i="5"/>
  <c r="Y56" i="5"/>
  <c r="Y59" i="5"/>
  <c r="Y70" i="5"/>
  <c r="Y98" i="5"/>
  <c r="Y41" i="5"/>
  <c r="Y62" i="5"/>
  <c r="Y65" i="5"/>
  <c r="Y76" i="5"/>
  <c r="Y18" i="5"/>
  <c r="Y33" i="5"/>
  <c r="Y46" i="5"/>
  <c r="Y82" i="5"/>
  <c r="Y66" i="5"/>
  <c r="Y91" i="5"/>
  <c r="Y113" i="5"/>
  <c r="Y117" i="5"/>
  <c r="X19" i="5"/>
  <c r="X22" i="5"/>
  <c r="X26" i="5"/>
  <c r="X29" i="5"/>
  <c r="X33" i="5"/>
  <c r="X36" i="5"/>
  <c r="X43" i="5"/>
  <c r="X46" i="5"/>
  <c r="X50" i="5"/>
  <c r="X54" i="5"/>
  <c r="X61" i="5"/>
  <c r="X64" i="5"/>
  <c r="X68" i="5"/>
  <c r="X75" i="5"/>
  <c r="X79" i="5"/>
  <c r="X82" i="5"/>
  <c r="X89" i="5"/>
  <c r="X96" i="5"/>
  <c r="X100" i="5"/>
  <c r="X107" i="5"/>
  <c r="X111" i="5"/>
  <c r="X21" i="5"/>
  <c r="X25" i="5"/>
  <c r="X28" i="5"/>
  <c r="X35" i="5"/>
  <c r="X45" i="5"/>
  <c r="X49" i="5"/>
  <c r="X63" i="5"/>
  <c r="X67" i="5"/>
  <c r="X74" i="5"/>
  <c r="X77" i="5"/>
  <c r="X81" i="5"/>
  <c r="X84" i="5"/>
  <c r="X88" i="5"/>
  <c r="X102" i="5"/>
  <c r="X106" i="5"/>
  <c r="X110" i="5"/>
  <c r="X113" i="5"/>
  <c r="X24" i="5"/>
  <c r="X31" i="5"/>
  <c r="X38" i="5"/>
  <c r="X41" i="5"/>
  <c r="X48" i="5"/>
  <c r="X52" i="5"/>
  <c r="X56" i="5"/>
  <c r="X59" i="5"/>
  <c r="X66" i="5"/>
  <c r="X70" i="5"/>
  <c r="X91" i="5"/>
  <c r="X94" i="5"/>
  <c r="X98" i="5"/>
  <c r="X37" i="5"/>
  <c r="X40" i="5"/>
  <c r="X51" i="5"/>
  <c r="X30" i="5"/>
  <c r="X39" i="5"/>
  <c r="X55" i="5"/>
  <c r="X58" i="5"/>
  <c r="X69" i="5"/>
  <c r="X72" i="5"/>
  <c r="X86" i="5"/>
  <c r="X97" i="5"/>
  <c r="X108" i="5"/>
  <c r="X116" i="5"/>
  <c r="X104" i="5"/>
  <c r="X42" i="5"/>
  <c r="X71" i="5"/>
  <c r="X85" i="5"/>
  <c r="X18" i="5"/>
  <c r="X34" i="5"/>
  <c r="X105" i="5"/>
  <c r="X23" i="5"/>
  <c r="X44" i="5"/>
  <c r="X78" i="5"/>
  <c r="X92" i="5"/>
  <c r="X95" i="5"/>
  <c r="X103" i="5"/>
  <c r="X60" i="5"/>
  <c r="X80" i="5"/>
  <c r="X32" i="5"/>
  <c r="X53" i="5"/>
  <c r="X62" i="5"/>
  <c r="X65" i="5"/>
  <c r="X73" i="5"/>
  <c r="X76" i="5"/>
  <c r="X87" i="5"/>
  <c r="X90" i="5"/>
  <c r="X101" i="5"/>
  <c r="X109" i="5"/>
  <c r="X112" i="5"/>
  <c r="X115" i="5"/>
  <c r="X93" i="5"/>
  <c r="X114" i="5"/>
  <c r="X27" i="5"/>
  <c r="X57" i="5"/>
  <c r="X99" i="5"/>
  <c r="X117" i="5"/>
  <c r="X20" i="5"/>
  <c r="X47" i="5"/>
  <c r="X83" i="5"/>
  <c r="W32" i="5"/>
  <c r="W39" i="5"/>
  <c r="W42" i="5"/>
  <c r="W53" i="5"/>
  <c r="W57" i="5"/>
  <c r="W60" i="5"/>
  <c r="W71" i="5"/>
  <c r="W78" i="5"/>
  <c r="W85" i="5"/>
  <c r="W92" i="5"/>
  <c r="W95" i="5"/>
  <c r="W99" i="5"/>
  <c r="W103" i="5"/>
  <c r="W21" i="5"/>
  <c r="W25" i="5"/>
  <c r="W28" i="5"/>
  <c r="W24" i="5"/>
  <c r="W31" i="5"/>
  <c r="W38" i="5"/>
  <c r="W41" i="5"/>
  <c r="W48" i="5"/>
  <c r="W52" i="5"/>
  <c r="W56" i="5"/>
  <c r="W59" i="5"/>
  <c r="W66" i="5"/>
  <c r="W70" i="5"/>
  <c r="W91" i="5"/>
  <c r="W94" i="5"/>
  <c r="W98" i="5"/>
  <c r="W20" i="5"/>
  <c r="W23" i="5"/>
  <c r="W27" i="5"/>
  <c r="W30" i="5"/>
  <c r="W34" i="5"/>
  <c r="W44" i="5"/>
  <c r="W47" i="5"/>
  <c r="W62" i="5"/>
  <c r="W65" i="5"/>
  <c r="W73" i="5"/>
  <c r="W76" i="5"/>
  <c r="W80" i="5"/>
  <c r="W83" i="5"/>
  <c r="W87" i="5"/>
  <c r="W90" i="5"/>
  <c r="W101" i="5"/>
  <c r="W105" i="5"/>
  <c r="W109" i="5"/>
  <c r="W112" i="5"/>
  <c r="W19" i="5"/>
  <c r="W22" i="5"/>
  <c r="W26" i="5"/>
  <c r="W29" i="5"/>
  <c r="W33" i="5"/>
  <c r="W36" i="5"/>
  <c r="W43" i="5"/>
  <c r="W46" i="5"/>
  <c r="W50" i="5"/>
  <c r="W54" i="5"/>
  <c r="W35" i="5"/>
  <c r="W61" i="5"/>
  <c r="W64" i="5"/>
  <c r="W75" i="5"/>
  <c r="W89" i="5"/>
  <c r="W100" i="5"/>
  <c r="W111" i="5"/>
  <c r="W79" i="5"/>
  <c r="W96" i="5"/>
  <c r="W63" i="5"/>
  <c r="W77" i="5"/>
  <c r="W102" i="5"/>
  <c r="W55" i="5"/>
  <c r="W72" i="5"/>
  <c r="W86" i="5"/>
  <c r="W116" i="5"/>
  <c r="W40" i="5"/>
  <c r="W67" i="5"/>
  <c r="W81" i="5"/>
  <c r="W84" i="5"/>
  <c r="W106" i="5"/>
  <c r="W115" i="5"/>
  <c r="W68" i="5"/>
  <c r="W82" i="5"/>
  <c r="W117" i="5"/>
  <c r="W88" i="5"/>
  <c r="W110" i="5"/>
  <c r="W51" i="5"/>
  <c r="W69" i="5"/>
  <c r="W97" i="5"/>
  <c r="W108" i="5"/>
  <c r="W18" i="5"/>
  <c r="W45" i="5"/>
  <c r="W49" i="5"/>
  <c r="W93" i="5"/>
  <c r="W104" i="5"/>
  <c r="W114" i="5"/>
  <c r="W37" i="5"/>
  <c r="W107" i="5"/>
  <c r="W74" i="5"/>
  <c r="W113" i="5"/>
  <c r="W58" i="5"/>
  <c r="AF14" i="4"/>
  <c r="H9" i="7" s="1"/>
  <c r="AF13" i="4"/>
  <c r="H8" i="7" s="1"/>
  <c r="AF12" i="4"/>
  <c r="H7" i="7" s="1"/>
  <c r="AF21" i="4"/>
  <c r="AF20" i="4"/>
  <c r="H15" i="7" s="1"/>
  <c r="AF19" i="4"/>
  <c r="H14" i="7" s="1"/>
  <c r="AF18" i="4"/>
  <c r="H13" i="7" s="1"/>
  <c r="AF17" i="4"/>
  <c r="H12" i="7" s="1"/>
  <c r="AF16" i="4"/>
  <c r="H11" i="7" s="1"/>
  <c r="I31" i="4"/>
  <c r="I33" i="4"/>
  <c r="I32" i="4"/>
  <c r="I29" i="4"/>
  <c r="I30" i="4"/>
  <c r="E39" i="1"/>
  <c r="F6" i="5"/>
  <c r="F5" i="5"/>
  <c r="G7" i="5" s="1"/>
  <c r="AA52" i="7" l="1"/>
  <c r="S52" i="7" s="1"/>
  <c r="AA25" i="7"/>
  <c r="S25" i="7" s="1"/>
  <c r="AA89" i="7"/>
  <c r="S89" i="7" s="1"/>
  <c r="AA64" i="7"/>
  <c r="S64" i="7" s="1"/>
  <c r="AA66" i="7"/>
  <c r="S66" i="7" s="1"/>
  <c r="AA7" i="7"/>
  <c r="S7" i="7" s="1"/>
  <c r="AA5" i="7"/>
  <c r="S5" i="7" s="1"/>
  <c r="AA60" i="7"/>
  <c r="S60" i="7" s="1"/>
  <c r="AA42" i="7"/>
  <c r="S42" i="7" s="1"/>
  <c r="AA57" i="7"/>
  <c r="S57" i="7" s="1"/>
  <c r="AA100" i="7"/>
  <c r="S100" i="7" s="1"/>
  <c r="AA62" i="7"/>
  <c r="S62" i="7" s="1"/>
  <c r="AA102" i="7"/>
  <c r="S102" i="7" s="1"/>
  <c r="AA44" i="7"/>
  <c r="S44" i="7" s="1"/>
  <c r="AA34" i="7"/>
  <c r="S34" i="7" s="1"/>
  <c r="AA68" i="7"/>
  <c r="S68" i="7" s="1"/>
  <c r="AA50" i="7"/>
  <c r="S50" i="7" s="1"/>
  <c r="AA38" i="7"/>
  <c r="S38" i="7" s="1"/>
  <c r="AA40" i="7"/>
  <c r="S40" i="7" s="1"/>
  <c r="AA53" i="7"/>
  <c r="S53" i="7" s="1"/>
  <c r="AA104" i="7"/>
  <c r="S104" i="7" s="1"/>
  <c r="AA56" i="7"/>
  <c r="S56" i="7" s="1"/>
  <c r="AA103" i="7"/>
  <c r="S103" i="7" s="1"/>
  <c r="AA6" i="7"/>
  <c r="S6" i="7" s="1"/>
  <c r="AA84" i="7"/>
  <c r="S84" i="7" s="1"/>
  <c r="AA61" i="7"/>
  <c r="S61" i="7" s="1"/>
  <c r="AA73" i="7"/>
  <c r="S73" i="7" s="1"/>
  <c r="AA82" i="7"/>
  <c r="S82" i="7" s="1"/>
  <c r="AA95" i="7"/>
  <c r="S95" i="7" s="1"/>
  <c r="AA93" i="7"/>
  <c r="S93" i="7" s="1"/>
  <c r="AA54" i="7"/>
  <c r="S54" i="7" s="1"/>
  <c r="AA29" i="7"/>
  <c r="S29" i="7" s="1"/>
  <c r="AA97" i="7"/>
  <c r="S97" i="7" s="1"/>
  <c r="AA79" i="7"/>
  <c r="S79" i="7" s="1"/>
  <c r="AA46" i="7"/>
  <c r="S46" i="7" s="1"/>
  <c r="L21" i="9"/>
  <c r="AA43" i="7"/>
  <c r="S43" i="7" s="1"/>
  <c r="AA30" i="7"/>
  <c r="S30" i="7" s="1"/>
  <c r="AA77" i="7"/>
  <c r="S77" i="7" s="1"/>
  <c r="AA11" i="7"/>
  <c r="S11" i="7" s="1"/>
  <c r="AA94" i="7"/>
  <c r="S94" i="7" s="1"/>
  <c r="AA9" i="7"/>
  <c r="S9" i="7" s="1"/>
  <c r="AA14" i="7"/>
  <c r="S14" i="7" s="1"/>
  <c r="AA80" i="7"/>
  <c r="S80" i="7" s="1"/>
  <c r="AA24" i="7"/>
  <c r="S24" i="7" s="1"/>
  <c r="AA87" i="7"/>
  <c r="S87" i="7" s="1"/>
  <c r="AA20" i="7"/>
  <c r="S20" i="7" s="1"/>
  <c r="AA13" i="7"/>
  <c r="S13" i="7" s="1"/>
  <c r="AA72" i="7"/>
  <c r="S72" i="7" s="1"/>
  <c r="AA10" i="7"/>
  <c r="S10" i="7" s="1"/>
  <c r="AA59" i="7"/>
  <c r="S59" i="7" s="1"/>
  <c r="AA33" i="7"/>
  <c r="S33" i="7" s="1"/>
  <c r="AA49" i="7"/>
  <c r="S49" i="7" s="1"/>
  <c r="AA48" i="7"/>
  <c r="S48" i="7" s="1"/>
  <c r="AA55" i="7"/>
  <c r="S55" i="7" s="1"/>
  <c r="AA74" i="7"/>
  <c r="S74" i="7" s="1"/>
  <c r="AA65" i="7"/>
  <c r="S65" i="7" s="1"/>
  <c r="AA75" i="7"/>
  <c r="S75" i="7" s="1"/>
  <c r="AA19" i="7"/>
  <c r="S19" i="7" s="1"/>
  <c r="AA22" i="7"/>
  <c r="S22" i="7" s="1"/>
  <c r="AA35" i="7"/>
  <c r="S35" i="7" s="1"/>
  <c r="AA18" i="7"/>
  <c r="S18" i="7" s="1"/>
  <c r="AA63" i="7"/>
  <c r="S63" i="7" s="1"/>
  <c r="AA31" i="7"/>
  <c r="S31" i="7" s="1"/>
  <c r="AA21" i="7"/>
  <c r="S21" i="7" s="1"/>
  <c r="AA99" i="7"/>
  <c r="S99" i="7" s="1"/>
  <c r="AA92" i="7"/>
  <c r="S92" i="7" s="1"/>
  <c r="AA36" i="7"/>
  <c r="S36" i="7" s="1"/>
  <c r="AA70" i="7"/>
  <c r="S70" i="7" s="1"/>
  <c r="AA96" i="7"/>
  <c r="S96" i="7" s="1"/>
  <c r="AA101" i="7"/>
  <c r="S101" i="7" s="1"/>
  <c r="AA16" i="7"/>
  <c r="S16" i="7" s="1"/>
  <c r="AA58" i="7"/>
  <c r="S58" i="7" s="1"/>
  <c r="AA8" i="7"/>
  <c r="S8" i="7" s="1"/>
  <c r="AA45" i="7"/>
  <c r="S45" i="7" s="1"/>
  <c r="AA78" i="7"/>
  <c r="S78" i="7" s="1"/>
  <c r="AA12" i="7"/>
  <c r="S12" i="7" s="1"/>
  <c r="AA88" i="7"/>
  <c r="S88" i="7" s="1"/>
  <c r="AA47" i="7"/>
  <c r="S47" i="7" s="1"/>
  <c r="L13" i="9"/>
  <c r="L23" i="9"/>
  <c r="AA86" i="7"/>
  <c r="S86" i="7" s="1"/>
  <c r="L12" i="9"/>
  <c r="AA98" i="7"/>
  <c r="S98" i="7" s="1"/>
  <c r="AA17" i="7"/>
  <c r="S17" i="7" s="1"/>
  <c r="AA81" i="7"/>
  <c r="S81" i="7" s="1"/>
  <c r="AA15" i="7"/>
  <c r="S15" i="7" s="1"/>
  <c r="AA37" i="7"/>
  <c r="S37" i="7" s="1"/>
  <c r="AA26" i="7"/>
  <c r="S26" i="7" s="1"/>
  <c r="AA76" i="7"/>
  <c r="S76" i="7" s="1"/>
  <c r="L10" i="9"/>
  <c r="AA90" i="7"/>
  <c r="S90" i="7" s="1"/>
  <c r="AA28" i="7"/>
  <c r="S28" i="7" s="1"/>
  <c r="AA71" i="7"/>
  <c r="S71" i="7" s="1"/>
  <c r="AA67" i="7"/>
  <c r="S67" i="7" s="1"/>
  <c r="AA69" i="7"/>
  <c r="S69" i="7" s="1"/>
  <c r="L15" i="9"/>
  <c r="L24" i="9"/>
  <c r="AA41" i="7"/>
  <c r="S41" i="7" s="1"/>
  <c r="AA51" i="7"/>
  <c r="S51" i="7" s="1"/>
  <c r="AA83" i="7"/>
  <c r="S83" i="7" s="1"/>
  <c r="AA85" i="7"/>
  <c r="S85" i="7" s="1"/>
  <c r="L17" i="9"/>
  <c r="L26" i="9"/>
  <c r="AA91" i="7"/>
  <c r="S91" i="7" s="1"/>
  <c r="AA23" i="7"/>
  <c r="S23" i="7" s="1"/>
  <c r="AA39" i="7"/>
  <c r="S39" i="7" s="1"/>
  <c r="AA32" i="7"/>
  <c r="S32" i="7" s="1"/>
  <c r="L28" i="9"/>
  <c r="F29" i="3"/>
  <c r="F32" i="3"/>
  <c r="E36" i="3" s="1"/>
  <c r="F31" i="3"/>
  <c r="F28" i="3"/>
  <c r="F30" i="3"/>
  <c r="R2" i="8"/>
  <c r="S5" i="8"/>
  <c r="G8" i="5"/>
  <c r="G6" i="5"/>
  <c r="M17" i="4"/>
  <c r="E44" i="1"/>
  <c r="E43" i="1"/>
  <c r="E40" i="1"/>
  <c r="L17" i="4"/>
  <c r="E35" i="3" l="1"/>
  <c r="E34" i="3"/>
  <c r="N10" i="3"/>
  <c r="M10" i="3"/>
  <c r="M16" i="3" s="1"/>
  <c r="M44" i="3" s="1"/>
  <c r="M7" i="3"/>
  <c r="M13" i="3" s="1"/>
  <c r="Q49" i="2"/>
  <c r="T50" i="2"/>
  <c r="T51" i="2"/>
  <c r="T49" i="2"/>
  <c r="O8" i="2"/>
  <c r="O10" i="2"/>
  <c r="O6" i="2"/>
  <c r="R10" i="3" l="1"/>
  <c r="M6" i="2"/>
  <c r="N6" i="2"/>
  <c r="N10" i="2"/>
  <c r="N15" i="2" s="1"/>
  <c r="N9" i="2"/>
  <c r="M10" i="2"/>
  <c r="M15" i="2" s="1"/>
  <c r="M7" i="2"/>
  <c r="R9" i="3"/>
  <c r="L7" i="3"/>
  <c r="M8" i="3"/>
  <c r="N8" i="3"/>
  <c r="R8" i="3"/>
  <c r="S8" i="3"/>
  <c r="L9" i="3"/>
  <c r="M9" i="3"/>
  <c r="M15" i="3" s="1"/>
  <c r="S9" i="3"/>
  <c r="S15" i="3" s="1"/>
  <c r="R6" i="3"/>
  <c r="N7" i="3"/>
  <c r="N13" i="3" s="1"/>
  <c r="T6" i="3"/>
  <c r="N9" i="3"/>
  <c r="N15" i="3" s="1"/>
  <c r="T9" i="3"/>
  <c r="L8" i="3"/>
  <c r="T8" i="3"/>
  <c r="R7" i="3"/>
  <c r="S7" i="3"/>
  <c r="S13" i="3" s="1"/>
  <c r="T7" i="3"/>
  <c r="T10" i="3"/>
  <c r="T16" i="3" s="1"/>
  <c r="S10" i="3"/>
  <c r="S16" i="3" s="1"/>
  <c r="L6" i="3"/>
  <c r="M6" i="3"/>
  <c r="N6" i="3"/>
  <c r="S6" i="3"/>
  <c r="L10" i="3"/>
  <c r="F17" i="2"/>
  <c r="E17" i="2"/>
  <c r="E20" i="2"/>
  <c r="E19" i="2"/>
  <c r="E18" i="2"/>
  <c r="F20" i="2"/>
  <c r="F19" i="2"/>
  <c r="F18" i="2"/>
  <c r="F21" i="2"/>
  <c r="E27" i="2"/>
  <c r="T7" i="2"/>
  <c r="T8" i="2"/>
  <c r="U7" i="2"/>
  <c r="S7" i="2"/>
  <c r="T6" i="2"/>
  <c r="S6" i="2"/>
  <c r="U6" i="2"/>
  <c r="U10" i="2"/>
  <c r="T10" i="2"/>
  <c r="T15" i="2" s="1"/>
  <c r="U9" i="2"/>
  <c r="T9" i="2"/>
  <c r="S9" i="2"/>
  <c r="U8" i="2"/>
  <c r="S8" i="2"/>
  <c r="S10" i="2"/>
  <c r="S15" i="2" s="1"/>
  <c r="M8" i="2"/>
  <c r="M9" i="2"/>
  <c r="N8" i="2"/>
  <c r="O7" i="2"/>
  <c r="N7" i="2"/>
  <c r="O9" i="2"/>
  <c r="O14" i="2" s="1"/>
  <c r="L16" i="3" l="1"/>
  <c r="L44" i="3" s="1"/>
  <c r="L12" i="3"/>
  <c r="R16" i="3"/>
  <c r="P44" i="3" s="1"/>
  <c r="U12" i="2"/>
  <c r="U13" i="2"/>
  <c r="U14" i="2"/>
  <c r="S11" i="2"/>
  <c r="N12" i="3"/>
  <c r="H27" i="2"/>
  <c r="N14" i="2"/>
  <c r="R13" i="3"/>
  <c r="R15" i="3"/>
  <c r="N13" i="2"/>
  <c r="L15" i="3"/>
  <c r="F12" i="4"/>
  <c r="F14" i="4"/>
  <c r="F13" i="4"/>
  <c r="F15" i="4"/>
  <c r="M14" i="2"/>
  <c r="G15" i="4"/>
  <c r="G12" i="4"/>
  <c r="G14" i="4"/>
  <c r="G13" i="4"/>
  <c r="F11" i="4"/>
  <c r="F10" i="4"/>
  <c r="G11" i="4"/>
  <c r="G10" i="4"/>
  <c r="R14" i="3"/>
  <c r="M12" i="3"/>
  <c r="N14" i="3"/>
  <c r="L13" i="3"/>
  <c r="N22" i="3"/>
  <c r="L14" i="3"/>
  <c r="N32" i="3" s="1"/>
  <c r="M14" i="3"/>
  <c r="Q44" i="3"/>
  <c r="T13" i="3"/>
  <c r="T14" i="3"/>
  <c r="P31" i="3" s="1"/>
  <c r="S14" i="3"/>
  <c r="T15" i="3"/>
  <c r="R12" i="3"/>
  <c r="N21" i="3" s="1"/>
  <c r="T12" i="3"/>
  <c r="S12" i="3"/>
  <c r="O11" i="2"/>
  <c r="M11" i="2"/>
  <c r="M13" i="2"/>
  <c r="E24" i="2"/>
  <c r="E25" i="2"/>
  <c r="E26" i="2"/>
  <c r="U11" i="2"/>
  <c r="S12" i="2"/>
  <c r="S13" i="2"/>
  <c r="S14" i="2"/>
  <c r="M12" i="2"/>
  <c r="O12" i="2"/>
  <c r="O13" i="2"/>
  <c r="F27" i="2"/>
  <c r="F25" i="2"/>
  <c r="F24" i="2"/>
  <c r="F23" i="2"/>
  <c r="F26" i="2"/>
  <c r="G26" i="2"/>
  <c r="G24" i="2"/>
  <c r="G25" i="2"/>
  <c r="N12" i="2"/>
  <c r="T12" i="2"/>
  <c r="T11" i="2"/>
  <c r="T13" i="2"/>
  <c r="T14" i="2"/>
  <c r="N11" i="2"/>
  <c r="P21" i="3" l="1"/>
  <c r="P32" i="3"/>
  <c r="N31" i="3"/>
  <c r="O31" i="3" s="1"/>
  <c r="R31" i="3" s="1"/>
  <c r="P22" i="3"/>
  <c r="W21" i="4"/>
  <c r="W20" i="4"/>
  <c r="W16" i="4"/>
  <c r="W17" i="4"/>
  <c r="W18" i="4"/>
  <c r="W19" i="4"/>
  <c r="W11" i="4"/>
  <c r="W10" i="4"/>
  <c r="W15" i="4"/>
  <c r="W14" i="4"/>
  <c r="W12" i="4"/>
  <c r="W13" i="4"/>
  <c r="K12" i="2"/>
  <c r="G16" i="4"/>
  <c r="F16" i="4"/>
  <c r="G26" i="4" s="1"/>
  <c r="O18" i="2"/>
  <c r="K10" i="4"/>
  <c r="H10" i="4"/>
  <c r="K13" i="4"/>
  <c r="H13" i="4"/>
  <c r="H11" i="4"/>
  <c r="K11" i="4"/>
  <c r="K15" i="4"/>
  <c r="H15" i="4"/>
  <c r="K14" i="4"/>
  <c r="H14" i="4"/>
  <c r="H12" i="4"/>
  <c r="K12" i="4"/>
  <c r="R44" i="3"/>
  <c r="H26" i="2"/>
  <c r="H25" i="2"/>
  <c r="Q18" i="2"/>
  <c r="H30" i="2" l="1"/>
  <c r="H28" i="2"/>
  <c r="H29" i="2" s="1"/>
  <c r="F24" i="4"/>
  <c r="L24" i="4" s="1"/>
  <c r="H10" i="8"/>
  <c r="AD10" i="4"/>
  <c r="F5" i="7" s="1"/>
  <c r="F23" i="4"/>
  <c r="L23" i="4" s="1"/>
  <c r="H9" i="8"/>
  <c r="F21" i="4"/>
  <c r="L21" i="4" s="1"/>
  <c r="H7" i="8"/>
  <c r="F20" i="4"/>
  <c r="L20" i="4" s="1"/>
  <c r="H6" i="8"/>
  <c r="F19" i="4"/>
  <c r="L19" i="4" s="1"/>
  <c r="G28" i="4"/>
  <c r="H5" i="8"/>
  <c r="F22" i="4"/>
  <c r="L22" i="4" s="1"/>
  <c r="H8" i="8"/>
  <c r="X19" i="4"/>
  <c r="V19" i="4" s="1"/>
  <c r="X17" i="4"/>
  <c r="V17" i="4" s="1"/>
  <c r="X13" i="4"/>
  <c r="AD13" i="4"/>
  <c r="F8" i="7" s="1"/>
  <c r="X15" i="4"/>
  <c r="AD15" i="4"/>
  <c r="F10" i="7" s="1"/>
  <c r="AD19" i="4"/>
  <c r="F14" i="7" s="1"/>
  <c r="X18" i="4"/>
  <c r="AD18" i="4"/>
  <c r="F13" i="7" s="1"/>
  <c r="X14" i="4"/>
  <c r="AD14" i="4"/>
  <c r="F9" i="7" s="1"/>
  <c r="AD17" i="4"/>
  <c r="F12" i="7" s="1"/>
  <c r="L10" i="4"/>
  <c r="X11" i="4"/>
  <c r="AD11" i="4"/>
  <c r="F6" i="7" s="1"/>
  <c r="X12" i="4"/>
  <c r="X16" i="4"/>
  <c r="AD16" i="4"/>
  <c r="F11" i="7" s="1"/>
  <c r="X20" i="4"/>
  <c r="AD20" i="4"/>
  <c r="F15" i="7" s="1"/>
  <c r="AD12" i="4"/>
  <c r="F7" i="7" s="1"/>
  <c r="X10" i="4"/>
  <c r="V10" i="4" s="1"/>
  <c r="X21" i="4"/>
  <c r="AD21" i="4"/>
  <c r="E15" i="5"/>
  <c r="E18" i="5" s="1"/>
  <c r="L18" i="5" s="1"/>
  <c r="G30" i="4"/>
  <c r="G32" i="4"/>
  <c r="G29" i="4"/>
  <c r="F15" i="5"/>
  <c r="H26" i="4"/>
  <c r="P18" i="2"/>
  <c r="L13" i="4"/>
  <c r="I8" i="8" s="1"/>
  <c r="G17" i="8" s="1"/>
  <c r="L15" i="4"/>
  <c r="I10" i="8" s="1"/>
  <c r="G19" i="8" s="1"/>
  <c r="I30" i="2"/>
  <c r="L14" i="4"/>
  <c r="I9" i="8" s="1"/>
  <c r="G18" i="8" s="1"/>
  <c r="L12" i="4"/>
  <c r="I7" i="8" s="1"/>
  <c r="G16" i="8" s="1"/>
  <c r="L11" i="4"/>
  <c r="I6" i="8" s="1"/>
  <c r="G15" i="8" s="1"/>
  <c r="O21" i="3"/>
  <c r="Q33" i="3"/>
  <c r="P34" i="3" s="1"/>
  <c r="O32" i="3"/>
  <c r="M33" i="3"/>
  <c r="O22" i="3" l="1"/>
  <c r="F14" i="8"/>
  <c r="J14" i="8" s="1"/>
  <c r="O14" i="8"/>
  <c r="S14" i="8" s="1"/>
  <c r="L18" i="8"/>
  <c r="P18" i="8"/>
  <c r="K17" i="8"/>
  <c r="F17" i="8"/>
  <c r="J17" i="8" s="1"/>
  <c r="O17" i="8"/>
  <c r="L16" i="8"/>
  <c r="P16" i="8"/>
  <c r="V5" i="7"/>
  <c r="N5" i="7" s="1"/>
  <c r="K15" i="8"/>
  <c r="F15" i="8"/>
  <c r="J15" i="8" s="1"/>
  <c r="O15" i="8"/>
  <c r="S15" i="8" s="1"/>
  <c r="K16" i="8"/>
  <c r="F16" i="8"/>
  <c r="O16" i="8"/>
  <c r="L15" i="8"/>
  <c r="P15" i="8"/>
  <c r="L19" i="8"/>
  <c r="P19" i="8"/>
  <c r="L17" i="8"/>
  <c r="P17" i="8"/>
  <c r="J10" i="4"/>
  <c r="H19" i="4"/>
  <c r="M19" i="4" s="1"/>
  <c r="N19" i="4" s="1"/>
  <c r="I5" i="8"/>
  <c r="G14" i="8" s="1"/>
  <c r="B20" i="5"/>
  <c r="K18" i="8"/>
  <c r="F18" i="8"/>
  <c r="J18" i="8" s="1"/>
  <c r="O18" i="8"/>
  <c r="K19" i="8"/>
  <c r="F19" i="8"/>
  <c r="J19" i="8" s="1"/>
  <c r="O19" i="8"/>
  <c r="S19" i="8" s="1"/>
  <c r="T18" i="5"/>
  <c r="F18" i="5"/>
  <c r="AE19" i="4"/>
  <c r="G14" i="7" s="1"/>
  <c r="AE17" i="4"/>
  <c r="G12" i="7" s="1"/>
  <c r="AE20" i="4"/>
  <c r="G15" i="7" s="1"/>
  <c r="V20" i="4"/>
  <c r="V12" i="4"/>
  <c r="AE12" i="4"/>
  <c r="G7" i="7" s="1"/>
  <c r="V14" i="4"/>
  <c r="AE14" i="4"/>
  <c r="G9" i="7" s="1"/>
  <c r="AE21" i="4"/>
  <c r="V21" i="4"/>
  <c r="V18" i="4"/>
  <c r="AE18" i="4"/>
  <c r="G13" i="7" s="1"/>
  <c r="V15" i="4"/>
  <c r="AE15" i="4"/>
  <c r="G10" i="7" s="1"/>
  <c r="V16" i="4"/>
  <c r="AE16" i="4"/>
  <c r="G11" i="7" s="1"/>
  <c r="V11" i="4"/>
  <c r="AE11" i="4"/>
  <c r="G6" i="7" s="1"/>
  <c r="AE10" i="4"/>
  <c r="G5" i="7" s="1"/>
  <c r="AE13" i="4"/>
  <c r="G8" i="7" s="1"/>
  <c r="V13" i="4"/>
  <c r="E19" i="5"/>
  <c r="H24" i="4"/>
  <c r="M24" i="4" s="1"/>
  <c r="N24" i="4" s="1"/>
  <c r="H33" i="4"/>
  <c r="J13" i="4"/>
  <c r="H31" i="4"/>
  <c r="G31" i="4"/>
  <c r="H29" i="4"/>
  <c r="G33" i="4"/>
  <c r="H28" i="4"/>
  <c r="H30" i="4"/>
  <c r="H23" i="4"/>
  <c r="M23" i="4" s="1"/>
  <c r="H32" i="4"/>
  <c r="H22" i="4"/>
  <c r="M22" i="4" s="1"/>
  <c r="J15" i="4"/>
  <c r="J14" i="4"/>
  <c r="J12" i="4"/>
  <c r="H21" i="4"/>
  <c r="M21" i="4" s="1"/>
  <c r="N21" i="4" s="1"/>
  <c r="J11" i="4"/>
  <c r="H20" i="4"/>
  <c r="M20" i="4" s="1"/>
  <c r="M23" i="3"/>
  <c r="Q23" i="3"/>
  <c r="P24" i="3" s="1"/>
  <c r="P33" i="3"/>
  <c r="R21" i="3"/>
  <c r="N33" i="3"/>
  <c r="N34" i="3"/>
  <c r="S18" i="2"/>
  <c r="I14" i="10" l="1"/>
  <c r="I13" i="10"/>
  <c r="I16" i="10"/>
  <c r="I15" i="10"/>
  <c r="I11" i="10"/>
  <c r="I12" i="10"/>
  <c r="I5" i="10"/>
  <c r="I6" i="10"/>
  <c r="I8" i="10"/>
  <c r="I7" i="10"/>
  <c r="V10" i="9"/>
  <c r="V21" i="9"/>
  <c r="V23" i="9"/>
  <c r="V12" i="9"/>
  <c r="V17" i="9"/>
  <c r="V28" i="9"/>
  <c r="T19" i="8"/>
  <c r="T15" i="8"/>
  <c r="J16" i="8"/>
  <c r="N16" i="8"/>
  <c r="N14" i="8"/>
  <c r="R14" i="8" s="1"/>
  <c r="N23" i="3"/>
  <c r="N17" i="8"/>
  <c r="R17" i="8" s="1"/>
  <c r="N19" i="8"/>
  <c r="R19" i="8" s="1"/>
  <c r="N18" i="8"/>
  <c r="R18" i="8" s="1"/>
  <c r="Q19" i="8"/>
  <c r="U19" i="8" s="1"/>
  <c r="Q14" i="8"/>
  <c r="U14" i="8" s="1"/>
  <c r="P14" i="8"/>
  <c r="T14" i="8" s="1"/>
  <c r="E20" i="5"/>
  <c r="E21" i="5" s="1"/>
  <c r="V6" i="7"/>
  <c r="N6" i="7" s="1"/>
  <c r="N15" i="8"/>
  <c r="R15" i="8" s="1"/>
  <c r="AH18" i="5"/>
  <c r="AH14" i="5" s="1"/>
  <c r="T16" i="5"/>
  <c r="T19" i="5"/>
  <c r="AH19" i="5" s="1"/>
  <c r="AK19" i="5" s="1"/>
  <c r="AC18" i="5"/>
  <c r="F19" i="5"/>
  <c r="L19" i="5"/>
  <c r="N24" i="3"/>
  <c r="N22" i="4"/>
  <c r="N23" i="4"/>
  <c r="N20" i="4"/>
  <c r="O33" i="3"/>
  <c r="Q35" i="3" s="1"/>
  <c r="P23" i="3"/>
  <c r="N20" i="2"/>
  <c r="R20" i="2"/>
  <c r="P19" i="2"/>
  <c r="N18" i="4" l="1"/>
  <c r="I9" i="10"/>
  <c r="I10" i="10"/>
  <c r="X28" i="9"/>
  <c r="X17" i="9"/>
  <c r="U12" i="9"/>
  <c r="U23" i="9"/>
  <c r="U10" i="9"/>
  <c r="U21" i="9"/>
  <c r="W10" i="9"/>
  <c r="W21" i="9"/>
  <c r="W12" i="9"/>
  <c r="W23" i="9"/>
  <c r="U17" i="9"/>
  <c r="U28" i="9"/>
  <c r="X10" i="9"/>
  <c r="X12" i="9"/>
  <c r="X21" i="9"/>
  <c r="X23" i="9"/>
  <c r="U26" i="9"/>
  <c r="U15" i="9"/>
  <c r="W17" i="9"/>
  <c r="W28" i="9"/>
  <c r="R16" i="8"/>
  <c r="T21" i="5"/>
  <c r="AH21" i="5" s="1"/>
  <c r="V8" i="7"/>
  <c r="N8" i="7" s="1"/>
  <c r="T20" i="5"/>
  <c r="V7" i="7"/>
  <c r="N7" i="7" s="1"/>
  <c r="L20" i="5"/>
  <c r="AC19" i="5"/>
  <c r="F20" i="5"/>
  <c r="E22" i="5"/>
  <c r="L21" i="5"/>
  <c r="O34" i="3"/>
  <c r="M35" i="3"/>
  <c r="N36" i="3" s="1"/>
  <c r="R33" i="3"/>
  <c r="O23" i="3"/>
  <c r="O24" i="3" s="1"/>
  <c r="P36" i="3"/>
  <c r="O20" i="2"/>
  <c r="Q20" i="2"/>
  <c r="U24" i="9" l="1"/>
  <c r="U13" i="9"/>
  <c r="AC21" i="5"/>
  <c r="T22" i="5"/>
  <c r="AH22" i="5" s="1"/>
  <c r="AK22" i="5" s="1"/>
  <c r="V9" i="7"/>
  <c r="N9" i="7" s="1"/>
  <c r="AH20" i="5"/>
  <c r="AK20" i="5" s="1"/>
  <c r="AC20" i="5"/>
  <c r="F21" i="5"/>
  <c r="N35" i="3"/>
  <c r="E23" i="5"/>
  <c r="L22" i="5"/>
  <c r="P35" i="3"/>
  <c r="M25" i="3"/>
  <c r="R23" i="3"/>
  <c r="Q25" i="3"/>
  <c r="P26" i="3" s="1"/>
  <c r="P20" i="2"/>
  <c r="AK21" i="5" l="1"/>
  <c r="T23" i="5"/>
  <c r="AH23" i="5" s="1"/>
  <c r="AK23" i="5" s="1"/>
  <c r="V10" i="7"/>
  <c r="N10" i="7" s="1"/>
  <c r="AC22" i="5"/>
  <c r="F22" i="5"/>
  <c r="O35" i="3"/>
  <c r="O36" i="3" s="1"/>
  <c r="N26" i="3"/>
  <c r="E24" i="5"/>
  <c r="L23" i="5"/>
  <c r="N25" i="3"/>
  <c r="P25" i="3"/>
  <c r="S20" i="2"/>
  <c r="R22" i="2"/>
  <c r="N22" i="2"/>
  <c r="P21" i="2"/>
  <c r="T24" i="5" l="1"/>
  <c r="AH24" i="5" s="1"/>
  <c r="AK24" i="5" s="1"/>
  <c r="V11" i="7"/>
  <c r="N11" i="7" s="1"/>
  <c r="AC23" i="5"/>
  <c r="F23" i="5"/>
  <c r="M37" i="3"/>
  <c r="Q37" i="3"/>
  <c r="R35" i="3"/>
  <c r="E25" i="5"/>
  <c r="L24" i="5"/>
  <c r="O22" i="2"/>
  <c r="Q22" i="2"/>
  <c r="M38" i="3" l="1"/>
  <c r="N43" i="3" s="1"/>
  <c r="M39" i="3"/>
  <c r="N40" i="3" s="1"/>
  <c r="L43" i="3" s="1"/>
  <c r="P37" i="3"/>
  <c r="Q39" i="3"/>
  <c r="P40" i="3" s="1"/>
  <c r="P43" i="3" s="1"/>
  <c r="AC24" i="5"/>
  <c r="T25" i="5"/>
  <c r="AH25" i="5" s="1"/>
  <c r="AK25" i="5" s="1"/>
  <c r="V12" i="7"/>
  <c r="N12" i="7" s="1"/>
  <c r="F24" i="5"/>
  <c r="P38" i="3"/>
  <c r="Q38" i="3"/>
  <c r="R43" i="3" s="1"/>
  <c r="N37" i="3"/>
  <c r="N38" i="3"/>
  <c r="E26" i="5"/>
  <c r="L25" i="5"/>
  <c r="P22" i="2"/>
  <c r="R24" i="2" s="1"/>
  <c r="O37" i="3" l="1"/>
  <c r="O38" i="3" s="1"/>
  <c r="M43" i="3" s="1"/>
  <c r="T26" i="5"/>
  <c r="AH26" i="5" s="1"/>
  <c r="AK26" i="5" s="1"/>
  <c r="V13" i="7"/>
  <c r="N13" i="7" s="1"/>
  <c r="AC25" i="5"/>
  <c r="F25" i="5"/>
  <c r="E27" i="5"/>
  <c r="L26" i="5"/>
  <c r="N24" i="2"/>
  <c r="S22" i="2"/>
  <c r="P23" i="2"/>
  <c r="R37" i="3" l="1"/>
  <c r="R39" i="3" s="1"/>
  <c r="Q43" i="3"/>
  <c r="AC26" i="5"/>
  <c r="T27" i="5"/>
  <c r="AH27" i="5" s="1"/>
  <c r="AK27" i="5" s="1"/>
  <c r="V14" i="7"/>
  <c r="N14" i="7" s="1"/>
  <c r="F26" i="5"/>
  <c r="E28" i="5"/>
  <c r="L27" i="5"/>
  <c r="Q24" i="2"/>
  <c r="O24" i="2"/>
  <c r="T28" i="5" l="1"/>
  <c r="AH28" i="5" s="1"/>
  <c r="AK28" i="5" s="1"/>
  <c r="V15" i="7"/>
  <c r="N15" i="7" s="1"/>
  <c r="AC27" i="5"/>
  <c r="F27" i="5"/>
  <c r="E29" i="5"/>
  <c r="L28" i="5"/>
  <c r="P24" i="2"/>
  <c r="AC28" i="5" l="1"/>
  <c r="T29" i="5"/>
  <c r="AH29" i="5" s="1"/>
  <c r="AK29" i="5" s="1"/>
  <c r="V16" i="7"/>
  <c r="N16" i="7" s="1"/>
  <c r="F28" i="5"/>
  <c r="P25" i="2"/>
  <c r="E30" i="5"/>
  <c r="L29" i="5"/>
  <c r="N26" i="2"/>
  <c r="S24" i="2"/>
  <c r="R26" i="2"/>
  <c r="T30" i="5" l="1"/>
  <c r="AH30" i="5" s="1"/>
  <c r="AK30" i="5" s="1"/>
  <c r="V17" i="7"/>
  <c r="N17" i="7" s="1"/>
  <c r="AC29" i="5"/>
  <c r="F29" i="5"/>
  <c r="O26" i="2"/>
  <c r="E31" i="5"/>
  <c r="L30" i="5"/>
  <c r="Q26" i="2"/>
  <c r="AC30" i="5" l="1"/>
  <c r="T31" i="5"/>
  <c r="AH31" i="5" s="1"/>
  <c r="AK31" i="5" s="1"/>
  <c r="V18" i="7"/>
  <c r="N18" i="7" s="1"/>
  <c r="F30" i="5"/>
  <c r="E32" i="5"/>
  <c r="L31" i="5"/>
  <c r="P26" i="2"/>
  <c r="S26" i="2" s="1"/>
  <c r="T32" i="5" l="1"/>
  <c r="AH32" i="5" s="1"/>
  <c r="AK32" i="5" s="1"/>
  <c r="V19" i="7"/>
  <c r="N19" i="7" s="1"/>
  <c r="AC31" i="5"/>
  <c r="F31" i="5"/>
  <c r="E33" i="5"/>
  <c r="L32" i="5"/>
  <c r="P27" i="2"/>
  <c r="N28" i="2"/>
  <c r="R28" i="2"/>
  <c r="AC32" i="5" l="1"/>
  <c r="T33" i="5"/>
  <c r="AH33" i="5" s="1"/>
  <c r="AK33" i="5" s="1"/>
  <c r="V20" i="7"/>
  <c r="N20" i="7" s="1"/>
  <c r="F32" i="5"/>
  <c r="E34" i="5"/>
  <c r="L33" i="5"/>
  <c r="Q28" i="2"/>
  <c r="O28" i="2"/>
  <c r="T34" i="5" l="1"/>
  <c r="AH34" i="5" s="1"/>
  <c r="AK34" i="5" s="1"/>
  <c r="V21" i="7"/>
  <c r="N21" i="7" s="1"/>
  <c r="AC33" i="5"/>
  <c r="F33" i="5"/>
  <c r="E35" i="5"/>
  <c r="L34" i="5"/>
  <c r="P28" i="2"/>
  <c r="S28" i="2" s="1"/>
  <c r="AC34" i="5" l="1"/>
  <c r="T35" i="5"/>
  <c r="AH35" i="5" s="1"/>
  <c r="AK35" i="5" s="1"/>
  <c r="V22" i="7"/>
  <c r="N22" i="7" s="1"/>
  <c r="F34" i="5"/>
  <c r="E36" i="5"/>
  <c r="L35" i="5"/>
  <c r="R30" i="2"/>
  <c r="P29" i="2"/>
  <c r="N30" i="2"/>
  <c r="T36" i="5" l="1"/>
  <c r="AH36" i="5" s="1"/>
  <c r="AK36" i="5" s="1"/>
  <c r="V23" i="7"/>
  <c r="N23" i="7" s="1"/>
  <c r="AC35" i="5"/>
  <c r="F35" i="5"/>
  <c r="E37" i="5"/>
  <c r="L36" i="5"/>
  <c r="Q30" i="2"/>
  <c r="O30" i="2"/>
  <c r="AC36" i="5" l="1"/>
  <c r="T37" i="5"/>
  <c r="AH37" i="5" s="1"/>
  <c r="AK37" i="5" s="1"/>
  <c r="V24" i="7"/>
  <c r="N24" i="7" s="1"/>
  <c r="F36" i="5"/>
  <c r="E38" i="5"/>
  <c r="L37" i="5"/>
  <c r="P30" i="2"/>
  <c r="S30" i="2" s="1"/>
  <c r="AC37" i="5" l="1"/>
  <c r="T38" i="5"/>
  <c r="AH38" i="5" s="1"/>
  <c r="AK38" i="5" s="1"/>
  <c r="V25" i="7"/>
  <c r="N25" i="7" s="1"/>
  <c r="F37" i="5"/>
  <c r="E39" i="5"/>
  <c r="L38" i="5"/>
  <c r="N32" i="2"/>
  <c r="P31" i="2"/>
  <c r="R32" i="2"/>
  <c r="T39" i="5" l="1"/>
  <c r="AH39" i="5" s="1"/>
  <c r="AK39" i="5" s="1"/>
  <c r="V26" i="7"/>
  <c r="N26" i="7" s="1"/>
  <c r="AC38" i="5"/>
  <c r="F38" i="5"/>
  <c r="E40" i="5"/>
  <c r="L39" i="5"/>
  <c r="Q32" i="2"/>
  <c r="O32" i="2"/>
  <c r="AC39" i="5" l="1"/>
  <c r="T40" i="5"/>
  <c r="AH40" i="5" s="1"/>
  <c r="AK40" i="5" s="1"/>
  <c r="V27" i="7"/>
  <c r="N27" i="7" s="1"/>
  <c r="F39" i="5"/>
  <c r="E41" i="5"/>
  <c r="L40" i="5"/>
  <c r="P32" i="2"/>
  <c r="S32" i="2" s="1"/>
  <c r="AC40" i="5" l="1"/>
  <c r="T41" i="5"/>
  <c r="AH41" i="5" s="1"/>
  <c r="AK41" i="5" s="1"/>
  <c r="V28" i="7"/>
  <c r="N28" i="7" s="1"/>
  <c r="F40" i="5"/>
  <c r="E42" i="5"/>
  <c r="L41" i="5"/>
  <c r="P33" i="2"/>
  <c r="R34" i="2"/>
  <c r="N34" i="2"/>
  <c r="T42" i="5" l="1"/>
  <c r="AH42" i="5" s="1"/>
  <c r="AK42" i="5" s="1"/>
  <c r="V29" i="7"/>
  <c r="N29" i="7" s="1"/>
  <c r="AC41" i="5"/>
  <c r="F41" i="5"/>
  <c r="E43" i="5"/>
  <c r="L42" i="5"/>
  <c r="Q34" i="2"/>
  <c r="O34" i="2"/>
  <c r="T43" i="5" l="1"/>
  <c r="AH43" i="5" s="1"/>
  <c r="AK43" i="5" s="1"/>
  <c r="V30" i="7"/>
  <c r="N30" i="7" s="1"/>
  <c r="AC42" i="5"/>
  <c r="F42" i="5"/>
  <c r="E44" i="5"/>
  <c r="L43" i="5"/>
  <c r="P34" i="2"/>
  <c r="R36" i="2" s="1"/>
  <c r="T44" i="5" l="1"/>
  <c r="AH44" i="5" s="1"/>
  <c r="AK44" i="5" s="1"/>
  <c r="V31" i="7"/>
  <c r="N31" i="7" s="1"/>
  <c r="AC43" i="5"/>
  <c r="F43" i="5"/>
  <c r="E45" i="5"/>
  <c r="L44" i="5"/>
  <c r="S34" i="2"/>
  <c r="N36" i="2"/>
  <c r="P35" i="2"/>
  <c r="O25" i="3"/>
  <c r="O26" i="3" l="1"/>
  <c r="AC44" i="5"/>
  <c r="T45" i="5"/>
  <c r="AH45" i="5" s="1"/>
  <c r="AK45" i="5" s="1"/>
  <c r="V32" i="7"/>
  <c r="N32" i="7" s="1"/>
  <c r="F44" i="5"/>
  <c r="O36" i="2"/>
  <c r="E46" i="5"/>
  <c r="L45" i="5"/>
  <c r="Q36" i="2"/>
  <c r="Q27" i="3"/>
  <c r="M27" i="3"/>
  <c r="R25" i="3"/>
  <c r="M29" i="3" l="1"/>
  <c r="N30" i="3" s="1"/>
  <c r="L42" i="3" s="1"/>
  <c r="Q29" i="3"/>
  <c r="P30" i="3" s="1"/>
  <c r="P42" i="3" s="1"/>
  <c r="P28" i="3"/>
  <c r="N27" i="3"/>
  <c r="AC45" i="5"/>
  <c r="T46" i="5"/>
  <c r="AH46" i="5" s="1"/>
  <c r="AK46" i="5" s="1"/>
  <c r="V33" i="7"/>
  <c r="N33" i="7" s="1"/>
  <c r="F45" i="5"/>
  <c r="P36" i="2"/>
  <c r="S36" i="2" s="1"/>
  <c r="S38" i="2" s="1"/>
  <c r="E47" i="5"/>
  <c r="L46" i="5"/>
  <c r="M28" i="3"/>
  <c r="N42" i="3" s="1"/>
  <c r="Q28" i="3"/>
  <c r="R42" i="3" s="1"/>
  <c r="N28" i="3"/>
  <c r="P27" i="3"/>
  <c r="O42" i="3" l="1"/>
  <c r="O43" i="3" s="1"/>
  <c r="M47" i="3"/>
  <c r="K42" i="3"/>
  <c r="K43" i="3" s="1"/>
  <c r="Q47" i="3"/>
  <c r="T47" i="5"/>
  <c r="AH47" i="5" s="1"/>
  <c r="AK47" i="5" s="1"/>
  <c r="V34" i="7"/>
  <c r="N34" i="7" s="1"/>
  <c r="AC46" i="5"/>
  <c r="F46" i="5"/>
  <c r="L47" i="5"/>
  <c r="E48" i="5"/>
  <c r="B19" i="5"/>
  <c r="C20" i="5" s="1"/>
  <c r="O27" i="3"/>
  <c r="O28" i="3" s="1"/>
  <c r="M42" i="3" s="1"/>
  <c r="Q42" i="3" l="1"/>
  <c r="N47" i="3"/>
  <c r="P48" i="3"/>
  <c r="AC47" i="5"/>
  <c r="T48" i="5"/>
  <c r="AH48" i="5" s="1"/>
  <c r="AK48" i="5" s="1"/>
  <c r="V35" i="7"/>
  <c r="N35" i="7" s="1"/>
  <c r="F47" i="5"/>
  <c r="N48" i="3"/>
  <c r="L48" i="5"/>
  <c r="E49" i="5"/>
  <c r="P47" i="3"/>
  <c r="R27" i="3"/>
  <c r="R29" i="3" s="1"/>
  <c r="O47" i="3" l="1"/>
  <c r="R47" i="3" s="1"/>
  <c r="T49" i="5"/>
  <c r="AH49" i="5" s="1"/>
  <c r="AK49" i="5" s="1"/>
  <c r="V36" i="7"/>
  <c r="N36" i="7" s="1"/>
  <c r="AC48" i="5"/>
  <c r="F48" i="5"/>
  <c r="L49" i="5"/>
  <c r="E50" i="5"/>
  <c r="Q49" i="3" l="1"/>
  <c r="P50" i="3" s="1"/>
  <c r="M49" i="3"/>
  <c r="N50" i="3" s="1"/>
  <c r="O48" i="3"/>
  <c r="AC49" i="5"/>
  <c r="T50" i="5"/>
  <c r="AH50" i="5" s="1"/>
  <c r="AK50" i="5" s="1"/>
  <c r="V37" i="7"/>
  <c r="N37" i="7" s="1"/>
  <c r="F49" i="5"/>
  <c r="L50" i="5"/>
  <c r="E51" i="5"/>
  <c r="N49" i="3" l="1"/>
  <c r="P49" i="3"/>
  <c r="T51" i="5"/>
  <c r="AH51" i="5" s="1"/>
  <c r="AK51" i="5" s="1"/>
  <c r="V38" i="7"/>
  <c r="N38" i="7" s="1"/>
  <c r="AC50" i="5"/>
  <c r="F50" i="5"/>
  <c r="L51" i="5"/>
  <c r="E52" i="5"/>
  <c r="O49" i="3" l="1"/>
  <c r="M51" i="3" s="1"/>
  <c r="T52" i="5"/>
  <c r="AH52" i="5" s="1"/>
  <c r="AK52" i="5" s="1"/>
  <c r="V39" i="7"/>
  <c r="N39" i="7" s="1"/>
  <c r="AC51" i="5"/>
  <c r="F51" i="5"/>
  <c r="L52" i="5"/>
  <c r="E53" i="5"/>
  <c r="O50" i="3" l="1"/>
  <c r="Q51" i="3"/>
  <c r="O18" i="3" s="1"/>
  <c r="R49" i="3"/>
  <c r="N52" i="3"/>
  <c r="T53" i="5"/>
  <c r="AH53" i="5" s="1"/>
  <c r="AK53" i="5" s="1"/>
  <c r="V40" i="7"/>
  <c r="N40" i="7" s="1"/>
  <c r="AC52" i="5"/>
  <c r="F52" i="5"/>
  <c r="L53" i="5"/>
  <c r="E54" i="5"/>
  <c r="P52" i="3" l="1"/>
  <c r="P51" i="3"/>
  <c r="N51" i="3"/>
  <c r="AC53" i="5"/>
  <c r="T54" i="5"/>
  <c r="AH54" i="5" s="1"/>
  <c r="AK54" i="5" s="1"/>
  <c r="V41" i="7"/>
  <c r="N41" i="7" s="1"/>
  <c r="F53" i="5"/>
  <c r="L54" i="5"/>
  <c r="E55" i="5"/>
  <c r="O51" i="3" l="1"/>
  <c r="R51" i="3" s="1"/>
  <c r="R52" i="3" s="1"/>
  <c r="R19" i="3" s="1"/>
  <c r="O52" i="3"/>
  <c r="T55" i="5"/>
  <c r="AH55" i="5" s="1"/>
  <c r="AK55" i="5" s="1"/>
  <c r="V42" i="7"/>
  <c r="N42" i="7" s="1"/>
  <c r="AC54" i="5"/>
  <c r="F54" i="5"/>
  <c r="L55" i="5"/>
  <c r="E56" i="5"/>
  <c r="AC55" i="5" l="1"/>
  <c r="T56" i="5"/>
  <c r="AH56" i="5" s="1"/>
  <c r="AK56" i="5" s="1"/>
  <c r="V43" i="7"/>
  <c r="N43" i="7" s="1"/>
  <c r="F55" i="5"/>
  <c r="L56" i="5"/>
  <c r="E57" i="5"/>
  <c r="T57" i="5" l="1"/>
  <c r="AH57" i="5" s="1"/>
  <c r="AK57" i="5" s="1"/>
  <c r="V44" i="7"/>
  <c r="N44" i="7" s="1"/>
  <c r="AC56" i="5"/>
  <c r="F56" i="5"/>
  <c r="L57" i="5"/>
  <c r="E58" i="5"/>
  <c r="T58" i="5" l="1"/>
  <c r="AH58" i="5" s="1"/>
  <c r="AK58" i="5" s="1"/>
  <c r="V45" i="7"/>
  <c r="N45" i="7" s="1"/>
  <c r="AC57" i="5"/>
  <c r="F57" i="5"/>
  <c r="L58" i="5"/>
  <c r="E59" i="5"/>
  <c r="T59" i="5" l="1"/>
  <c r="AH59" i="5" s="1"/>
  <c r="AK59" i="5" s="1"/>
  <c r="V46" i="7"/>
  <c r="N46" i="7" s="1"/>
  <c r="AC58" i="5"/>
  <c r="F58" i="5"/>
  <c r="L59" i="5"/>
  <c r="E60" i="5"/>
  <c r="AC59" i="5" l="1"/>
  <c r="T60" i="5"/>
  <c r="AH60" i="5" s="1"/>
  <c r="AK60" i="5" s="1"/>
  <c r="V47" i="7"/>
  <c r="N47" i="7" s="1"/>
  <c r="F59" i="5"/>
  <c r="L60" i="5"/>
  <c r="E61" i="5"/>
  <c r="AC60" i="5" l="1"/>
  <c r="T61" i="5"/>
  <c r="AH61" i="5" s="1"/>
  <c r="AK61" i="5" s="1"/>
  <c r="V48" i="7"/>
  <c r="N48" i="7" s="1"/>
  <c r="F60" i="5"/>
  <c r="L61" i="5"/>
  <c r="E62" i="5"/>
  <c r="T62" i="5" l="1"/>
  <c r="AH62" i="5" s="1"/>
  <c r="AK62" i="5" s="1"/>
  <c r="V49" i="7"/>
  <c r="N49" i="7" s="1"/>
  <c r="AC61" i="5"/>
  <c r="F61" i="5"/>
  <c r="L62" i="5"/>
  <c r="E63" i="5"/>
  <c r="AC62" i="5" l="1"/>
  <c r="T63" i="5"/>
  <c r="AH63" i="5" s="1"/>
  <c r="AK63" i="5" s="1"/>
  <c r="V50" i="7"/>
  <c r="N50" i="7" s="1"/>
  <c r="F62" i="5"/>
  <c r="L63" i="5"/>
  <c r="E64" i="5"/>
  <c r="T64" i="5" l="1"/>
  <c r="AH64" i="5" s="1"/>
  <c r="AK64" i="5" s="1"/>
  <c r="V51" i="7"/>
  <c r="N51" i="7" s="1"/>
  <c r="AC63" i="5"/>
  <c r="F63" i="5"/>
  <c r="L64" i="5"/>
  <c r="E65" i="5"/>
  <c r="AC64" i="5" l="1"/>
  <c r="T65" i="5"/>
  <c r="AH65" i="5" s="1"/>
  <c r="AK65" i="5" s="1"/>
  <c r="V52" i="7"/>
  <c r="N52" i="7" s="1"/>
  <c r="F64" i="5"/>
  <c r="L65" i="5"/>
  <c r="E66" i="5"/>
  <c r="AC65" i="5" l="1"/>
  <c r="T66" i="5"/>
  <c r="AH66" i="5" s="1"/>
  <c r="AK66" i="5" s="1"/>
  <c r="V53" i="7"/>
  <c r="N53" i="7" s="1"/>
  <c r="F65" i="5"/>
  <c r="L66" i="5"/>
  <c r="E67" i="5"/>
  <c r="T67" i="5" l="1"/>
  <c r="AH67" i="5" s="1"/>
  <c r="AK67" i="5" s="1"/>
  <c r="V54" i="7"/>
  <c r="N54" i="7" s="1"/>
  <c r="AC66" i="5"/>
  <c r="F66" i="5"/>
  <c r="L67" i="5"/>
  <c r="E68" i="5"/>
  <c r="B18" i="5"/>
  <c r="C19" i="5" s="1"/>
  <c r="T68" i="5" l="1"/>
  <c r="AH68" i="5" s="1"/>
  <c r="AK68" i="5" s="1"/>
  <c r="V55" i="7"/>
  <c r="N55" i="7" s="1"/>
  <c r="AC67" i="5"/>
  <c r="F67" i="5"/>
  <c r="L68" i="5"/>
  <c r="E69" i="5"/>
  <c r="B22" i="5"/>
  <c r="B21" i="5"/>
  <c r="T69" i="5" l="1"/>
  <c r="AH69" i="5" s="1"/>
  <c r="AK69" i="5" s="1"/>
  <c r="V56" i="7"/>
  <c r="N56" i="7" s="1"/>
  <c r="AC68" i="5"/>
  <c r="F68" i="5"/>
  <c r="L69" i="5"/>
  <c r="E70" i="5"/>
  <c r="T70" i="5" l="1"/>
  <c r="AH70" i="5" s="1"/>
  <c r="AK70" i="5" s="1"/>
  <c r="V57" i="7"/>
  <c r="N57" i="7" s="1"/>
  <c r="AC69" i="5"/>
  <c r="F69" i="5"/>
  <c r="L70" i="5"/>
  <c r="E71" i="5"/>
  <c r="AC70" i="5" l="1"/>
  <c r="T71" i="5"/>
  <c r="AH71" i="5" s="1"/>
  <c r="AK71" i="5" s="1"/>
  <c r="V58" i="7"/>
  <c r="N58" i="7" s="1"/>
  <c r="F70" i="5"/>
  <c r="L71" i="5"/>
  <c r="E72" i="5"/>
  <c r="T72" i="5" l="1"/>
  <c r="AH72" i="5" s="1"/>
  <c r="AK72" i="5" s="1"/>
  <c r="V59" i="7"/>
  <c r="N59" i="7" s="1"/>
  <c r="AC71" i="5"/>
  <c r="F71" i="5"/>
  <c r="L72" i="5"/>
  <c r="E73" i="5"/>
  <c r="AC72" i="5" l="1"/>
  <c r="T73" i="5"/>
  <c r="AH73" i="5" s="1"/>
  <c r="AK73" i="5" s="1"/>
  <c r="V60" i="7"/>
  <c r="N60" i="7" s="1"/>
  <c r="F72" i="5"/>
  <c r="L73" i="5"/>
  <c r="E74" i="5"/>
  <c r="T74" i="5" l="1"/>
  <c r="AH74" i="5" s="1"/>
  <c r="AK74" i="5" s="1"/>
  <c r="V61" i="7"/>
  <c r="N61" i="7" s="1"/>
  <c r="AC73" i="5"/>
  <c r="F73" i="5"/>
  <c r="L74" i="5"/>
  <c r="E75" i="5"/>
  <c r="T75" i="5" l="1"/>
  <c r="AH75" i="5" s="1"/>
  <c r="AK75" i="5" s="1"/>
  <c r="V62" i="7"/>
  <c r="N62" i="7" s="1"/>
  <c r="AC74" i="5"/>
  <c r="F74" i="5"/>
  <c r="L75" i="5"/>
  <c r="E76" i="5"/>
  <c r="T76" i="5" l="1"/>
  <c r="AH76" i="5" s="1"/>
  <c r="AK76" i="5" s="1"/>
  <c r="V63" i="7"/>
  <c r="N63" i="7" s="1"/>
  <c r="AC75" i="5"/>
  <c r="F75" i="5"/>
  <c r="L76" i="5"/>
  <c r="E77" i="5"/>
  <c r="T77" i="5" l="1"/>
  <c r="AH77" i="5" s="1"/>
  <c r="AK77" i="5" s="1"/>
  <c r="V64" i="7"/>
  <c r="N64" i="7" s="1"/>
  <c r="AC76" i="5"/>
  <c r="F76" i="5"/>
  <c r="L77" i="5"/>
  <c r="E78" i="5"/>
  <c r="AC77" i="5" l="1"/>
  <c r="T78" i="5"/>
  <c r="AH78" i="5" s="1"/>
  <c r="AK78" i="5" s="1"/>
  <c r="V65" i="7"/>
  <c r="N65" i="7" s="1"/>
  <c r="F77" i="5"/>
  <c r="L78" i="5"/>
  <c r="E79" i="5"/>
  <c r="T79" i="5" l="1"/>
  <c r="AH79" i="5" s="1"/>
  <c r="AK79" i="5" s="1"/>
  <c r="V66" i="7"/>
  <c r="N66" i="7" s="1"/>
  <c r="AC78" i="5"/>
  <c r="F78" i="5"/>
  <c r="L79" i="5"/>
  <c r="E80" i="5"/>
  <c r="AC79" i="5" l="1"/>
  <c r="T80" i="5"/>
  <c r="AH80" i="5" s="1"/>
  <c r="AK80" i="5" s="1"/>
  <c r="V67" i="7"/>
  <c r="N67" i="7" s="1"/>
  <c r="F79" i="5"/>
  <c r="L80" i="5"/>
  <c r="E81" i="5"/>
  <c r="T81" i="5" l="1"/>
  <c r="AH81" i="5" s="1"/>
  <c r="AK81" i="5" s="1"/>
  <c r="V68" i="7"/>
  <c r="N68" i="7" s="1"/>
  <c r="AC80" i="5"/>
  <c r="F80" i="5"/>
  <c r="L81" i="5"/>
  <c r="E82" i="5"/>
  <c r="AC81" i="5" l="1"/>
  <c r="T82" i="5"/>
  <c r="AH82" i="5" s="1"/>
  <c r="AK82" i="5" s="1"/>
  <c r="V69" i="7"/>
  <c r="N69" i="7" s="1"/>
  <c r="F81" i="5"/>
  <c r="L82" i="5"/>
  <c r="E83" i="5"/>
  <c r="T83" i="5" l="1"/>
  <c r="AH83" i="5" s="1"/>
  <c r="AK83" i="5" s="1"/>
  <c r="V70" i="7"/>
  <c r="N70" i="7" s="1"/>
  <c r="AC82" i="5"/>
  <c r="F82" i="5"/>
  <c r="L83" i="5"/>
  <c r="E84" i="5"/>
  <c r="AC83" i="5" l="1"/>
  <c r="T84" i="5"/>
  <c r="AH84" i="5" s="1"/>
  <c r="AK84" i="5" s="1"/>
  <c r="V71" i="7"/>
  <c r="N71" i="7" s="1"/>
  <c r="F83" i="5"/>
  <c r="L84" i="5"/>
  <c r="E85" i="5"/>
  <c r="T85" i="5" l="1"/>
  <c r="AH85" i="5" s="1"/>
  <c r="AK85" i="5" s="1"/>
  <c r="V72" i="7"/>
  <c r="N72" i="7" s="1"/>
  <c r="AC84" i="5"/>
  <c r="F84" i="5"/>
  <c r="L85" i="5"/>
  <c r="E86" i="5"/>
  <c r="AC85" i="5" l="1"/>
  <c r="T86" i="5"/>
  <c r="AH86" i="5" s="1"/>
  <c r="AK86" i="5" s="1"/>
  <c r="V73" i="7"/>
  <c r="N73" i="7" s="1"/>
  <c r="F85" i="5"/>
  <c r="L86" i="5"/>
  <c r="E87" i="5"/>
  <c r="AC86" i="5" l="1"/>
  <c r="T87" i="5"/>
  <c r="AH87" i="5" s="1"/>
  <c r="AK87" i="5" s="1"/>
  <c r="V74" i="7"/>
  <c r="N74" i="7" s="1"/>
  <c r="F86" i="5"/>
  <c r="L87" i="5"/>
  <c r="B17" i="5"/>
  <c r="C22" i="5" s="1"/>
  <c r="E88" i="5"/>
  <c r="T88" i="5" l="1"/>
  <c r="AH88" i="5" s="1"/>
  <c r="AK88" i="5" s="1"/>
  <c r="V75" i="7"/>
  <c r="N75" i="7" s="1"/>
  <c r="AC87" i="5"/>
  <c r="F87" i="5"/>
  <c r="C18" i="5"/>
  <c r="L88" i="5"/>
  <c r="E89" i="5"/>
  <c r="AC88" i="5" l="1"/>
  <c r="T89" i="5"/>
  <c r="AH89" i="5" s="1"/>
  <c r="AK89" i="5" s="1"/>
  <c r="V76" i="7"/>
  <c r="N76" i="7" s="1"/>
  <c r="F88" i="5"/>
  <c r="L89" i="5"/>
  <c r="E90" i="5"/>
  <c r="T90" i="5" l="1"/>
  <c r="AH90" i="5" s="1"/>
  <c r="AK90" i="5" s="1"/>
  <c r="V77" i="7"/>
  <c r="N77" i="7" s="1"/>
  <c r="AC89" i="5"/>
  <c r="F89" i="5"/>
  <c r="L90" i="5"/>
  <c r="E91" i="5"/>
  <c r="AC90" i="5" l="1"/>
  <c r="T91" i="5"/>
  <c r="AH91" i="5" s="1"/>
  <c r="AK91" i="5" s="1"/>
  <c r="V78" i="7"/>
  <c r="N78" i="7" s="1"/>
  <c r="F90" i="5"/>
  <c r="L91" i="5"/>
  <c r="E92" i="5"/>
  <c r="T92" i="5" l="1"/>
  <c r="AH92" i="5" s="1"/>
  <c r="AK92" i="5" s="1"/>
  <c r="V79" i="7"/>
  <c r="N79" i="7" s="1"/>
  <c r="AC91" i="5"/>
  <c r="F91" i="5"/>
  <c r="L92" i="5"/>
  <c r="E93" i="5"/>
  <c r="AC92" i="5" l="1"/>
  <c r="T93" i="5"/>
  <c r="AH93" i="5" s="1"/>
  <c r="AK93" i="5" s="1"/>
  <c r="V80" i="7"/>
  <c r="N80" i="7" s="1"/>
  <c r="F92" i="5"/>
  <c r="L93" i="5"/>
  <c r="E94" i="5"/>
  <c r="T94" i="5" l="1"/>
  <c r="AH94" i="5" s="1"/>
  <c r="AK94" i="5" s="1"/>
  <c r="V81" i="7"/>
  <c r="N81" i="7" s="1"/>
  <c r="AC93" i="5"/>
  <c r="F93" i="5"/>
  <c r="L94" i="5"/>
  <c r="E95" i="5"/>
  <c r="T95" i="5" l="1"/>
  <c r="AH95" i="5" s="1"/>
  <c r="AK95" i="5" s="1"/>
  <c r="V82" i="7"/>
  <c r="N82" i="7" s="1"/>
  <c r="AC94" i="5"/>
  <c r="F94" i="5"/>
  <c r="L95" i="5"/>
  <c r="E96" i="5"/>
  <c r="AC95" i="5" l="1"/>
  <c r="T96" i="5"/>
  <c r="AH96" i="5" s="1"/>
  <c r="AK96" i="5" s="1"/>
  <c r="V83" i="7"/>
  <c r="N83" i="7" s="1"/>
  <c r="F95" i="5"/>
  <c r="L96" i="5"/>
  <c r="E97" i="5"/>
  <c r="AC96" i="5" l="1"/>
  <c r="T97" i="5"/>
  <c r="AH97" i="5" s="1"/>
  <c r="AK97" i="5" s="1"/>
  <c r="V84" i="7"/>
  <c r="N84" i="7" s="1"/>
  <c r="F96" i="5"/>
  <c r="L97" i="5"/>
  <c r="E98" i="5"/>
  <c r="AC97" i="5" l="1"/>
  <c r="T98" i="5"/>
  <c r="AH98" i="5" s="1"/>
  <c r="AK98" i="5" s="1"/>
  <c r="V85" i="7"/>
  <c r="N85" i="7" s="1"/>
  <c r="F97" i="5"/>
  <c r="L98" i="5"/>
  <c r="E99" i="5"/>
  <c r="T99" i="5" l="1"/>
  <c r="AH99" i="5" s="1"/>
  <c r="AK99" i="5" s="1"/>
  <c r="V86" i="7"/>
  <c r="N86" i="7" s="1"/>
  <c r="AC98" i="5"/>
  <c r="F98" i="5"/>
  <c r="L99" i="5"/>
  <c r="E100" i="5"/>
  <c r="T100" i="5" l="1"/>
  <c r="AH100" i="5" s="1"/>
  <c r="AK100" i="5" s="1"/>
  <c r="V87" i="7"/>
  <c r="N87" i="7" s="1"/>
  <c r="AC99" i="5"/>
  <c r="F99" i="5"/>
  <c r="L100" i="5"/>
  <c r="E101" i="5"/>
  <c r="T101" i="5" l="1"/>
  <c r="AH101" i="5" s="1"/>
  <c r="AK101" i="5" s="1"/>
  <c r="V88" i="7"/>
  <c r="N88" i="7" s="1"/>
  <c r="AC100" i="5"/>
  <c r="F100" i="5"/>
  <c r="L101" i="5"/>
  <c r="E102" i="5"/>
  <c r="AC101" i="5" l="1"/>
  <c r="T102" i="5"/>
  <c r="AH102" i="5" s="1"/>
  <c r="AK102" i="5" s="1"/>
  <c r="V89" i="7"/>
  <c r="N89" i="7" s="1"/>
  <c r="F101" i="5"/>
  <c r="L102" i="5"/>
  <c r="E103" i="5"/>
  <c r="AC102" i="5" l="1"/>
  <c r="T103" i="5"/>
  <c r="AH103" i="5" s="1"/>
  <c r="AK103" i="5" s="1"/>
  <c r="V90" i="7"/>
  <c r="N90" i="7" s="1"/>
  <c r="F102" i="5"/>
  <c r="L103" i="5"/>
  <c r="E104" i="5"/>
  <c r="T104" i="5" l="1"/>
  <c r="AH104" i="5" s="1"/>
  <c r="AK104" i="5" s="1"/>
  <c r="V91" i="7"/>
  <c r="N91" i="7" s="1"/>
  <c r="AC103" i="5"/>
  <c r="F103" i="5"/>
  <c r="L104" i="5"/>
  <c r="E105" i="5"/>
  <c r="AC104" i="5" l="1"/>
  <c r="T105" i="5"/>
  <c r="AH105" i="5" s="1"/>
  <c r="AK105" i="5" s="1"/>
  <c r="V92" i="7"/>
  <c r="N92" i="7" s="1"/>
  <c r="F104" i="5"/>
  <c r="L105" i="5"/>
  <c r="E106" i="5"/>
  <c r="T106" i="5" l="1"/>
  <c r="AH106" i="5" s="1"/>
  <c r="AK106" i="5" s="1"/>
  <c r="V93" i="7"/>
  <c r="N93" i="7" s="1"/>
  <c r="AC105" i="5"/>
  <c r="F105" i="5"/>
  <c r="L106" i="5"/>
  <c r="E107" i="5"/>
  <c r="T107" i="5" l="1"/>
  <c r="AH107" i="5" s="1"/>
  <c r="AK107" i="5" s="1"/>
  <c r="V94" i="7"/>
  <c r="N94" i="7" s="1"/>
  <c r="AC106" i="5"/>
  <c r="F106" i="5"/>
  <c r="B16" i="5"/>
  <c r="C17" i="5" s="1"/>
  <c r="L107" i="5"/>
  <c r="E108" i="5"/>
  <c r="AC107" i="5" l="1"/>
  <c r="T108" i="5"/>
  <c r="AH108" i="5" s="1"/>
  <c r="AK108" i="5" s="1"/>
  <c r="V95" i="7"/>
  <c r="N95" i="7" s="1"/>
  <c r="F107" i="5"/>
  <c r="L108" i="5"/>
  <c r="E109" i="5"/>
  <c r="T109" i="5" l="1"/>
  <c r="AH109" i="5" s="1"/>
  <c r="AK109" i="5" s="1"/>
  <c r="V96" i="7"/>
  <c r="N96" i="7" s="1"/>
  <c r="AC108" i="5"/>
  <c r="F108" i="5"/>
  <c r="L109" i="5"/>
  <c r="E110" i="5"/>
  <c r="AC109" i="5" l="1"/>
  <c r="T110" i="5"/>
  <c r="AH110" i="5" s="1"/>
  <c r="AK110" i="5" s="1"/>
  <c r="V97" i="7"/>
  <c r="N97" i="7" s="1"/>
  <c r="F109" i="5"/>
  <c r="L110" i="5"/>
  <c r="E111" i="5"/>
  <c r="T111" i="5" l="1"/>
  <c r="AH111" i="5" s="1"/>
  <c r="AK111" i="5" s="1"/>
  <c r="V98" i="7"/>
  <c r="N98" i="7" s="1"/>
  <c r="AC110" i="5"/>
  <c r="F110" i="5"/>
  <c r="L111" i="5"/>
  <c r="E112" i="5"/>
  <c r="T112" i="5" l="1"/>
  <c r="AH112" i="5" s="1"/>
  <c r="AK112" i="5" s="1"/>
  <c r="V99" i="7"/>
  <c r="N99" i="7" s="1"/>
  <c r="AC111" i="5"/>
  <c r="F111" i="5"/>
  <c r="L112" i="5"/>
  <c r="E113" i="5"/>
  <c r="T113" i="5" l="1"/>
  <c r="AH113" i="5" s="1"/>
  <c r="AK113" i="5" s="1"/>
  <c r="V100" i="7"/>
  <c r="N100" i="7" s="1"/>
  <c r="AC112" i="5"/>
  <c r="F112" i="5"/>
  <c r="L113" i="5"/>
  <c r="E114" i="5"/>
  <c r="AC113" i="5" l="1"/>
  <c r="T114" i="5"/>
  <c r="AH114" i="5" s="1"/>
  <c r="AK114" i="5" s="1"/>
  <c r="V101" i="7"/>
  <c r="N101" i="7" s="1"/>
  <c r="F113" i="5"/>
  <c r="L114" i="5"/>
  <c r="E115" i="5"/>
  <c r="AC114" i="5" l="1"/>
  <c r="T115" i="5"/>
  <c r="AH115" i="5" s="1"/>
  <c r="AK115" i="5" s="1"/>
  <c r="V102" i="7"/>
  <c r="N102" i="7" s="1"/>
  <c r="F114" i="5"/>
  <c r="L115" i="5"/>
  <c r="E116" i="5"/>
  <c r="T116" i="5" l="1"/>
  <c r="AH116" i="5" s="1"/>
  <c r="AK116" i="5" s="1"/>
  <c r="V103" i="7"/>
  <c r="N103" i="7" s="1"/>
  <c r="AC115" i="5"/>
  <c r="F115" i="5"/>
  <c r="L116" i="5"/>
  <c r="E117" i="5"/>
  <c r="V104" i="7" s="1"/>
  <c r="N104" i="7" s="1"/>
  <c r="AC116" i="5" l="1"/>
  <c r="E14" i="5"/>
  <c r="T117" i="5"/>
  <c r="AH117" i="5" s="1"/>
  <c r="F116" i="5"/>
  <c r="B15" i="5"/>
  <c r="C16" i="5" s="1"/>
  <c r="L117" i="5"/>
  <c r="AK117" i="5" l="1"/>
  <c r="AK118" i="5"/>
  <c r="AC117" i="5"/>
  <c r="F117" i="5"/>
  <c r="L119" i="5"/>
  <c r="L121" i="5" s="1"/>
  <c r="C15" i="5"/>
  <c r="F14" i="5" l="1"/>
  <c r="G15" i="5"/>
  <c r="G18" i="5" s="1"/>
  <c r="U16" i="5" l="1"/>
  <c r="X5" i="7"/>
  <c r="N18" i="5"/>
  <c r="G19" i="5"/>
  <c r="N14" i="5"/>
  <c r="AJ18" i="5" l="1"/>
  <c r="V19" i="5"/>
  <c r="U19" i="5" s="1"/>
  <c r="AI19" i="5" s="1"/>
  <c r="X6" i="7"/>
  <c r="P5" i="7"/>
  <c r="W5" i="7"/>
  <c r="O5" i="7" s="1"/>
  <c r="AI18" i="5"/>
  <c r="AD18" i="5"/>
  <c r="AE18" i="5" s="1"/>
  <c r="M18" i="5"/>
  <c r="G20" i="5"/>
  <c r="N19" i="5"/>
  <c r="L5" i="7" l="1"/>
  <c r="V20" i="5"/>
  <c r="AJ20" i="5" s="1"/>
  <c r="X7" i="7"/>
  <c r="AJ19" i="5"/>
  <c r="AM19" i="5" s="1"/>
  <c r="T5" i="7"/>
  <c r="P6" i="7"/>
  <c r="W6" i="7"/>
  <c r="O6" i="7" s="1"/>
  <c r="AL19" i="5"/>
  <c r="AD19" i="5"/>
  <c r="AI14" i="5"/>
  <c r="M19" i="5"/>
  <c r="K18" i="5" s="1"/>
  <c r="G21" i="5"/>
  <c r="N20" i="5"/>
  <c r="U20" i="5" l="1"/>
  <c r="AI20" i="5" s="1"/>
  <c r="AL20" i="5" s="1"/>
  <c r="AM20" i="5"/>
  <c r="T6" i="7"/>
  <c r="V21" i="5"/>
  <c r="U21" i="5" s="1"/>
  <c r="AI21" i="5" s="1"/>
  <c r="X8" i="7"/>
  <c r="L6" i="7"/>
  <c r="P7" i="7"/>
  <c r="W7" i="7"/>
  <c r="O7" i="7" s="1"/>
  <c r="U5" i="7"/>
  <c r="M20" i="5"/>
  <c r="K19" i="5" s="1"/>
  <c r="G22" i="5"/>
  <c r="N21" i="5"/>
  <c r="AL21" i="5" l="1"/>
  <c r="AD20" i="5"/>
  <c r="T7" i="7"/>
  <c r="U6" i="7" s="1"/>
  <c r="V22" i="5"/>
  <c r="AJ22" i="5" s="1"/>
  <c r="X9" i="7"/>
  <c r="AJ21" i="5"/>
  <c r="AM21" i="5" s="1"/>
  <c r="L7" i="7"/>
  <c r="P8" i="7"/>
  <c r="W8" i="7"/>
  <c r="O8" i="7" s="1"/>
  <c r="AD21" i="5"/>
  <c r="M21" i="5"/>
  <c r="AE19" i="5"/>
  <c r="AF19" i="5" s="1"/>
  <c r="N22" i="5"/>
  <c r="G23" i="5"/>
  <c r="U22" i="5" l="1"/>
  <c r="AI22" i="5" s="1"/>
  <c r="AL22" i="5" s="1"/>
  <c r="AM22" i="5"/>
  <c r="L8" i="7"/>
  <c r="T8" i="7"/>
  <c r="U7" i="7" s="1"/>
  <c r="P9" i="7"/>
  <c r="W9" i="7"/>
  <c r="O9" i="7" s="1"/>
  <c r="V23" i="5"/>
  <c r="U23" i="5" s="1"/>
  <c r="AI23" i="5" s="1"/>
  <c r="AL23" i="5" s="1"/>
  <c r="X10" i="7"/>
  <c r="AD22" i="5"/>
  <c r="K20" i="5"/>
  <c r="AE20" i="5"/>
  <c r="M22" i="5"/>
  <c r="AE21" i="5"/>
  <c r="G24" i="5"/>
  <c r="N23" i="5"/>
  <c r="L9" i="7" l="1"/>
  <c r="AJ23" i="5"/>
  <c r="AM23" i="5" s="1"/>
  <c r="P10" i="7"/>
  <c r="W10" i="7"/>
  <c r="O10" i="7" s="1"/>
  <c r="T9" i="7"/>
  <c r="U8" i="7" s="1"/>
  <c r="V24" i="5"/>
  <c r="AJ24" i="5" s="1"/>
  <c r="AM24" i="5" s="1"/>
  <c r="X11" i="7"/>
  <c r="AD23" i="5"/>
  <c r="AF20" i="5"/>
  <c r="K21" i="5"/>
  <c r="M23" i="5"/>
  <c r="AF21" i="5"/>
  <c r="N24" i="5"/>
  <c r="G25" i="5"/>
  <c r="L10" i="7" l="1"/>
  <c r="P11" i="7"/>
  <c r="W11" i="7"/>
  <c r="O11" i="7" s="1"/>
  <c r="V25" i="5"/>
  <c r="U25" i="5" s="1"/>
  <c r="AI25" i="5" s="1"/>
  <c r="X12" i="7"/>
  <c r="U24" i="5"/>
  <c r="AI24" i="5" s="1"/>
  <c r="AL24" i="5" s="1"/>
  <c r="T10" i="7"/>
  <c r="U9" i="7" s="1"/>
  <c r="AE22" i="5"/>
  <c r="K22" i="5"/>
  <c r="M24" i="5"/>
  <c r="G26" i="5"/>
  <c r="N25" i="5"/>
  <c r="L11" i="7" l="1"/>
  <c r="AL25" i="5"/>
  <c r="AD24" i="5"/>
  <c r="P12" i="7"/>
  <c r="W12" i="7"/>
  <c r="O12" i="7" s="1"/>
  <c r="V26" i="5"/>
  <c r="AJ26" i="5" s="1"/>
  <c r="X13" i="7"/>
  <c r="AJ25" i="5"/>
  <c r="AM25" i="5" s="1"/>
  <c r="T11" i="7"/>
  <c r="U10" i="7" s="1"/>
  <c r="AD25" i="5"/>
  <c r="AF22" i="5"/>
  <c r="AE23" i="5"/>
  <c r="K23" i="5"/>
  <c r="M25" i="5"/>
  <c r="N26" i="5"/>
  <c r="G27" i="5"/>
  <c r="AM26" i="5" l="1"/>
  <c r="U26" i="5"/>
  <c r="AI26" i="5" s="1"/>
  <c r="AL26" i="5" s="1"/>
  <c r="T12" i="7"/>
  <c r="U11" i="7" s="1"/>
  <c r="P13" i="7"/>
  <c r="W13" i="7"/>
  <c r="O13" i="7" s="1"/>
  <c r="V27" i="5"/>
  <c r="U27" i="5" s="1"/>
  <c r="AI27" i="5" s="1"/>
  <c r="AL27" i="5" s="1"/>
  <c r="X14" i="7"/>
  <c r="L12" i="7"/>
  <c r="AF23" i="5"/>
  <c r="AE24" i="5"/>
  <c r="K24" i="5"/>
  <c r="M26" i="5"/>
  <c r="G28" i="5"/>
  <c r="N27" i="5"/>
  <c r="AD26" i="5" l="1"/>
  <c r="T13" i="7"/>
  <c r="U12" i="7" s="1"/>
  <c r="AJ27" i="5"/>
  <c r="AM27" i="5" s="1"/>
  <c r="V28" i="5"/>
  <c r="AJ28" i="5" s="1"/>
  <c r="AM28" i="5" s="1"/>
  <c r="X15" i="7"/>
  <c r="P14" i="7"/>
  <c r="W14" i="7"/>
  <c r="O14" i="7" s="1"/>
  <c r="L13" i="7"/>
  <c r="AD27" i="5"/>
  <c r="AE25" i="5"/>
  <c r="AF24" i="5"/>
  <c r="K25" i="5"/>
  <c r="M27" i="5"/>
  <c r="N28" i="5"/>
  <c r="G29" i="5"/>
  <c r="U28" i="5" l="1"/>
  <c r="AI28" i="5" s="1"/>
  <c r="AL28" i="5" s="1"/>
  <c r="L14" i="7"/>
  <c r="V29" i="5"/>
  <c r="AJ29" i="5" s="1"/>
  <c r="AM29" i="5" s="1"/>
  <c r="X16" i="7"/>
  <c r="T14" i="7"/>
  <c r="U13" i="7" s="1"/>
  <c r="P15" i="7"/>
  <c r="W15" i="7"/>
  <c r="O15" i="7" s="1"/>
  <c r="AF25" i="5"/>
  <c r="AE26" i="5"/>
  <c r="K26" i="5"/>
  <c r="M28" i="5"/>
  <c r="N29" i="5"/>
  <c r="G30" i="5"/>
  <c r="AD28" i="5" l="1"/>
  <c r="L15" i="7"/>
  <c r="V30" i="5"/>
  <c r="U30" i="5" s="1"/>
  <c r="AI30" i="5" s="1"/>
  <c r="X17" i="7"/>
  <c r="U29" i="5"/>
  <c r="AI29" i="5" s="1"/>
  <c r="AL29" i="5" s="1"/>
  <c r="T15" i="7"/>
  <c r="U14" i="7" s="1"/>
  <c r="P16" i="7"/>
  <c r="W16" i="7"/>
  <c r="O16" i="7" s="1"/>
  <c r="AE27" i="5"/>
  <c r="AF26" i="5"/>
  <c r="K27" i="5"/>
  <c r="M29" i="5"/>
  <c r="G31" i="5"/>
  <c r="N30" i="5"/>
  <c r="L16" i="7" l="1"/>
  <c r="AJ30" i="5"/>
  <c r="AM30" i="5" s="1"/>
  <c r="AL30" i="5"/>
  <c r="AD29" i="5"/>
  <c r="T16" i="7"/>
  <c r="U15" i="7" s="1"/>
  <c r="V31" i="5"/>
  <c r="U31" i="5" s="1"/>
  <c r="AI31" i="5" s="1"/>
  <c r="AL31" i="5" s="1"/>
  <c r="X18" i="7"/>
  <c r="P17" i="7"/>
  <c r="W17" i="7"/>
  <c r="O17" i="7" s="1"/>
  <c r="AD30" i="5"/>
  <c r="AE28" i="5"/>
  <c r="AF27" i="5"/>
  <c r="K28" i="5"/>
  <c r="M30" i="5"/>
  <c r="AE29" i="5"/>
  <c r="N31" i="5"/>
  <c r="G32" i="5"/>
  <c r="L17" i="7" l="1"/>
  <c r="V32" i="5"/>
  <c r="AJ32" i="5" s="1"/>
  <c r="X19" i="7"/>
  <c r="T17" i="7"/>
  <c r="U16" i="7" s="1"/>
  <c r="AJ31" i="5"/>
  <c r="AM31" i="5" s="1"/>
  <c r="P18" i="7"/>
  <c r="W18" i="7"/>
  <c r="O18" i="7" s="1"/>
  <c r="AD31" i="5"/>
  <c r="AF28" i="5"/>
  <c r="K29" i="5"/>
  <c r="M31" i="5"/>
  <c r="AF29" i="5"/>
  <c r="N32" i="5"/>
  <c r="G33" i="5"/>
  <c r="U32" i="5" l="1"/>
  <c r="AI32" i="5" s="1"/>
  <c r="AL32" i="5" s="1"/>
  <c r="AM32" i="5"/>
  <c r="L18" i="7"/>
  <c r="V33" i="5"/>
  <c r="AJ33" i="5" s="1"/>
  <c r="AM33" i="5" s="1"/>
  <c r="X20" i="7"/>
  <c r="T18" i="7"/>
  <c r="U17" i="7" s="1"/>
  <c r="P19" i="7"/>
  <c r="W19" i="7"/>
  <c r="O19" i="7" s="1"/>
  <c r="AD32" i="5"/>
  <c r="AE30" i="5"/>
  <c r="AF30" i="5" s="1"/>
  <c r="K30" i="5"/>
  <c r="M32" i="5"/>
  <c r="G34" i="5"/>
  <c r="N33" i="5"/>
  <c r="U33" i="5" l="1"/>
  <c r="AI33" i="5" s="1"/>
  <c r="AL33" i="5" s="1"/>
  <c r="T19" i="7"/>
  <c r="U18" i="7" s="1"/>
  <c r="V34" i="5"/>
  <c r="AJ34" i="5" s="1"/>
  <c r="AM34" i="5" s="1"/>
  <c r="X21" i="7"/>
  <c r="L19" i="7"/>
  <c r="P20" i="7"/>
  <c r="W20" i="7"/>
  <c r="O20" i="7" s="1"/>
  <c r="AE31" i="5"/>
  <c r="K31" i="5"/>
  <c r="M33" i="5"/>
  <c r="AE32" i="5"/>
  <c r="N34" i="5"/>
  <c r="G35" i="5"/>
  <c r="U34" i="5" l="1"/>
  <c r="AI34" i="5" s="1"/>
  <c r="AL34" i="5" s="1"/>
  <c r="AD33" i="5"/>
  <c r="AE33" i="5" s="1"/>
  <c r="L20" i="7"/>
  <c r="V35" i="5"/>
  <c r="AJ35" i="5" s="1"/>
  <c r="AM35" i="5" s="1"/>
  <c r="X22" i="7"/>
  <c r="P21" i="7"/>
  <c r="W21" i="7"/>
  <c r="O21" i="7" s="1"/>
  <c r="T20" i="7"/>
  <c r="U19" i="7" s="1"/>
  <c r="AF31" i="5"/>
  <c r="K32" i="5"/>
  <c r="M34" i="5"/>
  <c r="AF32" i="5"/>
  <c r="N35" i="5"/>
  <c r="G36" i="5"/>
  <c r="AD34" i="5" l="1"/>
  <c r="U35" i="5"/>
  <c r="AI35" i="5" s="1"/>
  <c r="AL35" i="5" s="1"/>
  <c r="L21" i="7"/>
  <c r="V36" i="5"/>
  <c r="AJ36" i="5" s="1"/>
  <c r="AM36" i="5" s="1"/>
  <c r="X23" i="7"/>
  <c r="T21" i="7"/>
  <c r="U20" i="7" s="1"/>
  <c r="P22" i="7"/>
  <c r="W22" i="7"/>
  <c r="O22" i="7" s="1"/>
  <c r="K33" i="5"/>
  <c r="M35" i="5"/>
  <c r="AF33" i="5"/>
  <c r="G37" i="5"/>
  <c r="N36" i="5"/>
  <c r="L22" i="7" l="1"/>
  <c r="U36" i="5"/>
  <c r="AI36" i="5" s="1"/>
  <c r="AL36" i="5" s="1"/>
  <c r="AD35" i="5"/>
  <c r="V37" i="5"/>
  <c r="AJ37" i="5" s="1"/>
  <c r="AM37" i="5" s="1"/>
  <c r="X24" i="7"/>
  <c r="P23" i="7"/>
  <c r="W23" i="7"/>
  <c r="O23" i="7" s="1"/>
  <c r="T22" i="7"/>
  <c r="U21" i="7" s="1"/>
  <c r="AE34" i="5"/>
  <c r="AF34" i="5" s="1"/>
  <c r="K34" i="5"/>
  <c r="M36" i="5"/>
  <c r="AE35" i="5"/>
  <c r="G38" i="5"/>
  <c r="N37" i="5"/>
  <c r="AD36" i="5" l="1"/>
  <c r="U37" i="5"/>
  <c r="AI37" i="5" s="1"/>
  <c r="AL37" i="5" s="1"/>
  <c r="L23" i="7"/>
  <c r="T23" i="7"/>
  <c r="U22" i="7" s="1"/>
  <c r="V38" i="5"/>
  <c r="AJ38" i="5" s="1"/>
  <c r="AM38" i="5" s="1"/>
  <c r="X25" i="7"/>
  <c r="P24" i="7"/>
  <c r="W24" i="7"/>
  <c r="O24" i="7" s="1"/>
  <c r="K35" i="5"/>
  <c r="M37" i="5"/>
  <c r="AF35" i="5"/>
  <c r="N38" i="5"/>
  <c r="G39" i="5"/>
  <c r="AD37" i="5" l="1"/>
  <c r="L24" i="7"/>
  <c r="U38" i="5"/>
  <c r="AI38" i="5" s="1"/>
  <c r="AL38" i="5" s="1"/>
  <c r="V39" i="5"/>
  <c r="AJ39" i="5" s="1"/>
  <c r="AM39" i="5" s="1"/>
  <c r="X26" i="7"/>
  <c r="T24" i="7"/>
  <c r="U23" i="7" s="1"/>
  <c r="P25" i="7"/>
  <c r="W25" i="7"/>
  <c r="O25" i="7" s="1"/>
  <c r="K36" i="5"/>
  <c r="AE36" i="5"/>
  <c r="M38" i="5"/>
  <c r="N39" i="5"/>
  <c r="G40" i="5"/>
  <c r="AD38" i="5" l="1"/>
  <c r="U39" i="5"/>
  <c r="AI39" i="5" s="1"/>
  <c r="AL39" i="5" s="1"/>
  <c r="L25" i="7"/>
  <c r="T25" i="7"/>
  <c r="U24" i="7" s="1"/>
  <c r="V40" i="5"/>
  <c r="U40" i="5" s="1"/>
  <c r="AI40" i="5" s="1"/>
  <c r="X27" i="7"/>
  <c r="P26" i="7"/>
  <c r="W26" i="7"/>
  <c r="O26" i="7" s="1"/>
  <c r="AF36" i="5"/>
  <c r="AE37" i="5"/>
  <c r="K37" i="5"/>
  <c r="M39" i="5"/>
  <c r="G41" i="5"/>
  <c r="N40" i="5"/>
  <c r="AL40" i="5" l="1"/>
  <c r="AD39" i="5"/>
  <c r="L26" i="7"/>
  <c r="AJ40" i="5"/>
  <c r="AM40" i="5" s="1"/>
  <c r="V41" i="5"/>
  <c r="U41" i="5" s="1"/>
  <c r="AI41" i="5" s="1"/>
  <c r="AL41" i="5" s="1"/>
  <c r="X28" i="7"/>
  <c r="P27" i="7"/>
  <c r="W27" i="7"/>
  <c r="O27" i="7" s="1"/>
  <c r="T26" i="7"/>
  <c r="U25" i="7" s="1"/>
  <c r="AD40" i="5"/>
  <c r="AF37" i="5"/>
  <c r="AE38" i="5"/>
  <c r="K38" i="5"/>
  <c r="M40" i="5"/>
  <c r="G42" i="5"/>
  <c r="N41" i="5"/>
  <c r="L27" i="7" l="1"/>
  <c r="AJ41" i="5"/>
  <c r="AM41" i="5" s="1"/>
  <c r="T27" i="7"/>
  <c r="U26" i="7" s="1"/>
  <c r="V42" i="5"/>
  <c r="AJ42" i="5" s="1"/>
  <c r="X29" i="7"/>
  <c r="P28" i="7"/>
  <c r="W28" i="7"/>
  <c r="O28" i="7" s="1"/>
  <c r="AD41" i="5"/>
  <c r="AF38" i="5"/>
  <c r="AE39" i="5"/>
  <c r="K39" i="5"/>
  <c r="M41" i="5"/>
  <c r="N42" i="5"/>
  <c r="G43" i="5"/>
  <c r="AM42" i="5" l="1"/>
  <c r="L28" i="7"/>
  <c r="V43" i="5"/>
  <c r="AJ43" i="5" s="1"/>
  <c r="AM43" i="5" s="1"/>
  <c r="X30" i="7"/>
  <c r="U42" i="5"/>
  <c r="AI42" i="5" s="1"/>
  <c r="AL42" i="5" s="1"/>
  <c r="P29" i="7"/>
  <c r="W29" i="7"/>
  <c r="O29" i="7" s="1"/>
  <c r="T28" i="7"/>
  <c r="AF39" i="5"/>
  <c r="AE40" i="5"/>
  <c r="K40" i="5"/>
  <c r="M42" i="5"/>
  <c r="G44" i="5"/>
  <c r="N43" i="5"/>
  <c r="U43" i="5" l="1"/>
  <c r="AI43" i="5" s="1"/>
  <c r="AL43" i="5" s="1"/>
  <c r="L29" i="7"/>
  <c r="AD42" i="5"/>
  <c r="U27" i="7"/>
  <c r="T29" i="7"/>
  <c r="U28" i="7" s="1"/>
  <c r="V44" i="5"/>
  <c r="U44" i="5" s="1"/>
  <c r="AI44" i="5" s="1"/>
  <c r="X31" i="7"/>
  <c r="P30" i="7"/>
  <c r="W30" i="7"/>
  <c r="O30" i="7" s="1"/>
  <c r="AF40" i="5"/>
  <c r="AE41" i="5"/>
  <c r="K41" i="5"/>
  <c r="M43" i="5"/>
  <c r="G45" i="5"/>
  <c r="N44" i="5"/>
  <c r="AL44" i="5" l="1"/>
  <c r="AD43" i="5"/>
  <c r="L30" i="7"/>
  <c r="T30" i="7"/>
  <c r="U29" i="7" s="1"/>
  <c r="AJ44" i="5"/>
  <c r="AM44" i="5" s="1"/>
  <c r="V45" i="5"/>
  <c r="U45" i="5" s="1"/>
  <c r="AI45" i="5" s="1"/>
  <c r="AL45" i="5" s="1"/>
  <c r="X32" i="7"/>
  <c r="P31" i="7"/>
  <c r="W31" i="7"/>
  <c r="O31" i="7" s="1"/>
  <c r="AD44" i="5"/>
  <c r="AF41" i="5"/>
  <c r="AE42" i="5"/>
  <c r="AF42" i="5" s="1"/>
  <c r="K42" i="5"/>
  <c r="M44" i="5"/>
  <c r="N45" i="5"/>
  <c r="G46" i="5"/>
  <c r="L31" i="7" l="1"/>
  <c r="T31" i="7"/>
  <c r="U30" i="7" s="1"/>
  <c r="AJ45" i="5"/>
  <c r="AM45" i="5" s="1"/>
  <c r="V46" i="5"/>
  <c r="AJ46" i="5" s="1"/>
  <c r="AM46" i="5" s="1"/>
  <c r="X33" i="7"/>
  <c r="P32" i="7"/>
  <c r="W32" i="7"/>
  <c r="O32" i="7" s="1"/>
  <c r="AD45" i="5"/>
  <c r="AE43" i="5"/>
  <c r="K43" i="5"/>
  <c r="M45" i="5"/>
  <c r="G47" i="5"/>
  <c r="N46" i="5"/>
  <c r="U46" i="5" l="1"/>
  <c r="AI46" i="5" s="1"/>
  <c r="AL46" i="5" s="1"/>
  <c r="T32" i="7"/>
  <c r="U31" i="7" s="1"/>
  <c r="V47" i="5"/>
  <c r="AJ47" i="5" s="1"/>
  <c r="AM47" i="5" s="1"/>
  <c r="X34" i="7"/>
  <c r="L32" i="7"/>
  <c r="P33" i="7"/>
  <c r="W33" i="7"/>
  <c r="O33" i="7" s="1"/>
  <c r="AF43" i="5"/>
  <c r="AE44" i="5"/>
  <c r="K44" i="5"/>
  <c r="M46" i="5"/>
  <c r="G48" i="5"/>
  <c r="N47" i="5"/>
  <c r="AD46" i="5" l="1"/>
  <c r="L33" i="7"/>
  <c r="U47" i="5"/>
  <c r="AI47" i="5" s="1"/>
  <c r="AL47" i="5" s="1"/>
  <c r="T33" i="7"/>
  <c r="U32" i="7" s="1"/>
  <c r="V48" i="5"/>
  <c r="AJ48" i="5" s="1"/>
  <c r="AM48" i="5" s="1"/>
  <c r="X35" i="7"/>
  <c r="P34" i="7"/>
  <c r="W34" i="7"/>
  <c r="O34" i="7" s="1"/>
  <c r="AF44" i="5"/>
  <c r="AE45" i="5"/>
  <c r="K45" i="5"/>
  <c r="M47" i="5"/>
  <c r="N48" i="5"/>
  <c r="G49" i="5"/>
  <c r="U48" i="5" l="1"/>
  <c r="AI48" i="5" s="1"/>
  <c r="AL48" i="5" s="1"/>
  <c r="L34" i="7"/>
  <c r="AD47" i="5"/>
  <c r="V49" i="5"/>
  <c r="AJ49" i="5" s="1"/>
  <c r="AM49" i="5" s="1"/>
  <c r="X36" i="7"/>
  <c r="P35" i="7"/>
  <c r="W35" i="7"/>
  <c r="O35" i="7" s="1"/>
  <c r="T34" i="7"/>
  <c r="U33" i="7" s="1"/>
  <c r="AF45" i="5"/>
  <c r="K46" i="5"/>
  <c r="AE46" i="5"/>
  <c r="M48" i="5"/>
  <c r="N49" i="5"/>
  <c r="G50" i="5"/>
  <c r="AD48" i="5" l="1"/>
  <c r="U49" i="5"/>
  <c r="AI49" i="5" s="1"/>
  <c r="AL49" i="5" s="1"/>
  <c r="L35" i="7"/>
  <c r="V50" i="5"/>
  <c r="AJ50" i="5" s="1"/>
  <c r="AM50" i="5" s="1"/>
  <c r="X37" i="7"/>
  <c r="T35" i="7"/>
  <c r="U34" i="7" s="1"/>
  <c r="P36" i="7"/>
  <c r="W36" i="7"/>
  <c r="O36" i="7" s="1"/>
  <c r="AE47" i="5"/>
  <c r="AF46" i="5"/>
  <c r="K47" i="5"/>
  <c r="M49" i="5"/>
  <c r="G51" i="5"/>
  <c r="N50" i="5"/>
  <c r="U50" i="5" l="1"/>
  <c r="AI50" i="5" s="1"/>
  <c r="AL50" i="5" s="1"/>
  <c r="AD49" i="5"/>
  <c r="L36" i="7"/>
  <c r="T36" i="7"/>
  <c r="V51" i="5"/>
  <c r="AJ51" i="5" s="1"/>
  <c r="AM51" i="5" s="1"/>
  <c r="X38" i="7"/>
  <c r="P37" i="7"/>
  <c r="W37" i="7"/>
  <c r="O37" i="7" s="1"/>
  <c r="AF47" i="5"/>
  <c r="AE48" i="5"/>
  <c r="K48" i="5"/>
  <c r="M50" i="5"/>
  <c r="N51" i="5"/>
  <c r="G52" i="5"/>
  <c r="AD50" i="5" l="1"/>
  <c r="L37" i="7"/>
  <c r="U51" i="5"/>
  <c r="AI51" i="5" s="1"/>
  <c r="AL51" i="5" s="1"/>
  <c r="V52" i="5"/>
  <c r="U52" i="5" s="1"/>
  <c r="AI52" i="5" s="1"/>
  <c r="X39" i="7"/>
  <c r="P38" i="7"/>
  <c r="W38" i="7"/>
  <c r="O38" i="7" s="1"/>
  <c r="T37" i="7"/>
  <c r="U36" i="7" s="1"/>
  <c r="U35" i="7"/>
  <c r="AF48" i="5"/>
  <c r="AE49" i="5"/>
  <c r="K49" i="5"/>
  <c r="M51" i="5"/>
  <c r="N52" i="5"/>
  <c r="G53" i="5"/>
  <c r="AL52" i="5" l="1"/>
  <c r="AD51" i="5"/>
  <c r="AJ52" i="5"/>
  <c r="AM52" i="5" s="1"/>
  <c r="L38" i="7"/>
  <c r="V53" i="5"/>
  <c r="AJ53" i="5" s="1"/>
  <c r="AM53" i="5" s="1"/>
  <c r="X40" i="7"/>
  <c r="T38" i="7"/>
  <c r="U37" i="7" s="1"/>
  <c r="P39" i="7"/>
  <c r="W39" i="7"/>
  <c r="O39" i="7" s="1"/>
  <c r="AD52" i="5"/>
  <c r="AE50" i="5"/>
  <c r="AF50" i="5" s="1"/>
  <c r="AF49" i="5"/>
  <c r="K50" i="5"/>
  <c r="M52" i="5"/>
  <c r="N53" i="5"/>
  <c r="G54" i="5"/>
  <c r="L39" i="7" l="1"/>
  <c r="U53" i="5"/>
  <c r="AI53" i="5" s="1"/>
  <c r="AL53" i="5" s="1"/>
  <c r="V54" i="5"/>
  <c r="AJ54" i="5" s="1"/>
  <c r="AM54" i="5" s="1"/>
  <c r="X41" i="7"/>
  <c r="P40" i="7"/>
  <c r="W40" i="7"/>
  <c r="O40" i="7" s="1"/>
  <c r="T39" i="7"/>
  <c r="U38" i="7" s="1"/>
  <c r="K51" i="5"/>
  <c r="AE51" i="5"/>
  <c r="M53" i="5"/>
  <c r="G55" i="5"/>
  <c r="N54" i="5"/>
  <c r="L40" i="7" l="1"/>
  <c r="AD53" i="5"/>
  <c r="U54" i="5"/>
  <c r="AI54" i="5" s="1"/>
  <c r="AL54" i="5" s="1"/>
  <c r="V55" i="5"/>
  <c r="AJ55" i="5" s="1"/>
  <c r="AM55" i="5" s="1"/>
  <c r="X42" i="7"/>
  <c r="T40" i="7"/>
  <c r="P41" i="7"/>
  <c r="W41" i="7"/>
  <c r="O41" i="7" s="1"/>
  <c r="AF51" i="5"/>
  <c r="AE52" i="5"/>
  <c r="K52" i="5"/>
  <c r="M54" i="5"/>
  <c r="AE53" i="5"/>
  <c r="N55" i="5"/>
  <c r="G56" i="5"/>
  <c r="AD54" i="5" l="1"/>
  <c r="U55" i="5"/>
  <c r="AI55" i="5" s="1"/>
  <c r="AL55" i="5" s="1"/>
  <c r="L41" i="7"/>
  <c r="V56" i="5"/>
  <c r="AJ56" i="5" s="1"/>
  <c r="AM56" i="5" s="1"/>
  <c r="X43" i="7"/>
  <c r="U39" i="7"/>
  <c r="P42" i="7"/>
  <c r="W42" i="7"/>
  <c r="O42" i="7" s="1"/>
  <c r="T41" i="7"/>
  <c r="U40" i="7" s="1"/>
  <c r="AF52" i="5"/>
  <c r="K53" i="5"/>
  <c r="M55" i="5"/>
  <c r="AF53" i="5"/>
  <c r="N56" i="5"/>
  <c r="G57" i="5"/>
  <c r="U56" i="5" l="1"/>
  <c r="AI56" i="5" s="1"/>
  <c r="AL56" i="5" s="1"/>
  <c r="AD55" i="5"/>
  <c r="L42" i="7"/>
  <c r="V57" i="5"/>
  <c r="AJ57" i="5" s="1"/>
  <c r="AM57" i="5" s="1"/>
  <c r="X44" i="7"/>
  <c r="P43" i="7"/>
  <c r="W43" i="7"/>
  <c r="O43" i="7" s="1"/>
  <c r="T42" i="7"/>
  <c r="U41" i="7" s="1"/>
  <c r="AE54" i="5"/>
  <c r="K54" i="5"/>
  <c r="M56" i="5"/>
  <c r="AE55" i="5"/>
  <c r="G58" i="5"/>
  <c r="N57" i="5"/>
  <c r="U57" i="5" l="1"/>
  <c r="AI57" i="5" s="1"/>
  <c r="AL57" i="5" s="1"/>
  <c r="AD56" i="5"/>
  <c r="L43" i="7"/>
  <c r="V58" i="5"/>
  <c r="AJ58" i="5" s="1"/>
  <c r="AM58" i="5" s="1"/>
  <c r="X45" i="7"/>
  <c r="T43" i="7"/>
  <c r="U42" i="7" s="1"/>
  <c r="P44" i="7"/>
  <c r="W44" i="7"/>
  <c r="O44" i="7" s="1"/>
  <c r="AD57" i="5"/>
  <c r="AF54" i="5"/>
  <c r="K55" i="5"/>
  <c r="M57" i="5"/>
  <c r="AF55" i="5"/>
  <c r="G59" i="5"/>
  <c r="N58" i="5"/>
  <c r="U58" i="5" l="1"/>
  <c r="AI58" i="5" s="1"/>
  <c r="AL58" i="5" s="1"/>
  <c r="L44" i="7"/>
  <c r="V59" i="5"/>
  <c r="U59" i="5" s="1"/>
  <c r="AI59" i="5" s="1"/>
  <c r="X46" i="7"/>
  <c r="P45" i="7"/>
  <c r="W45" i="7"/>
  <c r="O45" i="7" s="1"/>
  <c r="T44" i="7"/>
  <c r="U43" i="7" s="1"/>
  <c r="K56" i="5"/>
  <c r="AE56" i="5"/>
  <c r="M58" i="5"/>
  <c r="N59" i="5"/>
  <c r="G60" i="5"/>
  <c r="AL59" i="5" l="1"/>
  <c r="AD58" i="5"/>
  <c r="L45" i="7"/>
  <c r="AJ59" i="5"/>
  <c r="AM59" i="5" s="1"/>
  <c r="V60" i="5"/>
  <c r="AJ60" i="5" s="1"/>
  <c r="X47" i="7"/>
  <c r="T45" i="7"/>
  <c r="U44" i="7" s="1"/>
  <c r="P46" i="7"/>
  <c r="W46" i="7"/>
  <c r="O46" i="7" s="1"/>
  <c r="AD59" i="5"/>
  <c r="AF56" i="5"/>
  <c r="AE57" i="5"/>
  <c r="K57" i="5"/>
  <c r="M59" i="5"/>
  <c r="AE58" i="5"/>
  <c r="G61" i="5"/>
  <c r="N60" i="5"/>
  <c r="U60" i="5" l="1"/>
  <c r="AI60" i="5" s="1"/>
  <c r="AL60" i="5" s="1"/>
  <c r="AM60" i="5"/>
  <c r="L46" i="7"/>
  <c r="V61" i="5"/>
  <c r="AJ61" i="5" s="1"/>
  <c r="AM61" i="5" s="1"/>
  <c r="X48" i="7"/>
  <c r="P47" i="7"/>
  <c r="W47" i="7"/>
  <c r="O47" i="7" s="1"/>
  <c r="T46" i="7"/>
  <c r="U45" i="7" s="1"/>
  <c r="AF57" i="5"/>
  <c r="K58" i="5"/>
  <c r="M60" i="5"/>
  <c r="AF58" i="5"/>
  <c r="G62" i="5"/>
  <c r="N61" i="5"/>
  <c r="U61" i="5" l="1"/>
  <c r="AI61" i="5" s="1"/>
  <c r="AL61" i="5" s="1"/>
  <c r="AD60" i="5"/>
  <c r="L47" i="7"/>
  <c r="T47" i="7"/>
  <c r="U46" i="7" s="1"/>
  <c r="P48" i="7"/>
  <c r="W48" i="7"/>
  <c r="O48" i="7" s="1"/>
  <c r="V62" i="5"/>
  <c r="AJ62" i="5" s="1"/>
  <c r="AM62" i="5" s="1"/>
  <c r="X49" i="7"/>
  <c r="AE59" i="5"/>
  <c r="K59" i="5"/>
  <c r="M61" i="5"/>
  <c r="G63" i="5"/>
  <c r="N62" i="5"/>
  <c r="AD61" i="5" l="1"/>
  <c r="U62" i="5"/>
  <c r="AI62" i="5" s="1"/>
  <c r="AL62" i="5" s="1"/>
  <c r="L48" i="7"/>
  <c r="V63" i="5"/>
  <c r="U63" i="5" s="1"/>
  <c r="AI63" i="5" s="1"/>
  <c r="X50" i="7"/>
  <c r="P49" i="7"/>
  <c r="W49" i="7"/>
  <c r="O49" i="7" s="1"/>
  <c r="T48" i="7"/>
  <c r="U47" i="7" s="1"/>
  <c r="AE60" i="5"/>
  <c r="AF60" i="5" s="1"/>
  <c r="AF59" i="5"/>
  <c r="K60" i="5"/>
  <c r="M62" i="5"/>
  <c r="N63" i="5"/>
  <c r="G64" i="5"/>
  <c r="AL63" i="5" l="1"/>
  <c r="AD62" i="5"/>
  <c r="L49" i="7"/>
  <c r="AJ63" i="5"/>
  <c r="AM63" i="5" s="1"/>
  <c r="V64" i="5"/>
  <c r="U64" i="5" s="1"/>
  <c r="AI64" i="5" s="1"/>
  <c r="AL64" i="5" s="1"/>
  <c r="X51" i="7"/>
  <c r="T49" i="7"/>
  <c r="U48" i="7" s="1"/>
  <c r="P50" i="7"/>
  <c r="W50" i="7"/>
  <c r="O50" i="7" s="1"/>
  <c r="AD63" i="5"/>
  <c r="K61" i="5"/>
  <c r="AE61" i="5"/>
  <c r="M63" i="5"/>
  <c r="AE62" i="5"/>
  <c r="N64" i="5"/>
  <c r="G65" i="5"/>
  <c r="AJ64" i="5" l="1"/>
  <c r="AM64" i="5" s="1"/>
  <c r="L50" i="7"/>
  <c r="V65" i="5"/>
  <c r="U65" i="5" s="1"/>
  <c r="AI65" i="5" s="1"/>
  <c r="AL65" i="5" s="1"/>
  <c r="X52" i="7"/>
  <c r="P51" i="7"/>
  <c r="W51" i="7"/>
  <c r="O51" i="7" s="1"/>
  <c r="T50" i="7"/>
  <c r="U49" i="7" s="1"/>
  <c r="AD64" i="5"/>
  <c r="AF61" i="5"/>
  <c r="K62" i="5"/>
  <c r="M64" i="5"/>
  <c r="AF62" i="5"/>
  <c r="N65" i="5"/>
  <c r="G66" i="5"/>
  <c r="AJ65" i="5" l="1"/>
  <c r="AM65" i="5" s="1"/>
  <c r="L51" i="7"/>
  <c r="V66" i="5"/>
  <c r="AJ66" i="5" s="1"/>
  <c r="X53" i="7"/>
  <c r="T51" i="7"/>
  <c r="U50" i="7" s="1"/>
  <c r="P52" i="7"/>
  <c r="W52" i="7"/>
  <c r="O52" i="7" s="1"/>
  <c r="AD65" i="5"/>
  <c r="AE63" i="5"/>
  <c r="K63" i="5"/>
  <c r="M65" i="5"/>
  <c r="G67" i="5"/>
  <c r="N66" i="5"/>
  <c r="AM66" i="5" l="1"/>
  <c r="U66" i="5"/>
  <c r="AI66" i="5" s="1"/>
  <c r="AL66" i="5" s="1"/>
  <c r="L52" i="7"/>
  <c r="V67" i="5"/>
  <c r="AJ67" i="5" s="1"/>
  <c r="AM67" i="5" s="1"/>
  <c r="X54" i="7"/>
  <c r="P53" i="7"/>
  <c r="W53" i="7"/>
  <c r="O53" i="7" s="1"/>
  <c r="T52" i="7"/>
  <c r="U51" i="7" s="1"/>
  <c r="AF63" i="5"/>
  <c r="AE64" i="5"/>
  <c r="AF64" i="5" s="1"/>
  <c r="K64" i="5"/>
  <c r="M66" i="5"/>
  <c r="G68" i="5"/>
  <c r="N67" i="5"/>
  <c r="AD66" i="5" l="1"/>
  <c r="U67" i="5"/>
  <c r="AI67" i="5" s="1"/>
  <c r="AL67" i="5" s="1"/>
  <c r="L53" i="7"/>
  <c r="T53" i="7"/>
  <c r="U52" i="7" s="1"/>
  <c r="V68" i="5"/>
  <c r="U68" i="5" s="1"/>
  <c r="AI68" i="5" s="1"/>
  <c r="AL68" i="5" s="1"/>
  <c r="X55" i="7"/>
  <c r="P54" i="7"/>
  <c r="W54" i="7"/>
  <c r="O54" i="7" s="1"/>
  <c r="K65" i="5"/>
  <c r="AE65" i="5"/>
  <c r="M67" i="5"/>
  <c r="N68" i="5"/>
  <c r="G69" i="5"/>
  <c r="AD67" i="5" l="1"/>
  <c r="AJ68" i="5"/>
  <c r="AM68" i="5" s="1"/>
  <c r="L54" i="7"/>
  <c r="V69" i="5"/>
  <c r="AJ69" i="5" s="1"/>
  <c r="X56" i="7"/>
  <c r="T54" i="7"/>
  <c r="U53" i="7" s="1"/>
  <c r="P55" i="7"/>
  <c r="W55" i="7"/>
  <c r="O55" i="7" s="1"/>
  <c r="AD68" i="5"/>
  <c r="AF65" i="5"/>
  <c r="AE66" i="5"/>
  <c r="K66" i="5"/>
  <c r="M68" i="5"/>
  <c r="N69" i="5"/>
  <c r="G70" i="5"/>
  <c r="AM69" i="5" l="1"/>
  <c r="U69" i="5"/>
  <c r="AI69" i="5" s="1"/>
  <c r="AL69" i="5" s="1"/>
  <c r="L55" i="7"/>
  <c r="P56" i="7"/>
  <c r="W56" i="7"/>
  <c r="O56" i="7" s="1"/>
  <c r="V70" i="5"/>
  <c r="U70" i="5" s="1"/>
  <c r="AI70" i="5" s="1"/>
  <c r="X57" i="7"/>
  <c r="T55" i="7"/>
  <c r="U54" i="7" s="1"/>
  <c r="AF66" i="5"/>
  <c r="AE67" i="5"/>
  <c r="AF67" i="5" s="1"/>
  <c r="K67" i="5"/>
  <c r="M69" i="5"/>
  <c r="G71" i="5"/>
  <c r="N70" i="5"/>
  <c r="AD69" i="5" l="1"/>
  <c r="AL70" i="5"/>
  <c r="L56" i="7"/>
  <c r="AJ70" i="5"/>
  <c r="AM70" i="5" s="1"/>
  <c r="V71" i="5"/>
  <c r="AJ71" i="5" s="1"/>
  <c r="AM71" i="5" s="1"/>
  <c r="X58" i="7"/>
  <c r="P57" i="7"/>
  <c r="W57" i="7"/>
  <c r="O57" i="7" s="1"/>
  <c r="T56" i="7"/>
  <c r="U55" i="7" s="1"/>
  <c r="AD70" i="5"/>
  <c r="AE68" i="5"/>
  <c r="K68" i="5"/>
  <c r="M70" i="5"/>
  <c r="N71" i="5"/>
  <c r="G72" i="5"/>
  <c r="U71" i="5" l="1"/>
  <c r="AI71" i="5" s="1"/>
  <c r="AL71" i="5" s="1"/>
  <c r="L57" i="7"/>
  <c r="V72" i="5"/>
  <c r="AJ72" i="5" s="1"/>
  <c r="AM72" i="5" s="1"/>
  <c r="X59" i="7"/>
  <c r="T57" i="7"/>
  <c r="P58" i="7"/>
  <c r="W58" i="7"/>
  <c r="O58" i="7" s="1"/>
  <c r="AF68" i="5"/>
  <c r="AE69" i="5"/>
  <c r="K69" i="5"/>
  <c r="M71" i="5"/>
  <c r="G73" i="5"/>
  <c r="N72" i="5"/>
  <c r="AD71" i="5" l="1"/>
  <c r="U72" i="5"/>
  <c r="AI72" i="5" s="1"/>
  <c r="AL72" i="5" s="1"/>
  <c r="L58" i="7"/>
  <c r="V73" i="5"/>
  <c r="AJ73" i="5" s="1"/>
  <c r="AM73" i="5" s="1"/>
  <c r="X60" i="7"/>
  <c r="U56" i="7"/>
  <c r="P59" i="7"/>
  <c r="W59" i="7"/>
  <c r="O59" i="7" s="1"/>
  <c r="T58" i="7"/>
  <c r="U57" i="7" s="1"/>
  <c r="AF69" i="5"/>
  <c r="AE70" i="5"/>
  <c r="AF70" i="5" s="1"/>
  <c r="K70" i="5"/>
  <c r="M72" i="5"/>
  <c r="G74" i="5"/>
  <c r="N73" i="5"/>
  <c r="AD72" i="5" l="1"/>
  <c r="U73" i="5"/>
  <c r="AI73" i="5" s="1"/>
  <c r="AL73" i="5" s="1"/>
  <c r="T59" i="7"/>
  <c r="U58" i="7" s="1"/>
  <c r="V74" i="5"/>
  <c r="U74" i="5" s="1"/>
  <c r="AI74" i="5" s="1"/>
  <c r="X61" i="7"/>
  <c r="L59" i="7"/>
  <c r="P60" i="7"/>
  <c r="W60" i="7"/>
  <c r="O60" i="7" s="1"/>
  <c r="K71" i="5"/>
  <c r="AE71" i="5"/>
  <c r="M73" i="5"/>
  <c r="N74" i="5"/>
  <c r="G75" i="5"/>
  <c r="AL74" i="5" l="1"/>
  <c r="AJ74" i="5"/>
  <c r="AM74" i="5" s="1"/>
  <c r="AD73" i="5"/>
  <c r="L60" i="7"/>
  <c r="V75" i="5"/>
  <c r="AJ75" i="5" s="1"/>
  <c r="X62" i="7"/>
  <c r="T60" i="7"/>
  <c r="U59" i="7" s="1"/>
  <c r="P61" i="7"/>
  <c r="W61" i="7"/>
  <c r="O61" i="7" s="1"/>
  <c r="AD74" i="5"/>
  <c r="AE72" i="5"/>
  <c r="AF71" i="5"/>
  <c r="K72" i="5"/>
  <c r="M74" i="5"/>
  <c r="G76" i="5"/>
  <c r="N75" i="5"/>
  <c r="AM75" i="5" l="1"/>
  <c r="U75" i="5"/>
  <c r="AI75" i="5" s="1"/>
  <c r="AL75" i="5" s="1"/>
  <c r="L61" i="7"/>
  <c r="T61" i="7"/>
  <c r="U60" i="7" s="1"/>
  <c r="P62" i="7"/>
  <c r="W62" i="7"/>
  <c r="O62" i="7" s="1"/>
  <c r="V76" i="5"/>
  <c r="AJ76" i="5" s="1"/>
  <c r="AM76" i="5" s="1"/>
  <c r="X63" i="7"/>
  <c r="AF72" i="5"/>
  <c r="AE73" i="5"/>
  <c r="K73" i="5"/>
  <c r="M75" i="5"/>
  <c r="AE74" i="5"/>
  <c r="N76" i="5"/>
  <c r="G77" i="5"/>
  <c r="AD75" i="5" l="1"/>
  <c r="L62" i="7"/>
  <c r="U76" i="5"/>
  <c r="AI76" i="5" s="1"/>
  <c r="AL76" i="5" s="1"/>
  <c r="V77" i="5"/>
  <c r="AJ77" i="5" s="1"/>
  <c r="AM77" i="5" s="1"/>
  <c r="X64" i="7"/>
  <c r="P63" i="7"/>
  <c r="W63" i="7"/>
  <c r="O63" i="7" s="1"/>
  <c r="T62" i="7"/>
  <c r="U61" i="7" s="1"/>
  <c r="AF73" i="5"/>
  <c r="K74" i="5"/>
  <c r="M76" i="5"/>
  <c r="AF74" i="5"/>
  <c r="G78" i="5"/>
  <c r="N77" i="5"/>
  <c r="U77" i="5" l="1"/>
  <c r="AI77" i="5" s="1"/>
  <c r="AL77" i="5" s="1"/>
  <c r="L63" i="7"/>
  <c r="AD76" i="5"/>
  <c r="T63" i="7"/>
  <c r="U62" i="7" s="1"/>
  <c r="P64" i="7"/>
  <c r="W64" i="7"/>
  <c r="O64" i="7" s="1"/>
  <c r="V78" i="5"/>
  <c r="AJ78" i="5" s="1"/>
  <c r="AM78" i="5" s="1"/>
  <c r="X65" i="7"/>
  <c r="K75" i="5"/>
  <c r="AE75" i="5"/>
  <c r="M77" i="5"/>
  <c r="G79" i="5"/>
  <c r="N78" i="5"/>
  <c r="AD77" i="5" l="1"/>
  <c r="L64" i="7"/>
  <c r="U78" i="5"/>
  <c r="AI78" i="5" s="1"/>
  <c r="AL78" i="5" s="1"/>
  <c r="T64" i="7"/>
  <c r="U63" i="7" s="1"/>
  <c r="V79" i="5"/>
  <c r="U79" i="5" s="1"/>
  <c r="AI79" i="5" s="1"/>
  <c r="X66" i="7"/>
  <c r="P65" i="7"/>
  <c r="W65" i="7"/>
  <c r="O65" i="7" s="1"/>
  <c r="AE76" i="5"/>
  <c r="AF75" i="5"/>
  <c r="K76" i="5"/>
  <c r="M78" i="5"/>
  <c r="N79" i="5"/>
  <c r="G80" i="5"/>
  <c r="AD78" i="5" l="1"/>
  <c r="AL79" i="5"/>
  <c r="AJ79" i="5"/>
  <c r="AM79" i="5" s="1"/>
  <c r="L65" i="7"/>
  <c r="T65" i="7"/>
  <c r="U64" i="7" s="1"/>
  <c r="P66" i="7"/>
  <c r="W66" i="7"/>
  <c r="O66" i="7" s="1"/>
  <c r="V80" i="5"/>
  <c r="U80" i="5" s="1"/>
  <c r="AI80" i="5" s="1"/>
  <c r="AL80" i="5" s="1"/>
  <c r="X67" i="7"/>
  <c r="AD79" i="5"/>
  <c r="AF76" i="5"/>
  <c r="AE77" i="5"/>
  <c r="K77" i="5"/>
  <c r="M79" i="5"/>
  <c r="N80" i="5"/>
  <c r="G81" i="5"/>
  <c r="L66" i="7" l="1"/>
  <c r="AJ80" i="5"/>
  <c r="AM80" i="5" s="1"/>
  <c r="P67" i="7"/>
  <c r="W67" i="7"/>
  <c r="O67" i="7" s="1"/>
  <c r="V81" i="5"/>
  <c r="AJ81" i="5" s="1"/>
  <c r="X68" i="7"/>
  <c r="T66" i="7"/>
  <c r="U65" i="7" s="1"/>
  <c r="AD80" i="5"/>
  <c r="AF77" i="5"/>
  <c r="AE78" i="5"/>
  <c r="K78" i="5"/>
  <c r="M80" i="5"/>
  <c r="G82" i="5"/>
  <c r="N81" i="5"/>
  <c r="L67" i="7" l="1"/>
  <c r="U81" i="5"/>
  <c r="AI81" i="5" s="1"/>
  <c r="AL81" i="5" s="1"/>
  <c r="AM81" i="5"/>
  <c r="P68" i="7"/>
  <c r="W68" i="7"/>
  <c r="O68" i="7" s="1"/>
  <c r="V82" i="5"/>
  <c r="AJ82" i="5" s="1"/>
  <c r="AM82" i="5" s="1"/>
  <c r="X69" i="7"/>
  <c r="T67" i="7"/>
  <c r="U66" i="7" s="1"/>
  <c r="AF78" i="5"/>
  <c r="AE79" i="5"/>
  <c r="K79" i="5"/>
  <c r="M81" i="5"/>
  <c r="G83" i="5"/>
  <c r="N82" i="5"/>
  <c r="AD81" i="5" l="1"/>
  <c r="L68" i="7"/>
  <c r="U82" i="5"/>
  <c r="AI82" i="5" s="1"/>
  <c r="AL82" i="5" s="1"/>
  <c r="P69" i="7"/>
  <c r="W69" i="7"/>
  <c r="O69" i="7" s="1"/>
  <c r="V83" i="5"/>
  <c r="AJ83" i="5" s="1"/>
  <c r="AM83" i="5" s="1"/>
  <c r="X70" i="7"/>
  <c r="T68" i="7"/>
  <c r="AE80" i="5"/>
  <c r="AF79" i="5"/>
  <c r="K80" i="5"/>
  <c r="M82" i="5"/>
  <c r="AE81" i="5"/>
  <c r="G84" i="5"/>
  <c r="N83" i="5"/>
  <c r="L69" i="7" l="1"/>
  <c r="U83" i="5"/>
  <c r="AI83" i="5" s="1"/>
  <c r="AL83" i="5" s="1"/>
  <c r="AD82" i="5"/>
  <c r="P70" i="7"/>
  <c r="W70" i="7"/>
  <c r="O70" i="7" s="1"/>
  <c r="V84" i="5"/>
  <c r="AJ84" i="5" s="1"/>
  <c r="AM84" i="5" s="1"/>
  <c r="X71" i="7"/>
  <c r="U67" i="7"/>
  <c r="T69" i="7"/>
  <c r="U68" i="7" s="1"/>
  <c r="AF80" i="5"/>
  <c r="K81" i="5"/>
  <c r="M83" i="5"/>
  <c r="AF81" i="5"/>
  <c r="G85" i="5"/>
  <c r="N84" i="5"/>
  <c r="L70" i="7" l="1"/>
  <c r="AD83" i="5"/>
  <c r="U84" i="5"/>
  <c r="AI84" i="5" s="1"/>
  <c r="AL84" i="5" s="1"/>
  <c r="P71" i="7"/>
  <c r="W71" i="7"/>
  <c r="O71" i="7" s="1"/>
  <c r="V85" i="5"/>
  <c r="AJ85" i="5" s="1"/>
  <c r="AM85" i="5" s="1"/>
  <c r="X72" i="7"/>
  <c r="T70" i="7"/>
  <c r="U69" i="7" s="1"/>
  <c r="AE82" i="5"/>
  <c r="AF82" i="5" s="1"/>
  <c r="K82" i="5"/>
  <c r="M84" i="5"/>
  <c r="AE83" i="5"/>
  <c r="G86" i="5"/>
  <c r="N85" i="5"/>
  <c r="AD84" i="5" l="1"/>
  <c r="L71" i="7"/>
  <c r="U85" i="5"/>
  <c r="AI85" i="5" s="1"/>
  <c r="AL85" i="5" s="1"/>
  <c r="V86" i="5"/>
  <c r="AJ86" i="5" s="1"/>
  <c r="AM86" i="5" s="1"/>
  <c r="X73" i="7"/>
  <c r="P72" i="7"/>
  <c r="W72" i="7"/>
  <c r="O72" i="7" s="1"/>
  <c r="T71" i="7"/>
  <c r="U70" i="7" s="1"/>
  <c r="K83" i="5"/>
  <c r="M85" i="5"/>
  <c r="AF83" i="5"/>
  <c r="N86" i="5"/>
  <c r="G87" i="5"/>
  <c r="AD85" i="5" l="1"/>
  <c r="U86" i="5"/>
  <c r="AI86" i="5" s="1"/>
  <c r="AL86" i="5" s="1"/>
  <c r="L72" i="7"/>
  <c r="V87" i="5"/>
  <c r="AJ87" i="5" s="1"/>
  <c r="AM87" i="5" s="1"/>
  <c r="X74" i="7"/>
  <c r="T72" i="7"/>
  <c r="U71" i="7" s="1"/>
  <c r="P73" i="7"/>
  <c r="W73" i="7"/>
  <c r="O73" i="7" s="1"/>
  <c r="AE84" i="5"/>
  <c r="K84" i="5"/>
  <c r="M86" i="5"/>
  <c r="G88" i="5"/>
  <c r="N87" i="5"/>
  <c r="AD86" i="5" l="1"/>
  <c r="L73" i="7"/>
  <c r="U87" i="5"/>
  <c r="AI87" i="5" s="1"/>
  <c r="AL87" i="5" s="1"/>
  <c r="P74" i="7"/>
  <c r="W74" i="7"/>
  <c r="O74" i="7" s="1"/>
  <c r="V88" i="5"/>
  <c r="AJ88" i="5" s="1"/>
  <c r="AM88" i="5" s="1"/>
  <c r="X75" i="7"/>
  <c r="T73" i="7"/>
  <c r="U72" i="7" s="1"/>
  <c r="AF84" i="5"/>
  <c r="AE85" i="5"/>
  <c r="K85" i="5"/>
  <c r="M87" i="5"/>
  <c r="N88" i="5"/>
  <c r="G89" i="5"/>
  <c r="U88" i="5" l="1"/>
  <c r="AI88" i="5" s="1"/>
  <c r="AL88" i="5" s="1"/>
  <c r="AD87" i="5"/>
  <c r="AE87" i="5" s="1"/>
  <c r="L74" i="7"/>
  <c r="V89" i="5"/>
  <c r="AJ89" i="5" s="1"/>
  <c r="AM89" i="5" s="1"/>
  <c r="X76" i="7"/>
  <c r="P75" i="7"/>
  <c r="W75" i="7"/>
  <c r="O75" i="7" s="1"/>
  <c r="T74" i="7"/>
  <c r="U73" i="7" s="1"/>
  <c r="AF85" i="5"/>
  <c r="AE86" i="5"/>
  <c r="AF86" i="5" s="1"/>
  <c r="K86" i="5"/>
  <c r="M88" i="5"/>
  <c r="N89" i="5"/>
  <c r="G90" i="5"/>
  <c r="U89" i="5" l="1"/>
  <c r="AI89" i="5" s="1"/>
  <c r="AL89" i="5" s="1"/>
  <c r="AD88" i="5"/>
  <c r="L75" i="7"/>
  <c r="T75" i="7"/>
  <c r="U74" i="7" s="1"/>
  <c r="V90" i="5"/>
  <c r="U90" i="5" s="1"/>
  <c r="AI90" i="5" s="1"/>
  <c r="X77" i="7"/>
  <c r="P76" i="7"/>
  <c r="W76" i="7"/>
  <c r="O76" i="7" s="1"/>
  <c r="K87" i="5"/>
  <c r="M89" i="5"/>
  <c r="AF87" i="5"/>
  <c r="G91" i="5"/>
  <c r="N90" i="5"/>
  <c r="AD89" i="5" l="1"/>
  <c r="AL90" i="5"/>
  <c r="L76" i="7"/>
  <c r="AJ90" i="5"/>
  <c r="AM90" i="5" s="1"/>
  <c r="T76" i="7"/>
  <c r="U75" i="7" s="1"/>
  <c r="V91" i="5"/>
  <c r="AJ91" i="5" s="1"/>
  <c r="AM91" i="5" s="1"/>
  <c r="X78" i="7"/>
  <c r="P77" i="7"/>
  <c r="W77" i="7"/>
  <c r="O77" i="7" s="1"/>
  <c r="AD90" i="5"/>
  <c r="AE88" i="5"/>
  <c r="K88" i="5"/>
  <c r="M90" i="5"/>
  <c r="N91" i="5"/>
  <c r="G92" i="5"/>
  <c r="U91" i="5" l="1"/>
  <c r="AI91" i="5" s="1"/>
  <c r="AL91" i="5" s="1"/>
  <c r="L77" i="7"/>
  <c r="V92" i="5"/>
  <c r="AJ92" i="5" s="1"/>
  <c r="AM92" i="5" s="1"/>
  <c r="X79" i="7"/>
  <c r="P78" i="7"/>
  <c r="W78" i="7"/>
  <c r="O78" i="7" s="1"/>
  <c r="T77" i="7"/>
  <c r="U76" i="7" s="1"/>
  <c r="AF88" i="5"/>
  <c r="AE89" i="5"/>
  <c r="AF89" i="5" s="1"/>
  <c r="K89" i="5"/>
  <c r="M91" i="5"/>
  <c r="N92" i="5"/>
  <c r="G93" i="5"/>
  <c r="AD91" i="5" l="1"/>
  <c r="AE91" i="5" s="1"/>
  <c r="U92" i="5"/>
  <c r="AI92" i="5" s="1"/>
  <c r="AL92" i="5" s="1"/>
  <c r="L78" i="7"/>
  <c r="T78" i="7"/>
  <c r="U77" i="7" s="1"/>
  <c r="V93" i="5"/>
  <c r="AJ93" i="5" s="1"/>
  <c r="AM93" i="5" s="1"/>
  <c r="X80" i="7"/>
  <c r="P79" i="7"/>
  <c r="W79" i="7"/>
  <c r="O79" i="7" s="1"/>
  <c r="AE90" i="5"/>
  <c r="AF90" i="5" s="1"/>
  <c r="K90" i="5"/>
  <c r="M92" i="5"/>
  <c r="G94" i="5"/>
  <c r="N93" i="5"/>
  <c r="L79" i="7" l="1"/>
  <c r="AD92" i="5"/>
  <c r="U93" i="5"/>
  <c r="AI93" i="5" s="1"/>
  <c r="AL93" i="5" s="1"/>
  <c r="V94" i="5"/>
  <c r="U94" i="5" s="1"/>
  <c r="AI94" i="5" s="1"/>
  <c r="X81" i="7"/>
  <c r="T79" i="7"/>
  <c r="U78" i="7" s="1"/>
  <c r="P80" i="7"/>
  <c r="W80" i="7"/>
  <c r="O80" i="7" s="1"/>
  <c r="K91" i="5"/>
  <c r="M93" i="5"/>
  <c r="AF91" i="5"/>
  <c r="G95" i="5"/>
  <c r="N94" i="5"/>
  <c r="AD93" i="5" l="1"/>
  <c r="AL94" i="5"/>
  <c r="AJ94" i="5"/>
  <c r="AM94" i="5" s="1"/>
  <c r="L80" i="7"/>
  <c r="P81" i="7"/>
  <c r="W81" i="7"/>
  <c r="O81" i="7" s="1"/>
  <c r="V95" i="5"/>
  <c r="AJ95" i="5" s="1"/>
  <c r="X82" i="7"/>
  <c r="T80" i="7"/>
  <c r="U79" i="7" s="1"/>
  <c r="AD94" i="5"/>
  <c r="AE92" i="5"/>
  <c r="K92" i="5"/>
  <c r="M94" i="5"/>
  <c r="G96" i="5"/>
  <c r="N95" i="5"/>
  <c r="AM95" i="5" l="1"/>
  <c r="L81" i="7"/>
  <c r="U95" i="5"/>
  <c r="AI95" i="5" s="1"/>
  <c r="AL95" i="5" s="1"/>
  <c r="V96" i="5"/>
  <c r="U96" i="5" s="1"/>
  <c r="AI96" i="5" s="1"/>
  <c r="X83" i="7"/>
  <c r="P82" i="7"/>
  <c r="W82" i="7"/>
  <c r="O82" i="7" s="1"/>
  <c r="T81" i="7"/>
  <c r="U80" i="7" s="1"/>
  <c r="AE93" i="5"/>
  <c r="AF93" i="5" s="1"/>
  <c r="AF92" i="5"/>
  <c r="K93" i="5"/>
  <c r="M95" i="5"/>
  <c r="G97" i="5"/>
  <c r="N96" i="5"/>
  <c r="AD95" i="5" l="1"/>
  <c r="L82" i="7"/>
  <c r="AL96" i="5"/>
  <c r="AJ96" i="5"/>
  <c r="AM96" i="5" s="1"/>
  <c r="T82" i="7"/>
  <c r="U81" i="7" s="1"/>
  <c r="V97" i="5"/>
  <c r="U97" i="5" s="1"/>
  <c r="AI97" i="5" s="1"/>
  <c r="AL97" i="5" s="1"/>
  <c r="X84" i="7"/>
  <c r="P83" i="7"/>
  <c r="W83" i="7"/>
  <c r="O83" i="7" s="1"/>
  <c r="AD96" i="5"/>
  <c r="K94" i="5"/>
  <c r="AE94" i="5"/>
  <c r="M96" i="5"/>
  <c r="G98" i="5"/>
  <c r="N97" i="5"/>
  <c r="AJ97" i="5" l="1"/>
  <c r="AM97" i="5" s="1"/>
  <c r="L83" i="7"/>
  <c r="T83" i="7"/>
  <c r="U82" i="7" s="1"/>
  <c r="V98" i="5"/>
  <c r="AJ98" i="5" s="1"/>
  <c r="AM98" i="5" s="1"/>
  <c r="X85" i="7"/>
  <c r="P84" i="7"/>
  <c r="W84" i="7"/>
  <c r="O84" i="7" s="1"/>
  <c r="AD97" i="5"/>
  <c r="AE95" i="5"/>
  <c r="AF94" i="5"/>
  <c r="K95" i="5"/>
  <c r="M97" i="5"/>
  <c r="N98" i="5"/>
  <c r="G99" i="5"/>
  <c r="U98" i="5" l="1"/>
  <c r="AI98" i="5" s="1"/>
  <c r="AL98" i="5" s="1"/>
  <c r="L84" i="7"/>
  <c r="T84" i="7"/>
  <c r="U83" i="7" s="1"/>
  <c r="V99" i="5"/>
  <c r="AJ99" i="5" s="1"/>
  <c r="AM99" i="5" s="1"/>
  <c r="X86" i="7"/>
  <c r="P85" i="7"/>
  <c r="W85" i="7"/>
  <c r="O85" i="7" s="1"/>
  <c r="AE96" i="5"/>
  <c r="AF95" i="5"/>
  <c r="K96" i="5"/>
  <c r="M98" i="5"/>
  <c r="G100" i="5"/>
  <c r="N99" i="5"/>
  <c r="U99" i="5" l="1"/>
  <c r="AI99" i="5" s="1"/>
  <c r="AL99" i="5" s="1"/>
  <c r="AD98" i="5"/>
  <c r="L85" i="7"/>
  <c r="T85" i="7"/>
  <c r="U84" i="7" s="1"/>
  <c r="V100" i="5"/>
  <c r="AJ100" i="5" s="1"/>
  <c r="AM100" i="5" s="1"/>
  <c r="X87" i="7"/>
  <c r="P86" i="7"/>
  <c r="W86" i="7"/>
  <c r="O86" i="7" s="1"/>
  <c r="AF96" i="5"/>
  <c r="AE97" i="5"/>
  <c r="K97" i="5"/>
  <c r="M99" i="5"/>
  <c r="N100" i="5"/>
  <c r="G101" i="5"/>
  <c r="AD99" i="5" l="1"/>
  <c r="U100" i="5"/>
  <c r="AI100" i="5" s="1"/>
  <c r="AL100" i="5" s="1"/>
  <c r="L86" i="7"/>
  <c r="V101" i="5"/>
  <c r="AJ101" i="5" s="1"/>
  <c r="AM101" i="5" s="1"/>
  <c r="X88" i="7"/>
  <c r="T86" i="7"/>
  <c r="U85" i="7" s="1"/>
  <c r="P87" i="7"/>
  <c r="W87" i="7"/>
  <c r="O87" i="7" s="1"/>
  <c r="AF97" i="5"/>
  <c r="AE98" i="5"/>
  <c r="AF98" i="5" s="1"/>
  <c r="K98" i="5"/>
  <c r="M100" i="5"/>
  <c r="G102" i="5"/>
  <c r="N101" i="5"/>
  <c r="U101" i="5" l="1"/>
  <c r="AI101" i="5" s="1"/>
  <c r="AL101" i="5" s="1"/>
  <c r="AD100" i="5"/>
  <c r="L87" i="7"/>
  <c r="V102" i="5"/>
  <c r="AJ102" i="5" s="1"/>
  <c r="AM102" i="5" s="1"/>
  <c r="X89" i="7"/>
  <c r="P88" i="7"/>
  <c r="W88" i="7"/>
  <c r="O88" i="7" s="1"/>
  <c r="T87" i="7"/>
  <c r="U86" i="7" s="1"/>
  <c r="AE99" i="5"/>
  <c r="K99" i="5"/>
  <c r="M101" i="5"/>
  <c r="N102" i="5"/>
  <c r="G103" i="5"/>
  <c r="AD101" i="5" l="1"/>
  <c r="U102" i="5"/>
  <c r="AI102" i="5" s="1"/>
  <c r="AL102" i="5" s="1"/>
  <c r="L88" i="7"/>
  <c r="V103" i="5"/>
  <c r="U103" i="5" s="1"/>
  <c r="AI103" i="5" s="1"/>
  <c r="AL103" i="5" s="1"/>
  <c r="X90" i="7"/>
  <c r="T88" i="7"/>
  <c r="U87" i="7" s="1"/>
  <c r="P89" i="7"/>
  <c r="W89" i="7"/>
  <c r="O89" i="7" s="1"/>
  <c r="AF99" i="5"/>
  <c r="AE100" i="5"/>
  <c r="AF100" i="5" s="1"/>
  <c r="K100" i="5"/>
  <c r="M102" i="5"/>
  <c r="G104" i="5"/>
  <c r="N103" i="5"/>
  <c r="AD102" i="5" l="1"/>
  <c r="AE102" i="5" s="1"/>
  <c r="L89" i="7"/>
  <c r="AJ103" i="5"/>
  <c r="AM103" i="5" s="1"/>
  <c r="P90" i="7"/>
  <c r="W90" i="7"/>
  <c r="O90" i="7" s="1"/>
  <c r="V104" i="5"/>
  <c r="AJ104" i="5" s="1"/>
  <c r="AM104" i="5" s="1"/>
  <c r="X91" i="7"/>
  <c r="T89" i="7"/>
  <c r="U88" i="7" s="1"/>
  <c r="AD103" i="5"/>
  <c r="AE101" i="5"/>
  <c r="AF101" i="5" s="1"/>
  <c r="K101" i="5"/>
  <c r="M103" i="5"/>
  <c r="N104" i="5"/>
  <c r="G105" i="5"/>
  <c r="U104" i="5" l="1"/>
  <c r="AI104" i="5" s="1"/>
  <c r="AL104" i="5" s="1"/>
  <c r="L90" i="7"/>
  <c r="V105" i="5"/>
  <c r="AJ105" i="5" s="1"/>
  <c r="AM105" i="5" s="1"/>
  <c r="X92" i="7"/>
  <c r="P91" i="7"/>
  <c r="W91" i="7"/>
  <c r="O91" i="7" s="1"/>
  <c r="T90" i="7"/>
  <c r="U89" i="7" s="1"/>
  <c r="K102" i="5"/>
  <c r="M104" i="5"/>
  <c r="AE103" i="5"/>
  <c r="AF102" i="5"/>
  <c r="N105" i="5"/>
  <c r="G106" i="5"/>
  <c r="U105" i="5" l="1"/>
  <c r="AI105" i="5" s="1"/>
  <c r="AL105" i="5" s="1"/>
  <c r="AD104" i="5"/>
  <c r="AE104" i="5" s="1"/>
  <c r="L91" i="7"/>
  <c r="V106" i="5"/>
  <c r="AJ106" i="5" s="1"/>
  <c r="AM106" i="5" s="1"/>
  <c r="X93" i="7"/>
  <c r="T91" i="7"/>
  <c r="U90" i="7" s="1"/>
  <c r="P92" i="7"/>
  <c r="W92" i="7"/>
  <c r="O92" i="7" s="1"/>
  <c r="K103" i="5"/>
  <c r="M105" i="5"/>
  <c r="AF103" i="5"/>
  <c r="G107" i="5"/>
  <c r="N106" i="5"/>
  <c r="AD105" i="5" l="1"/>
  <c r="AE105" i="5" s="1"/>
  <c r="U106" i="5"/>
  <c r="AI106" i="5" s="1"/>
  <c r="AL106" i="5" s="1"/>
  <c r="L92" i="7"/>
  <c r="V107" i="5"/>
  <c r="AJ107" i="5" s="1"/>
  <c r="AM107" i="5" s="1"/>
  <c r="X94" i="7"/>
  <c r="P93" i="7"/>
  <c r="W93" i="7"/>
  <c r="O93" i="7" s="1"/>
  <c r="T92" i="7"/>
  <c r="U91" i="7" s="1"/>
  <c r="K104" i="5"/>
  <c r="M106" i="5"/>
  <c r="AF104" i="5"/>
  <c r="N107" i="5"/>
  <c r="G108" i="5"/>
  <c r="U107" i="5" l="1"/>
  <c r="AI107" i="5" s="1"/>
  <c r="AL107" i="5" s="1"/>
  <c r="AD106" i="5"/>
  <c r="L93" i="7"/>
  <c r="V108" i="5"/>
  <c r="AJ108" i="5" s="1"/>
  <c r="AM108" i="5" s="1"/>
  <c r="X95" i="7"/>
  <c r="T93" i="7"/>
  <c r="U92" i="7" s="1"/>
  <c r="P94" i="7"/>
  <c r="W94" i="7"/>
  <c r="O94" i="7" s="1"/>
  <c r="K105" i="5"/>
  <c r="M107" i="5"/>
  <c r="AF105" i="5"/>
  <c r="N108" i="5"/>
  <c r="G109" i="5"/>
  <c r="AD107" i="5" l="1"/>
  <c r="U108" i="5"/>
  <c r="AI108" i="5" s="1"/>
  <c r="AL108" i="5" s="1"/>
  <c r="L94" i="7"/>
  <c r="V109" i="5"/>
  <c r="U109" i="5" s="1"/>
  <c r="AI109" i="5" s="1"/>
  <c r="X96" i="7"/>
  <c r="P95" i="7"/>
  <c r="W95" i="7"/>
  <c r="O95" i="7" s="1"/>
  <c r="T94" i="7"/>
  <c r="U93" i="7" s="1"/>
  <c r="K106" i="5"/>
  <c r="AE106" i="5"/>
  <c r="M108" i="5"/>
  <c r="N109" i="5"/>
  <c r="G110" i="5"/>
  <c r="AL109" i="5" l="1"/>
  <c r="AD108" i="5"/>
  <c r="AJ109" i="5"/>
  <c r="AM109" i="5" s="1"/>
  <c r="L95" i="7"/>
  <c r="V110" i="5"/>
  <c r="AJ110" i="5" s="1"/>
  <c r="AM110" i="5" s="1"/>
  <c r="X97" i="7"/>
  <c r="T95" i="7"/>
  <c r="U94" i="7" s="1"/>
  <c r="P96" i="7"/>
  <c r="W96" i="7"/>
  <c r="O96" i="7" s="1"/>
  <c r="AD109" i="5"/>
  <c r="AE107" i="5"/>
  <c r="AF106" i="5"/>
  <c r="K107" i="5"/>
  <c r="M109" i="5"/>
  <c r="G111" i="5"/>
  <c r="N110" i="5"/>
  <c r="U110" i="5" l="1"/>
  <c r="AI110" i="5" s="1"/>
  <c r="AL110" i="5" s="1"/>
  <c r="L96" i="7"/>
  <c r="V111" i="5"/>
  <c r="U111" i="5" s="1"/>
  <c r="AI111" i="5" s="1"/>
  <c r="X98" i="7"/>
  <c r="P97" i="7"/>
  <c r="W97" i="7"/>
  <c r="O97" i="7" s="1"/>
  <c r="T96" i="7"/>
  <c r="U95" i="7" s="1"/>
  <c r="AF107" i="5"/>
  <c r="AE108" i="5"/>
  <c r="K108" i="5"/>
  <c r="M110" i="5"/>
  <c r="G112" i="5"/>
  <c r="N111" i="5"/>
  <c r="AL111" i="5" l="1"/>
  <c r="AJ111" i="5"/>
  <c r="AM111" i="5" s="1"/>
  <c r="AD110" i="5"/>
  <c r="L97" i="7"/>
  <c r="V112" i="5"/>
  <c r="AJ112" i="5" s="1"/>
  <c r="AM112" i="5" s="1"/>
  <c r="X99" i="7"/>
  <c r="T97" i="7"/>
  <c r="U96" i="7" s="1"/>
  <c r="P98" i="7"/>
  <c r="W98" i="7"/>
  <c r="O98" i="7" s="1"/>
  <c r="AD111" i="5"/>
  <c r="AF108" i="5"/>
  <c r="AE109" i="5"/>
  <c r="K109" i="5"/>
  <c r="M111" i="5"/>
  <c r="AE110" i="5"/>
  <c r="N112" i="5"/>
  <c r="G113" i="5"/>
  <c r="U112" i="5" l="1"/>
  <c r="AI112" i="5" s="1"/>
  <c r="AL112" i="5" s="1"/>
  <c r="L98" i="7"/>
  <c r="V113" i="5"/>
  <c r="U113" i="5" s="1"/>
  <c r="AI113" i="5" s="1"/>
  <c r="X100" i="7"/>
  <c r="T98" i="7"/>
  <c r="U97" i="7" s="1"/>
  <c r="P99" i="7"/>
  <c r="W99" i="7"/>
  <c r="O99" i="7" s="1"/>
  <c r="AF109" i="5"/>
  <c r="K110" i="5"/>
  <c r="M112" i="5"/>
  <c r="AE111" i="5"/>
  <c r="AF110" i="5"/>
  <c r="N113" i="5"/>
  <c r="G114" i="5"/>
  <c r="AD112" i="5" l="1"/>
  <c r="AE112" i="5" s="1"/>
  <c r="AL113" i="5"/>
  <c r="AJ113" i="5"/>
  <c r="AM113" i="5" s="1"/>
  <c r="T99" i="7"/>
  <c r="U98" i="7" s="1"/>
  <c r="L99" i="7"/>
  <c r="V114" i="5"/>
  <c r="AJ114" i="5" s="1"/>
  <c r="X101" i="7"/>
  <c r="P100" i="7"/>
  <c r="W100" i="7"/>
  <c r="O100" i="7" s="1"/>
  <c r="AD113" i="5"/>
  <c r="K111" i="5"/>
  <c r="M113" i="5"/>
  <c r="AF111" i="5"/>
  <c r="N114" i="5"/>
  <c r="G115" i="5"/>
  <c r="U114" i="5" l="1"/>
  <c r="AI114" i="5" s="1"/>
  <c r="AL114" i="5" s="1"/>
  <c r="AM114" i="5"/>
  <c r="L100" i="7"/>
  <c r="T100" i="7"/>
  <c r="U99" i="7" s="1"/>
  <c r="P101" i="7"/>
  <c r="W101" i="7"/>
  <c r="O101" i="7" s="1"/>
  <c r="V115" i="5"/>
  <c r="AJ115" i="5" s="1"/>
  <c r="AM115" i="5" s="1"/>
  <c r="X102" i="7"/>
  <c r="K112" i="5"/>
  <c r="M114" i="5"/>
  <c r="AE113" i="5"/>
  <c r="AF112" i="5"/>
  <c r="G116" i="5"/>
  <c r="N115" i="5"/>
  <c r="AD114" i="5" l="1"/>
  <c r="AE114" i="5" s="1"/>
  <c r="L101" i="7"/>
  <c r="U115" i="5"/>
  <c r="AI115" i="5" s="1"/>
  <c r="AL115" i="5" s="1"/>
  <c r="T101" i="7"/>
  <c r="U100" i="7" s="1"/>
  <c r="P102" i="7"/>
  <c r="W102" i="7"/>
  <c r="O102" i="7" s="1"/>
  <c r="V116" i="5"/>
  <c r="AJ116" i="5" s="1"/>
  <c r="AM116" i="5" s="1"/>
  <c r="X103" i="7"/>
  <c r="K113" i="5"/>
  <c r="M115" i="5"/>
  <c r="AF113" i="5"/>
  <c r="N116" i="5"/>
  <c r="G117" i="5"/>
  <c r="AD115" i="5" l="1"/>
  <c r="L102" i="7"/>
  <c r="U116" i="5"/>
  <c r="AI116" i="5" s="1"/>
  <c r="AL116" i="5" s="1"/>
  <c r="V117" i="5"/>
  <c r="U117" i="5" s="1"/>
  <c r="AI117" i="5" s="1"/>
  <c r="X104" i="7"/>
  <c r="P103" i="7"/>
  <c r="W103" i="7"/>
  <c r="O103" i="7" s="1"/>
  <c r="T102" i="7"/>
  <c r="U101" i="7" s="1"/>
  <c r="K114" i="5"/>
  <c r="M116" i="5"/>
  <c r="AE115" i="5"/>
  <c r="AF114" i="5"/>
  <c r="N117" i="5"/>
  <c r="G14" i="5"/>
  <c r="AD116" i="5" l="1"/>
  <c r="AJ117" i="5"/>
  <c r="AM117" i="5" s="1"/>
  <c r="L103" i="7"/>
  <c r="T103" i="7"/>
  <c r="U102" i="7" s="1"/>
  <c r="P104" i="7"/>
  <c r="W104" i="7"/>
  <c r="O104" i="7" s="1"/>
  <c r="U118" i="5"/>
  <c r="AD117" i="5"/>
  <c r="V118" i="5"/>
  <c r="AL117" i="5"/>
  <c r="M117" i="5"/>
  <c r="P15" i="5"/>
  <c r="Q15" i="5" s="1"/>
  <c r="K115" i="5"/>
  <c r="N119" i="5"/>
  <c r="N121" i="5" s="1"/>
  <c r="AE116" i="5"/>
  <c r="AF115" i="5"/>
  <c r="L104" i="7" l="1"/>
  <c r="L4" i="7" s="1"/>
  <c r="T104" i="7"/>
  <c r="M119" i="5"/>
  <c r="M121" i="5" s="1"/>
  <c r="N118" i="5"/>
  <c r="M118" i="5"/>
  <c r="AI118" i="5" s="1"/>
  <c r="AL118" i="5" s="1"/>
  <c r="K116" i="5"/>
  <c r="AJ118" i="5"/>
  <c r="AM118" i="5" s="1"/>
  <c r="AF116" i="5"/>
  <c r="U104" i="7" l="1"/>
  <c r="U103" i="7"/>
  <c r="AE117" i="5"/>
  <c r="AE16" i="5" s="1"/>
  <c r="AF1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33C2A353-6B4A-404D-86F6-0323EC0A58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94405336-3050-4D0B-B491-49F203D21FD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H14" authorId="0" shapeId="0" xr:uid="{62DB24E5-2496-46DF-8B54-81153AAB989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原始暴伤倍率1.5</t>
        </r>
      </text>
    </comment>
    <comment ref="H15" authorId="0" shapeId="0" xr:uid="{49A8C359-C83F-485B-BD1D-2252C3B7EA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原始攻速默认为1，每张卡可能不尽相同</t>
        </r>
      </text>
    </comment>
    <comment ref="D31" authorId="0" shapeId="0" xr:uid="{61BDB054-8789-4D6D-8FAA-38D60FA8D87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会有投放上限，一般会投放到2倍的参数水平，超过后不建议再投放了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Administrator</author>
  </authors>
  <commentList>
    <comment ref="F18" authorId="0" shapeId="0" xr:uid="{CD00E56B-C237-4834-8EC3-D923693CA3C2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攻速只影响普攻，普攻输出占比</t>
        </r>
      </text>
    </comment>
    <comment ref="I18" authorId="0" shapeId="0" xr:uid="{7846312F-4918-4D36-AC0E-92727B1862C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满暴</t>
        </r>
      </text>
    </comment>
    <comment ref="K18" authorId="0" shapeId="0" xr:uid="{F0F7BAA2-EF83-4EA0-A2A5-D164DE20C39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每秒攻击次数</t>
        </r>
      </text>
    </comment>
    <comment ref="F24" authorId="0" shapeId="0" xr:uid="{302F5942-79B0-4B11-B0C5-A46C79F9EFA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技能为非攻击</t>
        </r>
      </text>
    </comment>
    <comment ref="J27" authorId="1" shapeId="0" xr:uid="{4998A772-4095-45CB-8F5F-67010106279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初始暴击率0.05</t>
        </r>
      </text>
    </comment>
    <comment ref="F33" authorId="0" shapeId="0" xr:uid="{CE5D09E3-40F2-47C5-B066-E76B2DCDEA2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治疗应该是玩技能的，属性什么的不重要，比如降低CD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8" authorId="0" shapeId="0" xr:uid="{56AA40FA-DA85-4E36-8A62-12390695AD2F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伤害和承伤2选一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J4" authorId="0" shapeId="0" xr:uid="{53DB34AB-2681-4592-A6C0-7FCC0BB0D27C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按照最大防御率计算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" authorId="0" shapeId="0" xr:uid="{012823D1-8ADB-4272-88F0-A252760107B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模拟次数</t>
        </r>
      </text>
    </comment>
    <comment ref="F3" authorId="0" shapeId="0" xr:uid="{DC92A511-373F-41E0-A201-27FF7AB4E469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平均回合（一回合1秒）或者时间</t>
        </r>
      </text>
    </comment>
    <comment ref="G3" authorId="0" shapeId="0" xr:uid="{BB656DD2-3D38-4E1B-B194-53B66AF1F165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平手次数</t>
        </r>
      </text>
    </comment>
    <comment ref="H3" authorId="0" shapeId="0" xr:uid="{2802D3C4-6289-42EE-BA12-BFB7E68F618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超时次数</t>
        </r>
      </text>
    </comment>
    <comment ref="G33" authorId="0" shapeId="0" xr:uid="{64B76674-2210-4836-A5F6-B403EB8F49B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模拟次数</t>
        </r>
      </text>
    </comment>
    <comment ref="F35" authorId="0" shapeId="0" xr:uid="{AE1DEBAF-58CA-4237-946B-EDC9229842ED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平均回合（一回合1秒）或者时间</t>
        </r>
      </text>
    </comment>
    <comment ref="G35" authorId="0" shapeId="0" xr:uid="{8558A9A0-3AB0-4ED7-AA0D-8557B634775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平手次数</t>
        </r>
      </text>
    </comment>
    <comment ref="H35" authorId="0" shapeId="0" xr:uid="{3F7762D7-8CCD-4B36-A2C2-E0FCDC43D7B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超时次数</t>
        </r>
      </text>
    </comment>
  </commentList>
</comments>
</file>

<file path=xl/sharedStrings.xml><?xml version="1.0" encoding="utf-8"?>
<sst xmlns="http://schemas.openxmlformats.org/spreadsheetml/2006/main" count="745" uniqueCount="289">
  <si>
    <t>战</t>
    <phoneticPr fontId="1" type="noConversion"/>
  </si>
  <si>
    <t>法</t>
    <phoneticPr fontId="1" type="noConversion"/>
  </si>
  <si>
    <t>牧</t>
    <phoneticPr fontId="1" type="noConversion"/>
  </si>
  <si>
    <t>坦克</t>
    <phoneticPr fontId="1" type="noConversion"/>
  </si>
  <si>
    <t>输出</t>
    <phoneticPr fontId="1" type="noConversion"/>
  </si>
  <si>
    <t>治疗</t>
    <phoneticPr fontId="1" type="noConversion"/>
  </si>
  <si>
    <t>增益-进攻</t>
    <phoneticPr fontId="1" type="noConversion"/>
  </si>
  <si>
    <t>增益-防御</t>
    <phoneticPr fontId="1" type="noConversion"/>
  </si>
  <si>
    <t>无限养成、有卡点、重PVP，用浮动参数的防御公式</t>
    <phoneticPr fontId="1" type="noConversion"/>
  </si>
  <si>
    <t>有限养成、无卡点、轻PVP，用固定参数的防御公式</t>
    <phoneticPr fontId="1" type="noConversion"/>
  </si>
  <si>
    <t>无限养成、重PVP，高级属性对投增减模式</t>
    <phoneticPr fontId="1" type="noConversion"/>
  </si>
  <si>
    <t>有限养成、轻PVP，高级属性对投独立计算</t>
    <phoneticPr fontId="1" type="noConversion"/>
  </si>
  <si>
    <t>不确定是否无限和重PVP与否，高级属性可以混合用</t>
    <phoneticPr fontId="1" type="noConversion"/>
  </si>
  <si>
    <t>攻速</t>
    <phoneticPr fontId="1" type="noConversion"/>
  </si>
  <si>
    <t>攻击</t>
    <phoneticPr fontId="1" type="noConversion"/>
  </si>
  <si>
    <t>伤害</t>
    <phoneticPr fontId="1" type="noConversion"/>
  </si>
  <si>
    <t>承伤</t>
    <phoneticPr fontId="1" type="noConversion"/>
  </si>
  <si>
    <t>战斗节奏</t>
    <phoneticPr fontId="1" type="noConversion"/>
  </si>
  <si>
    <t>职业</t>
    <phoneticPr fontId="1" type="noConversion"/>
  </si>
  <si>
    <t>基础模型</t>
    <phoneticPr fontId="1" type="noConversion"/>
  </si>
  <si>
    <t>站位</t>
    <phoneticPr fontId="1" type="noConversion"/>
  </si>
  <si>
    <t>标准模型</t>
    <phoneticPr fontId="1" type="noConversion"/>
  </si>
  <si>
    <t>治疗总量</t>
    <phoneticPr fontId="1" type="noConversion"/>
  </si>
  <si>
    <t>坦克治疗</t>
    <phoneticPr fontId="1" type="noConversion"/>
  </si>
  <si>
    <t>剩余人数</t>
    <phoneticPr fontId="1" type="noConversion"/>
  </si>
  <si>
    <t>模型定义</t>
    <phoneticPr fontId="1" type="noConversion"/>
  </si>
  <si>
    <t>模型计算</t>
    <phoneticPr fontId="1" type="noConversion"/>
  </si>
  <si>
    <t>最优模型</t>
    <phoneticPr fontId="1" type="noConversion"/>
  </si>
  <si>
    <t>节奏</t>
    <phoneticPr fontId="1" type="noConversion"/>
  </si>
  <si>
    <t>治疗能力大于输出时，有战斗限时保底，但数值一般不会设定治疗大于输出</t>
    <phoneticPr fontId="1" type="noConversion"/>
  </si>
  <si>
    <t>不同职业定位不同，在3个维度进行分化处理</t>
    <phoneticPr fontId="1" type="noConversion"/>
  </si>
  <si>
    <t>战斗公式</t>
    <phoneticPr fontId="1" type="noConversion"/>
  </si>
  <si>
    <t>属性</t>
    <phoneticPr fontId="1" type="noConversion"/>
  </si>
  <si>
    <t>基础属性</t>
    <phoneticPr fontId="1" type="noConversion"/>
  </si>
  <si>
    <t>攻击力</t>
    <phoneticPr fontId="1" type="noConversion"/>
  </si>
  <si>
    <t>防御力</t>
    <phoneticPr fontId="1" type="noConversion"/>
  </si>
  <si>
    <t>生命上限</t>
    <phoneticPr fontId="1" type="noConversion"/>
  </si>
  <si>
    <t>暴击率</t>
    <phoneticPr fontId="1" type="noConversion"/>
  </si>
  <si>
    <t>基础属性修正</t>
    <phoneticPr fontId="1" type="noConversion"/>
  </si>
  <si>
    <t>攻击力%</t>
    <phoneticPr fontId="1" type="noConversion"/>
  </si>
  <si>
    <t>防御力%</t>
    <phoneticPr fontId="1" type="noConversion"/>
  </si>
  <si>
    <t>生命上限%</t>
    <phoneticPr fontId="1" type="noConversion"/>
  </si>
  <si>
    <t>高级属性</t>
    <phoneticPr fontId="1" type="noConversion"/>
  </si>
  <si>
    <t>来源</t>
    <phoneticPr fontId="1" type="noConversion"/>
  </si>
  <si>
    <t>面板</t>
    <phoneticPr fontId="1" type="noConversion"/>
  </si>
  <si>
    <t>面板、技能</t>
    <phoneticPr fontId="1" type="noConversion"/>
  </si>
  <si>
    <t>防御/(参数+防御）</t>
    <phoneticPr fontId="1" type="noConversion"/>
  </si>
  <si>
    <t>累积公式</t>
    <phoneticPr fontId="1" type="noConversion"/>
  </si>
  <si>
    <t>加、减</t>
    <phoneticPr fontId="1" type="noConversion"/>
  </si>
  <si>
    <t>举例</t>
    <phoneticPr fontId="1" type="noConversion"/>
  </si>
  <si>
    <t>卡牌+10攻击力，武器+10攻击力，Debuff-15攻击力；攻击力=10+10-15=5</t>
    <phoneticPr fontId="1" type="noConversion"/>
  </si>
  <si>
    <t>卡牌+10防御力，防具+10防御力，Debuff-5防御力；防御力=10+10-5=15</t>
    <phoneticPr fontId="1" type="noConversion"/>
  </si>
  <si>
    <t>卡牌+100生命上限，防具+100生命上限，Debuff-10生命上限；生命上限=100+100-10=190</t>
    <phoneticPr fontId="1" type="noConversion"/>
  </si>
  <si>
    <t>卡牌+5%暴击率，天赋+10%暴击率，Debuff-5%暴击率；暴击率=5%+10%-5%=10%</t>
    <phoneticPr fontId="1" type="noConversion"/>
  </si>
  <si>
    <t>范围</t>
    <phoneticPr fontId="1" type="noConversion"/>
  </si>
  <si>
    <t>[0,75%]</t>
    <phoneticPr fontId="1" type="noConversion"/>
  </si>
  <si>
    <t>[1,300%]</t>
    <phoneticPr fontId="1" type="noConversion"/>
  </si>
  <si>
    <t>暴伤倍率</t>
    <phoneticPr fontId="1" type="noConversion"/>
  </si>
  <si>
    <t>卡牌+5%暴伤倍率，天赋+10%暴伤倍率，Debuff-5%暴伤倍率；暴伤倍率=150%+5%+10%-5%=160%</t>
    <phoneticPr fontId="1" type="noConversion"/>
  </si>
  <si>
    <t>（0,3]</t>
    <phoneticPr fontId="1" type="noConversion"/>
  </si>
  <si>
    <t>卡牌+0.1攻速，天赋+0.3攻速，Debuff-0.2攻速；攻速=1+0.1+0.3-0.2=1.2</t>
    <phoneticPr fontId="1" type="noConversion"/>
  </si>
  <si>
    <t>基础属性和基础属性修正的关系</t>
    <phoneticPr fontId="1" type="noConversion"/>
  </si>
  <si>
    <t>最终基础属性=基础属性*（1+基础属性修正）</t>
    <phoneticPr fontId="1" type="noConversion"/>
  </si>
  <si>
    <t>卡牌+10%基础属性修正，装备+10%基础属性修正，Debuff-30%基础属性修正；基础属性修正=10%+10%-30%=-10%</t>
    <phoneticPr fontId="1" type="noConversion"/>
  </si>
  <si>
    <t>[1,∞)</t>
    <phoneticPr fontId="1" type="noConversion"/>
  </si>
  <si>
    <t>(-0.75,∞)</t>
    <phoneticPr fontId="1" type="noConversion"/>
  </si>
  <si>
    <t>[-75%,500%]</t>
    <phoneticPr fontId="1" type="noConversion"/>
  </si>
  <si>
    <t>卡牌+10%高级属性，装备+10%高级属性，Debuff-100%高级属性；高级属性=10%+10%-100%=-80%；max(-80%,-75%)=-75%</t>
    <phoneticPr fontId="1" type="noConversion"/>
  </si>
  <si>
    <t>攻击力*（1+攻击力%）</t>
    <phoneticPr fontId="1" type="noConversion"/>
  </si>
  <si>
    <t>模块</t>
    <phoneticPr fontId="1" type="noConversion"/>
  </si>
  <si>
    <t>根据暴击率判定是否暴击，非暴击时系数为1，暴击时系数为暴伤倍率</t>
    <phoneticPr fontId="1" type="noConversion"/>
  </si>
  <si>
    <t>防御</t>
    <phoneticPr fontId="1" type="noConversion"/>
  </si>
  <si>
    <t>暴击系数</t>
    <phoneticPr fontId="1" type="noConversion"/>
  </si>
  <si>
    <t>冷却%</t>
    <phoneticPr fontId="1" type="noConversion"/>
  </si>
  <si>
    <t>1+伤害%</t>
    <phoneticPr fontId="1" type="noConversion"/>
  </si>
  <si>
    <t>最终伤害</t>
    <phoneticPr fontId="1" type="noConversion"/>
  </si>
  <si>
    <t>攻击*暴击系数*防御*伤害</t>
    <phoneticPr fontId="1" type="noConversion"/>
  </si>
  <si>
    <t>计算</t>
    <phoneticPr fontId="1" type="noConversion"/>
  </si>
  <si>
    <t>生命上限*（1+生命上限%）</t>
    <phoneticPr fontId="1" type="noConversion"/>
  </si>
  <si>
    <t>攻击类属性是A单位，防御类属性取B单位</t>
    <phoneticPr fontId="1" type="noConversion"/>
  </si>
  <si>
    <t>最终治疗</t>
    <phoneticPr fontId="1" type="noConversion"/>
  </si>
  <si>
    <t>最终生命</t>
    <phoneticPr fontId="1" type="noConversion"/>
  </si>
  <si>
    <t>治疗量*（1+治疗%）*（1+受到治疗%）</t>
    <phoneticPr fontId="1" type="noConversion"/>
  </si>
  <si>
    <t>整体战法牧组合</t>
    <phoneticPr fontId="1" type="noConversion"/>
  </si>
  <si>
    <t>每列战法牧组合；牧的治疗平分到每列</t>
    <phoneticPr fontId="1" type="noConversion"/>
  </si>
  <si>
    <t>列位</t>
    <phoneticPr fontId="1" type="noConversion"/>
  </si>
  <si>
    <t>第0列</t>
    <phoneticPr fontId="1" type="noConversion"/>
  </si>
  <si>
    <t>规定模式下，期望更多的组合PK是平衡的，增强策略</t>
    <phoneticPr fontId="1" type="noConversion"/>
  </si>
  <si>
    <t>战斗力</t>
    <phoneticPr fontId="1" type="noConversion"/>
  </si>
  <si>
    <t>暴击倍率</t>
    <phoneticPr fontId="1" type="noConversion"/>
  </si>
  <si>
    <t>每份价值</t>
    <phoneticPr fontId="1" type="noConversion"/>
  </si>
  <si>
    <t>角色设定</t>
    <phoneticPr fontId="1" type="noConversion"/>
  </si>
  <si>
    <t>扩展类型</t>
    <phoneticPr fontId="1" type="noConversion"/>
  </si>
  <si>
    <t>大类型</t>
    <phoneticPr fontId="1" type="noConversion"/>
  </si>
  <si>
    <t>突击</t>
    <phoneticPr fontId="1" type="noConversion"/>
  </si>
  <si>
    <t>伤害偏向</t>
    <phoneticPr fontId="1" type="noConversion"/>
  </si>
  <si>
    <t>承伤偏向</t>
    <phoneticPr fontId="1" type="noConversion"/>
  </si>
  <si>
    <t>实际伤害</t>
    <phoneticPr fontId="1" type="noConversion"/>
  </si>
  <si>
    <t>实际承伤</t>
    <phoneticPr fontId="1" type="noConversion"/>
  </si>
  <si>
    <t>魔法</t>
    <phoneticPr fontId="1" type="noConversion"/>
  </si>
  <si>
    <t>射击</t>
    <phoneticPr fontId="1" type="noConversion"/>
  </si>
  <si>
    <t>刺杀</t>
    <phoneticPr fontId="1" type="noConversion"/>
  </si>
  <si>
    <t>恢复</t>
    <phoneticPr fontId="1" type="noConversion"/>
  </si>
  <si>
    <t>防御见长，输出较低</t>
    <phoneticPr fontId="1" type="noConversion"/>
  </si>
  <si>
    <t>有一定输出和防御能力</t>
    <phoneticPr fontId="1" type="noConversion"/>
  </si>
  <si>
    <t>群体输出能力强</t>
    <phoneticPr fontId="1" type="noConversion"/>
  </si>
  <si>
    <t>单体输出能力强</t>
    <phoneticPr fontId="1" type="noConversion"/>
  </si>
  <si>
    <t>对后排输出能力强</t>
    <phoneticPr fontId="1" type="noConversion"/>
  </si>
  <si>
    <t>更侧重单体治疗能力</t>
    <phoneticPr fontId="1" type="noConversion"/>
  </si>
  <si>
    <t>攻击战斗力</t>
    <phoneticPr fontId="1" type="noConversion"/>
  </si>
  <si>
    <t>防御战斗力</t>
    <phoneticPr fontId="1" type="noConversion"/>
  </si>
  <si>
    <t>提供标准的伤害、承伤、防御力、暴击率、暴击倍率、攻速的成长曲线</t>
    <phoneticPr fontId="1" type="noConversion"/>
  </si>
  <si>
    <t>卡牌提供上述属性的偏向参数，由此计算出实际攻击力和生命上限</t>
    <phoneticPr fontId="1" type="noConversion"/>
  </si>
  <si>
    <t>输出的技能成长带来的伤害和坦克、治疗的承伤技能应该是相互平衡的</t>
    <phoneticPr fontId="1" type="noConversion"/>
  </si>
  <si>
    <t>角色偏向</t>
    <phoneticPr fontId="1" type="noConversion"/>
  </si>
  <si>
    <t>数值分配</t>
    <phoneticPr fontId="1" type="noConversion"/>
  </si>
  <si>
    <t>角色成长</t>
    <phoneticPr fontId="1" type="noConversion"/>
  </si>
  <si>
    <t>角色分类</t>
    <phoneticPr fontId="1" type="noConversion"/>
  </si>
  <si>
    <t>成长系统</t>
    <phoneticPr fontId="1" type="noConversion"/>
  </si>
  <si>
    <t>权重</t>
    <phoneticPr fontId="1" type="noConversion"/>
  </si>
  <si>
    <t>升级</t>
    <phoneticPr fontId="1" type="noConversion"/>
  </si>
  <si>
    <t>公共%</t>
    <phoneticPr fontId="1" type="noConversion"/>
  </si>
  <si>
    <t>装备%</t>
    <phoneticPr fontId="1" type="noConversion"/>
  </si>
  <si>
    <t>比例</t>
    <phoneticPr fontId="1" type="noConversion"/>
  </si>
  <si>
    <t>模板计算出每张卡的最终形态，扣除公共部分和单条属性，其余的占比是卡牌自身成长，结果会导致成长过程中攻防属性比例不同步</t>
    <phoneticPr fontId="1" type="noConversion"/>
  </si>
  <si>
    <t>增益效果%</t>
    <phoneticPr fontId="1" type="noConversion"/>
  </si>
  <si>
    <t>[-75%,501%]</t>
  </si>
  <si>
    <t>坦克</t>
  </si>
  <si>
    <t>输出</t>
  </si>
  <si>
    <t>治疗</t>
  </si>
  <si>
    <t>价值比</t>
    <phoneticPr fontId="1" type="noConversion"/>
  </si>
  <si>
    <t>属性放大</t>
    <phoneticPr fontId="1" type="noConversion"/>
  </si>
  <si>
    <t>攻击向战斗力=攻击力*（1+暴击率*(暴击倍率-1)）*（攻速价值+技能倍率价值）*攻击力价值</t>
    <phoneticPr fontId="1" type="noConversion"/>
  </si>
  <si>
    <t>减益效果%</t>
    <phoneticPr fontId="1" type="noConversion"/>
  </si>
  <si>
    <t>追求属性</t>
    <phoneticPr fontId="1" type="noConversion"/>
  </si>
  <si>
    <t>防御力、生命上限、减益效果%</t>
    <phoneticPr fontId="1" type="noConversion"/>
  </si>
  <si>
    <t>攻击力、暴击率、暴击倍率、攻速</t>
    <phoneticPr fontId="1" type="noConversion"/>
  </si>
  <si>
    <t>冷却%、增益效果%</t>
    <phoneticPr fontId="1" type="noConversion"/>
  </si>
  <si>
    <t>第1列</t>
    <phoneticPr fontId="1" type="noConversion"/>
  </si>
  <si>
    <t>第2列</t>
    <phoneticPr fontId="1" type="noConversion"/>
  </si>
  <si>
    <t>优先攻击对位（列）敌人</t>
    <phoneticPr fontId="1" type="noConversion"/>
  </si>
  <si>
    <t>队伍攻防随卡牌阵亡变化</t>
    <phoneticPr fontId="1" type="noConversion"/>
  </si>
  <si>
    <t>最少配置</t>
    <phoneticPr fontId="1" type="noConversion"/>
  </si>
  <si>
    <t>最多配置</t>
    <phoneticPr fontId="1" type="noConversion"/>
  </si>
  <si>
    <t>偏向参数</t>
    <phoneticPr fontId="1" type="noConversion"/>
  </si>
  <si>
    <t>防御力</t>
  </si>
  <si>
    <t>暴击率</t>
  </si>
  <si>
    <t>暴击倍率</t>
  </si>
  <si>
    <t>攻速</t>
  </si>
  <si>
    <t>标准值</t>
    <phoneticPr fontId="1" type="noConversion"/>
  </si>
  <si>
    <t>防御向战斗力=生命上限*（1+防御力价值）*生命上限价值+回复生命上限*30*生命上限价值</t>
    <phoneticPr fontId="1" type="noConversion"/>
  </si>
  <si>
    <t>偏向</t>
  </si>
  <si>
    <t>偏向</t>
    <phoneticPr fontId="1" type="noConversion"/>
  </si>
  <si>
    <t>伤害</t>
  </si>
  <si>
    <t>承伤</t>
  </si>
  <si>
    <t>无</t>
    <phoneticPr fontId="1" type="noConversion"/>
  </si>
  <si>
    <t>角色详细</t>
    <phoneticPr fontId="1" type="noConversion"/>
  </si>
  <si>
    <t>角色名</t>
    <phoneticPr fontId="1" type="noConversion"/>
  </si>
  <si>
    <t>防御</t>
  </si>
  <si>
    <t>突击</t>
  </si>
  <si>
    <t>魔法</t>
  </si>
  <si>
    <t>射击</t>
  </si>
  <si>
    <t>刺杀</t>
  </si>
  <si>
    <t>恢复</t>
  </si>
  <si>
    <t>输入值范围</t>
    <phoneticPr fontId="1" type="noConversion"/>
  </si>
  <si>
    <t>伤害偏向极值</t>
    <phoneticPr fontId="1" type="noConversion"/>
  </si>
  <si>
    <t>防御力偏向极值</t>
    <phoneticPr fontId="1" type="noConversion"/>
  </si>
  <si>
    <t>R</t>
    <phoneticPr fontId="1" type="noConversion"/>
  </si>
  <si>
    <t>优势属性比</t>
    <phoneticPr fontId="1" type="noConversion"/>
  </si>
  <si>
    <t>劣势属性比</t>
    <phoneticPr fontId="1" type="noConversion"/>
  </si>
  <si>
    <t>成长模板</t>
    <phoneticPr fontId="1" type="noConversion"/>
  </si>
  <si>
    <t>角色属性</t>
    <phoneticPr fontId="1" type="noConversion"/>
  </si>
  <si>
    <t>等级</t>
    <phoneticPr fontId="1" type="noConversion"/>
  </si>
  <si>
    <t>攻击力</t>
  </si>
  <si>
    <t>生命上限</t>
  </si>
  <si>
    <t>普攻占比</t>
  </si>
  <si>
    <t>普攻占比</t>
    <phoneticPr fontId="1" type="noConversion"/>
  </si>
  <si>
    <t>战力</t>
    <phoneticPr fontId="1" type="noConversion"/>
  </si>
  <si>
    <t>战力差</t>
    <phoneticPr fontId="1" type="noConversion"/>
  </si>
  <si>
    <t>升级攻击</t>
    <phoneticPr fontId="1" type="noConversion"/>
  </si>
  <si>
    <t>升级生命</t>
    <phoneticPr fontId="1" type="noConversion"/>
  </si>
  <si>
    <t>升级防御</t>
    <phoneticPr fontId="1" type="noConversion"/>
  </si>
  <si>
    <t>角色升级</t>
    <phoneticPr fontId="1" type="noConversion"/>
  </si>
  <si>
    <t>升星%</t>
    <phoneticPr fontId="1" type="noConversion"/>
  </si>
  <si>
    <t>星级</t>
    <phoneticPr fontId="1" type="noConversion"/>
  </si>
  <si>
    <t>角色品星</t>
    <phoneticPr fontId="1" type="noConversion"/>
  </si>
  <si>
    <t>数值</t>
    <phoneticPr fontId="1" type="noConversion"/>
  </si>
  <si>
    <t>品质</t>
    <phoneticPr fontId="1" type="noConversion"/>
  </si>
  <si>
    <t>SR</t>
    <phoneticPr fontId="1" type="noConversion"/>
  </si>
  <si>
    <t>SSR</t>
    <phoneticPr fontId="1" type="noConversion"/>
  </si>
  <si>
    <t>UR</t>
    <phoneticPr fontId="1" type="noConversion"/>
  </si>
  <si>
    <t>升级*（1+升星%）*（1+公共%+装备%）；升级中自带品质效果,也就是：升级=基础值*品质系数</t>
    <phoneticPr fontId="1" type="noConversion"/>
  </si>
  <si>
    <t>属性参数</t>
    <phoneticPr fontId="1" type="noConversion"/>
  </si>
  <si>
    <t>升级属性</t>
    <phoneticPr fontId="1" type="noConversion"/>
  </si>
  <si>
    <t>等级</t>
  </si>
  <si>
    <t>SSR</t>
  </si>
  <si>
    <t>SSR-10星</t>
    <phoneticPr fontId="1" type="noConversion"/>
  </si>
  <si>
    <t>△</t>
    <phoneticPr fontId="1" type="noConversion"/>
  </si>
  <si>
    <t>填写在角色表，用于基础数值计算</t>
    <phoneticPr fontId="1" type="noConversion"/>
  </si>
  <si>
    <t>填写在角色等级成长表，用于基础数值计算</t>
    <phoneticPr fontId="1" type="noConversion"/>
  </si>
  <si>
    <t>预览各角色升级数值</t>
    <phoneticPr fontId="1" type="noConversion"/>
  </si>
  <si>
    <t>技能模板</t>
    <phoneticPr fontId="1" type="noConversion"/>
  </si>
  <si>
    <t>大类型</t>
  </si>
  <si>
    <t>实际伤害</t>
  </si>
  <si>
    <t>实际承伤</t>
  </si>
  <si>
    <t>扩展类型</t>
  </si>
  <si>
    <t>大招CD</t>
    <phoneticPr fontId="1" type="noConversion"/>
  </si>
  <si>
    <t>伤害倍率</t>
    <phoneticPr fontId="1" type="noConversion"/>
  </si>
  <si>
    <t>治疗倍率/D</t>
  </si>
  <si>
    <t>治疗倍率/D</t>
    <phoneticPr fontId="1" type="noConversion"/>
  </si>
  <si>
    <t>治疗倍率/H</t>
  </si>
  <si>
    <t>治疗倍率/H</t>
    <phoneticPr fontId="1" type="noConversion"/>
  </si>
  <si>
    <t>防御率</t>
    <phoneticPr fontId="1" type="noConversion"/>
  </si>
  <si>
    <t>生命值</t>
    <phoneticPr fontId="1" type="noConversion"/>
  </si>
  <si>
    <t>技能升级倍率</t>
    <phoneticPr fontId="1" type="noConversion"/>
  </si>
  <si>
    <t>升级后普攻占比</t>
    <phoneticPr fontId="1" type="noConversion"/>
  </si>
  <si>
    <t>升级后输出提升</t>
    <phoneticPr fontId="1" type="noConversion"/>
  </si>
  <si>
    <t>治疗提升</t>
    <phoneticPr fontId="1" type="noConversion"/>
  </si>
  <si>
    <t>治疗倍率/A</t>
    <phoneticPr fontId="1" type="noConversion"/>
  </si>
  <si>
    <t>角色技能</t>
    <phoneticPr fontId="1" type="noConversion"/>
  </si>
  <si>
    <t>公共技能</t>
    <phoneticPr fontId="1" type="noConversion"/>
  </si>
  <si>
    <t>公共技能不做数值平衡，只做自己内部的相克平衡，对整体战局的影响控制在一定比例内</t>
    <phoneticPr fontId="1" type="noConversion"/>
  </si>
  <si>
    <t>最少配置</t>
  </si>
  <si>
    <t>最多配置</t>
  </si>
  <si>
    <t>标准模型</t>
  </si>
  <si>
    <t>站位</t>
  </si>
  <si>
    <t>职业</t>
  </si>
  <si>
    <t>1~1</t>
    <phoneticPr fontId="1" type="noConversion"/>
  </si>
  <si>
    <t>1~2</t>
    <phoneticPr fontId="1" type="noConversion"/>
  </si>
  <si>
    <t>2~1</t>
    <phoneticPr fontId="1" type="noConversion"/>
  </si>
  <si>
    <t>2~2</t>
    <phoneticPr fontId="1" type="noConversion"/>
  </si>
  <si>
    <t>基础模型（废）</t>
    <phoneticPr fontId="1" type="noConversion"/>
  </si>
  <si>
    <t>更多伤害的意思</t>
    <phoneticPr fontId="1" type="noConversion"/>
  </si>
  <si>
    <t>1-100000/（100000+防御力*（1+防御力%））</t>
    <phoneticPr fontId="1" type="noConversion"/>
  </si>
  <si>
    <t>战斗模拟</t>
    <phoneticPr fontId="1" type="noConversion"/>
  </si>
  <si>
    <t>PVP</t>
    <phoneticPr fontId="1" type="noConversion"/>
  </si>
  <si>
    <t>攻方位置</t>
    <phoneticPr fontId="1" type="noConversion"/>
  </si>
  <si>
    <t>守方位置</t>
    <phoneticPr fontId="1" type="noConversion"/>
  </si>
  <si>
    <t>技能简述</t>
    <phoneticPr fontId="1" type="noConversion"/>
  </si>
  <si>
    <t>升级伤害倍率</t>
    <phoneticPr fontId="1" type="noConversion"/>
  </si>
  <si>
    <t>升级治疗倍率/D</t>
    <phoneticPr fontId="1" type="noConversion"/>
  </si>
  <si>
    <t>升级治疗倍率/H</t>
    <phoneticPr fontId="1" type="noConversion"/>
  </si>
  <si>
    <t>升级治疗倍率/A</t>
    <phoneticPr fontId="1" type="noConversion"/>
  </si>
  <si>
    <t>治疗倍率/A</t>
  </si>
  <si>
    <t>攻击造成伤害，并恢复全体生命</t>
    <phoneticPr fontId="1" type="noConversion"/>
  </si>
  <si>
    <t>角色等级</t>
    <phoneticPr fontId="1" type="noConversion"/>
  </si>
  <si>
    <t>技能等级</t>
    <phoneticPr fontId="1" type="noConversion"/>
  </si>
  <si>
    <t>伤害倍率提升</t>
    <phoneticPr fontId="1" type="noConversion"/>
  </si>
  <si>
    <t>治疗倍率/D提升</t>
    <phoneticPr fontId="1" type="noConversion"/>
  </si>
  <si>
    <t>治疗倍率/H提升</t>
    <phoneticPr fontId="1" type="noConversion"/>
  </si>
  <si>
    <t>治疗倍率/A提升</t>
    <phoneticPr fontId="1" type="noConversion"/>
  </si>
  <si>
    <t>自己攻击治疗</t>
    <phoneticPr fontId="1" type="noConversion"/>
  </si>
  <si>
    <t>自己血量治疗</t>
    <phoneticPr fontId="1" type="noConversion"/>
  </si>
  <si>
    <t>全队血量治疗</t>
    <phoneticPr fontId="1" type="noConversion"/>
  </si>
  <si>
    <t xml:space="preserve"> </t>
    <phoneticPr fontId="1" type="noConversion"/>
  </si>
  <si>
    <t>A</t>
    <phoneticPr fontId="1" type="noConversion"/>
  </si>
  <si>
    <t>B</t>
    <phoneticPr fontId="1" type="noConversion"/>
  </si>
  <si>
    <t>阵型行数</t>
    <phoneticPr fontId="1" type="noConversion"/>
  </si>
  <si>
    <t>阵型列数</t>
    <phoneticPr fontId="1" type="noConversion"/>
  </si>
  <si>
    <t>饼干1</t>
    <phoneticPr fontId="1" type="noConversion"/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</si>
  <si>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</si>
  <si>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</si>
  <si>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</si>
  <si>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</si>
  <si>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</si>
  <si>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</si>
  <si>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</si>
  <si>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</si>
  <si>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</si>
  <si>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</si>
  <si>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</si>
  <si>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饼干2</t>
    <phoneticPr fontId="1" type="noConversion"/>
  </si>
  <si>
    <t>饼干5</t>
    <phoneticPr fontId="1" type="noConversion"/>
  </si>
  <si>
    <t>饼干7</t>
    <phoneticPr fontId="1" type="noConversion"/>
  </si>
  <si>
    <t>饼干11</t>
    <phoneticPr fontId="1" type="noConversion"/>
  </si>
  <si>
    <t>大招CD初始</t>
    <phoneticPr fontId="1" type="noConversion"/>
  </si>
  <si>
    <t>PVE</t>
    <phoneticPr fontId="1" type="noConversion"/>
  </si>
  <si>
    <t>A胜</t>
    <phoneticPr fontId="1" type="noConversion"/>
  </si>
  <si>
    <t>B胜</t>
    <phoneticPr fontId="1" type="noConversion"/>
  </si>
  <si>
    <t>怪物1</t>
    <phoneticPr fontId="1" type="noConversion"/>
  </si>
  <si>
    <t>怪物2</t>
    <phoneticPr fontId="1" type="noConversion"/>
  </si>
  <si>
    <t>怪物3</t>
  </si>
  <si>
    <t>怪物4</t>
  </si>
  <si>
    <t>怪物5</t>
  </si>
  <si>
    <t>怪物6</t>
  </si>
  <si>
    <t>怪物7</t>
  </si>
  <si>
    <t>怪物8</t>
  </si>
  <si>
    <t>怪物9</t>
  </si>
  <si>
    <t>怪物为临时数据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</si>
</sst>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76" formatCode="0.0%"/>
    <numFmt numFmtId="177" formatCode="0.0"/>
    <numFmt numFmtId="178" formatCode="0.00_ "/>
    <numFmt numFmtId="179" formatCode="0.000"/>
    <numFmt numFmtId="180" formatCode="0_ "/>
    <numFmt numFmtId="181" formatCode="0.0000"/>
    <numFmt numFmtId="182" formatCode="_ * #,##0_ ;_ * \-#,##0_ ;_ * &quot;-&quot;??_ ;_ @_ "/>
  </numFmts>
  <fonts count="1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b/>
      <sz val="9"/>
      <color theme="1"/>
      <name val="微软雅黑"/>
      <family val="2"/>
      <charset val="134"/>
    </font>
    <font>
      <sz val="18"/>
      <color theme="0"/>
      <name val="华文行楷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i/>
      <sz val="9"/>
      <color theme="0" tint="-0.34998626667073579"/>
      <name val="微软雅黑"/>
      <family val="2"/>
      <charset val="134"/>
    </font>
    <font>
      <sz val="9"/>
      <color rgb="FF00B0F0"/>
      <name val="微软雅黑"/>
      <family val="2"/>
      <charset val="134"/>
    </font>
    <font>
      <i/>
      <sz val="9"/>
      <color theme="0" tint="-0.14999847407452621"/>
      <name val="微软雅黑"/>
      <family val="2"/>
      <charset val="134"/>
    </font>
    <font>
      <i/>
      <sz val="9"/>
      <color theme="0" tint="-0.249977111117893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</cellStyleXfs>
  <cellXfs count="104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176" fontId="2" fillId="0" borderId="1" xfId="1" applyNumberFormat="1" applyFont="1" applyBorder="1" applyAlignment="1">
      <alignment horizontal="center" vertical="center" shrinkToFit="1"/>
    </xf>
    <xf numFmtId="10" fontId="2" fillId="0" borderId="1" xfId="1" applyNumberFormat="1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/>
    </xf>
    <xf numFmtId="177" fontId="2" fillId="0" borderId="1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78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2" fontId="2" fillId="0" borderId="11" xfId="0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9" fontId="2" fillId="0" borderId="1" xfId="0" applyNumberFormat="1" applyFont="1" applyBorder="1" applyAlignment="1">
      <alignment horizontal="center" vertical="center" shrinkToFit="1"/>
    </xf>
    <xf numFmtId="179" fontId="2" fillId="0" borderId="1" xfId="0" applyNumberFormat="1" applyFont="1" applyBorder="1" applyAlignment="1">
      <alignment horizontal="center" vertical="center" shrinkToFit="1"/>
    </xf>
    <xf numFmtId="180" fontId="2" fillId="0" borderId="1" xfId="0" applyNumberFormat="1" applyFont="1" applyBorder="1" applyAlignment="1">
      <alignment horizontal="center" vertical="center" shrinkToFit="1"/>
    </xf>
    <xf numFmtId="9" fontId="2" fillId="0" borderId="1" xfId="1" applyNumberFormat="1" applyFont="1" applyBorder="1" applyAlignment="1">
      <alignment horizontal="center" vertical="center" shrinkToFit="1"/>
    </xf>
    <xf numFmtId="9" fontId="2" fillId="0" borderId="1" xfId="1" applyFont="1" applyBorder="1" applyAlignment="1">
      <alignment horizontal="center" vertical="center" shrinkToFit="1"/>
    </xf>
    <xf numFmtId="0" fontId="5" fillId="3" borderId="1" xfId="0" applyFont="1" applyFill="1" applyBorder="1" applyAlignment="1">
      <alignment horizontal="center" vertical="center" shrinkToFit="1"/>
    </xf>
    <xf numFmtId="181" fontId="2" fillId="0" borderId="1" xfId="0" applyNumberFormat="1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9" fontId="5" fillId="0" borderId="1" xfId="1" applyFont="1" applyBorder="1" applyAlignment="1">
      <alignment horizontal="center" vertical="center" shrinkToFit="1"/>
    </xf>
    <xf numFmtId="0" fontId="2" fillId="0" borderId="1" xfId="1" applyNumberFormat="1" applyFont="1" applyBorder="1" applyAlignment="1">
      <alignment horizontal="center" vertical="center" shrinkToFit="1"/>
    </xf>
    <xf numFmtId="182" fontId="2" fillId="0" borderId="1" xfId="2" applyNumberFormat="1" applyFont="1" applyBorder="1" applyAlignment="1">
      <alignment horizontal="center" vertical="center" shrinkToFit="1"/>
    </xf>
    <xf numFmtId="178" fontId="5" fillId="0" borderId="1" xfId="0" applyNumberFormat="1" applyFont="1" applyBorder="1" applyAlignment="1">
      <alignment horizontal="center" vertical="center" shrinkToFit="1"/>
    </xf>
    <xf numFmtId="9" fontId="2" fillId="3" borderId="1" xfId="1" applyFont="1" applyFill="1" applyBorder="1" applyAlignment="1">
      <alignment horizontal="center" vertical="center" shrinkToFit="1"/>
    </xf>
    <xf numFmtId="10" fontId="2" fillId="0" borderId="1" xfId="0" applyNumberFormat="1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1" xfId="0" applyNumberFormat="1" applyFont="1" applyBorder="1" applyAlignment="1">
      <alignment horizontal="center" vertical="center" shrinkToFit="1"/>
    </xf>
    <xf numFmtId="0" fontId="5" fillId="4" borderId="1" xfId="0" applyFont="1" applyFill="1" applyBorder="1" applyAlignment="1">
      <alignment horizontal="center" vertical="center" shrinkToFit="1"/>
    </xf>
    <xf numFmtId="2" fontId="5" fillId="0" borderId="1" xfId="0" applyNumberFormat="1" applyFont="1" applyBorder="1" applyAlignment="1">
      <alignment horizontal="center" vertical="center" shrinkToFit="1"/>
    </xf>
    <xf numFmtId="2" fontId="5" fillId="3" borderId="1" xfId="0" applyNumberFormat="1" applyFont="1" applyFill="1" applyBorder="1" applyAlignment="1">
      <alignment horizontal="center" vertical="center" shrinkToFit="1"/>
    </xf>
    <xf numFmtId="1" fontId="2" fillId="0" borderId="1" xfId="1" applyNumberFormat="1" applyFont="1" applyBorder="1" applyAlignment="1">
      <alignment horizontal="center" vertical="center" shrinkToFit="1"/>
    </xf>
    <xf numFmtId="180" fontId="5" fillId="0" borderId="1" xfId="0" applyNumberFormat="1" applyFont="1" applyBorder="1" applyAlignment="1">
      <alignment horizontal="center" vertical="center" shrinkToFit="1"/>
    </xf>
    <xf numFmtId="58" fontId="2" fillId="0" borderId="1" xfId="0" applyNumberFormat="1" applyFont="1" applyBorder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11" fillId="0" borderId="9" xfId="0" applyFont="1" applyBorder="1" applyAlignment="1">
      <alignment horizontal="center" vertical="center" shrinkToFit="1"/>
    </xf>
    <xf numFmtId="0" fontId="5" fillId="0" borderId="9" xfId="0" applyFont="1" applyBorder="1" applyAlignment="1">
      <alignment horizontal="center" vertical="center" shrinkToFit="1"/>
    </xf>
    <xf numFmtId="0" fontId="2" fillId="0" borderId="16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vertical="center" shrinkToFit="1"/>
    </xf>
    <xf numFmtId="0" fontId="2" fillId="3" borderId="17" xfId="0" applyFont="1" applyFill="1" applyBorder="1" applyAlignment="1">
      <alignment horizontal="center" vertical="center" shrinkToFit="1"/>
    </xf>
    <xf numFmtId="0" fontId="2" fillId="0" borderId="18" xfId="0" applyFont="1" applyBorder="1" applyAlignment="1">
      <alignment horizontal="center" vertical="center" shrinkToFit="1"/>
    </xf>
    <xf numFmtId="0" fontId="2" fillId="0" borderId="19" xfId="0" applyFont="1" applyBorder="1" applyAlignment="1">
      <alignment horizontal="center" vertical="center" shrinkToFit="1"/>
    </xf>
    <xf numFmtId="2" fontId="2" fillId="0" borderId="20" xfId="0" applyNumberFormat="1" applyFont="1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77" fontId="2" fillId="0" borderId="22" xfId="0" applyNumberFormat="1" applyFont="1" applyBorder="1" applyAlignment="1">
      <alignment horizontal="center" vertical="center" shrinkToFit="1"/>
    </xf>
    <xf numFmtId="2" fontId="2" fillId="0" borderId="22" xfId="0" applyNumberFormat="1" applyFont="1" applyBorder="1" applyAlignment="1">
      <alignment horizontal="center" vertical="center" shrinkToFit="1"/>
    </xf>
    <xf numFmtId="2" fontId="2" fillId="0" borderId="23" xfId="0" applyNumberFormat="1" applyFont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177" fontId="2" fillId="0" borderId="10" xfId="0" applyNumberFormat="1" applyFont="1" applyBorder="1" applyAlignment="1">
      <alignment horizontal="center" vertical="center" shrinkToFit="1"/>
    </xf>
    <xf numFmtId="2" fontId="2" fillId="0" borderId="10" xfId="0" applyNumberFormat="1" applyFont="1" applyBorder="1" applyAlignment="1">
      <alignment horizontal="center" vertical="center" shrinkToFit="1"/>
    </xf>
    <xf numFmtId="0" fontId="11" fillId="0" borderId="10" xfId="0" applyFon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0" fontId="2" fillId="0" borderId="23" xfId="0" applyFont="1" applyBorder="1" applyAlignment="1">
      <alignment horizontal="center" vertical="center" shrinkToFit="1"/>
    </xf>
    <xf numFmtId="178" fontId="2" fillId="0" borderId="8" xfId="0" applyNumberFormat="1" applyFont="1" applyBorder="1" applyAlignment="1">
      <alignment horizontal="center" vertical="center" shrinkToFit="1"/>
    </xf>
    <xf numFmtId="0" fontId="12" fillId="0" borderId="1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6" fillId="2" borderId="2" xfId="0" applyFont="1" applyFill="1" applyBorder="1" applyAlignment="1">
      <alignment horizontal="center" vertical="center" shrinkToFit="1"/>
    </xf>
    <xf numFmtId="0" fontId="6" fillId="2" borderId="3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2" borderId="5" xfId="0" applyFont="1" applyFill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0" xfId="0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7" xfId="0" applyFont="1" applyBorder="1" applyAlignment="1">
      <alignment horizontal="center" vertical="center" shrinkToFit="1"/>
    </xf>
    <xf numFmtId="0" fontId="5" fillId="0" borderId="8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24" xfId="0" applyFont="1" applyBorder="1" applyAlignment="1">
      <alignment horizontal="center" vertical="center" shrinkToFit="1"/>
    </xf>
    <xf numFmtId="0" fontId="2" fillId="0" borderId="25" xfId="0" applyFont="1" applyBorder="1" applyAlignment="1">
      <alignment horizontal="center" vertical="center" shrinkToFit="1"/>
    </xf>
    <xf numFmtId="0" fontId="2" fillId="0" borderId="26" xfId="0" applyFont="1" applyBorder="1" applyAlignment="1">
      <alignment horizontal="center" vertical="center" shrinkToFit="1"/>
    </xf>
  </cellXfs>
  <cellStyles count="3">
    <cellStyle name="百分比" xfId="1" builtinId="5"/>
    <cellStyle name="常规" xfId="0" builtinId="0"/>
    <cellStyle name="千位分隔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7.333333333333333</c:v>
                </c:pt>
                <c:pt idx="1">
                  <c:v>7.7</c:v>
                </c:pt>
                <c:pt idx="2">
                  <c:v>8.0850000000000009</c:v>
                </c:pt>
                <c:pt idx="3">
                  <c:v>8.489250000000002</c:v>
                </c:pt>
                <c:pt idx="4">
                  <c:v>8.9137125000000026</c:v>
                </c:pt>
                <c:pt idx="5">
                  <c:v>9.3593981250000038</c:v>
                </c:pt>
                <c:pt idx="6">
                  <c:v>9.8273680312500051</c:v>
                </c:pt>
                <c:pt idx="7">
                  <c:v>10.318736432812505</c:v>
                </c:pt>
                <c:pt idx="8">
                  <c:v>10.834673254453131</c:v>
                </c:pt>
                <c:pt idx="9">
                  <c:v>11.376406917175789</c:v>
                </c:pt>
                <c:pt idx="10">
                  <c:v>11.945227263034578</c:v>
                </c:pt>
                <c:pt idx="11">
                  <c:v>12.542488626186307</c:v>
                </c:pt>
                <c:pt idx="12">
                  <c:v>13.169613057495622</c:v>
                </c:pt>
                <c:pt idx="13">
                  <c:v>13.828093710370403</c:v>
                </c:pt>
                <c:pt idx="14">
                  <c:v>14.519498395888924</c:v>
                </c:pt>
                <c:pt idx="15">
                  <c:v>15.245473315683371</c:v>
                </c:pt>
                <c:pt idx="16">
                  <c:v>16.007746981467541</c:v>
                </c:pt>
                <c:pt idx="17">
                  <c:v>16.80813433054092</c:v>
                </c:pt>
                <c:pt idx="18">
                  <c:v>17.648541047067965</c:v>
                </c:pt>
                <c:pt idx="19">
                  <c:v>18.530968099421365</c:v>
                </c:pt>
                <c:pt idx="20">
                  <c:v>19.457516504392434</c:v>
                </c:pt>
                <c:pt idx="21">
                  <c:v>20.430392329612054</c:v>
                </c:pt>
                <c:pt idx="22">
                  <c:v>21.451911946092658</c:v>
                </c:pt>
                <c:pt idx="23">
                  <c:v>22.524507543397291</c:v>
                </c:pt>
                <c:pt idx="24">
                  <c:v>23.650732920567158</c:v>
                </c:pt>
                <c:pt idx="25">
                  <c:v>24.833269566595519</c:v>
                </c:pt>
                <c:pt idx="26">
                  <c:v>26.074933044925295</c:v>
                </c:pt>
                <c:pt idx="27">
                  <c:v>27.37867969717156</c:v>
                </c:pt>
                <c:pt idx="28">
                  <c:v>28.747613682030138</c:v>
                </c:pt>
                <c:pt idx="29">
                  <c:v>30.184994366131647</c:v>
                </c:pt>
                <c:pt idx="30">
                  <c:v>31.694244084438232</c:v>
                </c:pt>
                <c:pt idx="31">
                  <c:v>33.278956288660147</c:v>
                </c:pt>
                <c:pt idx="32">
                  <c:v>34.942904103093156</c:v>
                </c:pt>
                <c:pt idx="33">
                  <c:v>36.690049308247815</c:v>
                </c:pt>
                <c:pt idx="34">
                  <c:v>38.524551773660207</c:v>
                </c:pt>
                <c:pt idx="35">
                  <c:v>40.450779362343219</c:v>
                </c:pt>
                <c:pt idx="36">
                  <c:v>42.47331833046038</c:v>
                </c:pt>
                <c:pt idx="37">
                  <c:v>44.596984246983403</c:v>
                </c:pt>
                <c:pt idx="38">
                  <c:v>46.826833459332576</c:v>
                </c:pt>
                <c:pt idx="39">
                  <c:v>49.168175132299204</c:v>
                </c:pt>
                <c:pt idx="40">
                  <c:v>51.626583888914169</c:v>
                </c:pt>
                <c:pt idx="41">
                  <c:v>54.207913083359877</c:v>
                </c:pt>
                <c:pt idx="42">
                  <c:v>56.918308737527873</c:v>
                </c:pt>
                <c:pt idx="43">
                  <c:v>59.764224174404269</c:v>
                </c:pt>
                <c:pt idx="44">
                  <c:v>62.752435383124485</c:v>
                </c:pt>
                <c:pt idx="45">
                  <c:v>65.890057152280718</c:v>
                </c:pt>
                <c:pt idx="46">
                  <c:v>69.184560009894753</c:v>
                </c:pt>
                <c:pt idx="47">
                  <c:v>72.6437880103895</c:v>
                </c:pt>
                <c:pt idx="48">
                  <c:v>76.275977410908979</c:v>
                </c:pt>
                <c:pt idx="49">
                  <c:v>80.089776281454434</c:v>
                </c:pt>
                <c:pt idx="50">
                  <c:v>84.094265095527163</c:v>
                </c:pt>
                <c:pt idx="51">
                  <c:v>88.298978350303528</c:v>
                </c:pt>
                <c:pt idx="52">
                  <c:v>92.713927267818704</c:v>
                </c:pt>
                <c:pt idx="53">
                  <c:v>97.349623631209639</c:v>
                </c:pt>
                <c:pt idx="54">
                  <c:v>102.21710481277013</c:v>
                </c:pt>
                <c:pt idx="55">
                  <c:v>107.32796005340865</c:v>
                </c:pt>
                <c:pt idx="56">
                  <c:v>112.69435805607908</c:v>
                </c:pt>
                <c:pt idx="57">
                  <c:v>118.32907595888304</c:v>
                </c:pt>
                <c:pt idx="58">
                  <c:v>124.2455297568272</c:v>
                </c:pt>
                <c:pt idx="59">
                  <c:v>130.45780624466857</c:v>
                </c:pt>
                <c:pt idx="60">
                  <c:v>136.98069655690202</c:v>
                </c:pt>
                <c:pt idx="61">
                  <c:v>143.82973138474713</c:v>
                </c:pt>
                <c:pt idx="62">
                  <c:v>151.02121795398449</c:v>
                </c:pt>
                <c:pt idx="63">
                  <c:v>158.57227885168373</c:v>
                </c:pt>
                <c:pt idx="64">
                  <c:v>166.50089279426794</c:v>
                </c:pt>
                <c:pt idx="65">
                  <c:v>174.82593743398135</c:v>
                </c:pt>
                <c:pt idx="66">
                  <c:v>183.56723430568042</c:v>
                </c:pt>
                <c:pt idx="67">
                  <c:v>192.74559602096446</c:v>
                </c:pt>
                <c:pt idx="68">
                  <c:v>202.38287582201269</c:v>
                </c:pt>
                <c:pt idx="69">
                  <c:v>212.50201961311333</c:v>
                </c:pt>
                <c:pt idx="70">
                  <c:v>223.12712059376901</c:v>
                </c:pt>
                <c:pt idx="71">
                  <c:v>234.28347662345746</c:v>
                </c:pt>
                <c:pt idx="72">
                  <c:v>245.99765045463033</c:v>
                </c:pt>
                <c:pt idx="73">
                  <c:v>258.29753297736187</c:v>
                </c:pt>
                <c:pt idx="74">
                  <c:v>271.21240962623</c:v>
                </c:pt>
                <c:pt idx="75">
                  <c:v>284.7730301075415</c:v>
                </c:pt>
                <c:pt idx="76">
                  <c:v>299.01168161291861</c:v>
                </c:pt>
                <c:pt idx="77">
                  <c:v>313.96226569356458</c:v>
                </c:pt>
                <c:pt idx="78">
                  <c:v>329.66037897824282</c:v>
                </c:pt>
                <c:pt idx="79">
                  <c:v>346.14339792715498</c:v>
                </c:pt>
                <c:pt idx="80">
                  <c:v>363.45056782351276</c:v>
                </c:pt>
                <c:pt idx="81">
                  <c:v>381.62309621468842</c:v>
                </c:pt>
                <c:pt idx="82">
                  <c:v>400.70425102542288</c:v>
                </c:pt>
                <c:pt idx="83">
                  <c:v>420.73946357669405</c:v>
                </c:pt>
                <c:pt idx="84">
                  <c:v>441.77643675552878</c:v>
                </c:pt>
                <c:pt idx="85">
                  <c:v>463.86525859330521</c:v>
                </c:pt>
                <c:pt idx="86">
                  <c:v>487.05852152297052</c:v>
                </c:pt>
                <c:pt idx="87">
                  <c:v>511.41144759911907</c:v>
                </c:pt>
                <c:pt idx="88">
                  <c:v>536.98201997907506</c:v>
                </c:pt>
                <c:pt idx="89">
                  <c:v>563.83112097802882</c:v>
                </c:pt>
                <c:pt idx="90">
                  <c:v>592.0226770269303</c:v>
                </c:pt>
                <c:pt idx="91">
                  <c:v>621.6238108782768</c:v>
                </c:pt>
                <c:pt idx="92">
                  <c:v>652.70500142219066</c:v>
                </c:pt>
                <c:pt idx="93">
                  <c:v>685.34025149330023</c:v>
                </c:pt>
                <c:pt idx="94">
                  <c:v>719.60726406796527</c:v>
                </c:pt>
                <c:pt idx="95">
                  <c:v>755.58762727136354</c:v>
                </c:pt>
                <c:pt idx="96">
                  <c:v>793.36700863493172</c:v>
                </c:pt>
                <c:pt idx="97">
                  <c:v>833.03535906667832</c:v>
                </c:pt>
                <c:pt idx="98">
                  <c:v>874.68712702001233</c:v>
                </c:pt>
                <c:pt idx="99">
                  <c:v>918.42148337101298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11-409B-B935-47930E1A4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7.333333333333333</c:v>
                </c:pt>
                <c:pt idx="1">
                  <c:v>7.7</c:v>
                </c:pt>
                <c:pt idx="2">
                  <c:v>8.0850000000000009</c:v>
                </c:pt>
                <c:pt idx="3">
                  <c:v>8.489250000000002</c:v>
                </c:pt>
                <c:pt idx="4">
                  <c:v>8.9137125000000026</c:v>
                </c:pt>
                <c:pt idx="5">
                  <c:v>9.3593981250000038</c:v>
                </c:pt>
                <c:pt idx="6">
                  <c:v>9.8273680312500051</c:v>
                </c:pt>
                <c:pt idx="7">
                  <c:v>10.318736432812505</c:v>
                </c:pt>
                <c:pt idx="8">
                  <c:v>10.834673254453131</c:v>
                </c:pt>
                <c:pt idx="9">
                  <c:v>11.376406917175789</c:v>
                </c:pt>
                <c:pt idx="10">
                  <c:v>11.945227263034578</c:v>
                </c:pt>
                <c:pt idx="11">
                  <c:v>12.542488626186307</c:v>
                </c:pt>
                <c:pt idx="12">
                  <c:v>13.169613057495622</c:v>
                </c:pt>
                <c:pt idx="13">
                  <c:v>13.828093710370403</c:v>
                </c:pt>
                <c:pt idx="14">
                  <c:v>14.519498395888924</c:v>
                </c:pt>
                <c:pt idx="15">
                  <c:v>15.245473315683371</c:v>
                </c:pt>
                <c:pt idx="16">
                  <c:v>16.007746981467541</c:v>
                </c:pt>
                <c:pt idx="17">
                  <c:v>16.80813433054092</c:v>
                </c:pt>
                <c:pt idx="18">
                  <c:v>17.648541047067965</c:v>
                </c:pt>
                <c:pt idx="19">
                  <c:v>18.530968099421365</c:v>
                </c:pt>
                <c:pt idx="20">
                  <c:v>19.457516504392434</c:v>
                </c:pt>
                <c:pt idx="21">
                  <c:v>20.430392329612054</c:v>
                </c:pt>
                <c:pt idx="22">
                  <c:v>21.451911946092658</c:v>
                </c:pt>
                <c:pt idx="23">
                  <c:v>22.524507543397291</c:v>
                </c:pt>
                <c:pt idx="24">
                  <c:v>23.650732920567158</c:v>
                </c:pt>
                <c:pt idx="25">
                  <c:v>24.833269566595519</c:v>
                </c:pt>
                <c:pt idx="26">
                  <c:v>26.074933044925295</c:v>
                </c:pt>
                <c:pt idx="27">
                  <c:v>27.37867969717156</c:v>
                </c:pt>
                <c:pt idx="28">
                  <c:v>28.747613682030138</c:v>
                </c:pt>
                <c:pt idx="29">
                  <c:v>30.184994366131647</c:v>
                </c:pt>
                <c:pt idx="30">
                  <c:v>31.694244084438232</c:v>
                </c:pt>
                <c:pt idx="31">
                  <c:v>33.278956288660147</c:v>
                </c:pt>
                <c:pt idx="32">
                  <c:v>34.942904103093156</c:v>
                </c:pt>
                <c:pt idx="33">
                  <c:v>36.690049308247815</c:v>
                </c:pt>
                <c:pt idx="34">
                  <c:v>38.524551773660207</c:v>
                </c:pt>
                <c:pt idx="35">
                  <c:v>40.450779362343219</c:v>
                </c:pt>
                <c:pt idx="36">
                  <c:v>42.47331833046038</c:v>
                </c:pt>
                <c:pt idx="37">
                  <c:v>44.596984246983403</c:v>
                </c:pt>
                <c:pt idx="38">
                  <c:v>46.826833459332576</c:v>
                </c:pt>
                <c:pt idx="39">
                  <c:v>49.168175132299204</c:v>
                </c:pt>
                <c:pt idx="40">
                  <c:v>51.626583888914169</c:v>
                </c:pt>
                <c:pt idx="41">
                  <c:v>54.207913083359877</c:v>
                </c:pt>
                <c:pt idx="42">
                  <c:v>56.918308737527873</c:v>
                </c:pt>
                <c:pt idx="43">
                  <c:v>59.764224174404269</c:v>
                </c:pt>
                <c:pt idx="44">
                  <c:v>62.752435383124485</c:v>
                </c:pt>
                <c:pt idx="45">
                  <c:v>65.890057152280718</c:v>
                </c:pt>
                <c:pt idx="46">
                  <c:v>69.184560009894753</c:v>
                </c:pt>
                <c:pt idx="47">
                  <c:v>72.6437880103895</c:v>
                </c:pt>
                <c:pt idx="48">
                  <c:v>76.275977410908979</c:v>
                </c:pt>
                <c:pt idx="49">
                  <c:v>80.089776281454434</c:v>
                </c:pt>
                <c:pt idx="50">
                  <c:v>84.094265095527163</c:v>
                </c:pt>
                <c:pt idx="51">
                  <c:v>88.298978350303528</c:v>
                </c:pt>
                <c:pt idx="52">
                  <c:v>92.713927267818704</c:v>
                </c:pt>
                <c:pt idx="53">
                  <c:v>97.349623631209639</c:v>
                </c:pt>
                <c:pt idx="54">
                  <c:v>102.21710481277013</c:v>
                </c:pt>
                <c:pt idx="55">
                  <c:v>107.32796005340865</c:v>
                </c:pt>
                <c:pt idx="56">
                  <c:v>112.69435805607908</c:v>
                </c:pt>
                <c:pt idx="57">
                  <c:v>118.32907595888304</c:v>
                </c:pt>
                <c:pt idx="58">
                  <c:v>124.2455297568272</c:v>
                </c:pt>
                <c:pt idx="59">
                  <c:v>130.45780624466857</c:v>
                </c:pt>
                <c:pt idx="60">
                  <c:v>136.98069655690202</c:v>
                </c:pt>
                <c:pt idx="61">
                  <c:v>143.82973138474713</c:v>
                </c:pt>
                <c:pt idx="62">
                  <c:v>151.02121795398449</c:v>
                </c:pt>
                <c:pt idx="63">
                  <c:v>158.57227885168373</c:v>
                </c:pt>
                <c:pt idx="64">
                  <c:v>166.50089279426794</c:v>
                </c:pt>
                <c:pt idx="65">
                  <c:v>174.82593743398135</c:v>
                </c:pt>
                <c:pt idx="66">
                  <c:v>183.56723430568042</c:v>
                </c:pt>
                <c:pt idx="67">
                  <c:v>192.74559602096446</c:v>
                </c:pt>
                <c:pt idx="68">
                  <c:v>202.38287582201269</c:v>
                </c:pt>
                <c:pt idx="69">
                  <c:v>212.50201961311333</c:v>
                </c:pt>
                <c:pt idx="70">
                  <c:v>223.12712059376901</c:v>
                </c:pt>
                <c:pt idx="71">
                  <c:v>234.28347662345746</c:v>
                </c:pt>
                <c:pt idx="72">
                  <c:v>245.99765045463033</c:v>
                </c:pt>
                <c:pt idx="73">
                  <c:v>258.29753297736187</c:v>
                </c:pt>
                <c:pt idx="74">
                  <c:v>271.21240962623</c:v>
                </c:pt>
                <c:pt idx="75">
                  <c:v>284.7730301075415</c:v>
                </c:pt>
                <c:pt idx="76">
                  <c:v>299.01168161291861</c:v>
                </c:pt>
                <c:pt idx="77">
                  <c:v>313.96226569356458</c:v>
                </c:pt>
                <c:pt idx="78">
                  <c:v>329.66037897824282</c:v>
                </c:pt>
                <c:pt idx="79">
                  <c:v>346.14339792715498</c:v>
                </c:pt>
                <c:pt idx="80">
                  <c:v>363.45056782351276</c:v>
                </c:pt>
                <c:pt idx="81">
                  <c:v>381.62309621468842</c:v>
                </c:pt>
                <c:pt idx="82">
                  <c:v>400.70425102542288</c:v>
                </c:pt>
                <c:pt idx="83">
                  <c:v>420.73946357669405</c:v>
                </c:pt>
                <c:pt idx="84">
                  <c:v>441.77643675552878</c:v>
                </c:pt>
                <c:pt idx="85">
                  <c:v>463.86525859330521</c:v>
                </c:pt>
                <c:pt idx="86">
                  <c:v>487.05852152297052</c:v>
                </c:pt>
                <c:pt idx="87">
                  <c:v>511.41144759911907</c:v>
                </c:pt>
                <c:pt idx="88">
                  <c:v>536.98201997907506</c:v>
                </c:pt>
                <c:pt idx="89">
                  <c:v>563.83112097802882</c:v>
                </c:pt>
                <c:pt idx="90">
                  <c:v>592.0226770269303</c:v>
                </c:pt>
                <c:pt idx="91">
                  <c:v>621.6238108782768</c:v>
                </c:pt>
                <c:pt idx="92">
                  <c:v>652.70500142219066</c:v>
                </c:pt>
                <c:pt idx="93">
                  <c:v>685.34025149330023</c:v>
                </c:pt>
                <c:pt idx="94">
                  <c:v>719.60726406796527</c:v>
                </c:pt>
                <c:pt idx="95">
                  <c:v>755.58762727136354</c:v>
                </c:pt>
                <c:pt idx="96">
                  <c:v>793.36700863493172</c:v>
                </c:pt>
                <c:pt idx="97">
                  <c:v>833.03535906667832</c:v>
                </c:pt>
                <c:pt idx="98">
                  <c:v>874.68712702001233</c:v>
                </c:pt>
                <c:pt idx="99">
                  <c:v>918.42148337101298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D3-410C-81DE-612860E6C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100011</xdr:colOff>
      <xdr:row>95</xdr:row>
      <xdr:rowOff>128587</xdr:rowOff>
    </xdr:from>
    <xdr:to>
      <xdr:col>32</xdr:col>
      <xdr:colOff>104774</xdr:colOff>
      <xdr:row>110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ED597A1-9DD8-49C6-AEC6-DDAB4A4995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100011</xdr:colOff>
      <xdr:row>96</xdr:row>
      <xdr:rowOff>128587</xdr:rowOff>
    </xdr:from>
    <xdr:to>
      <xdr:col>30</xdr:col>
      <xdr:colOff>104774</xdr:colOff>
      <xdr:row>111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544AB29-9E5B-4451-AE22-5ED75F97C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967E5-2CFA-4D53-BAE8-871F5DF4BACC}">
  <sheetPr codeName="Sheet1"/>
  <dimension ref="A1:Y51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17" sqref="B17"/>
    </sheetView>
  </sheetViews>
  <sheetFormatPr defaultRowHeight="14.25" customHeight="1" x14ac:dyDescent="0.2"/>
  <cols>
    <col min="1" max="9" width="9" style="1"/>
    <col min="10" max="10" width="2.5" style="1" customWidth="1"/>
    <col min="11" max="21" width="9" style="1"/>
    <col min="22" max="22" width="2.5" style="1" customWidth="1"/>
    <col min="23" max="16384" width="9" style="1"/>
  </cols>
  <sheetData>
    <row r="1" spans="1:25" ht="14.25" customHeight="1" x14ac:dyDescent="0.2">
      <c r="A1" s="79" t="s">
        <v>231</v>
      </c>
      <c r="B1" s="80"/>
    </row>
    <row r="2" spans="1:25" ht="14.25" customHeight="1" x14ac:dyDescent="0.2">
      <c r="A2" s="81"/>
      <c r="B2" s="82"/>
    </row>
    <row r="3" spans="1:25" ht="14.25" customHeight="1" x14ac:dyDescent="0.2">
      <c r="D3" s="2" t="s">
        <v>83</v>
      </c>
    </row>
    <row r="4" spans="1:25" s="3" customFormat="1" ht="14.25" customHeight="1" x14ac:dyDescent="0.2">
      <c r="C4" s="3" t="s">
        <v>25</v>
      </c>
      <c r="K4" s="3" t="s">
        <v>26</v>
      </c>
      <c r="W4" s="3" t="s">
        <v>27</v>
      </c>
    </row>
    <row r="5" spans="1:25" ht="14.25" customHeight="1" x14ac:dyDescent="0.2">
      <c r="D5" s="1" t="s">
        <v>0</v>
      </c>
      <c r="E5" s="1" t="s">
        <v>3</v>
      </c>
      <c r="F5" s="1" t="s">
        <v>4</v>
      </c>
      <c r="K5" s="1" t="s">
        <v>20</v>
      </c>
      <c r="L5" s="1" t="s">
        <v>18</v>
      </c>
      <c r="M5" s="1" t="s">
        <v>15</v>
      </c>
      <c r="N5" s="1" t="s">
        <v>16</v>
      </c>
      <c r="O5" s="1" t="s">
        <v>5</v>
      </c>
      <c r="Q5" s="1" t="s">
        <v>20</v>
      </c>
      <c r="R5" s="1" t="s">
        <v>18</v>
      </c>
      <c r="S5" s="1" t="s">
        <v>15</v>
      </c>
      <c r="T5" s="1" t="s">
        <v>16</v>
      </c>
      <c r="U5" s="1" t="s">
        <v>5</v>
      </c>
      <c r="W5" s="3" t="s">
        <v>18</v>
      </c>
      <c r="X5" s="3" t="s">
        <v>142</v>
      </c>
      <c r="Y5" s="3" t="s">
        <v>143</v>
      </c>
    </row>
    <row r="6" spans="1:25" ht="14.25" customHeight="1" x14ac:dyDescent="0.2">
      <c r="D6" s="1" t="s">
        <v>1</v>
      </c>
      <c r="E6" s="1" t="s">
        <v>4</v>
      </c>
      <c r="F6" s="1" t="s">
        <v>6</v>
      </c>
      <c r="K6" s="1">
        <v>1</v>
      </c>
      <c r="L6" s="1" t="s">
        <v>127</v>
      </c>
      <c r="M6" s="1">
        <f t="shared" ref="M6:O10" si="0">VLOOKUP($L6,$D$10:$G$13,MATCH(M$5,$D$10:$G$10,0),0)</f>
        <v>5</v>
      </c>
      <c r="N6" s="1">
        <f t="shared" si="0"/>
        <v>100</v>
      </c>
      <c r="O6" s="1">
        <f t="shared" si="0"/>
        <v>5</v>
      </c>
      <c r="Q6" s="1">
        <v>1</v>
      </c>
      <c r="R6" s="1" t="s">
        <v>3</v>
      </c>
      <c r="S6" s="1">
        <f t="shared" ref="S6:U10" si="1">VLOOKUP($R6,$D$10:$G$13,MATCH(S$5,$D$10:$G$10,0),0)</f>
        <v>5</v>
      </c>
      <c r="T6" s="1">
        <f t="shared" si="1"/>
        <v>100</v>
      </c>
      <c r="U6" s="1">
        <f t="shared" si="1"/>
        <v>5</v>
      </c>
      <c r="W6" s="11" t="s">
        <v>3</v>
      </c>
      <c r="X6" s="1">
        <v>2</v>
      </c>
      <c r="Y6" s="1">
        <v>3</v>
      </c>
    </row>
    <row r="7" spans="1:25" ht="14.25" customHeight="1" x14ac:dyDescent="0.2">
      <c r="D7" s="1" t="s">
        <v>2</v>
      </c>
      <c r="E7" s="1" t="s">
        <v>5</v>
      </c>
      <c r="F7" s="1" t="s">
        <v>7</v>
      </c>
      <c r="K7" s="1">
        <v>2</v>
      </c>
      <c r="L7" s="1" t="s">
        <v>3</v>
      </c>
      <c r="M7" s="1">
        <f t="shared" si="0"/>
        <v>5</v>
      </c>
      <c r="N7" s="1">
        <f t="shared" si="0"/>
        <v>100</v>
      </c>
      <c r="O7" s="1">
        <f t="shared" si="0"/>
        <v>5</v>
      </c>
      <c r="Q7" s="1">
        <v>2</v>
      </c>
      <c r="R7" s="1" t="s">
        <v>3</v>
      </c>
      <c r="S7" s="1">
        <f t="shared" si="1"/>
        <v>5</v>
      </c>
      <c r="T7" s="1">
        <f t="shared" si="1"/>
        <v>100</v>
      </c>
      <c r="U7" s="1">
        <f t="shared" si="1"/>
        <v>5</v>
      </c>
      <c r="W7" s="1" t="s">
        <v>4</v>
      </c>
      <c r="X7" s="1">
        <v>1</v>
      </c>
      <c r="Y7" s="1">
        <v>3</v>
      </c>
    </row>
    <row r="8" spans="1:25" ht="14.25" customHeight="1" x14ac:dyDescent="0.2">
      <c r="D8" s="2" t="s">
        <v>30</v>
      </c>
      <c r="K8" s="1">
        <v>3</v>
      </c>
      <c r="L8" s="1" t="s">
        <v>128</v>
      </c>
      <c r="M8" s="1">
        <f t="shared" si="0"/>
        <v>10</v>
      </c>
      <c r="N8" s="1">
        <f t="shared" si="0"/>
        <v>40</v>
      </c>
      <c r="O8" s="1">
        <f t="shared" si="0"/>
        <v>0</v>
      </c>
      <c r="Q8" s="1">
        <v>3</v>
      </c>
      <c r="R8" s="1" t="s">
        <v>4</v>
      </c>
      <c r="S8" s="1">
        <f t="shared" si="1"/>
        <v>10</v>
      </c>
      <c r="T8" s="1">
        <f t="shared" si="1"/>
        <v>40</v>
      </c>
      <c r="U8" s="1">
        <f t="shared" si="1"/>
        <v>0</v>
      </c>
      <c r="W8" s="1" t="s">
        <v>5</v>
      </c>
      <c r="X8" s="1">
        <v>0</v>
      </c>
      <c r="Y8" s="1">
        <v>2</v>
      </c>
    </row>
    <row r="9" spans="1:25" ht="14.25" customHeight="1" x14ac:dyDescent="0.2">
      <c r="K9" s="1">
        <v>4</v>
      </c>
      <c r="L9" s="1" t="s">
        <v>128</v>
      </c>
      <c r="M9" s="1">
        <f t="shared" si="0"/>
        <v>10</v>
      </c>
      <c r="N9" s="1">
        <f t="shared" si="0"/>
        <v>40</v>
      </c>
      <c r="O9" s="1">
        <f t="shared" si="0"/>
        <v>0</v>
      </c>
      <c r="Q9" s="1">
        <v>4</v>
      </c>
      <c r="R9" s="1" t="s">
        <v>4</v>
      </c>
      <c r="S9" s="1">
        <f t="shared" si="1"/>
        <v>10</v>
      </c>
      <c r="T9" s="1">
        <f t="shared" si="1"/>
        <v>40</v>
      </c>
      <c r="U9" s="1">
        <f t="shared" si="1"/>
        <v>0</v>
      </c>
      <c r="W9" s="2" t="s">
        <v>87</v>
      </c>
    </row>
    <row r="10" spans="1:25" ht="14.25" customHeight="1" x14ac:dyDescent="0.2">
      <c r="D10" s="3" t="s">
        <v>18</v>
      </c>
      <c r="E10" s="3" t="s">
        <v>15</v>
      </c>
      <c r="F10" s="3" t="s">
        <v>16</v>
      </c>
      <c r="G10" s="3" t="s">
        <v>5</v>
      </c>
      <c r="K10" s="1">
        <v>5</v>
      </c>
      <c r="L10" s="1" t="s">
        <v>129</v>
      </c>
      <c r="M10" s="1">
        <f t="shared" si="0"/>
        <v>8</v>
      </c>
      <c r="N10" s="1">
        <f t="shared" si="0"/>
        <v>50</v>
      </c>
      <c r="O10" s="1">
        <f t="shared" si="0"/>
        <v>16</v>
      </c>
      <c r="Q10" s="1">
        <v>5</v>
      </c>
      <c r="R10" s="1" t="s">
        <v>5</v>
      </c>
      <c r="S10" s="1">
        <f t="shared" si="1"/>
        <v>8</v>
      </c>
      <c r="T10" s="1">
        <f t="shared" si="1"/>
        <v>50</v>
      </c>
      <c r="U10" s="1">
        <f t="shared" si="1"/>
        <v>16</v>
      </c>
    </row>
    <row r="11" spans="1:25" ht="14.25" customHeight="1" x14ac:dyDescent="0.2">
      <c r="D11" s="1" t="s">
        <v>3</v>
      </c>
      <c r="E11" s="6">
        <v>5</v>
      </c>
      <c r="F11" s="6">
        <v>100</v>
      </c>
      <c r="G11" s="6">
        <v>5</v>
      </c>
      <c r="J11" s="6"/>
      <c r="L11" s="1">
        <v>5</v>
      </c>
      <c r="M11" s="1">
        <f>SUM(M6:M$10)</f>
        <v>38</v>
      </c>
      <c r="N11" s="1">
        <f>SUM(N6:N$10)</f>
        <v>330</v>
      </c>
      <c r="O11" s="1">
        <f>SUM(O6:O$10)</f>
        <v>26</v>
      </c>
      <c r="R11" s="1">
        <v>5</v>
      </c>
      <c r="S11" s="1">
        <f>SUM(S6:S$10)</f>
        <v>38</v>
      </c>
      <c r="T11" s="1">
        <f>SUM(T6:T$10)</f>
        <v>330</v>
      </c>
      <c r="U11" s="1">
        <f>SUM(U6:U$10)</f>
        <v>26</v>
      </c>
    </row>
    <row r="12" spans="1:25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J12" s="6"/>
      <c r="K12" s="6">
        <f>N11/(M11-O11)</f>
        <v>27.5</v>
      </c>
      <c r="L12" s="1">
        <v>4</v>
      </c>
      <c r="M12" s="1">
        <f>SUM(M7:M$10)</f>
        <v>33</v>
      </c>
      <c r="N12" s="1">
        <f>SUM(N7:N$10)</f>
        <v>230</v>
      </c>
      <c r="O12" s="1">
        <f>SUM(O7:O$10)</f>
        <v>21</v>
      </c>
      <c r="R12" s="1">
        <v>4</v>
      </c>
      <c r="S12" s="1">
        <f>SUM(S7:S$10)</f>
        <v>33</v>
      </c>
      <c r="T12" s="1">
        <f>SUM(T7:T$10)</f>
        <v>230</v>
      </c>
      <c r="U12" s="1">
        <f>IF(R7="治疗",$U$10+$U$9+$U$8,SUM(U7:U$10))</f>
        <v>21</v>
      </c>
    </row>
    <row r="13" spans="1:25" ht="14.25" customHeight="1" x14ac:dyDescent="0.2">
      <c r="D13" s="1" t="s">
        <v>5</v>
      </c>
      <c r="E13" s="6">
        <v>8</v>
      </c>
      <c r="F13" s="6">
        <v>50</v>
      </c>
      <c r="G13" s="6">
        <v>16</v>
      </c>
      <c r="J13" s="6"/>
      <c r="L13" s="1">
        <v>3</v>
      </c>
      <c r="M13" s="1">
        <f>SUM(M8:M$10)</f>
        <v>28</v>
      </c>
      <c r="N13" s="1">
        <f>SUM(N8:N$10)</f>
        <v>130</v>
      </c>
      <c r="O13" s="1">
        <f>SUM(O8:O$10)</f>
        <v>16</v>
      </c>
      <c r="R13" s="1">
        <v>3</v>
      </c>
      <c r="S13" s="1">
        <f>SUM(S8:S$10)</f>
        <v>28</v>
      </c>
      <c r="T13" s="1">
        <f>SUM(T8:T$10)</f>
        <v>130</v>
      </c>
      <c r="U13" s="1">
        <f>IF(R8="治疗",$U$10+$U$9,SUM(U8:U$10))</f>
        <v>16</v>
      </c>
    </row>
    <row r="14" spans="1:25" ht="14.25" customHeight="1" x14ac:dyDescent="0.2">
      <c r="J14" s="6"/>
      <c r="L14" s="1">
        <v>2</v>
      </c>
      <c r="M14" s="1">
        <f>SUM(M9:M$10)</f>
        <v>18</v>
      </c>
      <c r="N14" s="1">
        <f>SUM(N9:N$10)</f>
        <v>90</v>
      </c>
      <c r="O14" s="1">
        <f>SUM(O9:O$10)</f>
        <v>16</v>
      </c>
      <c r="R14" s="1">
        <v>2</v>
      </c>
      <c r="S14" s="1">
        <f>SUM(S9:S$10)</f>
        <v>18</v>
      </c>
      <c r="T14" s="1">
        <f>SUM(T9:T$10)</f>
        <v>90</v>
      </c>
      <c r="U14" s="1">
        <f>IF(R9="治疗",$U$10,SUM(U9:U$10))</f>
        <v>16</v>
      </c>
    </row>
    <row r="15" spans="1:25" s="3" customFormat="1" ht="14.25" customHeight="1" x14ac:dyDescent="0.2">
      <c r="C15" s="1" t="s">
        <v>21</v>
      </c>
      <c r="D15" s="1"/>
      <c r="E15" s="1"/>
      <c r="F15" s="1"/>
      <c r="G15" s="1"/>
      <c r="H15" s="1"/>
      <c r="J15" s="6"/>
      <c r="L15" s="1">
        <v>1</v>
      </c>
      <c r="M15" s="1">
        <f>SUM(M10:M$10)</f>
        <v>8</v>
      </c>
      <c r="N15" s="1">
        <f>SUM(N10:N$10)</f>
        <v>50</v>
      </c>
      <c r="O15" s="1">
        <v>0</v>
      </c>
      <c r="R15" s="1">
        <v>1</v>
      </c>
      <c r="S15" s="1">
        <f>SUM(S10:S$10)</f>
        <v>8</v>
      </c>
      <c r="T15" s="1">
        <f>SUM(T10:T$10)</f>
        <v>50</v>
      </c>
      <c r="U15" s="1">
        <v>0</v>
      </c>
    </row>
    <row r="16" spans="1:25" ht="14.25" customHeight="1" x14ac:dyDescent="0.2">
      <c r="C16" s="3" t="s">
        <v>20</v>
      </c>
      <c r="D16" s="3" t="s">
        <v>18</v>
      </c>
      <c r="E16" s="3" t="s">
        <v>15</v>
      </c>
      <c r="F16" s="3" t="s">
        <v>16</v>
      </c>
      <c r="G16" s="3" t="s">
        <v>5</v>
      </c>
      <c r="L16" s="2" t="s">
        <v>29</v>
      </c>
    </row>
    <row r="17" spans="3:20" ht="14.25" customHeight="1" x14ac:dyDescent="0.2">
      <c r="C17" s="1">
        <v>1</v>
      </c>
      <c r="D17" s="1" t="s">
        <v>3</v>
      </c>
      <c r="E17" s="1">
        <f t="shared" ref="E17:G21" si="2">VLOOKUP($D17,$D$10:$G$13,MATCH(E$16,$D$10:$G$10,0),0)</f>
        <v>5</v>
      </c>
      <c r="F17" s="1">
        <f t="shared" si="2"/>
        <v>100</v>
      </c>
      <c r="G17" s="1">
        <f t="shared" si="2"/>
        <v>5</v>
      </c>
      <c r="H17" s="8"/>
      <c r="N17" s="1" t="s">
        <v>24</v>
      </c>
      <c r="R17" s="1" t="s">
        <v>24</v>
      </c>
    </row>
    <row r="18" spans="3:20" ht="14.25" customHeight="1" x14ac:dyDescent="0.2">
      <c r="C18" s="1">
        <v>2</v>
      </c>
      <c r="D18" s="1" t="s">
        <v>3</v>
      </c>
      <c r="E18" s="1">
        <f t="shared" si="2"/>
        <v>5</v>
      </c>
      <c r="F18" s="1">
        <f t="shared" si="2"/>
        <v>100</v>
      </c>
      <c r="G18" s="1">
        <f t="shared" si="2"/>
        <v>5</v>
      </c>
      <c r="H18" s="8"/>
      <c r="N18" s="1">
        <v>5</v>
      </c>
      <c r="O18" s="6">
        <f>INDEX($N$6:$N$10,MATCH(N18,$L$11:$L$15,0))/(VLOOKUP(R18,$R$11:$U$15,2,0)-VLOOKUP(N18,$L$11:$O$15,4,0))</f>
        <v>8.3333333333333339</v>
      </c>
      <c r="P18" s="10">
        <f>O18-Q18</f>
        <v>0</v>
      </c>
      <c r="Q18" s="6">
        <f>INDEX($T$6:$T$10,MATCH(R18,$L$11:$L$15,0))/(VLOOKUP(N18,$L$11:$O$15,2,0)-VLOOKUP(R18,$R$11:$U$15,4,0))</f>
        <v>8.3333333333333339</v>
      </c>
      <c r="R18" s="1">
        <v>5</v>
      </c>
      <c r="S18" s="6">
        <f>IFERROR(IF(P18&gt;0,Q18,O18),"")</f>
        <v>8.3333333333333339</v>
      </c>
      <c r="T18" s="8"/>
    </row>
    <row r="19" spans="3:20" ht="14.25" customHeight="1" x14ac:dyDescent="0.2">
      <c r="C19" s="1">
        <v>3</v>
      </c>
      <c r="D19" s="1" t="s">
        <v>4</v>
      </c>
      <c r="E19" s="1">
        <f t="shared" si="2"/>
        <v>10</v>
      </c>
      <c r="F19" s="1">
        <f t="shared" si="2"/>
        <v>40</v>
      </c>
      <c r="G19" s="1">
        <f t="shared" si="2"/>
        <v>0</v>
      </c>
      <c r="H19" s="8"/>
      <c r="I19" s="5"/>
      <c r="P19" s="6">
        <f>IF(P18&gt;0,P18/O18*INDEX($N$6:$N$10,MATCH(N18,$L$11:$L$15,0)),-P18/Q18*INDEX($T$6:$T$10,MATCH(R18,$L$11:$L$15,0)))</f>
        <v>0</v>
      </c>
    </row>
    <row r="20" spans="3:20" ht="14.25" customHeight="1" x14ac:dyDescent="0.2">
      <c r="C20" s="1">
        <v>4</v>
      </c>
      <c r="D20" s="1" t="s">
        <v>4</v>
      </c>
      <c r="E20" s="1">
        <f t="shared" si="2"/>
        <v>10</v>
      </c>
      <c r="F20" s="1">
        <f t="shared" si="2"/>
        <v>40</v>
      </c>
      <c r="G20" s="1">
        <f t="shared" si="2"/>
        <v>0</v>
      </c>
      <c r="H20" s="8"/>
      <c r="I20" s="5"/>
      <c r="N20" s="1">
        <f>IF($P18&gt;0,N18,N18-1)</f>
        <v>4</v>
      </c>
      <c r="O20" s="6">
        <f>IF(P18&gt;0,P19,INDEX($N$6:$N$10,MATCH(N20,$L$11:$L$15,0)))/MAX((VLOOKUP(R20,$R$11:$U$15,2,0)-VLOOKUP(N20,$L$11:$O$15,4,0)),1)</f>
        <v>8.3333333333333339</v>
      </c>
      <c r="P20" s="10">
        <f>O20-Q20</f>
        <v>0</v>
      </c>
      <c r="Q20" s="6">
        <f>IF(P18&lt;0,P19,INDEX($T$6:$T$10,MATCH(R20,$L$11:$L$15,0)))/MAX((VLOOKUP(N20,$L$11:$O$15,2,0)-VLOOKUP(R20,$R$11:$U$15,4,0)),1)</f>
        <v>8.3333333333333339</v>
      </c>
      <c r="R20" s="1">
        <f>IF($P18&lt;0,R18,R18-1)</f>
        <v>4</v>
      </c>
      <c r="S20" s="6">
        <f>IFERROR(IF(P20&gt;0,Q20,O20),"")</f>
        <v>8.3333333333333339</v>
      </c>
    </row>
    <row r="21" spans="3:20" ht="14.25" customHeight="1" x14ac:dyDescent="0.2">
      <c r="C21" s="1">
        <v>5</v>
      </c>
      <c r="D21" s="1" t="s">
        <v>5</v>
      </c>
      <c r="E21" s="1">
        <f t="shared" si="2"/>
        <v>8</v>
      </c>
      <c r="F21" s="1">
        <f t="shared" si="2"/>
        <v>50</v>
      </c>
      <c r="G21" s="1">
        <f t="shared" si="2"/>
        <v>16</v>
      </c>
      <c r="H21" s="8"/>
      <c r="I21" s="5"/>
      <c r="P21" s="6">
        <f>IF(P20&gt;0,P20/O20*INDEX($N$6:$N$10,MATCH(N20,$L$11:$L$15,0)),-P20/Q20*INDEX($T$6:$T$10,MATCH(R20,$L$11:$L$15,0)))</f>
        <v>0</v>
      </c>
    </row>
    <row r="22" spans="3:20" ht="14.25" customHeight="1" x14ac:dyDescent="0.2">
      <c r="C22" s="7" t="s">
        <v>141</v>
      </c>
      <c r="H22" s="1" t="s">
        <v>17</v>
      </c>
      <c r="I22" s="9"/>
      <c r="J22" s="9"/>
      <c r="N22" s="1">
        <f>IF($P20&gt;0,N20,N20-1)</f>
        <v>3</v>
      </c>
      <c r="O22" s="6">
        <f>IF(P20&gt;0,P21,INDEX($N$6:$N$10,MATCH(N22,$L$11:$L$15,0)))/MAX((VLOOKUP(R22,$R$11:$U$15,2,0)-VLOOKUP(N22,$L$11:$O$15,4,0)),1)</f>
        <v>3.3333333333333335</v>
      </c>
      <c r="P22" s="10">
        <f>O22-Q22</f>
        <v>0</v>
      </c>
      <c r="Q22" s="6">
        <f>IF(P20&lt;0,P21,INDEX($T$6:$T$10,MATCH(R22,$L$11:$L$15,0)))/MAX((VLOOKUP(N22,$L$11:$O$15,2,0)-VLOOKUP(R22,$R$11:$U$15,4,0)),1)</f>
        <v>3.3333333333333335</v>
      </c>
      <c r="R22" s="1">
        <f>IF($P20&lt;0,R20,R20-1)</f>
        <v>3</v>
      </c>
      <c r="S22" s="6">
        <f>IFERROR(IF(P22&gt;0,Q22,O22),"")</f>
        <v>3.3333333333333335</v>
      </c>
    </row>
    <row r="23" spans="3:20" ht="14.25" customHeight="1" x14ac:dyDescent="0.2">
      <c r="D23" s="1">
        <v>5</v>
      </c>
      <c r="E23" s="1">
        <f>SUM(E17:E$21)</f>
        <v>38</v>
      </c>
      <c r="F23" s="1">
        <f>SUM(F17:F$21)</f>
        <v>330</v>
      </c>
      <c r="G23" s="1">
        <f>SUM(G17:G$21)</f>
        <v>26</v>
      </c>
      <c r="H23" s="6">
        <f>F17/(E23-G23)</f>
        <v>8.3333333333333339</v>
      </c>
      <c r="I23" s="9"/>
      <c r="J23" s="9"/>
      <c r="P23" s="6">
        <f>IF(P22&gt;0,P22/O22*INDEX($N$6:$N$10,MATCH(N22,$L$11:$L$15,0)),-P22/Q22*INDEX($T$6:$T$10,MATCH(R22,$L$11:$L$15,0)))</f>
        <v>0</v>
      </c>
    </row>
    <row r="24" spans="3:20" ht="14.25" customHeight="1" x14ac:dyDescent="0.2">
      <c r="D24" s="1">
        <v>4</v>
      </c>
      <c r="E24" s="1">
        <f>SUM(E18:E$21)</f>
        <v>33</v>
      </c>
      <c r="F24" s="1">
        <f>SUM(F18:F$21)</f>
        <v>230</v>
      </c>
      <c r="G24" s="1">
        <f>SUM(G18:G$21)</f>
        <v>21</v>
      </c>
      <c r="H24" s="6">
        <f>F18/(E24-G24)</f>
        <v>8.3333333333333339</v>
      </c>
      <c r="I24" s="9"/>
      <c r="J24" s="9"/>
      <c r="N24" s="1">
        <f>IF($P22&gt;0,N22,N22-1)</f>
        <v>2</v>
      </c>
      <c r="O24" s="6">
        <f>IF(P22&gt;0,P23,INDEX($N$6:$N$10,MATCH(N24,$L$11:$L$15,0)))/MAX((VLOOKUP(R24,$R$11:$U$15,2,0)-VLOOKUP(N24,$L$11:$O$15,4,0)),1)</f>
        <v>20</v>
      </c>
      <c r="P24" s="10">
        <f>O24-Q24</f>
        <v>0</v>
      </c>
      <c r="Q24" s="6">
        <f>IF(P22&lt;0,P23,INDEX($T$6:$T$10,MATCH(R24,$L$11:$L$15,0)))/MAX((VLOOKUP(N24,$L$11:$O$15,2,0)-VLOOKUP(R24,$R$11:$U$15,4,0)),1)</f>
        <v>20</v>
      </c>
      <c r="R24" s="1">
        <f>IF($P22&lt;0,R22,R22-1)</f>
        <v>2</v>
      </c>
      <c r="S24" s="6">
        <f>IFERROR(IF(P24&gt;0,Q24,O24),"")</f>
        <v>20</v>
      </c>
    </row>
    <row r="25" spans="3:20" ht="14.25" customHeight="1" x14ac:dyDescent="0.2">
      <c r="D25" s="1">
        <v>3</v>
      </c>
      <c r="E25" s="1">
        <f>SUM(E19:E$21)</f>
        <v>28</v>
      </c>
      <c r="F25" s="1">
        <f>SUM(F19:F$21)</f>
        <v>130</v>
      </c>
      <c r="G25" s="1">
        <f>SUM(G19:G$21)</f>
        <v>16</v>
      </c>
      <c r="H25" s="6">
        <f>F19/(E25-G25)</f>
        <v>3.3333333333333335</v>
      </c>
      <c r="I25" s="9"/>
      <c r="P25" s="6">
        <f>IF(P24&gt;0,P24/O24*INDEX($N$6:$N$10,MATCH(N24,$L$11:$L$15,0)),-P24/Q24*INDEX($T$6:$T$10,MATCH(R24,$L$11:$L$15,0)))</f>
        <v>0</v>
      </c>
    </row>
    <row r="26" spans="3:20" ht="14.25" customHeight="1" x14ac:dyDescent="0.2">
      <c r="D26" s="1">
        <v>2</v>
      </c>
      <c r="E26" s="1">
        <f>SUM(E20:E$21)</f>
        <v>18</v>
      </c>
      <c r="F26" s="1">
        <f>SUM(F20:F$21)</f>
        <v>90</v>
      </c>
      <c r="G26" s="1">
        <f>SUM(G20:G$21)</f>
        <v>16</v>
      </c>
      <c r="H26" s="6">
        <f>F20/(E26-G26)</f>
        <v>20</v>
      </c>
      <c r="I26" s="9"/>
      <c r="N26" s="1">
        <f>IF($P24&gt;0,N24,N24-1)</f>
        <v>1</v>
      </c>
      <c r="O26" s="6">
        <f>IF(P24&gt;0,P25,INDEX($N$6:$N$10,MATCH(N26,$L$11:$L$15,0)))/MAX((VLOOKUP(R26,$R$11:$U$15,2,0)-VLOOKUP(N26,$L$11:$O$15,4,0)),1)</f>
        <v>6.25</v>
      </c>
      <c r="P26" s="10">
        <f>O26-Q26</f>
        <v>0</v>
      </c>
      <c r="Q26" s="6">
        <f>IF(P24&lt;0,P25,INDEX($T$6:$T$10,MATCH(R26,$L$11:$L$15,0)))/MAX((VLOOKUP(N26,$L$11:$O$15,2,0)-VLOOKUP(R26,$R$11:$U$15,4,0)),1)</f>
        <v>6.25</v>
      </c>
      <c r="R26" s="1">
        <f>IF($P24&lt;0,R24,R24-1)</f>
        <v>1</v>
      </c>
      <c r="S26" s="6">
        <f>IFERROR(IF(P26&gt;0,Q26,O26),"")</f>
        <v>6.25</v>
      </c>
    </row>
    <row r="27" spans="3:20" ht="14.25" customHeight="1" x14ac:dyDescent="0.2">
      <c r="D27" s="1">
        <v>1</v>
      </c>
      <c r="E27" s="1">
        <f>SUM(E21:E$21)</f>
        <v>8</v>
      </c>
      <c r="F27" s="1">
        <f>SUM(F21:F$21)</f>
        <v>50</v>
      </c>
      <c r="G27" s="1">
        <v>0</v>
      </c>
      <c r="H27" s="6">
        <f>F21/(E27-G27)</f>
        <v>6.25</v>
      </c>
      <c r="I27" s="9"/>
      <c r="P27" s="6">
        <f>IF(P26&gt;0,P26/O26*INDEX($N$6:$N$10,MATCH(N26,$L$11:$L$15,0)),-P26/Q26*INDEX($T$6:$T$10,MATCH(R26,$L$11:$L$15,0)))</f>
        <v>0</v>
      </c>
    </row>
    <row r="28" spans="3:20" ht="14.25" customHeight="1" x14ac:dyDescent="0.2">
      <c r="H28" s="6">
        <f>SUM(H23:H27)</f>
        <v>46.25</v>
      </c>
      <c r="N28" s="1">
        <f>IF($P26&gt;0,N26,N26-1)</f>
        <v>0</v>
      </c>
      <c r="O28" s="6" t="e">
        <f>IF(P26&gt;0,P27,INDEX($N$6:$N$10,MATCH(N28,$L$11:$L$15,0)))/MAX((VLOOKUP(R28,$R$11:$U$15,2,0)-VLOOKUP(N28,$L$11:$O$15,4,0)),1)</f>
        <v>#N/A</v>
      </c>
      <c r="P28" s="10" t="e">
        <f>O28-Q28</f>
        <v>#N/A</v>
      </c>
      <c r="Q28" s="6" t="e">
        <f>IF(P26&lt;0,P27,INDEX($T$6:$T$10,MATCH(R28,$L$11:$L$15,0)))/MAX((VLOOKUP(N28,$L$11:$O$15,2,0)-VLOOKUP(R28,$R$11:$U$15,4,0)),1)</f>
        <v>#N/A</v>
      </c>
      <c r="R28" s="1">
        <f>IF($P26&lt;0,R26,R26-1)</f>
        <v>0</v>
      </c>
      <c r="S28" s="6" t="str">
        <f>IFERROR(IF(P28&gt;0,Q28,O28),"")</f>
        <v/>
      </c>
    </row>
    <row r="29" spans="3:20" ht="14.25" customHeight="1" x14ac:dyDescent="0.2">
      <c r="G29" s="1" t="s">
        <v>22</v>
      </c>
      <c r="H29" s="9">
        <f>G21*H28</f>
        <v>740</v>
      </c>
      <c r="P29" s="6" t="e">
        <f>IF(P28&gt;0,P28/O28*INDEX($N$6:$N$10,MATCH(N28,$L$11:$L$15,0)),-P28/Q28*INDEX($T$6:$T$10,MATCH(R28,$L$11:$L$15,0)))</f>
        <v>#N/A</v>
      </c>
    </row>
    <row r="30" spans="3:20" ht="14.25" customHeight="1" x14ac:dyDescent="0.2">
      <c r="G30" s="1" t="s">
        <v>23</v>
      </c>
      <c r="H30" s="9">
        <f>G17*H23*2</f>
        <v>83.333333333333343</v>
      </c>
      <c r="I30" s="24">
        <f>H29/SUM(H29:H30)</f>
        <v>0.89878542510121451</v>
      </c>
      <c r="N30" s="1" t="e">
        <f>IF($P28&gt;0,N28,N28-1)</f>
        <v>#N/A</v>
      </c>
      <c r="O30" s="6" t="e">
        <f>IF(P28&gt;0,P29,INDEX($N$6:$N$10,MATCH(N30,$L$11:$L$15,0)))/MAX((VLOOKUP(R30,$R$11:$U$15,2,0)-VLOOKUP(N30,$L$11:$O$15,4,0)),1)</f>
        <v>#N/A</v>
      </c>
      <c r="P30" s="10" t="e">
        <f>O30-Q30</f>
        <v>#N/A</v>
      </c>
      <c r="Q30" s="6" t="e">
        <f>IF(P28&lt;0,P29,INDEX($T$6:$T$10,MATCH(R30,$L$11:$L$15,0)))/MAX((VLOOKUP(N30,$L$11:$O$15,2,0)-VLOOKUP(R30,$R$11:$U$15,4,0)),1)</f>
        <v>#N/A</v>
      </c>
      <c r="R30" s="1" t="e">
        <f>IF($P28&lt;0,R28,R28-1)</f>
        <v>#N/A</v>
      </c>
      <c r="S30" s="6" t="str">
        <f>IFERROR(IF(P30&gt;0,Q30,O30),"")</f>
        <v/>
      </c>
    </row>
    <row r="31" spans="3:20" ht="14.25" customHeight="1" x14ac:dyDescent="0.2">
      <c r="P31" s="6" t="e">
        <f>IF(P30&gt;0,P30/O30*INDEX($N$6:$N$10,MATCH(N30,$L$11:$L$15,0)),-P30/Q30*INDEX($T$6:$T$10,MATCH(R30,$L$11:$L$15,0)))</f>
        <v>#N/A</v>
      </c>
    </row>
    <row r="32" spans="3:20" ht="14.25" customHeight="1" x14ac:dyDescent="0.2">
      <c r="N32" s="1" t="e">
        <f>IF($P30&gt;0,N30,N30-1)</f>
        <v>#N/A</v>
      </c>
      <c r="O32" s="6" t="e">
        <f>IF(P30&gt;0,P31,INDEX($N$6:$N$10,MATCH(N32,$L$11:$L$15,0)))/MAX((VLOOKUP(R32,$R$11:$U$15,2,0)-VLOOKUP(N32,$L$11:$O$15,4,0)),1)</f>
        <v>#N/A</v>
      </c>
      <c r="P32" s="10" t="e">
        <f>O32-Q32</f>
        <v>#N/A</v>
      </c>
      <c r="Q32" s="6" t="e">
        <f>IF(P30&lt;0,P31,INDEX($T$6:$T$10,MATCH(R32,$L$11:$L$15,0)))/MAX((VLOOKUP(N32,$L$11:$O$15,2,0)-VLOOKUP(R32,$R$11:$U$15,4,0)),1)</f>
        <v>#N/A</v>
      </c>
      <c r="R32" s="1" t="e">
        <f>IF($P30&lt;0,R30,R30-1)</f>
        <v>#N/A</v>
      </c>
      <c r="S32" s="6" t="str">
        <f>IFERROR(IF(P32&gt;0,Q32,O32),"")</f>
        <v/>
      </c>
    </row>
    <row r="33" spans="9:19" ht="14.25" customHeight="1" x14ac:dyDescent="0.2">
      <c r="P33" s="6" t="e">
        <f>IF(P32&gt;0,P32/O32*INDEX($N$6:$N$10,MATCH(N32,$L$11:$L$15,0)),-P32/Q32*INDEX($T$6:$T$10,MATCH(R32,$L$11:$L$15,0)))</f>
        <v>#N/A</v>
      </c>
    </row>
    <row r="34" spans="9:19" ht="14.25" customHeight="1" x14ac:dyDescent="0.2">
      <c r="I34" s="6"/>
      <c r="N34" s="1" t="e">
        <f>IF($P32&gt;0,N32,N32-1)</f>
        <v>#N/A</v>
      </c>
      <c r="O34" s="6" t="e">
        <f>IF(P32&gt;0,P33,INDEX($N$6:$N$10,MATCH(N34,$L$11:$L$15,0)))/MAX((VLOOKUP(R34,$R$11:$U$15,2,0)-VLOOKUP(N34,$L$11:$O$15,4,0)),1)</f>
        <v>#N/A</v>
      </c>
      <c r="P34" s="10" t="e">
        <f>O34-Q34</f>
        <v>#N/A</v>
      </c>
      <c r="Q34" s="6" t="e">
        <f>IF(P32&lt;0,P33,INDEX($T$6:$T$10,MATCH(R34,$L$11:$L$15,0)))/MAX((VLOOKUP(N34,$L$11:$O$15,2,0)-VLOOKUP(R34,$R$11:$U$15,4,0)),1)</f>
        <v>#N/A</v>
      </c>
      <c r="R34" s="1" t="e">
        <f>IF($P32&lt;0,R32,R32-1)</f>
        <v>#N/A</v>
      </c>
      <c r="S34" s="6" t="str">
        <f>IFERROR(IF(P34&gt;0,Q34,O34),"")</f>
        <v/>
      </c>
    </row>
    <row r="35" spans="9:19" ht="14.25" customHeight="1" x14ac:dyDescent="0.2">
      <c r="I35" s="6"/>
      <c r="P35" s="6" t="e">
        <f>IF(P34&gt;0,P34/O34*INDEX($N$6:$N$10,MATCH(N34,$L$11:$L$15,0)),-P34/Q34*INDEX($T$6:$T$10,MATCH(R34,$L$11:$L$15,0)))</f>
        <v>#N/A</v>
      </c>
    </row>
    <row r="36" spans="9:19" ht="14.25" customHeight="1" x14ac:dyDescent="0.2">
      <c r="I36" s="6"/>
      <c r="N36" s="1" t="e">
        <f>IF($P34&gt;0,N34,N34-1)</f>
        <v>#N/A</v>
      </c>
      <c r="O36" s="6" t="e">
        <f>IF(P34&gt;0,P35,INDEX($N$6:$N$10,MATCH(N36,$L$11:$L$15,0)))/MAX((VLOOKUP(R36,$R$11:$U$15,2,0)-VLOOKUP(N36,$L$11:$O$15,4,0)),1)</f>
        <v>#N/A</v>
      </c>
      <c r="P36" s="10" t="e">
        <f>O36-Q36</f>
        <v>#N/A</v>
      </c>
      <c r="Q36" s="6" t="e">
        <f>IF(P34&lt;0,P35,INDEX($T$6:$T$10,MATCH(R36,$L$11:$L$15,0)))/MAX((VLOOKUP(N36,$L$11:$O$15,2,0)-VLOOKUP(R36,$R$11:$U$15,4,0)),1)</f>
        <v>#N/A</v>
      </c>
      <c r="R36" s="1" t="e">
        <f>IF($P34&lt;0,R34,R34-1)</f>
        <v>#N/A</v>
      </c>
      <c r="S36" s="6" t="str">
        <f>IFERROR(IF(P36&gt;0,Q36,O36),"")</f>
        <v/>
      </c>
    </row>
    <row r="37" spans="9:19" ht="14.25" customHeight="1" x14ac:dyDescent="0.2">
      <c r="I37" s="6"/>
    </row>
    <row r="38" spans="9:19" ht="14.25" customHeight="1" x14ac:dyDescent="0.2">
      <c r="I38" s="6"/>
      <c r="R38" s="1" t="s">
        <v>28</v>
      </c>
      <c r="S38" s="6">
        <f>SUM(S18:S36)</f>
        <v>46.25</v>
      </c>
    </row>
    <row r="40" spans="9:19" ht="14.25" customHeight="1" x14ac:dyDescent="0.2">
      <c r="I40" s="6"/>
    </row>
    <row r="48" spans="9:19" ht="14.25" customHeight="1" x14ac:dyDescent="0.2">
      <c r="R48" s="1">
        <v>683</v>
      </c>
      <c r="S48" s="1">
        <v>1034</v>
      </c>
    </row>
    <row r="49" spans="17:20" ht="14.25" customHeight="1" x14ac:dyDescent="0.2">
      <c r="Q49" s="6">
        <f>R49/R48</f>
        <v>1.3850658857979503</v>
      </c>
      <c r="R49" s="1">
        <v>946</v>
      </c>
      <c r="S49" s="1">
        <v>1500</v>
      </c>
      <c r="T49" s="6">
        <f>S49/$S$48</f>
        <v>1.4506769825918762</v>
      </c>
    </row>
    <row r="50" spans="17:20" ht="14.25" customHeight="1" x14ac:dyDescent="0.2">
      <c r="S50" s="1">
        <v>1800</v>
      </c>
      <c r="T50" s="6">
        <f t="shared" ref="T50:T51" si="3">S50/$S$48</f>
        <v>1.7408123791102514</v>
      </c>
    </row>
    <row r="51" spans="17:20" ht="14.25" customHeight="1" x14ac:dyDescent="0.2">
      <c r="S51" s="1">
        <v>2300</v>
      </c>
      <c r="T51" s="6">
        <f t="shared" si="3"/>
        <v>2.2243713733075436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E2CF2-C5AF-4FBC-A2AC-E659AD390C3C}">
  <sheetPr codeName="Sheet2"/>
  <dimension ref="A1:Y71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X9" sqref="X9"/>
    </sheetView>
  </sheetViews>
  <sheetFormatPr defaultRowHeight="14.25" x14ac:dyDescent="0.2"/>
  <cols>
    <col min="1" max="8" width="9" style="1"/>
    <col min="9" max="9" width="2.5" style="1" customWidth="1"/>
    <col min="10" max="20" width="9" style="1"/>
    <col min="21" max="21" width="2.5" style="1" customWidth="1"/>
    <col min="22" max="16384" width="9" style="1"/>
  </cols>
  <sheetData>
    <row r="1" spans="1:25" ht="14.25" customHeight="1" x14ac:dyDescent="0.2">
      <c r="A1" s="79" t="s">
        <v>19</v>
      </c>
      <c r="B1" s="80"/>
    </row>
    <row r="2" spans="1:25" ht="14.25" customHeight="1" x14ac:dyDescent="0.2">
      <c r="A2" s="81"/>
      <c r="B2" s="82"/>
    </row>
    <row r="3" spans="1:25" x14ac:dyDescent="0.2">
      <c r="D3" s="2" t="s">
        <v>84</v>
      </c>
    </row>
    <row r="4" spans="1:25" s="3" customFormat="1" ht="14.25" customHeight="1" x14ac:dyDescent="0.2">
      <c r="C4" s="3" t="s">
        <v>25</v>
      </c>
      <c r="J4" s="3" t="s">
        <v>26</v>
      </c>
      <c r="K4" s="2" t="s">
        <v>140</v>
      </c>
      <c r="V4" s="3" t="s">
        <v>27</v>
      </c>
    </row>
    <row r="5" spans="1:25" ht="14.25" customHeight="1" x14ac:dyDescent="0.2">
      <c r="D5" s="1" t="s">
        <v>0</v>
      </c>
      <c r="E5" s="1" t="s">
        <v>3</v>
      </c>
      <c r="F5" s="1" t="s">
        <v>4</v>
      </c>
      <c r="J5" s="1" t="s">
        <v>85</v>
      </c>
      <c r="K5" s="1" t="s">
        <v>18</v>
      </c>
      <c r="L5" s="1" t="s">
        <v>15</v>
      </c>
      <c r="M5" s="1" t="s">
        <v>16</v>
      </c>
      <c r="N5" s="1" t="s">
        <v>5</v>
      </c>
      <c r="P5" s="1" t="s">
        <v>85</v>
      </c>
      <c r="Q5" s="1" t="s">
        <v>18</v>
      </c>
      <c r="R5" s="1" t="s">
        <v>15</v>
      </c>
      <c r="S5" s="1" t="s">
        <v>16</v>
      </c>
      <c r="T5" s="1" t="s">
        <v>5</v>
      </c>
      <c r="V5" s="3" t="s">
        <v>18</v>
      </c>
      <c r="W5" s="3" t="s">
        <v>222</v>
      </c>
      <c r="X5" s="3" t="s">
        <v>223</v>
      </c>
    </row>
    <row r="6" spans="1:25" ht="14.25" customHeight="1" x14ac:dyDescent="0.2">
      <c r="D6" s="1" t="s">
        <v>1</v>
      </c>
      <c r="E6" s="1" t="s">
        <v>4</v>
      </c>
      <c r="F6" s="1" t="s">
        <v>6</v>
      </c>
      <c r="J6" s="1">
        <v>1</v>
      </c>
      <c r="K6" s="1" t="s">
        <v>3</v>
      </c>
      <c r="L6" s="1">
        <f t="shared" ref="L6:N10" si="0">VLOOKUP($K6,$D$10:$G$13,MATCH(L$5,$D$10:$G$10,0),0)</f>
        <v>5</v>
      </c>
      <c r="M6" s="1">
        <f t="shared" si="0"/>
        <v>100</v>
      </c>
      <c r="N6" s="1">
        <f t="shared" si="0"/>
        <v>2</v>
      </c>
      <c r="P6" s="1">
        <v>1</v>
      </c>
      <c r="Q6" s="1" t="s">
        <v>3</v>
      </c>
      <c r="R6" s="1">
        <f t="shared" ref="R6:T10" si="1">VLOOKUP($Q6,$D$10:$G$13,MATCH(R$5,$D$10:$G$10,0),0)</f>
        <v>5</v>
      </c>
      <c r="S6" s="1">
        <f t="shared" si="1"/>
        <v>100</v>
      </c>
      <c r="T6" s="1">
        <f t="shared" si="1"/>
        <v>2</v>
      </c>
      <c r="V6" s="11" t="s">
        <v>3</v>
      </c>
      <c r="W6" s="1">
        <v>2</v>
      </c>
      <c r="X6" s="1">
        <v>3</v>
      </c>
    </row>
    <row r="7" spans="1:25" ht="14.25" customHeight="1" x14ac:dyDescent="0.2">
      <c r="D7" s="1" t="s">
        <v>2</v>
      </c>
      <c r="E7" s="1" t="s">
        <v>5</v>
      </c>
      <c r="F7" s="1" t="s">
        <v>7</v>
      </c>
      <c r="J7" s="1">
        <v>1</v>
      </c>
      <c r="K7" s="1" t="s">
        <v>4</v>
      </c>
      <c r="L7" s="1">
        <f t="shared" si="0"/>
        <v>10</v>
      </c>
      <c r="M7" s="1">
        <f t="shared" si="0"/>
        <v>40</v>
      </c>
      <c r="N7" s="1">
        <f t="shared" si="0"/>
        <v>0</v>
      </c>
      <c r="P7" s="1">
        <v>1</v>
      </c>
      <c r="Q7" s="1" t="s">
        <v>3</v>
      </c>
      <c r="R7" s="1">
        <f t="shared" si="1"/>
        <v>5</v>
      </c>
      <c r="S7" s="1">
        <f t="shared" si="1"/>
        <v>100</v>
      </c>
      <c r="T7" s="1">
        <f t="shared" si="1"/>
        <v>2</v>
      </c>
      <c r="V7" s="1" t="s">
        <v>4</v>
      </c>
      <c r="W7" s="1">
        <v>1</v>
      </c>
      <c r="X7" s="12">
        <v>3</v>
      </c>
    </row>
    <row r="8" spans="1:25" ht="14.25" customHeight="1" x14ac:dyDescent="0.2">
      <c r="D8" s="2" t="s">
        <v>30</v>
      </c>
      <c r="J8" s="1">
        <v>2</v>
      </c>
      <c r="K8" s="1" t="s">
        <v>3</v>
      </c>
      <c r="L8" s="1">
        <f t="shared" si="0"/>
        <v>5</v>
      </c>
      <c r="M8" s="1">
        <f t="shared" si="0"/>
        <v>100</v>
      </c>
      <c r="N8" s="1">
        <f t="shared" si="0"/>
        <v>2</v>
      </c>
      <c r="P8" s="1">
        <v>2</v>
      </c>
      <c r="Q8" s="1" t="s">
        <v>3</v>
      </c>
      <c r="R8" s="1">
        <f t="shared" si="1"/>
        <v>5</v>
      </c>
      <c r="S8" s="1">
        <f t="shared" si="1"/>
        <v>100</v>
      </c>
      <c r="T8" s="1">
        <f t="shared" si="1"/>
        <v>2</v>
      </c>
      <c r="V8" s="1" t="s">
        <v>5</v>
      </c>
      <c r="W8" s="1">
        <v>0</v>
      </c>
      <c r="X8" s="1">
        <v>2</v>
      </c>
    </row>
    <row r="9" spans="1:25" ht="14.25" customHeight="1" x14ac:dyDescent="0.2">
      <c r="J9" s="1">
        <v>2</v>
      </c>
      <c r="K9" s="1" t="s">
        <v>4</v>
      </c>
      <c r="L9" s="1">
        <f t="shared" si="0"/>
        <v>10</v>
      </c>
      <c r="M9" s="1">
        <f t="shared" si="0"/>
        <v>40</v>
      </c>
      <c r="N9" s="1">
        <f t="shared" si="0"/>
        <v>0</v>
      </c>
      <c r="P9" s="1">
        <v>2</v>
      </c>
      <c r="Q9" s="1" t="s">
        <v>3</v>
      </c>
      <c r="R9" s="1">
        <f t="shared" si="1"/>
        <v>5</v>
      </c>
      <c r="S9" s="1">
        <f t="shared" si="1"/>
        <v>100</v>
      </c>
      <c r="T9" s="1">
        <f t="shared" si="1"/>
        <v>2</v>
      </c>
      <c r="V9" s="2" t="s">
        <v>87</v>
      </c>
    </row>
    <row r="10" spans="1:25" ht="14.25" customHeight="1" x14ac:dyDescent="0.2">
      <c r="D10" s="3" t="s">
        <v>18</v>
      </c>
      <c r="E10" s="3" t="s">
        <v>15</v>
      </c>
      <c r="F10" s="3" t="s">
        <v>16</v>
      </c>
      <c r="G10" s="3" t="s">
        <v>5</v>
      </c>
      <c r="J10" s="1">
        <v>0</v>
      </c>
      <c r="K10" s="1" t="s">
        <v>5</v>
      </c>
      <c r="L10" s="1">
        <f t="shared" si="0"/>
        <v>4</v>
      </c>
      <c r="M10" s="1">
        <f t="shared" si="0"/>
        <v>50</v>
      </c>
      <c r="N10" s="1">
        <f t="shared" si="0"/>
        <v>6</v>
      </c>
      <c r="P10" s="1">
        <v>0</v>
      </c>
      <c r="Q10" s="1" t="s">
        <v>3</v>
      </c>
      <c r="R10" s="1">
        <f t="shared" si="1"/>
        <v>5</v>
      </c>
      <c r="S10" s="1">
        <f t="shared" si="1"/>
        <v>100</v>
      </c>
      <c r="T10" s="1">
        <f t="shared" si="1"/>
        <v>2</v>
      </c>
    </row>
    <row r="11" spans="1:25" ht="14.25" customHeight="1" x14ac:dyDescent="0.2">
      <c r="D11" s="1" t="s">
        <v>3</v>
      </c>
      <c r="E11" s="6">
        <v>5</v>
      </c>
      <c r="F11" s="6">
        <v>100</v>
      </c>
      <c r="G11" s="6">
        <v>2</v>
      </c>
      <c r="I11" s="6"/>
    </row>
    <row r="12" spans="1:25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I12" s="6"/>
      <c r="K12" s="1">
        <v>2</v>
      </c>
      <c r="L12" s="1">
        <f>SUM(L6:L$7)+L$10/2</f>
        <v>17</v>
      </c>
      <c r="M12" s="1">
        <f>SUM(M6:M$7)</f>
        <v>140</v>
      </c>
      <c r="N12" s="1">
        <f>SUM(N6:N$7)+N$10/2</f>
        <v>5</v>
      </c>
      <c r="Q12" s="1">
        <v>2</v>
      </c>
      <c r="R12" s="1">
        <f>SUM(R6:R$7)+R$10/2</f>
        <v>12.5</v>
      </c>
      <c r="S12" s="1">
        <f>SUM(S6:S$7)</f>
        <v>200</v>
      </c>
      <c r="T12" s="1">
        <f>SUM(T6:T$7)+T$10/2</f>
        <v>5</v>
      </c>
    </row>
    <row r="13" spans="1:25" ht="14.25" customHeight="1" x14ac:dyDescent="0.2">
      <c r="D13" s="1" t="s">
        <v>5</v>
      </c>
      <c r="E13" s="6">
        <v>4</v>
      </c>
      <c r="F13" s="6">
        <v>50</v>
      </c>
      <c r="G13" s="6">
        <v>6</v>
      </c>
      <c r="I13" s="6"/>
      <c r="K13" s="1">
        <v>1</v>
      </c>
      <c r="L13" s="1">
        <f>SUM(L7:L$7)+L$10/2</f>
        <v>12</v>
      </c>
      <c r="M13" s="1">
        <f>SUM(M7:M$7)</f>
        <v>40</v>
      </c>
      <c r="N13" s="1">
        <f>SUM(N7:N$7)+N$10/2</f>
        <v>3</v>
      </c>
      <c r="Q13" s="1">
        <v>1</v>
      </c>
      <c r="R13" s="1">
        <f>SUM(R7:R$7)+R$10/2</f>
        <v>7.5</v>
      </c>
      <c r="S13" s="1">
        <f>SUM(S7:S$7)</f>
        <v>100</v>
      </c>
      <c r="T13" s="1">
        <f>SUM(T7:T$7)+T$10/2</f>
        <v>3</v>
      </c>
    </row>
    <row r="14" spans="1:25" ht="14.25" customHeight="1" x14ac:dyDescent="0.2">
      <c r="I14" s="6"/>
      <c r="K14" s="1">
        <v>2</v>
      </c>
      <c r="L14" s="1">
        <f>SUM(L8:L$9)+L$10/2</f>
        <v>17</v>
      </c>
      <c r="M14" s="1">
        <f>SUM(M8:M$9)</f>
        <v>140</v>
      </c>
      <c r="N14" s="1">
        <f>SUM(N8:N$9)+N$10/2</f>
        <v>5</v>
      </c>
      <c r="Q14" s="1">
        <v>2</v>
      </c>
      <c r="R14" s="1">
        <f>SUM(R8:R$9)+R$10/2</f>
        <v>12.5</v>
      </c>
      <c r="S14" s="1">
        <f>SUM(S8:S$9)</f>
        <v>200</v>
      </c>
      <c r="T14" s="1">
        <f>SUM(T8:T$9)+T$10/2</f>
        <v>5</v>
      </c>
    </row>
    <row r="15" spans="1:25" s="3" customFormat="1" ht="14.25" customHeight="1" x14ac:dyDescent="0.2">
      <c r="C15" s="3" t="s">
        <v>224</v>
      </c>
      <c r="I15" s="6"/>
      <c r="K15" s="1">
        <v>1</v>
      </c>
      <c r="L15" s="1">
        <f>SUM(L9:L$9)+L$10/2</f>
        <v>12</v>
      </c>
      <c r="M15" s="1">
        <f>SUM(M9:M$9)</f>
        <v>40</v>
      </c>
      <c r="N15" s="1">
        <f>SUM(N9:N$9)+N$10/2</f>
        <v>3</v>
      </c>
      <c r="Q15" s="1">
        <v>1</v>
      </c>
      <c r="R15" s="1">
        <f>SUM(R9:R$9)+R$10/2</f>
        <v>7.5</v>
      </c>
      <c r="S15" s="1">
        <f>SUM(S9:S$9)</f>
        <v>100</v>
      </c>
      <c r="T15" s="1">
        <f>SUM(T9:T$9)+T$10/2</f>
        <v>3</v>
      </c>
      <c r="W15" s="3">
        <v>5</v>
      </c>
      <c r="X15" s="3">
        <v>100</v>
      </c>
      <c r="Y15" s="3">
        <v>2</v>
      </c>
    </row>
    <row r="16" spans="1:25" ht="14.25" customHeight="1" x14ac:dyDescent="0.2">
      <c r="C16" s="3" t="s">
        <v>225</v>
      </c>
      <c r="D16" s="3" t="s">
        <v>226</v>
      </c>
      <c r="E16" s="3" t="s">
        <v>153</v>
      </c>
      <c r="F16" s="3" t="s">
        <v>154</v>
      </c>
      <c r="G16" s="3" t="s">
        <v>129</v>
      </c>
      <c r="K16" s="1">
        <v>1</v>
      </c>
      <c r="L16" s="1">
        <f>L10</f>
        <v>4</v>
      </c>
      <c r="M16" s="1">
        <f>M10</f>
        <v>50</v>
      </c>
      <c r="N16" s="1">
        <f>IF(K10="治疗",0,N10)</f>
        <v>0</v>
      </c>
      <c r="Q16" s="1">
        <v>1</v>
      </c>
      <c r="R16" s="1">
        <f>R10</f>
        <v>5</v>
      </c>
      <c r="S16" s="1">
        <f>S10</f>
        <v>100</v>
      </c>
      <c r="T16" s="1">
        <f>IF(Q10="治疗",0,T10)</f>
        <v>2</v>
      </c>
      <c r="W16" s="1">
        <v>10</v>
      </c>
      <c r="X16" s="1">
        <v>40</v>
      </c>
      <c r="Y16" s="1">
        <v>0</v>
      </c>
    </row>
    <row r="17" spans="3:25" ht="14.25" customHeight="1" x14ac:dyDescent="0.2">
      <c r="C17" s="44" t="s">
        <v>227</v>
      </c>
      <c r="D17" s="1" t="s">
        <v>127</v>
      </c>
      <c r="E17" s="1">
        <f t="shared" ref="E17:G21" si="2">VLOOKUP($D17,$D$10:$G$13,MATCH(E$16,$D$10:$G$10,0),0)</f>
        <v>5</v>
      </c>
      <c r="F17" s="1">
        <f t="shared" si="2"/>
        <v>100</v>
      </c>
      <c r="G17" s="1">
        <f t="shared" si="2"/>
        <v>2</v>
      </c>
      <c r="J17" s="3"/>
      <c r="W17" s="1">
        <v>4</v>
      </c>
      <c r="X17" s="1">
        <v>50</v>
      </c>
      <c r="Y17" s="1">
        <v>6</v>
      </c>
    </row>
    <row r="18" spans="3:25" ht="14.25" customHeight="1" x14ac:dyDescent="0.2">
      <c r="C18" s="1" t="s">
        <v>228</v>
      </c>
      <c r="D18" s="1" t="s">
        <v>128</v>
      </c>
      <c r="E18" s="1">
        <f t="shared" si="2"/>
        <v>10</v>
      </c>
      <c r="F18" s="1">
        <f t="shared" si="2"/>
        <v>40</v>
      </c>
      <c r="G18" s="1">
        <f t="shared" si="2"/>
        <v>0</v>
      </c>
      <c r="H18" s="2"/>
      <c r="O18" s="3">
        <f>M51-Q51</f>
        <v>3</v>
      </c>
      <c r="P18" s="3"/>
    </row>
    <row r="19" spans="3:25" ht="14.25" customHeight="1" x14ac:dyDescent="0.2">
      <c r="C19" s="1" t="s">
        <v>229</v>
      </c>
      <c r="D19" s="1" t="s">
        <v>127</v>
      </c>
      <c r="E19" s="1">
        <f t="shared" si="2"/>
        <v>5</v>
      </c>
      <c r="F19" s="1">
        <f t="shared" si="2"/>
        <v>100</v>
      </c>
      <c r="G19" s="1">
        <f t="shared" si="2"/>
        <v>2</v>
      </c>
      <c r="K19" s="2" t="s">
        <v>29</v>
      </c>
      <c r="R19" s="34">
        <f>MAX(R29,R39)+R52</f>
        <v>22.142857142857146</v>
      </c>
    </row>
    <row r="20" spans="3:25" ht="14.25" customHeight="1" x14ac:dyDescent="0.2">
      <c r="C20" s="1" t="s">
        <v>230</v>
      </c>
      <c r="D20" s="1" t="s">
        <v>128</v>
      </c>
      <c r="E20" s="1">
        <f t="shared" si="2"/>
        <v>10</v>
      </c>
      <c r="F20" s="1">
        <f t="shared" si="2"/>
        <v>40</v>
      </c>
      <c r="G20" s="1">
        <f t="shared" si="2"/>
        <v>0</v>
      </c>
      <c r="L20" s="1" t="s">
        <v>138</v>
      </c>
      <c r="M20" s="1" t="s">
        <v>24</v>
      </c>
      <c r="Q20" s="1" t="s">
        <v>24</v>
      </c>
    </row>
    <row r="21" spans="3:25" ht="14.25" customHeight="1" x14ac:dyDescent="0.2">
      <c r="C21" s="1">
        <v>0</v>
      </c>
      <c r="D21" s="1" t="s">
        <v>129</v>
      </c>
      <c r="E21" s="1">
        <f t="shared" si="2"/>
        <v>4</v>
      </c>
      <c r="F21" s="1">
        <f t="shared" si="2"/>
        <v>50</v>
      </c>
      <c r="G21" s="1">
        <f t="shared" si="2"/>
        <v>6</v>
      </c>
      <c r="M21" s="1">
        <v>2</v>
      </c>
      <c r="N21" s="6">
        <f>INDEX($M$6:$M$7,MATCH(M21,$K$12:$K$13,0))/MAX((VLOOKUP(Q21,$Q$12:$T$13,2,0)-VLOOKUP(M21,$K$12:$N$13,4,0)),1)</f>
        <v>13.333333333333334</v>
      </c>
      <c r="O21" s="10">
        <f>N21-P21</f>
        <v>5</v>
      </c>
      <c r="P21" s="6">
        <f>INDEX($S$6:$S$7,MATCH(Q21,$K$12:$K$13,0))/MAX((VLOOKUP(M21,$K$12:$N$13,2,0)-VLOOKUP(Q21,$Q$12:$T$13,4,0)),1)</f>
        <v>8.3333333333333339</v>
      </c>
      <c r="Q21" s="1">
        <v>2</v>
      </c>
      <c r="R21" s="6">
        <f>IFERROR(IF(O21&gt;0,P21,N21),"")</f>
        <v>8.3333333333333339</v>
      </c>
      <c r="S21" s="8"/>
    </row>
    <row r="22" spans="3:25" ht="14.25" customHeight="1" x14ac:dyDescent="0.2">
      <c r="H22" s="9"/>
      <c r="I22" s="9"/>
      <c r="N22" s="15">
        <f>IFERROR(VLOOKUP(M21,K$12:N$13,2,0),0)</f>
        <v>17</v>
      </c>
      <c r="O22" s="6">
        <f>IFERROR(IF(O21&gt;0,O21/N21*INDEX($M$6:$M$7,MATCH(M21,$K$12:$K$13,0)),-O21/P21*INDEX($S$6:$S$7,MATCH(Q21,$K$12:$K$13,0))),O20)</f>
        <v>37.5</v>
      </c>
      <c r="P22" s="15">
        <f>IFERROR(VLOOKUP(Q21,Q$12:T$13,2,0),0)</f>
        <v>12.5</v>
      </c>
    </row>
    <row r="23" spans="3:25" ht="14.25" customHeight="1" x14ac:dyDescent="0.2">
      <c r="D23" s="1">
        <v>2</v>
      </c>
      <c r="E23" s="1">
        <f>E18+E17+E21/2</f>
        <v>17</v>
      </c>
      <c r="F23" s="1">
        <f>F17+F18</f>
        <v>140</v>
      </c>
      <c r="G23" s="1">
        <f>G17+G21/2</f>
        <v>5</v>
      </c>
      <c r="H23" s="9">
        <f>F17/(E23-G23)</f>
        <v>8.3333333333333339</v>
      </c>
      <c r="I23" s="9"/>
      <c r="M23" s="1">
        <f>IF($O21&gt;0,M21,M21-1)</f>
        <v>2</v>
      </c>
      <c r="N23" s="6">
        <f>IFERROR(IF(O21&gt;0,O22,INDEX($M$6:$M$7,MATCH(M23,$K$12:$K$13,0)))/MAX((VLOOKUP(Q23,$Q$12:$T$13,2,0)-VLOOKUP(M23,$K$12:$N$13,4,0)),1),0)</f>
        <v>15</v>
      </c>
      <c r="O23" s="10">
        <f>N23-P23</f>
        <v>7.8571428571428568</v>
      </c>
      <c r="P23" s="6">
        <f>IFERROR(IF(O21&lt;0,O22,INDEX($S$6:$S$7,MATCH(Q23,$K$12:$K$13,0)))/MAX((VLOOKUP(M23,$K$12:$N$13,2,0)-VLOOKUP(Q23,$Q$12:$T$13,4,0)),1),0)</f>
        <v>7.1428571428571432</v>
      </c>
      <c r="Q23" s="1">
        <f>IF($O21&lt;0,Q21,Q21-1)</f>
        <v>1</v>
      </c>
      <c r="R23" s="6">
        <f>IFERROR(IF(O23&gt;0,P23,N23),"")</f>
        <v>7.1428571428571432</v>
      </c>
    </row>
    <row r="24" spans="3:25" ht="14.25" customHeight="1" x14ac:dyDescent="0.2">
      <c r="D24" s="1">
        <v>1</v>
      </c>
      <c r="E24" s="1">
        <f>E18</f>
        <v>10</v>
      </c>
      <c r="F24" s="1">
        <f>F18</f>
        <v>40</v>
      </c>
      <c r="G24" s="1">
        <f>G21/2</f>
        <v>3</v>
      </c>
      <c r="H24" s="9">
        <f>F18/(E24+G24)</f>
        <v>3.0769230769230771</v>
      </c>
      <c r="I24" s="9"/>
      <c r="N24" s="15">
        <f>IFERROR(VLOOKUP(M23,K$12:N$13,2,0),0)</f>
        <v>17</v>
      </c>
      <c r="O24" s="6">
        <f>IFERROR(IF(O23&gt;0,O23/N23*INDEX($M$6:$M$7,MATCH(M23,$K$12:$K$13,0)),-O23/P23*INDEX($S$6:$S$7,MATCH(Q23,$K$12:$K$13,0))),O22)</f>
        <v>52.380952380952387</v>
      </c>
      <c r="P24" s="15">
        <f>IFERROR(VLOOKUP(Q23,Q$12:T$13,2,0),0)</f>
        <v>7.5</v>
      </c>
    </row>
    <row r="25" spans="3:25" ht="14.25" customHeight="1" x14ac:dyDescent="0.2">
      <c r="D25" s="1">
        <v>0</v>
      </c>
      <c r="E25" s="1">
        <f>E21</f>
        <v>4</v>
      </c>
      <c r="F25" s="1">
        <f>F21</f>
        <v>50</v>
      </c>
      <c r="G25" s="1">
        <v>0</v>
      </c>
      <c r="H25" s="1">
        <f>F21/(E25-G25)</f>
        <v>12.5</v>
      </c>
      <c r="M25" s="1">
        <f>IF($O23&gt;0,M23,M23-1)</f>
        <v>2</v>
      </c>
      <c r="N25" s="6">
        <f>IFERROR(IF(O23&gt;0,O24,INDEX($M$6:$M$7,MATCH(M25,$K$12:$K$13,0)))/MAX((VLOOKUP(Q25,$Q$12:$T$13,2,0)-VLOOKUP(M25,$K$12:$N$13,4,0)),1),0)</f>
        <v>0</v>
      </c>
      <c r="O25" s="10">
        <f>N25-P25</f>
        <v>0</v>
      </c>
      <c r="P25" s="6">
        <f>IFERROR(IF(O23&lt;0,O24,INDEX($S$6:$S$7,MATCH(Q25,$K$12:$K$13,0)))/MAX((VLOOKUP(M25,$K$12:$N$13,2,0)-VLOOKUP(Q25,$Q$12:$T$13,4,0)),1),0)</f>
        <v>0</v>
      </c>
      <c r="Q25" s="1">
        <f>IF($O23&lt;0,Q23,Q23-1)</f>
        <v>0</v>
      </c>
      <c r="R25" s="6">
        <f>IFERROR(IF(O25&gt;0,P25,N25),"")</f>
        <v>0</v>
      </c>
    </row>
    <row r="26" spans="3:25" ht="14.25" customHeight="1" x14ac:dyDescent="0.2">
      <c r="N26" s="15">
        <f>IFERROR(VLOOKUP(M25,K$12:N$13,2,0),0)</f>
        <v>17</v>
      </c>
      <c r="O26" s="6">
        <f>IFERROR(IF(O25&gt;0,O25/N25*INDEX($M$6:$M$7,MATCH(M25,$K$12:$K$13,0)),-O25/P25*INDEX($S$6:$S$7,MATCH(Q25,$K$12:$K$13,0))),O24)</f>
        <v>52.380952380952387</v>
      </c>
      <c r="P26" s="15">
        <f>IFERROR(VLOOKUP(Q25,Q$12:T$13,2,0),0)</f>
        <v>0</v>
      </c>
    </row>
    <row r="27" spans="3:25" ht="14.25" customHeight="1" x14ac:dyDescent="0.2">
      <c r="C27" s="3"/>
      <c r="E27" s="1" t="s">
        <v>15</v>
      </c>
      <c r="F27" s="3"/>
      <c r="G27" s="3"/>
      <c r="M27" s="1">
        <f>IF($O25&gt;0,M25,M25-1)</f>
        <v>1</v>
      </c>
      <c r="N27" s="6">
        <f>IFERROR(IF(O25&gt;0,O26,INDEX($M$6:$M$7,MATCH(M27,$K$12:$K$13,0)))/MAX((VLOOKUP(Q27,$Q$12:$T$13,2,0)-VLOOKUP(M27,$K$12:$N$13,4,0)),1),0)</f>
        <v>0</v>
      </c>
      <c r="O27" s="10">
        <f>N27-P27</f>
        <v>0</v>
      </c>
      <c r="P27" s="6">
        <f>IFERROR(IF(O25&lt;0,O26,INDEX($S$6:$S$7,MATCH(Q27,$K$12:$K$13,0)))/MAX((VLOOKUP(M27,$K$12:$N$13,2,0)-VLOOKUP(Q27,$Q$12:$T$13,4,0)),1),0)</f>
        <v>0</v>
      </c>
      <c r="Q27" s="1">
        <f>IF($O25&lt;0,Q25,Q25-1)</f>
        <v>-1</v>
      </c>
      <c r="R27" s="6">
        <f>IFERROR(IF(O27&gt;0,P27,N27),"")</f>
        <v>0</v>
      </c>
    </row>
    <row r="28" spans="3:25" ht="14.25" customHeight="1" x14ac:dyDescent="0.2">
      <c r="D28" s="1" t="s">
        <v>127</v>
      </c>
      <c r="E28" s="8">
        <f>H23*E17</f>
        <v>41.666666666666671</v>
      </c>
      <c r="F28" s="5">
        <f>E28/SUM($E$28:$E$32)</f>
        <v>0.10232997481108314</v>
      </c>
      <c r="M28" s="15">
        <f>IFERROR(VLOOKUP(M27,K$12:N$13,4,0),0)</f>
        <v>3</v>
      </c>
      <c r="N28" s="15">
        <f>IFERROR(VLOOKUP(M27,K$12:N$13,2,0),0)</f>
        <v>12</v>
      </c>
      <c r="O28" s="6">
        <f>IFERROR(IF(O27&gt;0,O27/N27*INDEX($M$6:$M$7,MATCH(M27,$K$12:$K$13,0)),-O27/P27*INDEX($S$6:$S$7,MATCH(Q27,$K$12:$K$13,0))),O26)</f>
        <v>52.380952380952387</v>
      </c>
      <c r="P28" s="15">
        <f>IFERROR(VLOOKUP(Q27,Q$12:T$13,2,0),0)</f>
        <v>0</v>
      </c>
      <c r="Q28" s="15">
        <f>IFERROR(VLOOKUP(Q27,Q$12:T$13,4,0),0)</f>
        <v>0</v>
      </c>
    </row>
    <row r="29" spans="3:25" ht="14.25" customHeight="1" x14ac:dyDescent="0.2">
      <c r="D29" s="1" t="s">
        <v>128</v>
      </c>
      <c r="E29" s="8">
        <f>H24*E18+E18*H23</f>
        <v>114.10256410256412</v>
      </c>
      <c r="F29" s="5">
        <f t="shared" ref="F29:F32" si="3">E29/SUM($E$28:$E$32)</f>
        <v>0.28022670025188923</v>
      </c>
      <c r="M29" s="1">
        <f>MAX(M27-Q27,0)</f>
        <v>2</v>
      </c>
      <c r="N29" s="6"/>
      <c r="O29" s="10"/>
      <c r="P29" s="6"/>
      <c r="Q29" s="1">
        <f>MAX(Q27-M27,0)</f>
        <v>0</v>
      </c>
      <c r="R29" s="6">
        <f>SUM(R21:R27)</f>
        <v>15.476190476190478</v>
      </c>
    </row>
    <row r="30" spans="3:25" ht="14.25" customHeight="1" x14ac:dyDescent="0.2">
      <c r="D30" s="1" t="s">
        <v>127</v>
      </c>
      <c r="E30" s="8">
        <f>E28</f>
        <v>41.666666666666671</v>
      </c>
      <c r="F30" s="5">
        <f t="shared" si="3"/>
        <v>0.10232997481108314</v>
      </c>
      <c r="L30" s="1" t="s">
        <v>139</v>
      </c>
      <c r="M30" s="1" t="s">
        <v>24</v>
      </c>
      <c r="N30" s="15">
        <f>IFERROR(VLOOKUP(M29,K$12:N$13,2,0),0)</f>
        <v>17</v>
      </c>
      <c r="P30" s="15">
        <f>IFERROR(VLOOKUP(Q29,Q$12:T$13,2,0),0)</f>
        <v>0</v>
      </c>
      <c r="Q30" s="1" t="s">
        <v>24</v>
      </c>
    </row>
    <row r="31" spans="3:25" ht="14.25" customHeight="1" x14ac:dyDescent="0.2">
      <c r="D31" s="1" t="s">
        <v>128</v>
      </c>
      <c r="E31" s="8">
        <f>E29</f>
        <v>114.10256410256412</v>
      </c>
      <c r="F31" s="5">
        <f t="shared" si="3"/>
        <v>0.28022670025188923</v>
      </c>
      <c r="M31" s="1">
        <v>2</v>
      </c>
      <c r="N31" s="6">
        <f>INDEX($M$8:$M$9,MATCH(M31,$K$14:$K$15,0))/MAX((VLOOKUP(Q31,$Q$14:$T$15,2,0)-VLOOKUP(M31,$K$14:$N$15,4,0)),1)</f>
        <v>13.333333333333334</v>
      </c>
      <c r="O31" s="10">
        <f>N31-P31</f>
        <v>5</v>
      </c>
      <c r="P31" s="6">
        <f>INDEX($S$8:$S$9,MATCH(Q31,$K$14:$K$15,0))/MAX((VLOOKUP(M31,$K$14:$N$15,2,0)-VLOOKUP(Q31,$Q$14:$T$15,4,0)),1)</f>
        <v>8.3333333333333339</v>
      </c>
      <c r="Q31" s="1">
        <v>2</v>
      </c>
      <c r="R31" s="6">
        <f>IFERROR(IF(O31&gt;0,P31,N31),"")</f>
        <v>8.3333333333333339</v>
      </c>
    </row>
    <row r="32" spans="3:25" ht="14.25" customHeight="1" x14ac:dyDescent="0.2">
      <c r="D32" s="1" t="s">
        <v>129</v>
      </c>
      <c r="E32" s="8">
        <f>E21*SUM(H23:H25)</f>
        <v>95.641025641025635</v>
      </c>
      <c r="F32" s="5">
        <f t="shared" si="3"/>
        <v>0.23488664987405539</v>
      </c>
      <c r="N32" s="15">
        <f>IFERROR(VLOOKUP(M31,K$14:N$15,2,0),0)</f>
        <v>17</v>
      </c>
      <c r="O32" s="6">
        <f>IFERROR(IF(O31&gt;0,O31/N31*INDEX($M$8:$M$9,MATCH(M31,$K$14:$K$15,0)),-O31/P31*INDEX($S$8:$S$9,MATCH(Q31,$K$14:$K$15,0))),O30)</f>
        <v>37.5</v>
      </c>
      <c r="P32" s="15">
        <f>IFERROR(VLOOKUP(Q31,Q$14:T$15,2,0),0)</f>
        <v>12.5</v>
      </c>
    </row>
    <row r="33" spans="3:18" ht="14.25" customHeight="1" x14ac:dyDescent="0.2">
      <c r="C33" s="7"/>
      <c r="M33" s="1">
        <f>IF($O31&gt;0,M31,M31-1)</f>
        <v>2</v>
      </c>
      <c r="N33" s="6">
        <f>IFERROR(IF(O31&gt;0,O32,INDEX($M$8:$M$9,MATCH(M33,$K$14:$K$15,0)))/MAX((VLOOKUP(Q33,$Q$14:$T$15,2,0)-VLOOKUP(M33,$K$14:$N$15,4,0)),1),0)</f>
        <v>15</v>
      </c>
      <c r="O33" s="10">
        <f>N33-P33</f>
        <v>7.8571428571428568</v>
      </c>
      <c r="P33" s="6">
        <f>IFERROR(IF(O31&lt;0,O32,INDEX($S$8:$S$9,MATCH(Q33,$K$14:$K$15,0)))/MAX((VLOOKUP(M33,$K$14:$N$15,2,0)-VLOOKUP(Q33,$Q$14:$T$15,4,0)),1),0)</f>
        <v>7.1428571428571432</v>
      </c>
      <c r="Q33" s="1">
        <f>IF($O31&lt;0,Q31,Q31-1)</f>
        <v>1</v>
      </c>
      <c r="R33" s="6">
        <f>IFERROR(IF(O33&gt;0,P33,N33),"")</f>
        <v>7.1428571428571432</v>
      </c>
    </row>
    <row r="34" spans="3:18" ht="14.25" customHeight="1" x14ac:dyDescent="0.2">
      <c r="D34" s="1" t="s">
        <v>127</v>
      </c>
      <c r="E34" s="36">
        <f>F30+F28</f>
        <v>0.20465994962216627</v>
      </c>
      <c r="H34" s="6"/>
      <c r="N34" s="15">
        <f>IFERROR(VLOOKUP(M33,K$14:N$15,2,0),0)</f>
        <v>17</v>
      </c>
      <c r="O34" s="6">
        <f>IFERROR(IF(O33&gt;0,O33/N33*INDEX($M$8:$M$9,MATCH(M33,$K$14:$K$15,0)),-O33/P33*INDEX($S$8:$S$9,MATCH(Q33,$K$14:$K$15,0))),O32)</f>
        <v>52.380952380952387</v>
      </c>
      <c r="P34" s="15">
        <f>IFERROR(VLOOKUP(Q33,Q$14:T$15,2,0),0)</f>
        <v>7.5</v>
      </c>
    </row>
    <row r="35" spans="3:18" ht="14.25" customHeight="1" x14ac:dyDescent="0.2">
      <c r="D35" s="1" t="s">
        <v>128</v>
      </c>
      <c r="E35" s="36">
        <f>F31+F29</f>
        <v>0.56045340050377845</v>
      </c>
      <c r="H35" s="6"/>
      <c r="M35" s="1">
        <f>IF($O33&gt;0,M33,M33-1)</f>
        <v>2</v>
      </c>
      <c r="N35" s="6">
        <f>IFERROR(IF(O33&gt;0,O34,INDEX($M$8:$M$9,MATCH(M35,$K$14:$K$15,0)))/MAX((VLOOKUP(Q35,$Q$14:$T$15,2,0)-VLOOKUP(M35,$K$14:$N$15,4,0)),1),0)</f>
        <v>0</v>
      </c>
      <c r="O35" s="10">
        <f>N35-P35</f>
        <v>0</v>
      </c>
      <c r="P35" s="6">
        <f>IFERROR(IF(O33&lt;0,O34,INDEX($S$8:$S$9,MATCH(Q35,$K$14:$K$15,0)))/MAX((VLOOKUP(M35,$K$14:$N$15,2,0)-VLOOKUP(Q35,$Q$14:$T$15,4,0)),1),0)</f>
        <v>0</v>
      </c>
      <c r="Q35" s="1">
        <f>IF($O33&lt;0,Q33,Q33-1)</f>
        <v>0</v>
      </c>
      <c r="R35" s="6">
        <f>IFERROR(IF(O35&gt;0,P35,N35),"")</f>
        <v>0</v>
      </c>
    </row>
    <row r="36" spans="3:18" ht="14.25" customHeight="1" x14ac:dyDescent="0.2">
      <c r="D36" s="1" t="s">
        <v>129</v>
      </c>
      <c r="E36" s="36">
        <f>F32</f>
        <v>0.23488664987405539</v>
      </c>
      <c r="H36" s="6"/>
      <c r="N36" s="15">
        <f>IFERROR(VLOOKUP(M35,K$14:N$15,2,0),0)</f>
        <v>17</v>
      </c>
      <c r="O36" s="6">
        <f>IFERROR(IF(O35&gt;0,O35/N35*INDEX($M$8:$M$9,MATCH(M35,$K$14:$K$15,0)),-O35/P35*INDEX($S$8:$S$9,MATCH(Q35,$K$14:$K$15,0))),O34)</f>
        <v>52.380952380952387</v>
      </c>
      <c r="P36" s="15">
        <f>IFERROR(VLOOKUP(Q35,Q$14:T$15,2,0),0)</f>
        <v>0</v>
      </c>
    </row>
    <row r="37" spans="3:18" ht="14.25" customHeight="1" x14ac:dyDescent="0.2">
      <c r="H37" s="6"/>
      <c r="M37" s="1">
        <f>IF($O35&gt;0,M35,M35-1)</f>
        <v>1</v>
      </c>
      <c r="N37" s="6">
        <f>IFERROR(IF(O35&gt;0,O36,INDEX($M$8:$M$9,MATCH(M37,$K$14:$K$15,0)))/MAX((VLOOKUP(Q37,$Q$14:$T$15,2,0)-VLOOKUP(M37,$K$14:$N$15,4,0)),1),0)</f>
        <v>0</v>
      </c>
      <c r="O37" s="10">
        <f>N37-P37</f>
        <v>0</v>
      </c>
      <c r="P37" s="6">
        <f>IFERROR(IF(O35&lt;0,O36,INDEX($S$8:$S$9,MATCH(Q37,$K$14:$K$15,0)))/MAX((VLOOKUP(M37,$K$14:$N$15,2,0)-VLOOKUP(Q37,$Q$14:$T$15,4,0)),1),0)</f>
        <v>0</v>
      </c>
      <c r="Q37" s="1">
        <f>IF($O35&lt;0,Q35,Q35-1)</f>
        <v>-1</v>
      </c>
      <c r="R37" s="6">
        <f>IFERROR(IF(O37&gt;0,P37,N37),"")</f>
        <v>0</v>
      </c>
    </row>
    <row r="38" spans="3:18" ht="14.25" customHeight="1" x14ac:dyDescent="0.2">
      <c r="H38" s="6"/>
      <c r="M38" s="15">
        <f>IFERROR(VLOOKUP(M37,K$14:N$15,4,0),0)</f>
        <v>3</v>
      </c>
      <c r="N38" s="15">
        <f>IFERROR(VLOOKUP(M37,K$14:N$15,2,0),0)</f>
        <v>12</v>
      </c>
      <c r="O38" s="6">
        <f>IFERROR(IF(O37&gt;0,O37/N37*INDEX($M$8:$M$9,MATCH(M37,$K$14:$K$15,0)),-O37/P37*INDEX($S$8:$S$9,MATCH(Q37,$K$14:$K$15,0))),O36)</f>
        <v>52.380952380952387</v>
      </c>
      <c r="P38" s="15">
        <f>IFERROR(VLOOKUP(Q37,Q$14:T$15,2,0),0)</f>
        <v>0</v>
      </c>
      <c r="Q38" s="15">
        <f>IFERROR(VLOOKUP(Q37,Q$14:T$15,4,0),0)</f>
        <v>0</v>
      </c>
    </row>
    <row r="39" spans="3:18" ht="14.25" customHeight="1" x14ac:dyDescent="0.2">
      <c r="H39" s="6"/>
      <c r="M39" s="1">
        <f>MAX(M37-Q37,0)</f>
        <v>2</v>
      </c>
      <c r="N39" s="6"/>
      <c r="O39" s="10"/>
      <c r="P39" s="6"/>
      <c r="Q39" s="1">
        <f>MAX(Q37-M37,0)</f>
        <v>0</v>
      </c>
      <c r="R39" s="6">
        <f>SUM(R31:R37)</f>
        <v>15.476190476190478</v>
      </c>
    </row>
    <row r="40" spans="3:18" ht="14.25" customHeight="1" x14ac:dyDescent="0.2">
      <c r="H40" s="6"/>
      <c r="N40" s="15">
        <f>IFERROR(VLOOKUP(M39,K$14:N$15,2,0),0)</f>
        <v>17</v>
      </c>
      <c r="P40" s="15">
        <f>IFERROR(VLOOKUP(Q39,Q$14:T$15,2,0),0)</f>
        <v>0</v>
      </c>
    </row>
    <row r="41" spans="3:18" ht="14.25" customHeight="1" x14ac:dyDescent="0.2">
      <c r="H41" s="6"/>
      <c r="L41" s="1" t="s">
        <v>15</v>
      </c>
      <c r="M41" s="1" t="s">
        <v>16</v>
      </c>
      <c r="N41" s="1" t="s">
        <v>5</v>
      </c>
      <c r="O41" s="10"/>
      <c r="P41" s="1" t="s">
        <v>15</v>
      </c>
      <c r="Q41" s="1" t="s">
        <v>16</v>
      </c>
      <c r="R41" s="1" t="s">
        <v>5</v>
      </c>
    </row>
    <row r="42" spans="3:18" x14ac:dyDescent="0.2">
      <c r="K42" s="1">
        <f>IF(L42&lt;&gt;0,COUNTIF($L$42:$L$44,"&gt;0"),"")</f>
        <v>3</v>
      </c>
      <c r="L42" s="1">
        <f>N30</f>
        <v>17</v>
      </c>
      <c r="M42" s="6">
        <f>IF(L42=0,0,O28)</f>
        <v>52.380952380952387</v>
      </c>
      <c r="N42" s="1">
        <f>M28</f>
        <v>3</v>
      </c>
      <c r="O42" s="1" t="str">
        <f>IF(P42&lt;&gt;0,COUNTIF($P$42:$P$44,"&gt;0"),"")</f>
        <v/>
      </c>
      <c r="P42" s="1">
        <f>P30</f>
        <v>0</v>
      </c>
      <c r="Q42" s="16">
        <f>IF(P42=0,0,O28)</f>
        <v>0</v>
      </c>
      <c r="R42" s="1">
        <f>Q28</f>
        <v>0</v>
      </c>
    </row>
    <row r="43" spans="3:18" x14ac:dyDescent="0.2">
      <c r="K43" s="1">
        <f>IF(K42&lt;&gt;"",IF(L43&lt;&gt;0,COUNTIF($L$42:$L$44,"&gt;0")-1,""),IF(L43&lt;&gt;0,COUNTIF($L$42:$L$44,"&gt;0"),""))</f>
        <v>2</v>
      </c>
      <c r="L43" s="1">
        <f>N40</f>
        <v>17</v>
      </c>
      <c r="M43" s="6">
        <f>IF(L43=0,0,O38)</f>
        <v>52.380952380952387</v>
      </c>
      <c r="N43" s="1">
        <f>M38</f>
        <v>3</v>
      </c>
      <c r="O43" s="1" t="str">
        <f>IF(O42&lt;&gt;"",IF(P43&lt;&gt;0,COUNTIF($P$42:$P$44,"&gt;0")-1,""),IF(P43&lt;&gt;0,COUNTIF($P$42:$P$44,"&gt;0"),""))</f>
        <v/>
      </c>
      <c r="P43" s="1">
        <f>P40</f>
        <v>0</v>
      </c>
      <c r="Q43" s="6">
        <f>IF(P43=0,0,O38)</f>
        <v>0</v>
      </c>
      <c r="R43" s="1">
        <f>Q38</f>
        <v>0</v>
      </c>
    </row>
    <row r="44" spans="3:18" x14ac:dyDescent="0.2">
      <c r="K44" s="1">
        <v>1</v>
      </c>
      <c r="L44" s="1">
        <f>L16</f>
        <v>4</v>
      </c>
      <c r="M44" s="1">
        <f>M16</f>
        <v>50</v>
      </c>
      <c r="N44" s="1">
        <f>N16</f>
        <v>0</v>
      </c>
      <c r="O44" s="1">
        <v>1</v>
      </c>
      <c r="P44" s="1">
        <f>R16</f>
        <v>5</v>
      </c>
      <c r="Q44" s="1">
        <f t="shared" ref="Q44:R44" si="4">S16</f>
        <v>100</v>
      </c>
      <c r="R44" s="1">
        <f t="shared" si="4"/>
        <v>2</v>
      </c>
    </row>
    <row r="46" spans="3:18" x14ac:dyDescent="0.2">
      <c r="L46" s="1" t="s">
        <v>86</v>
      </c>
      <c r="M46" s="6" t="s">
        <v>24</v>
      </c>
      <c r="Q46" s="6" t="s">
        <v>24</v>
      </c>
    </row>
    <row r="47" spans="3:18" x14ac:dyDescent="0.2">
      <c r="M47" s="9">
        <f>COUNTIF(L42:L44,"&gt;0")</f>
        <v>3</v>
      </c>
      <c r="N47" s="6">
        <f>IFERROR(VLOOKUP(M47,$K$41:$R$44,3,0)/MAX((VLOOKUP(Q47,$O$41:$R$44,2,0)-VLOOKUP(M47,$K$41:$R$44,4,0)),1),0)</f>
        <v>26.190476190476193</v>
      </c>
      <c r="O47" s="10">
        <f>N47-P47</f>
        <v>19.523809523809526</v>
      </c>
      <c r="P47" s="6">
        <f>IFERROR(VLOOKUP(Q47,$O$41:$R$44,3,0)/MAX((VLOOKUP(M47,$K$41:$R$44,2,0)-VLOOKUP(Q47,$O$41:$R$44,4,0)),1),0)</f>
        <v>6.666666666666667</v>
      </c>
      <c r="Q47" s="9">
        <f>COUNTIF(P42:P44,"&gt;0")</f>
        <v>1</v>
      </c>
      <c r="R47" s="6">
        <f>IFERROR(IF(O47&gt;0,P47,N47),"")</f>
        <v>6.666666666666667</v>
      </c>
    </row>
    <row r="48" spans="3:18" ht="14.25" customHeight="1" x14ac:dyDescent="0.2">
      <c r="N48" s="15">
        <f>IFERROR(VLOOKUP(M47,K$14:N$15,2,0),0)</f>
        <v>0</v>
      </c>
      <c r="O48" s="6">
        <f>IFERROR(IF(O47&gt;0,O47/N47*VLOOKUP(M47,$K$41:$R$44,3,0),-O47/P47*VLOOKUP(Q47,$O$41:$R$44,3,0)),O46)</f>
        <v>39.047619047619051</v>
      </c>
      <c r="P48" s="15">
        <f>IFERROR(VLOOKUP(Q47,Q$14:T$15,2,0),0)</f>
        <v>7.5</v>
      </c>
    </row>
    <row r="49" spans="13:18" ht="14.25" customHeight="1" x14ac:dyDescent="0.2">
      <c r="M49" s="1">
        <f>IF($O47&gt;0,M47,M47-1)</f>
        <v>3</v>
      </c>
      <c r="N49" s="6">
        <f>IFERROR(VLOOKUP(M49,$K$41:$R$44,3,0)/MAX((VLOOKUP(Q49,$O$41:$R$44,2,0)-VLOOKUP(M49,$K$41:$R$44,4,0)),1),0)</f>
        <v>0</v>
      </c>
      <c r="O49" s="10">
        <f>N49-P49</f>
        <v>0</v>
      </c>
      <c r="P49" s="6">
        <f>IFERROR(VLOOKUP(Q49,$O$41:$R$44,3,0)/MAX((VLOOKUP(M49,$K$41:$R$44,2,0)-VLOOKUP(Q49,$O$41:$R$44,4,0)),1),0)</f>
        <v>0</v>
      </c>
      <c r="Q49" s="1">
        <f>IF($O47&lt;0,Q47,Q47-1)</f>
        <v>0</v>
      </c>
      <c r="R49" s="6">
        <f>IFERROR(IF(O49&gt;0,P49,N49),"")</f>
        <v>0</v>
      </c>
    </row>
    <row r="50" spans="13:18" ht="14.25" customHeight="1" x14ac:dyDescent="0.2">
      <c r="M50" s="6"/>
      <c r="N50" s="15">
        <f>IFERROR(VLOOKUP(M49,K$14:N$15,2,0),0)</f>
        <v>0</v>
      </c>
      <c r="O50" s="6">
        <f>IFERROR(IF(O49&gt;0,O49/N49*VLOOKUP(M49,$K$41:$R$44,3,0),-O49/P49*VLOOKUP(Q49,$O$41:$R$44,3,0)),O48)</f>
        <v>39.047619047619051</v>
      </c>
      <c r="P50" s="15">
        <f>IFERROR(VLOOKUP(Q49,Q$14:T$15,2,0),0)</f>
        <v>0</v>
      </c>
      <c r="Q50" s="6"/>
      <c r="R50" s="6"/>
    </row>
    <row r="51" spans="13:18" ht="14.25" customHeight="1" x14ac:dyDescent="0.2">
      <c r="M51" s="1">
        <f>IF($O49&gt;0,M49,M49-1)</f>
        <v>2</v>
      </c>
      <c r="N51" s="6">
        <f>IFERROR(VLOOKUP(M51,$K$41:$R$44,3,0)/MAX((VLOOKUP(Q51,$O$41:$R$44,2,0)-VLOOKUP(M51,$K$41:$R$44,4,0)),1),0)</f>
        <v>0</v>
      </c>
      <c r="O51" s="10">
        <f>N51-P51</f>
        <v>0</v>
      </c>
      <c r="P51" s="6">
        <f>IFERROR(VLOOKUP(Q51,$O$41:$R$44,3,0)/MAX((VLOOKUP(M51,$K$41:$R$44,2,0)-VLOOKUP(Q51,$O$41:$R$44,4,0)),1),0)</f>
        <v>0</v>
      </c>
      <c r="Q51" s="1">
        <f>IF($O49&lt;0,Q49,Q49-1)</f>
        <v>-1</v>
      </c>
      <c r="R51" s="6">
        <f>IFERROR(IF(O51&gt;0,P51,N51),"")</f>
        <v>0</v>
      </c>
    </row>
    <row r="52" spans="13:18" x14ac:dyDescent="0.2">
      <c r="M52" s="6"/>
      <c r="N52" s="15">
        <f>IFERROR(VLOOKUP(M51,K$14:N$15,2,0),0)</f>
        <v>17</v>
      </c>
      <c r="O52" s="6">
        <f>IFERROR(IF(O51&gt;0,O51/N51*VLOOKUP(M51,$K$41:$R$44,3,0),-O51/P51*VLOOKUP(Q51,$O$41:$R$44,3,0)),O50)</f>
        <v>39.047619047619051</v>
      </c>
      <c r="P52" s="15">
        <f>IFERROR(VLOOKUP(Q51,Q$14:T$15,2,0),0)</f>
        <v>0</v>
      </c>
      <c r="Q52" s="6"/>
      <c r="R52" s="6">
        <f>SUM(R47:R51)</f>
        <v>6.666666666666667</v>
      </c>
    </row>
    <row r="53" spans="13:18" x14ac:dyDescent="0.2">
      <c r="N53" s="6"/>
      <c r="O53" s="6"/>
      <c r="P53" s="6"/>
      <c r="Q53" s="6"/>
    </row>
    <row r="54" spans="13:18" x14ac:dyDescent="0.2">
      <c r="Q54" s="6"/>
      <c r="R54" s="6"/>
    </row>
    <row r="55" spans="13:18" x14ac:dyDescent="0.2">
      <c r="Q55" s="6"/>
    </row>
    <row r="57" spans="13:18" x14ac:dyDescent="0.2">
      <c r="Q57" s="6"/>
      <c r="R57" s="6"/>
    </row>
    <row r="58" spans="13:18" x14ac:dyDescent="0.2">
      <c r="Q58" s="10"/>
    </row>
    <row r="59" spans="13:18" x14ac:dyDescent="0.2">
      <c r="R59" s="6"/>
    </row>
    <row r="60" spans="13:18" x14ac:dyDescent="0.2">
      <c r="Q60" s="10"/>
    </row>
    <row r="69" spans="16:19" x14ac:dyDescent="0.2">
      <c r="P69" s="6"/>
      <c r="S69" s="6"/>
    </row>
    <row r="70" spans="16:19" x14ac:dyDescent="0.2">
      <c r="S70" s="6"/>
    </row>
    <row r="71" spans="16:19" x14ac:dyDescent="0.2">
      <c r="S71" s="6"/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054E0-0AD6-4977-92DC-701FB0265883}">
  <sheetPr codeName="Sheet3"/>
  <dimension ref="A1:Q47"/>
  <sheetViews>
    <sheetView workbookViewId="0">
      <pane xSplit="3" ySplit="8" topLeftCell="D12" activePane="bottomRight" state="frozen"/>
      <selection pane="topRight" activeCell="D1" sqref="D1"/>
      <selection pane="bottomLeft" activeCell="A10" sqref="A10"/>
      <selection pane="bottomRight" activeCell="E32" sqref="E32"/>
    </sheetView>
  </sheetViews>
  <sheetFormatPr defaultRowHeight="14.25" customHeight="1" x14ac:dyDescent="0.2"/>
  <cols>
    <col min="1" max="2" width="9" style="1"/>
    <col min="3" max="3" width="11.75" style="1" customWidth="1"/>
    <col min="4" max="16384" width="9" style="1"/>
  </cols>
  <sheetData>
    <row r="1" spans="1:17" ht="14.25" customHeight="1" x14ac:dyDescent="0.2">
      <c r="A1" s="79" t="s">
        <v>31</v>
      </c>
      <c r="B1" s="80"/>
    </row>
    <row r="2" spans="1:17" ht="14.25" customHeight="1" x14ac:dyDescent="0.2">
      <c r="A2" s="81"/>
      <c r="B2" s="82"/>
    </row>
    <row r="3" spans="1:17" ht="14.25" customHeight="1" x14ac:dyDescent="0.2">
      <c r="C3" s="2" t="s">
        <v>8</v>
      </c>
      <c r="D3" s="2"/>
    </row>
    <row r="4" spans="1:17" ht="14.25" customHeight="1" x14ac:dyDescent="0.2">
      <c r="C4" s="2" t="s">
        <v>9</v>
      </c>
      <c r="D4" s="2"/>
    </row>
    <row r="5" spans="1:17" ht="14.25" customHeight="1" x14ac:dyDescent="0.2">
      <c r="C5" s="2" t="s">
        <v>10</v>
      </c>
    </row>
    <row r="6" spans="1:17" ht="14.25" customHeight="1" x14ac:dyDescent="0.2">
      <c r="C6" s="2" t="s">
        <v>11</v>
      </c>
    </row>
    <row r="7" spans="1:17" ht="14.25" customHeight="1" x14ac:dyDescent="0.2">
      <c r="C7" s="2" t="s">
        <v>12</v>
      </c>
    </row>
    <row r="9" spans="1:17" ht="14.25" customHeight="1" x14ac:dyDescent="0.2">
      <c r="D9" s="3" t="s">
        <v>32</v>
      </c>
      <c r="E9" s="3" t="s">
        <v>43</v>
      </c>
      <c r="F9" s="3" t="s">
        <v>47</v>
      </c>
      <c r="G9" s="14" t="s">
        <v>54</v>
      </c>
      <c r="H9" s="95" t="s">
        <v>49</v>
      </c>
      <c r="I9" s="96"/>
      <c r="J9" s="96"/>
      <c r="K9" s="96"/>
      <c r="L9" s="96"/>
      <c r="M9" s="96"/>
      <c r="N9" s="96"/>
      <c r="O9" s="96"/>
      <c r="P9" s="96"/>
      <c r="Q9" s="97"/>
    </row>
    <row r="10" spans="1:17" ht="14.25" customHeight="1" x14ac:dyDescent="0.2">
      <c r="C10" s="83" t="s">
        <v>33</v>
      </c>
      <c r="D10" s="1" t="s">
        <v>34</v>
      </c>
      <c r="E10" s="1" t="s">
        <v>44</v>
      </c>
      <c r="F10" s="1" t="s">
        <v>48</v>
      </c>
      <c r="G10" s="13" t="s">
        <v>64</v>
      </c>
      <c r="H10" s="98" t="s">
        <v>50</v>
      </c>
      <c r="I10" s="99"/>
      <c r="J10" s="99"/>
      <c r="K10" s="99"/>
      <c r="L10" s="99"/>
      <c r="M10" s="99"/>
      <c r="N10" s="99"/>
      <c r="O10" s="99"/>
      <c r="P10" s="99"/>
      <c r="Q10" s="100"/>
    </row>
    <row r="11" spans="1:17" ht="14.25" customHeight="1" x14ac:dyDescent="0.2">
      <c r="C11" s="84"/>
      <c r="D11" s="1" t="s">
        <v>35</v>
      </c>
      <c r="E11" s="1" t="s">
        <v>44</v>
      </c>
      <c r="F11" s="1" t="s">
        <v>48</v>
      </c>
      <c r="G11" s="13" t="s">
        <v>64</v>
      </c>
      <c r="H11" s="98" t="s">
        <v>51</v>
      </c>
      <c r="I11" s="99"/>
      <c r="J11" s="99"/>
      <c r="K11" s="99"/>
      <c r="L11" s="99"/>
      <c r="M11" s="99"/>
      <c r="N11" s="99"/>
      <c r="O11" s="99"/>
      <c r="P11" s="99"/>
      <c r="Q11" s="100"/>
    </row>
    <row r="12" spans="1:17" ht="14.25" customHeight="1" x14ac:dyDescent="0.2">
      <c r="C12" s="84"/>
      <c r="D12" s="1" t="s">
        <v>36</v>
      </c>
      <c r="E12" s="1" t="s">
        <v>44</v>
      </c>
      <c r="F12" s="1" t="s">
        <v>48</v>
      </c>
      <c r="G12" s="13" t="s">
        <v>64</v>
      </c>
      <c r="H12" s="98" t="s">
        <v>52</v>
      </c>
      <c r="I12" s="99"/>
      <c r="J12" s="99"/>
      <c r="K12" s="99"/>
      <c r="L12" s="99"/>
      <c r="M12" s="99"/>
      <c r="N12" s="99"/>
      <c r="O12" s="99"/>
      <c r="P12" s="99"/>
      <c r="Q12" s="100"/>
    </row>
    <row r="13" spans="1:17" ht="14.25" customHeight="1" x14ac:dyDescent="0.2">
      <c r="C13" s="84"/>
      <c r="D13" s="1" t="s">
        <v>37</v>
      </c>
      <c r="E13" s="1" t="s">
        <v>44</v>
      </c>
      <c r="F13" s="1" t="s">
        <v>48</v>
      </c>
      <c r="G13" s="13" t="s">
        <v>55</v>
      </c>
      <c r="H13" s="98" t="s">
        <v>53</v>
      </c>
      <c r="I13" s="99"/>
      <c r="J13" s="99"/>
      <c r="K13" s="99"/>
      <c r="L13" s="99"/>
      <c r="M13" s="99"/>
      <c r="N13" s="99"/>
      <c r="O13" s="99"/>
      <c r="P13" s="99"/>
      <c r="Q13" s="100"/>
    </row>
    <row r="14" spans="1:17" ht="14.25" customHeight="1" x14ac:dyDescent="0.2">
      <c r="C14" s="84"/>
      <c r="D14" s="1" t="s">
        <v>57</v>
      </c>
      <c r="E14" s="1" t="s">
        <v>44</v>
      </c>
      <c r="F14" s="1" t="s">
        <v>48</v>
      </c>
      <c r="G14" s="13" t="s">
        <v>56</v>
      </c>
      <c r="H14" s="98" t="s">
        <v>58</v>
      </c>
      <c r="I14" s="99"/>
      <c r="J14" s="99"/>
      <c r="K14" s="99"/>
      <c r="L14" s="99"/>
      <c r="M14" s="99"/>
      <c r="N14" s="99"/>
      <c r="O14" s="99"/>
      <c r="P14" s="99"/>
      <c r="Q14" s="100"/>
    </row>
    <row r="15" spans="1:17" ht="14.25" customHeight="1" x14ac:dyDescent="0.2">
      <c r="C15" s="85"/>
      <c r="D15" s="1" t="s">
        <v>13</v>
      </c>
      <c r="E15" s="1" t="s">
        <v>44</v>
      </c>
      <c r="F15" s="1" t="s">
        <v>48</v>
      </c>
      <c r="G15" s="13" t="s">
        <v>59</v>
      </c>
      <c r="H15" s="98" t="s">
        <v>60</v>
      </c>
      <c r="I15" s="99"/>
      <c r="J15" s="99"/>
      <c r="K15" s="99"/>
      <c r="L15" s="99"/>
      <c r="M15" s="99"/>
      <c r="N15" s="99"/>
      <c r="O15" s="99"/>
      <c r="P15" s="99"/>
      <c r="Q15" s="100"/>
    </row>
    <row r="16" spans="1:17" ht="14.25" customHeight="1" x14ac:dyDescent="0.2">
      <c r="C16" s="83" t="s">
        <v>38</v>
      </c>
      <c r="D16" s="1" t="s">
        <v>39</v>
      </c>
      <c r="E16" s="1" t="s">
        <v>45</v>
      </c>
      <c r="F16" s="1" t="s">
        <v>48</v>
      </c>
      <c r="G16" s="13" t="s">
        <v>65</v>
      </c>
      <c r="H16" s="86" t="s">
        <v>63</v>
      </c>
      <c r="I16" s="87"/>
      <c r="J16" s="87"/>
      <c r="K16" s="87"/>
      <c r="L16" s="87"/>
      <c r="M16" s="87"/>
      <c r="N16" s="87"/>
      <c r="O16" s="87"/>
      <c r="P16" s="87"/>
      <c r="Q16" s="88"/>
    </row>
    <row r="17" spans="3:17" ht="14.25" customHeight="1" x14ac:dyDescent="0.2">
      <c r="C17" s="84"/>
      <c r="D17" s="1" t="s">
        <v>40</v>
      </c>
      <c r="E17" s="1" t="s">
        <v>45</v>
      </c>
      <c r="F17" s="1" t="s">
        <v>48</v>
      </c>
      <c r="G17" s="13" t="s">
        <v>65</v>
      </c>
      <c r="H17" s="89"/>
      <c r="I17" s="90"/>
      <c r="J17" s="90"/>
      <c r="K17" s="90"/>
      <c r="L17" s="90"/>
      <c r="M17" s="90"/>
      <c r="N17" s="90"/>
      <c r="O17" s="90"/>
      <c r="P17" s="90"/>
      <c r="Q17" s="91"/>
    </row>
    <row r="18" spans="3:17" ht="14.25" customHeight="1" x14ac:dyDescent="0.2">
      <c r="C18" s="85"/>
      <c r="D18" s="1" t="s">
        <v>41</v>
      </c>
      <c r="E18" s="1" t="s">
        <v>45</v>
      </c>
      <c r="F18" s="1" t="s">
        <v>48</v>
      </c>
      <c r="G18" s="13" t="s">
        <v>65</v>
      </c>
      <c r="H18" s="92"/>
      <c r="I18" s="93"/>
      <c r="J18" s="93"/>
      <c r="K18" s="93"/>
      <c r="L18" s="93"/>
      <c r="M18" s="93"/>
      <c r="N18" s="93"/>
      <c r="O18" s="93"/>
      <c r="P18" s="93"/>
      <c r="Q18" s="94"/>
    </row>
    <row r="19" spans="3:17" ht="14.25" customHeight="1" x14ac:dyDescent="0.2">
      <c r="C19" s="83" t="s">
        <v>42</v>
      </c>
      <c r="D19" s="1" t="s">
        <v>73</v>
      </c>
      <c r="E19" s="1" t="s">
        <v>45</v>
      </c>
      <c r="F19" s="1" t="s">
        <v>48</v>
      </c>
      <c r="G19" s="1" t="s">
        <v>66</v>
      </c>
      <c r="H19" s="86" t="s">
        <v>67</v>
      </c>
      <c r="I19" s="87"/>
      <c r="J19" s="87"/>
      <c r="K19" s="87"/>
      <c r="L19" s="87"/>
      <c r="M19" s="87"/>
      <c r="N19" s="87"/>
      <c r="O19" s="87"/>
      <c r="P19" s="87"/>
      <c r="Q19" s="88"/>
    </row>
    <row r="20" spans="3:17" ht="14.25" customHeight="1" x14ac:dyDescent="0.2">
      <c r="C20" s="84"/>
      <c r="D20" s="1" t="s">
        <v>133</v>
      </c>
      <c r="E20" s="1" t="s">
        <v>45</v>
      </c>
      <c r="F20" s="1" t="s">
        <v>48</v>
      </c>
      <c r="G20" s="1" t="s">
        <v>126</v>
      </c>
      <c r="H20" s="89"/>
      <c r="I20" s="90"/>
      <c r="J20" s="90"/>
      <c r="K20" s="90"/>
      <c r="L20" s="90"/>
      <c r="M20" s="90"/>
      <c r="N20" s="90"/>
      <c r="O20" s="90"/>
      <c r="P20" s="90"/>
      <c r="Q20" s="91"/>
    </row>
    <row r="21" spans="3:17" ht="14.25" customHeight="1" x14ac:dyDescent="0.2">
      <c r="C21" s="85"/>
      <c r="D21" s="1" t="s">
        <v>125</v>
      </c>
      <c r="E21" s="1" t="s">
        <v>45</v>
      </c>
      <c r="F21" s="1" t="s">
        <v>48</v>
      </c>
      <c r="G21" s="1" t="s">
        <v>126</v>
      </c>
      <c r="H21" s="92"/>
      <c r="I21" s="93"/>
      <c r="J21" s="93"/>
      <c r="K21" s="93"/>
      <c r="L21" s="93"/>
      <c r="M21" s="93"/>
      <c r="N21" s="93"/>
      <c r="O21" s="93"/>
      <c r="P21" s="93"/>
      <c r="Q21" s="94"/>
    </row>
    <row r="22" spans="3:17" ht="14.25" customHeight="1" x14ac:dyDescent="0.2">
      <c r="C22" s="27"/>
      <c r="H22" s="28"/>
      <c r="I22" s="29"/>
      <c r="J22" s="29"/>
      <c r="K22" s="29"/>
      <c r="L22" s="29"/>
      <c r="M22" s="29"/>
      <c r="N22" s="29"/>
      <c r="O22" s="29"/>
      <c r="P22" s="29"/>
      <c r="Q22" s="30"/>
    </row>
    <row r="23" spans="3:17" ht="14.25" customHeight="1" x14ac:dyDescent="0.2">
      <c r="D23" s="17"/>
    </row>
    <row r="24" spans="3:17" ht="14.25" customHeight="1" x14ac:dyDescent="0.2">
      <c r="D24" s="7" t="s">
        <v>61</v>
      </c>
    </row>
    <row r="25" spans="3:17" ht="14.25" customHeight="1" x14ac:dyDescent="0.2">
      <c r="E25" s="2" t="s">
        <v>62</v>
      </c>
      <c r="Q25" s="17" t="s">
        <v>46</v>
      </c>
    </row>
    <row r="27" spans="3:17" s="3" customFormat="1" ht="14.25" customHeight="1" x14ac:dyDescent="0.2">
      <c r="C27" s="3" t="s">
        <v>31</v>
      </c>
      <c r="D27" s="2" t="s">
        <v>79</v>
      </c>
      <c r="L27" s="3" t="s">
        <v>18</v>
      </c>
      <c r="M27" s="3" t="s">
        <v>134</v>
      </c>
    </row>
    <row r="28" spans="3:17" ht="14.25" customHeight="1" x14ac:dyDescent="0.2">
      <c r="D28" s="3" t="s">
        <v>69</v>
      </c>
      <c r="E28" s="3" t="s">
        <v>77</v>
      </c>
      <c r="L28" s="1" t="s">
        <v>3</v>
      </c>
      <c r="M28" s="7" t="s">
        <v>135</v>
      </c>
    </row>
    <row r="29" spans="3:17" ht="14.25" customHeight="1" x14ac:dyDescent="0.2">
      <c r="D29" s="1" t="s">
        <v>14</v>
      </c>
      <c r="E29" s="7" t="s">
        <v>68</v>
      </c>
      <c r="L29" s="1" t="s">
        <v>4</v>
      </c>
      <c r="M29" s="7" t="s">
        <v>136</v>
      </c>
    </row>
    <row r="30" spans="3:17" ht="14.25" customHeight="1" x14ac:dyDescent="0.2">
      <c r="D30" s="1" t="s">
        <v>72</v>
      </c>
      <c r="E30" s="7" t="s">
        <v>70</v>
      </c>
      <c r="L30" s="1" t="s">
        <v>5</v>
      </c>
      <c r="M30" s="7" t="s">
        <v>137</v>
      </c>
    </row>
    <row r="31" spans="3:17" ht="14.25" customHeight="1" x14ac:dyDescent="0.2">
      <c r="D31" s="1" t="s">
        <v>71</v>
      </c>
      <c r="E31" s="7" t="s">
        <v>233</v>
      </c>
    </row>
    <row r="32" spans="3:17" ht="14.25" customHeight="1" x14ac:dyDescent="0.2">
      <c r="D32" s="1" t="s">
        <v>15</v>
      </c>
      <c r="E32" s="7" t="s">
        <v>74</v>
      </c>
    </row>
    <row r="33" spans="3:6" ht="14.25" customHeight="1" x14ac:dyDescent="0.2">
      <c r="D33" s="3" t="s">
        <v>75</v>
      </c>
      <c r="E33" s="7" t="s">
        <v>76</v>
      </c>
    </row>
    <row r="34" spans="3:6" ht="14.25" customHeight="1" x14ac:dyDescent="0.2">
      <c r="D34" s="3" t="s">
        <v>81</v>
      </c>
      <c r="E34" s="7" t="s">
        <v>78</v>
      </c>
    </row>
    <row r="35" spans="3:6" ht="14.25" customHeight="1" x14ac:dyDescent="0.2">
      <c r="D35" s="3" t="s">
        <v>80</v>
      </c>
      <c r="E35" s="7" t="s">
        <v>82</v>
      </c>
    </row>
    <row r="37" spans="3:6" ht="14.25" customHeight="1" x14ac:dyDescent="0.2">
      <c r="C37" s="1" t="s">
        <v>88</v>
      </c>
      <c r="D37" s="1" t="s">
        <v>130</v>
      </c>
      <c r="E37" s="1">
        <v>25</v>
      </c>
    </row>
    <row r="38" spans="3:6" ht="14.25" customHeight="1" x14ac:dyDescent="0.2">
      <c r="D38" s="1" t="s">
        <v>32</v>
      </c>
      <c r="E38" s="1" t="s">
        <v>90</v>
      </c>
    </row>
    <row r="39" spans="3:6" ht="14.25" customHeight="1" x14ac:dyDescent="0.2">
      <c r="D39" s="1" t="s">
        <v>34</v>
      </c>
      <c r="E39" s="1">
        <f>E41*E37</f>
        <v>25</v>
      </c>
    </row>
    <row r="40" spans="3:6" ht="14.25" customHeight="1" x14ac:dyDescent="0.2">
      <c r="D40" s="1" t="s">
        <v>35</v>
      </c>
      <c r="E40" s="32">
        <f>1/100000</f>
        <v>1.0000000000000001E-5</v>
      </c>
      <c r="F40" s="1" t="s">
        <v>36</v>
      </c>
    </row>
    <row r="41" spans="3:6" ht="14.25" customHeight="1" x14ac:dyDescent="0.2">
      <c r="D41" s="1" t="s">
        <v>36</v>
      </c>
      <c r="E41" s="18">
        <v>1</v>
      </c>
    </row>
    <row r="42" spans="3:6" ht="14.25" customHeight="1" x14ac:dyDescent="0.2">
      <c r="D42" s="1" t="s">
        <v>37</v>
      </c>
      <c r="E42" s="4">
        <f>0.5*0.01</f>
        <v>5.0000000000000001E-3</v>
      </c>
      <c r="F42" s="1" t="s">
        <v>34</v>
      </c>
    </row>
    <row r="43" spans="3:6" ht="14.25" customHeight="1" x14ac:dyDescent="0.2">
      <c r="D43" s="1" t="s">
        <v>89</v>
      </c>
      <c r="E43" s="5">
        <f>0.75*0.01</f>
        <v>7.4999999999999997E-3</v>
      </c>
      <c r="F43" s="1" t="s">
        <v>34</v>
      </c>
    </row>
    <row r="44" spans="3:6" ht="14.25" customHeight="1" x14ac:dyDescent="0.2">
      <c r="D44" s="1" t="s">
        <v>13</v>
      </c>
      <c r="E44" s="5">
        <f>0.67*0.01</f>
        <v>6.7000000000000002E-3</v>
      </c>
      <c r="F44" s="1" t="s">
        <v>34</v>
      </c>
    </row>
    <row r="46" spans="3:6" ht="14.25" customHeight="1" x14ac:dyDescent="0.2">
      <c r="D46" s="7" t="s">
        <v>132</v>
      </c>
    </row>
    <row r="47" spans="3:6" ht="14.25" customHeight="1" x14ac:dyDescent="0.2">
      <c r="D47" s="7" t="s">
        <v>150</v>
      </c>
    </row>
  </sheetData>
  <mergeCells count="13">
    <mergeCell ref="C19:C21"/>
    <mergeCell ref="H19:Q21"/>
    <mergeCell ref="H16:Q18"/>
    <mergeCell ref="A1:B2"/>
    <mergeCell ref="H9:Q9"/>
    <mergeCell ref="H10:Q10"/>
    <mergeCell ref="H11:Q11"/>
    <mergeCell ref="H12:Q12"/>
    <mergeCell ref="H13:Q13"/>
    <mergeCell ref="H14:Q14"/>
    <mergeCell ref="H15:Q15"/>
    <mergeCell ref="C10:C15"/>
    <mergeCell ref="C16:C1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03BA-5820-4007-A302-649D045C5304}">
  <sheetPr codeName="Sheet4"/>
  <dimension ref="A1:AJ33"/>
  <sheetViews>
    <sheetView workbookViewId="0">
      <pane xSplit="3" ySplit="15" topLeftCell="D16" activePane="bottomRight" state="frozen"/>
      <selection pane="topRight" activeCell="D1" sqref="D1"/>
      <selection pane="bottomLeft" activeCell="A16" sqref="A16"/>
      <selection pane="bottomRight" activeCell="R23" sqref="R23"/>
    </sheetView>
  </sheetViews>
  <sheetFormatPr defaultRowHeight="14.25" customHeight="1" x14ac:dyDescent="0.2"/>
  <cols>
    <col min="1" max="9" width="9" style="1"/>
    <col min="10" max="10" width="9" style="1" customWidth="1"/>
    <col min="11" max="15" width="9" style="1"/>
    <col min="16" max="16" width="2.5" style="1" customWidth="1"/>
    <col min="17" max="16384" width="9" style="1"/>
  </cols>
  <sheetData>
    <row r="1" spans="1:36" ht="14.25" customHeight="1" x14ac:dyDescent="0.2">
      <c r="A1" s="79" t="s">
        <v>91</v>
      </c>
      <c r="B1" s="80"/>
    </row>
    <row r="2" spans="1:36" ht="14.25" customHeight="1" x14ac:dyDescent="0.2">
      <c r="A2" s="81"/>
      <c r="B2" s="82"/>
    </row>
    <row r="3" spans="1:36" ht="14.25" customHeight="1" x14ac:dyDescent="0.2">
      <c r="C3" s="3" t="s">
        <v>117</v>
      </c>
    </row>
    <row r="4" spans="1:36" s="3" customFormat="1" ht="14.25" customHeight="1" x14ac:dyDescent="0.2">
      <c r="D4" s="3" t="s">
        <v>93</v>
      </c>
      <c r="E4" s="3" t="s">
        <v>15</v>
      </c>
      <c r="F4" s="3" t="s">
        <v>16</v>
      </c>
    </row>
    <row r="5" spans="1:36" ht="14.25" customHeight="1" x14ac:dyDescent="0.2">
      <c r="D5" s="1" t="s">
        <v>3</v>
      </c>
      <c r="E5" s="9">
        <f>基础模型!E11</f>
        <v>5</v>
      </c>
      <c r="F5" s="9">
        <f>基础模型!F11</f>
        <v>100</v>
      </c>
    </row>
    <row r="6" spans="1:36" ht="14.25" customHeight="1" x14ac:dyDescent="0.2">
      <c r="D6" s="1" t="s">
        <v>4</v>
      </c>
      <c r="E6" s="9">
        <f>基础模型!E12</f>
        <v>10</v>
      </c>
      <c r="F6" s="9">
        <f>基础模型!F12</f>
        <v>40</v>
      </c>
    </row>
    <row r="7" spans="1:36" ht="14.25" customHeight="1" x14ac:dyDescent="0.2">
      <c r="D7" s="1" t="s">
        <v>5</v>
      </c>
      <c r="E7" s="9">
        <f>基础模型!E13</f>
        <v>4</v>
      </c>
      <c r="F7" s="9">
        <f>基础模型!F13</f>
        <v>50</v>
      </c>
    </row>
    <row r="8" spans="1:36" ht="14.25" customHeight="1" x14ac:dyDescent="0.2">
      <c r="C8" s="3" t="s">
        <v>114</v>
      </c>
      <c r="Q8" s="3" t="s">
        <v>156</v>
      </c>
      <c r="AB8" s="3" t="s">
        <v>144</v>
      </c>
    </row>
    <row r="9" spans="1:36" s="3" customFormat="1" ht="14.25" customHeight="1" x14ac:dyDescent="0.2">
      <c r="D9" s="3" t="s">
        <v>92</v>
      </c>
      <c r="E9" s="3" t="s">
        <v>93</v>
      </c>
      <c r="F9" s="3" t="s">
        <v>15</v>
      </c>
      <c r="G9" s="3" t="s">
        <v>16</v>
      </c>
      <c r="I9" s="25" t="s">
        <v>95</v>
      </c>
      <c r="J9" s="3" t="s">
        <v>96</v>
      </c>
      <c r="K9" s="3" t="s">
        <v>97</v>
      </c>
      <c r="L9" s="3" t="s">
        <v>98</v>
      </c>
      <c r="M9" s="25" t="s">
        <v>165</v>
      </c>
      <c r="R9" s="3" t="s">
        <v>157</v>
      </c>
      <c r="S9" s="3" t="s">
        <v>92</v>
      </c>
      <c r="T9" s="3" t="s">
        <v>164</v>
      </c>
      <c r="U9" s="25" t="s">
        <v>95</v>
      </c>
      <c r="V9" s="3" t="s">
        <v>96</v>
      </c>
      <c r="W9" s="3" t="s">
        <v>97</v>
      </c>
      <c r="X9" s="3" t="s">
        <v>98</v>
      </c>
      <c r="Y9" s="3" t="s">
        <v>164</v>
      </c>
      <c r="Z9" s="25" t="s">
        <v>35</v>
      </c>
      <c r="AA9" s="39" t="s">
        <v>176</v>
      </c>
      <c r="AC9" s="3" t="s">
        <v>151</v>
      </c>
      <c r="AD9" s="3" t="s">
        <v>153</v>
      </c>
      <c r="AE9" s="3" t="s">
        <v>154</v>
      </c>
      <c r="AF9" s="3" t="s">
        <v>145</v>
      </c>
      <c r="AG9" s="3" t="s">
        <v>146</v>
      </c>
      <c r="AH9" s="3" t="s">
        <v>147</v>
      </c>
      <c r="AI9" s="3" t="s">
        <v>148</v>
      </c>
      <c r="AJ9" s="3" t="s">
        <v>175</v>
      </c>
    </row>
    <row r="10" spans="1:36" ht="14.25" customHeight="1" x14ac:dyDescent="0.2">
      <c r="C10" s="19" t="s">
        <v>103</v>
      </c>
      <c r="D10" s="1" t="s">
        <v>71</v>
      </c>
      <c r="E10" s="1" t="s">
        <v>3</v>
      </c>
      <c r="F10" s="6">
        <f t="shared" ref="F10:G15" si="0">VLOOKUP($E10,$D$4:$F$7,MATCH(F$9,$D$4:$F$4,0),0)</f>
        <v>5</v>
      </c>
      <c r="G10" s="6">
        <f t="shared" si="0"/>
        <v>100</v>
      </c>
      <c r="H10" s="6">
        <f>F10*G10</f>
        <v>500</v>
      </c>
      <c r="I10" s="6">
        <v>0.9</v>
      </c>
      <c r="J10" s="6">
        <f>L10/G10</f>
        <v>1.1111111111111112</v>
      </c>
      <c r="K10" s="6">
        <f>F10*I10</f>
        <v>4.5</v>
      </c>
      <c r="L10" s="6">
        <f>H10/K10</f>
        <v>111.11111111111111</v>
      </c>
      <c r="M10" s="1">
        <v>1</v>
      </c>
      <c r="R10" s="1" t="s">
        <v>259</v>
      </c>
      <c r="S10" s="1" t="s">
        <v>158</v>
      </c>
      <c r="T10" s="1" t="str">
        <f>MIN(VLOOKUP(S10,$D$9:$M$15,6,0),VLOOKUP(S10,$D$9:$M$15,10,0))&amp;"~"&amp;MAX(VLOOKUP(S10,$D$9:$M$15,6,0),VLOOKUP(S10,$D$9:$M$15,10,0))</f>
        <v>0.9~1</v>
      </c>
      <c r="U10" s="6">
        <v>0.9</v>
      </c>
      <c r="V10" s="6">
        <f>X10/VLOOKUP(S10,$D$9:$L$15,4,0)</f>
        <v>1.1111111111111112</v>
      </c>
      <c r="W10" s="6">
        <f>VLOOKUP(S10,$D$9:$L$15,3,0)*U10</f>
        <v>4.5</v>
      </c>
      <c r="X10" s="6">
        <f>VLOOKUP(S10,$D$9:$L$15,5,0)/W10</f>
        <v>111.11111111111111</v>
      </c>
      <c r="Y10" s="6" t="str">
        <f>MIN(VLOOKUP(S10,$D$18:$O$24,4,0),VLOOKUP(S10,$D$18:$O$24,12,0))&amp;"~"&amp;MAX(VLOOKUP(S10,$D$18:$O$24,4,0),VLOOKUP(S10,$D$18:$O$24,12,0))</f>
        <v>11.5~25</v>
      </c>
      <c r="Z10" s="6">
        <v>25</v>
      </c>
      <c r="AA10" s="1">
        <f>VLOOKUP(S10,$D$27:$M$33,MATCH(AA$9,$D$27:$M$27,0),0)</f>
        <v>0.9</v>
      </c>
      <c r="AB10" s="1" t="str">
        <f>R10</f>
        <v>饼干1</v>
      </c>
      <c r="AC10" s="1" t="str">
        <f>VLOOKUP($S10,$D$27:$L$33,MATCH(AC$9,$D$27:$L$27,0),0)</f>
        <v>承伤</v>
      </c>
      <c r="AD10" s="26">
        <f>W10/INDEX($G$26:$L$26,MATCH(AD$9,$G$27:$L$27,0))</f>
        <v>0.61363636363636365</v>
      </c>
      <c r="AE10" s="26">
        <f>X10/INDEX($G$26:$L$26,MATCH(AE$9,$G$27:$L$27,0))</f>
        <v>1.8018018018018018</v>
      </c>
      <c r="AF10" s="26">
        <f>Z10/INDEX($G$26:$L$26,MATCH(AF$9,$G$27:$L$27,0))</f>
        <v>4.4117647058823524</v>
      </c>
      <c r="AG10" s="26">
        <f>VLOOKUP($S10,$D$18:$O$24,MATCH(AG$9,$D$18:$O$18,0),0)/INDEX($G$26:$L$26,MATCH(AG$9,$G$27:$L$27,0))</f>
        <v>1</v>
      </c>
      <c r="AH10" s="26">
        <f t="shared" ref="AH10:AI21" si="1">VLOOKUP($S10,$D$18:$O$24,MATCH(AH$9,$D$18:$O$18,0),0)/INDEX($G$26:$L$26,MATCH(AH$9,$G$27:$L$27,0))</f>
        <v>1</v>
      </c>
      <c r="AI10" s="26">
        <f t="shared" si="1"/>
        <v>1</v>
      </c>
      <c r="AJ10" s="1">
        <f>AA10</f>
        <v>0.9</v>
      </c>
    </row>
    <row r="11" spans="1:36" ht="14.25" customHeight="1" x14ac:dyDescent="0.2">
      <c r="C11" s="19" t="s">
        <v>104</v>
      </c>
      <c r="D11" s="1" t="s">
        <v>94</v>
      </c>
      <c r="E11" s="1" t="s">
        <v>3</v>
      </c>
      <c r="F11" s="6">
        <f t="shared" si="0"/>
        <v>5</v>
      </c>
      <c r="G11" s="6">
        <f t="shared" si="0"/>
        <v>100</v>
      </c>
      <c r="H11" s="6">
        <f>F11*G11</f>
        <v>500</v>
      </c>
      <c r="I11" s="6">
        <v>1.2</v>
      </c>
      <c r="J11" s="6">
        <f>L11/G11</f>
        <v>0.83333333333333326</v>
      </c>
      <c r="K11" s="6">
        <f>F11*I11</f>
        <v>6</v>
      </c>
      <c r="L11" s="6">
        <f>H11/K11</f>
        <v>83.333333333333329</v>
      </c>
      <c r="M11" s="1">
        <v>1</v>
      </c>
      <c r="R11" s="1" t="s">
        <v>260</v>
      </c>
      <c r="S11" s="1" t="s">
        <v>158</v>
      </c>
      <c r="T11" s="1" t="str">
        <f t="shared" ref="T11:T21" si="2">MIN(VLOOKUP(S11,$D$9:$M$15,6,0),VLOOKUP(S11,$D$9:$M$15,10,0))&amp;"~"&amp;MAX(VLOOKUP(S11,$D$9:$M$15,6,0),VLOOKUP(S11,$D$9:$M$15,10,0))</f>
        <v>0.9~1</v>
      </c>
      <c r="U11" s="6">
        <v>1</v>
      </c>
      <c r="V11" s="6">
        <f t="shared" ref="V11:V21" si="3">X11/VLOOKUP(S11,$D$9:$L$15,4,0)</f>
        <v>1</v>
      </c>
      <c r="W11" s="6">
        <f t="shared" ref="W11:W21" si="4">VLOOKUP(S11,$D$9:$L$15,3,0)*U11</f>
        <v>5</v>
      </c>
      <c r="X11" s="6">
        <f t="shared" ref="X11:X21" si="5">VLOOKUP(S11,$D$9:$L$15,5,0)/W11</f>
        <v>100</v>
      </c>
      <c r="Y11" s="6" t="str">
        <f t="shared" ref="Y11:Y21" si="6">MIN(VLOOKUP(S11,$D$18:$O$24,4,0),VLOOKUP(S11,$D$18:$O$24,12,0))&amp;"~"&amp;MAX(VLOOKUP(S11,$D$18:$O$24,4,0),VLOOKUP(S11,$D$18:$O$24,12,0))</f>
        <v>11.5~25</v>
      </c>
      <c r="Z11" s="6">
        <v>20</v>
      </c>
      <c r="AA11" s="1">
        <f t="shared" ref="AA11:AA21" si="7">VLOOKUP(S11,$D$27:$M$33,MATCH(AA$9,$D$27:$M$27,0),0)</f>
        <v>0.9</v>
      </c>
      <c r="AB11" s="1" t="str">
        <f t="shared" ref="AB11:AB21" si="8">R11</f>
        <v>饼干2</v>
      </c>
      <c r="AC11" s="1" t="str">
        <f t="shared" ref="AC11:AC21" si="9">VLOOKUP($S11,$D$27:$L$33,MATCH(AC$9,$D$27:$L$27,0),0)</f>
        <v>承伤</v>
      </c>
      <c r="AD11" s="26">
        <f t="shared" ref="AD11:AD21" si="10">W11/INDEX($G$26:$L$26,MATCH(AD$9,$G$27:$L$27,0))</f>
        <v>0.68181818181818188</v>
      </c>
      <c r="AE11" s="26">
        <f t="shared" ref="AE11:AE21" si="11">X11/INDEX($G$26:$L$26,MATCH(AE$9,$G$27:$L$27,0))</f>
        <v>1.6216216216216217</v>
      </c>
      <c r="AF11" s="26">
        <f t="shared" ref="AF11:AF21" si="12">Z11/INDEX($G$26:$L$26,MATCH(AF$9,$G$27:$L$27,0))</f>
        <v>3.5294117647058822</v>
      </c>
      <c r="AG11" s="26">
        <f t="shared" ref="AG11:AG21" si="13">VLOOKUP($S11,$D$18:$O$24,MATCH(AG$9,$D$18:$O$18,0),0)/INDEX($G$26:$L$26,MATCH(AG$9,$G$27:$L$27,0))</f>
        <v>1</v>
      </c>
      <c r="AH11" s="26">
        <f t="shared" si="1"/>
        <v>1</v>
      </c>
      <c r="AI11" s="26">
        <f t="shared" si="1"/>
        <v>1</v>
      </c>
      <c r="AJ11" s="1">
        <f t="shared" ref="AJ11:AJ21" si="14">AA11</f>
        <v>0.9</v>
      </c>
    </row>
    <row r="12" spans="1:36" ht="14.25" customHeight="1" x14ac:dyDescent="0.2">
      <c r="C12" s="19" t="s">
        <v>105</v>
      </c>
      <c r="D12" s="1" t="s">
        <v>99</v>
      </c>
      <c r="E12" s="1" t="s">
        <v>4</v>
      </c>
      <c r="F12" s="6">
        <f t="shared" si="0"/>
        <v>10</v>
      </c>
      <c r="G12" s="6">
        <f t="shared" si="0"/>
        <v>40</v>
      </c>
      <c r="H12" s="6">
        <f t="shared" ref="H12:H15" si="15">F12*G12</f>
        <v>400</v>
      </c>
      <c r="I12" s="6">
        <v>1.05</v>
      </c>
      <c r="J12" s="6">
        <f t="shared" ref="J12:J15" si="16">L12/G12</f>
        <v>0.95238095238095233</v>
      </c>
      <c r="K12" s="6">
        <f t="shared" ref="K12:K15" si="17">F12*I12</f>
        <v>10.5</v>
      </c>
      <c r="L12" s="6">
        <f t="shared" ref="L12:L15" si="18">H12/K12</f>
        <v>38.095238095238095</v>
      </c>
      <c r="M12" s="1">
        <v>1</v>
      </c>
      <c r="R12" s="1" t="s">
        <v>261</v>
      </c>
      <c r="S12" s="1" t="s">
        <v>159</v>
      </c>
      <c r="T12" s="1" t="str">
        <f t="shared" si="2"/>
        <v>1~1.2</v>
      </c>
      <c r="U12" s="6">
        <v>1.1000000000000001</v>
      </c>
      <c r="V12" s="6">
        <f t="shared" si="3"/>
        <v>0.90909090909090906</v>
      </c>
      <c r="W12" s="6">
        <f t="shared" si="4"/>
        <v>5.5</v>
      </c>
      <c r="X12" s="6">
        <f t="shared" si="5"/>
        <v>90.909090909090907</v>
      </c>
      <c r="Y12" s="6" t="str">
        <f t="shared" si="6"/>
        <v>7.5~25</v>
      </c>
      <c r="Z12" s="6">
        <v>23</v>
      </c>
      <c r="AA12" s="1">
        <f t="shared" si="7"/>
        <v>0.9</v>
      </c>
      <c r="AB12" s="1" t="str">
        <f t="shared" si="8"/>
        <v>饼干3</v>
      </c>
      <c r="AC12" s="1" t="str">
        <f t="shared" si="9"/>
        <v>伤害</v>
      </c>
      <c r="AD12" s="26">
        <f t="shared" si="10"/>
        <v>0.75</v>
      </c>
      <c r="AE12" s="26">
        <f t="shared" si="11"/>
        <v>1.4742014742014742</v>
      </c>
      <c r="AF12" s="26">
        <f t="shared" si="12"/>
        <v>4.0588235294117645</v>
      </c>
      <c r="AG12" s="26">
        <f t="shared" si="13"/>
        <v>1</v>
      </c>
      <c r="AH12" s="26">
        <f t="shared" si="1"/>
        <v>1</v>
      </c>
      <c r="AI12" s="26">
        <f t="shared" si="1"/>
        <v>1.1000000000000001</v>
      </c>
      <c r="AJ12" s="1">
        <f t="shared" si="14"/>
        <v>0.9</v>
      </c>
    </row>
    <row r="13" spans="1:36" ht="14.25" customHeight="1" x14ac:dyDescent="0.2">
      <c r="C13" s="19" t="s">
        <v>106</v>
      </c>
      <c r="D13" s="1" t="s">
        <v>100</v>
      </c>
      <c r="E13" s="1" t="s">
        <v>4</v>
      </c>
      <c r="F13" s="6">
        <f t="shared" si="0"/>
        <v>10</v>
      </c>
      <c r="G13" s="6">
        <f t="shared" si="0"/>
        <v>40</v>
      </c>
      <c r="H13" s="6">
        <f t="shared" si="15"/>
        <v>400</v>
      </c>
      <c r="I13" s="6">
        <v>1</v>
      </c>
      <c r="J13" s="6">
        <f t="shared" si="16"/>
        <v>1</v>
      </c>
      <c r="K13" s="6">
        <f t="shared" si="17"/>
        <v>10</v>
      </c>
      <c r="L13" s="6">
        <f t="shared" si="18"/>
        <v>40</v>
      </c>
      <c r="M13" s="1">
        <v>0.95</v>
      </c>
      <c r="R13" s="1" t="s">
        <v>262</v>
      </c>
      <c r="S13" s="1" t="s">
        <v>159</v>
      </c>
      <c r="T13" s="1" t="str">
        <f t="shared" si="2"/>
        <v>1~1.2</v>
      </c>
      <c r="U13" s="6">
        <v>1.2</v>
      </c>
      <c r="V13" s="6">
        <f t="shared" si="3"/>
        <v>0.83333333333333326</v>
      </c>
      <c r="W13" s="6">
        <f t="shared" si="4"/>
        <v>6</v>
      </c>
      <c r="X13" s="6">
        <f t="shared" si="5"/>
        <v>83.333333333333329</v>
      </c>
      <c r="Y13" s="6" t="str">
        <f t="shared" si="6"/>
        <v>7.5~25</v>
      </c>
      <c r="Z13" s="6">
        <v>22.5</v>
      </c>
      <c r="AA13" s="1">
        <f t="shared" si="7"/>
        <v>0.9</v>
      </c>
      <c r="AB13" s="1" t="str">
        <f t="shared" si="8"/>
        <v>饼干4</v>
      </c>
      <c r="AC13" s="1" t="str">
        <f t="shared" si="9"/>
        <v>伤害</v>
      </c>
      <c r="AD13" s="26">
        <f t="shared" si="10"/>
        <v>0.81818181818181823</v>
      </c>
      <c r="AE13" s="26">
        <f t="shared" si="11"/>
        <v>1.3513513513513513</v>
      </c>
      <c r="AF13" s="26">
        <f t="shared" si="12"/>
        <v>3.9705882352941173</v>
      </c>
      <c r="AG13" s="26">
        <f t="shared" si="13"/>
        <v>1</v>
      </c>
      <c r="AH13" s="26">
        <f t="shared" si="1"/>
        <v>1</v>
      </c>
      <c r="AI13" s="26">
        <f t="shared" si="1"/>
        <v>1.1000000000000001</v>
      </c>
      <c r="AJ13" s="1">
        <f t="shared" si="14"/>
        <v>0.9</v>
      </c>
    </row>
    <row r="14" spans="1:36" ht="14.25" customHeight="1" x14ac:dyDescent="0.2">
      <c r="C14" s="19" t="s">
        <v>107</v>
      </c>
      <c r="D14" s="1" t="s">
        <v>101</v>
      </c>
      <c r="E14" s="1" t="s">
        <v>4</v>
      </c>
      <c r="F14" s="6">
        <f t="shared" si="0"/>
        <v>10</v>
      </c>
      <c r="G14" s="6">
        <f t="shared" si="0"/>
        <v>40</v>
      </c>
      <c r="H14" s="6">
        <f t="shared" si="15"/>
        <v>400</v>
      </c>
      <c r="I14" s="6">
        <v>0.95</v>
      </c>
      <c r="J14" s="6">
        <f t="shared" si="16"/>
        <v>1.0526315789473686</v>
      </c>
      <c r="K14" s="6">
        <f t="shared" si="17"/>
        <v>9.5</v>
      </c>
      <c r="L14" s="6">
        <f t="shared" si="18"/>
        <v>42.10526315789474</v>
      </c>
      <c r="M14" s="1">
        <v>0.9</v>
      </c>
      <c r="R14" s="1" t="s">
        <v>263</v>
      </c>
      <c r="S14" s="1" t="s">
        <v>160</v>
      </c>
      <c r="T14" s="1" t="str">
        <f t="shared" si="2"/>
        <v>1~1.05</v>
      </c>
      <c r="U14" s="6">
        <v>1.05</v>
      </c>
      <c r="V14" s="6">
        <f t="shared" si="3"/>
        <v>0.95238095238095233</v>
      </c>
      <c r="W14" s="6">
        <f t="shared" si="4"/>
        <v>10.5</v>
      </c>
      <c r="X14" s="6">
        <f t="shared" si="5"/>
        <v>38.095238095238095</v>
      </c>
      <c r="Y14" s="6" t="str">
        <f t="shared" si="6"/>
        <v>2~10</v>
      </c>
      <c r="Z14" s="6">
        <v>5</v>
      </c>
      <c r="AA14" s="1">
        <f t="shared" si="7"/>
        <v>0.8</v>
      </c>
      <c r="AB14" s="1" t="str">
        <f t="shared" si="8"/>
        <v>饼干5</v>
      </c>
      <c r="AC14" s="1" t="str">
        <f t="shared" si="9"/>
        <v>伤害</v>
      </c>
      <c r="AD14" s="26">
        <f t="shared" si="10"/>
        <v>1.4318181818181819</v>
      </c>
      <c r="AE14" s="26">
        <f t="shared" si="11"/>
        <v>0.61776061776061775</v>
      </c>
      <c r="AF14" s="26">
        <f t="shared" si="12"/>
        <v>0.88235294117647056</v>
      </c>
      <c r="AG14" s="26">
        <f t="shared" si="13"/>
        <v>1</v>
      </c>
      <c r="AH14" s="26">
        <f t="shared" si="1"/>
        <v>1</v>
      </c>
      <c r="AI14" s="26">
        <f t="shared" si="1"/>
        <v>0.8</v>
      </c>
      <c r="AJ14" s="1">
        <f t="shared" si="14"/>
        <v>0.8</v>
      </c>
    </row>
    <row r="15" spans="1:36" ht="14.25" customHeight="1" x14ac:dyDescent="0.2">
      <c r="C15" s="19" t="s">
        <v>108</v>
      </c>
      <c r="D15" s="1" t="s">
        <v>102</v>
      </c>
      <c r="E15" s="1" t="s">
        <v>5</v>
      </c>
      <c r="F15" s="6">
        <f t="shared" si="0"/>
        <v>4</v>
      </c>
      <c r="G15" s="6">
        <f t="shared" si="0"/>
        <v>50</v>
      </c>
      <c r="H15" s="6">
        <f t="shared" si="15"/>
        <v>200</v>
      </c>
      <c r="I15" s="6">
        <v>0.9</v>
      </c>
      <c r="J15" s="6">
        <f t="shared" si="16"/>
        <v>1.1111111111111112</v>
      </c>
      <c r="K15" s="6">
        <f t="shared" si="17"/>
        <v>3.6</v>
      </c>
      <c r="L15" s="6">
        <f t="shared" si="18"/>
        <v>55.555555555555557</v>
      </c>
      <c r="M15" s="1">
        <v>1</v>
      </c>
      <c r="R15" s="1" t="s">
        <v>264</v>
      </c>
      <c r="S15" s="1" t="s">
        <v>160</v>
      </c>
      <c r="T15" s="1" t="str">
        <f t="shared" si="2"/>
        <v>1~1.05</v>
      </c>
      <c r="U15" s="6">
        <v>1</v>
      </c>
      <c r="V15" s="6">
        <f t="shared" si="3"/>
        <v>1</v>
      </c>
      <c r="W15" s="6">
        <f t="shared" si="4"/>
        <v>10</v>
      </c>
      <c r="X15" s="6">
        <f t="shared" si="5"/>
        <v>40</v>
      </c>
      <c r="Y15" s="6" t="str">
        <f t="shared" si="6"/>
        <v>2~10</v>
      </c>
      <c r="Z15" s="6">
        <v>7.5</v>
      </c>
      <c r="AA15" s="1">
        <f t="shared" si="7"/>
        <v>0.8</v>
      </c>
      <c r="AB15" s="1" t="str">
        <f t="shared" si="8"/>
        <v>饼干6</v>
      </c>
      <c r="AC15" s="1" t="str">
        <f t="shared" si="9"/>
        <v>伤害</v>
      </c>
      <c r="AD15" s="26">
        <f t="shared" si="10"/>
        <v>1.3636363636363638</v>
      </c>
      <c r="AE15" s="26">
        <f t="shared" si="11"/>
        <v>0.64864864864864868</v>
      </c>
      <c r="AF15" s="26">
        <f t="shared" si="12"/>
        <v>1.3235294117647058</v>
      </c>
      <c r="AG15" s="26">
        <f t="shared" si="13"/>
        <v>1</v>
      </c>
      <c r="AH15" s="26">
        <f t="shared" si="1"/>
        <v>1</v>
      </c>
      <c r="AI15" s="26">
        <f t="shared" si="1"/>
        <v>0.8</v>
      </c>
      <c r="AJ15" s="1">
        <f t="shared" si="14"/>
        <v>0.8</v>
      </c>
    </row>
    <row r="16" spans="1:36" ht="14.25" customHeight="1" x14ac:dyDescent="0.2">
      <c r="F16" s="6">
        <f>AVERAGE(F10:F15)</f>
        <v>7.333333333333333</v>
      </c>
      <c r="G16" s="6">
        <f>AVERAGE(G10:G15)</f>
        <v>61.666666666666664</v>
      </c>
      <c r="H16" s="6">
        <f>AVERAGE(G19:G24)</f>
        <v>5.666666666666667</v>
      </c>
      <c r="K16" s="23"/>
      <c r="L16" s="23"/>
      <c r="R16" s="1" t="s">
        <v>265</v>
      </c>
      <c r="S16" s="1" t="s">
        <v>161</v>
      </c>
      <c r="T16" s="1" t="str">
        <f t="shared" si="2"/>
        <v>0.95~1</v>
      </c>
      <c r="U16" s="6">
        <v>0.96</v>
      </c>
      <c r="V16" s="6">
        <f t="shared" si="3"/>
        <v>1.0416666666666667</v>
      </c>
      <c r="W16" s="6">
        <f t="shared" si="4"/>
        <v>9.6</v>
      </c>
      <c r="X16" s="6">
        <f t="shared" si="5"/>
        <v>41.666666666666671</v>
      </c>
      <c r="Y16" s="6" t="str">
        <f t="shared" si="6"/>
        <v>4~7.5</v>
      </c>
      <c r="Z16" s="6">
        <v>5</v>
      </c>
      <c r="AA16" s="1">
        <f t="shared" si="7"/>
        <v>0.8</v>
      </c>
      <c r="AB16" s="1" t="str">
        <f t="shared" si="8"/>
        <v>饼干7</v>
      </c>
      <c r="AC16" s="1" t="str">
        <f t="shared" si="9"/>
        <v>伤害</v>
      </c>
      <c r="AD16" s="26">
        <f t="shared" si="10"/>
        <v>1.3090909090909091</v>
      </c>
      <c r="AE16" s="26">
        <f t="shared" si="11"/>
        <v>0.67567567567567577</v>
      </c>
      <c r="AF16" s="26">
        <f t="shared" si="12"/>
        <v>0.88235294117647056</v>
      </c>
      <c r="AG16" s="26">
        <f t="shared" si="13"/>
        <v>1</v>
      </c>
      <c r="AH16" s="26">
        <f t="shared" si="1"/>
        <v>1</v>
      </c>
      <c r="AI16" s="26">
        <f t="shared" si="1"/>
        <v>1</v>
      </c>
      <c r="AJ16" s="1">
        <f t="shared" si="14"/>
        <v>0.8</v>
      </c>
    </row>
    <row r="17" spans="3:36" ht="14.25" customHeight="1" x14ac:dyDescent="0.2">
      <c r="C17" s="3" t="s">
        <v>115</v>
      </c>
      <c r="G17" s="6">
        <v>100000</v>
      </c>
      <c r="H17" s="6"/>
      <c r="L17" s="1">
        <f>战斗公式!E39</f>
        <v>25</v>
      </c>
      <c r="M17" s="1">
        <f>战斗公式!E41</f>
        <v>1</v>
      </c>
      <c r="R17" s="1" t="s">
        <v>266</v>
      </c>
      <c r="S17" s="1" t="s">
        <v>161</v>
      </c>
      <c r="T17" s="1" t="str">
        <f t="shared" si="2"/>
        <v>0.95~1</v>
      </c>
      <c r="U17" s="6">
        <v>0.98</v>
      </c>
      <c r="V17" s="6">
        <f t="shared" si="3"/>
        <v>1.0204081632653061</v>
      </c>
      <c r="W17" s="6">
        <f t="shared" si="4"/>
        <v>9.8000000000000007</v>
      </c>
      <c r="X17" s="6">
        <f t="shared" si="5"/>
        <v>40.816326530612244</v>
      </c>
      <c r="Y17" s="6" t="str">
        <f t="shared" si="6"/>
        <v>4~7.5</v>
      </c>
      <c r="Z17" s="6">
        <v>6</v>
      </c>
      <c r="AA17" s="1">
        <f t="shared" si="7"/>
        <v>0.8</v>
      </c>
      <c r="AB17" s="1" t="str">
        <f t="shared" si="8"/>
        <v>饼干8</v>
      </c>
      <c r="AC17" s="1" t="str">
        <f t="shared" si="9"/>
        <v>伤害</v>
      </c>
      <c r="AD17" s="26">
        <f t="shared" si="10"/>
        <v>1.3363636363636364</v>
      </c>
      <c r="AE17" s="26">
        <f t="shared" si="11"/>
        <v>0.66188637617209045</v>
      </c>
      <c r="AF17" s="26">
        <f t="shared" si="12"/>
        <v>1.0588235294117647</v>
      </c>
      <c r="AG17" s="26">
        <f t="shared" si="13"/>
        <v>1</v>
      </c>
      <c r="AH17" s="26">
        <f t="shared" si="1"/>
        <v>1</v>
      </c>
      <c r="AI17" s="26">
        <f t="shared" si="1"/>
        <v>1</v>
      </c>
      <c r="AJ17" s="1">
        <f t="shared" si="14"/>
        <v>0.8</v>
      </c>
    </row>
    <row r="18" spans="3:36" s="3" customFormat="1" ht="14.25" customHeight="1" x14ac:dyDescent="0.2">
      <c r="D18" s="3" t="s">
        <v>92</v>
      </c>
      <c r="E18" s="3" t="s">
        <v>93</v>
      </c>
      <c r="F18" s="3" t="s">
        <v>34</v>
      </c>
      <c r="G18" s="25" t="s">
        <v>35</v>
      </c>
      <c r="H18" s="3" t="s">
        <v>36</v>
      </c>
      <c r="I18" s="25" t="s">
        <v>37</v>
      </c>
      <c r="J18" s="25" t="s">
        <v>89</v>
      </c>
      <c r="K18" s="25" t="s">
        <v>13</v>
      </c>
      <c r="L18" s="3" t="s">
        <v>109</v>
      </c>
      <c r="M18" s="3" t="s">
        <v>110</v>
      </c>
      <c r="N18" s="31">
        <f>MAX(N19:N23)/MIN(N19:N23)</f>
        <v>1.0986221899927484</v>
      </c>
      <c r="O18" s="25" t="s">
        <v>166</v>
      </c>
      <c r="R18" s="1" t="s">
        <v>267</v>
      </c>
      <c r="S18" s="1" t="s">
        <v>162</v>
      </c>
      <c r="T18" s="1" t="str">
        <f t="shared" si="2"/>
        <v>0.9~0.95</v>
      </c>
      <c r="U18" s="6">
        <v>0.94</v>
      </c>
      <c r="V18" s="6">
        <f t="shared" si="3"/>
        <v>1.0638297872340428</v>
      </c>
      <c r="W18" s="6">
        <f t="shared" si="4"/>
        <v>9.3999999999999986</v>
      </c>
      <c r="X18" s="6">
        <f t="shared" si="5"/>
        <v>42.553191489361708</v>
      </c>
      <c r="Y18" s="6" t="str">
        <f t="shared" si="6"/>
        <v>5~15</v>
      </c>
      <c r="Z18" s="6">
        <v>7</v>
      </c>
      <c r="AA18" s="1">
        <f t="shared" si="7"/>
        <v>0.8</v>
      </c>
      <c r="AB18" s="1" t="str">
        <f t="shared" si="8"/>
        <v>饼干9</v>
      </c>
      <c r="AC18" s="1" t="str">
        <f t="shared" si="9"/>
        <v>伤害</v>
      </c>
      <c r="AD18" s="26">
        <f t="shared" si="10"/>
        <v>1.2818181818181817</v>
      </c>
      <c r="AE18" s="26">
        <f t="shared" si="11"/>
        <v>0.69005175388154127</v>
      </c>
      <c r="AF18" s="26">
        <f t="shared" si="12"/>
        <v>1.2352941176470587</v>
      </c>
      <c r="AG18" s="26">
        <f t="shared" si="13"/>
        <v>1</v>
      </c>
      <c r="AH18" s="26">
        <f t="shared" si="1"/>
        <v>1</v>
      </c>
      <c r="AI18" s="26">
        <f t="shared" si="1"/>
        <v>0.9</v>
      </c>
      <c r="AJ18" s="1">
        <f t="shared" si="14"/>
        <v>0.8</v>
      </c>
    </row>
    <row r="19" spans="3:36" ht="14.25" customHeight="1" x14ac:dyDescent="0.2">
      <c r="D19" s="1" t="s">
        <v>71</v>
      </c>
      <c r="E19" s="1" t="s">
        <v>3</v>
      </c>
      <c r="F19" s="6">
        <f>K10/K19/(1+I19*(J19-1))</f>
        <v>3.75</v>
      </c>
      <c r="G19" s="1">
        <v>11.5</v>
      </c>
      <c r="H19" s="6">
        <f>L10/(G19/$G$17+1)</f>
        <v>111.0983348026088</v>
      </c>
      <c r="I19" s="20">
        <v>0.4</v>
      </c>
      <c r="J19" s="20">
        <v>1.5</v>
      </c>
      <c r="K19" s="1">
        <v>1</v>
      </c>
      <c r="L19" s="6">
        <f>F19*$L$17*(1+I19*(J19-1))*K19</f>
        <v>112.5</v>
      </c>
      <c r="M19" s="6">
        <f>H19*$M$17*(1+G19*战斗公式!$E$40)+$M$17*基础模型!$G$17*$L$17</f>
        <v>161.11111111111111</v>
      </c>
      <c r="N19" s="22">
        <f>L19+M19</f>
        <v>273.61111111111109</v>
      </c>
      <c r="O19" s="1">
        <v>25</v>
      </c>
      <c r="P19" s="21"/>
      <c r="R19" s="1" t="s">
        <v>268</v>
      </c>
      <c r="S19" s="1" t="s">
        <v>162</v>
      </c>
      <c r="T19" s="1" t="str">
        <f t="shared" si="2"/>
        <v>0.9~0.95</v>
      </c>
      <c r="U19" s="6">
        <v>0.9</v>
      </c>
      <c r="V19" s="6">
        <f t="shared" si="3"/>
        <v>1.1111111111111112</v>
      </c>
      <c r="W19" s="6">
        <f t="shared" si="4"/>
        <v>9</v>
      </c>
      <c r="X19" s="6">
        <f t="shared" si="5"/>
        <v>44.444444444444443</v>
      </c>
      <c r="Y19" s="6" t="str">
        <f t="shared" si="6"/>
        <v>5~15</v>
      </c>
      <c r="Z19" s="6">
        <v>10</v>
      </c>
      <c r="AA19" s="1">
        <f t="shared" si="7"/>
        <v>0.8</v>
      </c>
      <c r="AB19" s="1" t="str">
        <f t="shared" si="8"/>
        <v>饼干10</v>
      </c>
      <c r="AC19" s="1" t="str">
        <f t="shared" si="9"/>
        <v>伤害</v>
      </c>
      <c r="AD19" s="26">
        <f t="shared" si="10"/>
        <v>1.2272727272727273</v>
      </c>
      <c r="AE19" s="26">
        <f t="shared" si="11"/>
        <v>0.72072072072072069</v>
      </c>
      <c r="AF19" s="26">
        <f t="shared" si="12"/>
        <v>1.7647058823529411</v>
      </c>
      <c r="AG19" s="26">
        <f t="shared" si="13"/>
        <v>1</v>
      </c>
      <c r="AH19" s="26">
        <f t="shared" si="1"/>
        <v>1</v>
      </c>
      <c r="AI19" s="26">
        <f t="shared" si="1"/>
        <v>0.9</v>
      </c>
      <c r="AJ19" s="1">
        <f t="shared" si="14"/>
        <v>0.8</v>
      </c>
    </row>
    <row r="20" spans="3:36" ht="14.25" customHeight="1" x14ac:dyDescent="0.2">
      <c r="D20" s="1" t="s">
        <v>94</v>
      </c>
      <c r="E20" s="1" t="s">
        <v>3</v>
      </c>
      <c r="F20" s="6">
        <f t="shared" ref="F20:F24" si="19">K11/K20/(1+I20*(J20-1))</f>
        <v>4.545454545454545</v>
      </c>
      <c r="G20" s="1">
        <v>7.5</v>
      </c>
      <c r="H20" s="6">
        <f t="shared" ref="H20:H24" si="20">L11/(G20/$G$17+1)</f>
        <v>83.327083802048165</v>
      </c>
      <c r="I20" s="20">
        <v>0.4</v>
      </c>
      <c r="J20" s="20">
        <v>1.5</v>
      </c>
      <c r="K20" s="1">
        <v>1.1000000000000001</v>
      </c>
      <c r="L20" s="6">
        <f t="shared" ref="L20:L23" si="21">F20*$L$17*(1+I20*(J20-1))*K20</f>
        <v>150</v>
      </c>
      <c r="M20" s="6">
        <f>H20*$M$17*(1+G20*战斗公式!$E$40)+$M$17*基础模型!$G$17*$L$17</f>
        <v>133.33333333333331</v>
      </c>
      <c r="N20" s="22">
        <f t="shared" ref="N20:N23" si="22">L20+M20</f>
        <v>283.33333333333331</v>
      </c>
      <c r="O20" s="1">
        <v>25</v>
      </c>
      <c r="P20" s="21"/>
      <c r="R20" s="1" t="s">
        <v>269</v>
      </c>
      <c r="S20" s="1" t="s">
        <v>163</v>
      </c>
      <c r="T20" s="1" t="str">
        <f t="shared" si="2"/>
        <v>0.9~1</v>
      </c>
      <c r="U20" s="6">
        <v>0.9</v>
      </c>
      <c r="V20" s="6">
        <f t="shared" si="3"/>
        <v>1.1111111111111112</v>
      </c>
      <c r="W20" s="6">
        <f t="shared" si="4"/>
        <v>3.6</v>
      </c>
      <c r="X20" s="6">
        <f t="shared" si="5"/>
        <v>55.555555555555557</v>
      </c>
      <c r="Y20" s="6" t="str">
        <f t="shared" si="6"/>
        <v>4~15</v>
      </c>
      <c r="Z20" s="6">
        <v>8</v>
      </c>
      <c r="AA20" s="1">
        <f t="shared" si="7"/>
        <v>0.9</v>
      </c>
      <c r="AB20" s="1" t="str">
        <f t="shared" si="8"/>
        <v>饼干11</v>
      </c>
      <c r="AC20" s="1" t="str">
        <f t="shared" si="9"/>
        <v>无</v>
      </c>
      <c r="AD20" s="26">
        <f t="shared" si="10"/>
        <v>0.49090909090909096</v>
      </c>
      <c r="AE20" s="26">
        <f t="shared" si="11"/>
        <v>0.90090090090090091</v>
      </c>
      <c r="AF20" s="26">
        <f t="shared" si="12"/>
        <v>1.4117647058823528</v>
      </c>
      <c r="AG20" s="26">
        <f t="shared" si="13"/>
        <v>1</v>
      </c>
      <c r="AH20" s="26">
        <f t="shared" si="1"/>
        <v>1</v>
      </c>
      <c r="AI20" s="26">
        <f t="shared" si="1"/>
        <v>1</v>
      </c>
      <c r="AJ20" s="1">
        <f t="shared" si="14"/>
        <v>0.9</v>
      </c>
    </row>
    <row r="21" spans="3:36" ht="14.25" customHeight="1" x14ac:dyDescent="0.2">
      <c r="D21" s="1" t="s">
        <v>99</v>
      </c>
      <c r="E21" s="1" t="s">
        <v>4</v>
      </c>
      <c r="F21" s="6">
        <f t="shared" si="19"/>
        <v>10.9375</v>
      </c>
      <c r="G21" s="1">
        <v>2</v>
      </c>
      <c r="H21" s="6">
        <f t="shared" si="20"/>
        <v>38.094476205713981</v>
      </c>
      <c r="I21" s="20">
        <v>0.4</v>
      </c>
      <c r="J21" s="20">
        <v>1.5</v>
      </c>
      <c r="K21" s="1">
        <v>0.8</v>
      </c>
      <c r="L21" s="6">
        <f>F21*$L$17*(1+I21*(J21-1))*K21</f>
        <v>262.5</v>
      </c>
      <c r="M21" s="6">
        <f>H21*$M$17*(1+G21*战斗公式!$E$40)</f>
        <v>38.095238095238095</v>
      </c>
      <c r="N21" s="22">
        <f>L21+M21</f>
        <v>300.59523809523807</v>
      </c>
      <c r="O21" s="1">
        <v>10</v>
      </c>
      <c r="P21" s="21"/>
      <c r="R21" s="1" t="s">
        <v>270</v>
      </c>
      <c r="S21" s="1" t="s">
        <v>163</v>
      </c>
      <c r="T21" s="1" t="str">
        <f t="shared" si="2"/>
        <v>0.9~1</v>
      </c>
      <c r="U21" s="6">
        <v>1</v>
      </c>
      <c r="V21" s="6">
        <f t="shared" si="3"/>
        <v>1</v>
      </c>
      <c r="W21" s="6">
        <f t="shared" si="4"/>
        <v>4</v>
      </c>
      <c r="X21" s="6">
        <f t="shared" si="5"/>
        <v>50</v>
      </c>
      <c r="Y21" s="6" t="str">
        <f t="shared" si="6"/>
        <v>4~15</v>
      </c>
      <c r="Z21" s="6">
        <v>10</v>
      </c>
      <c r="AA21" s="1">
        <f t="shared" si="7"/>
        <v>0.9</v>
      </c>
      <c r="AB21" s="1" t="str">
        <f t="shared" si="8"/>
        <v>饼干12</v>
      </c>
      <c r="AC21" s="1" t="str">
        <f t="shared" si="9"/>
        <v>无</v>
      </c>
      <c r="AD21" s="26">
        <f t="shared" si="10"/>
        <v>0.54545454545454553</v>
      </c>
      <c r="AE21" s="26">
        <f t="shared" si="11"/>
        <v>0.81081081081081086</v>
      </c>
      <c r="AF21" s="26">
        <f t="shared" si="12"/>
        <v>1.7647058823529411</v>
      </c>
      <c r="AG21" s="26">
        <f t="shared" si="13"/>
        <v>1</v>
      </c>
      <c r="AH21" s="26">
        <f t="shared" si="1"/>
        <v>1</v>
      </c>
      <c r="AI21" s="26">
        <f t="shared" si="1"/>
        <v>1</v>
      </c>
      <c r="AJ21" s="1">
        <f t="shared" si="14"/>
        <v>0.9</v>
      </c>
    </row>
    <row r="22" spans="3:36" ht="14.25" customHeight="1" x14ac:dyDescent="0.2">
      <c r="D22" s="1" t="s">
        <v>100</v>
      </c>
      <c r="E22" s="1" t="s">
        <v>4</v>
      </c>
      <c r="F22" s="6">
        <f t="shared" si="19"/>
        <v>8.3333333333333339</v>
      </c>
      <c r="G22" s="1">
        <v>4</v>
      </c>
      <c r="H22" s="6">
        <f t="shared" si="20"/>
        <v>39.998400063997437</v>
      </c>
      <c r="I22" s="20">
        <v>0.4</v>
      </c>
      <c r="J22" s="20">
        <v>1.5</v>
      </c>
      <c r="K22" s="1">
        <v>1</v>
      </c>
      <c r="L22" s="6">
        <f t="shared" si="21"/>
        <v>250</v>
      </c>
      <c r="M22" s="6">
        <f>H22*$M$17*(1+G22*战斗公式!$E$40)</f>
        <v>40</v>
      </c>
      <c r="N22" s="22">
        <f>L22+M22</f>
        <v>290</v>
      </c>
      <c r="O22" s="1">
        <v>7.5</v>
      </c>
      <c r="P22" s="21"/>
    </row>
    <row r="23" spans="3:36" ht="14.25" customHeight="1" x14ac:dyDescent="0.2">
      <c r="D23" s="1" t="s">
        <v>101</v>
      </c>
      <c r="E23" s="1" t="s">
        <v>4</v>
      </c>
      <c r="F23" s="6">
        <f t="shared" si="19"/>
        <v>8.7962962962962958</v>
      </c>
      <c r="G23" s="1">
        <v>5</v>
      </c>
      <c r="H23" s="6">
        <f t="shared" si="20"/>
        <v>42.103157999994735</v>
      </c>
      <c r="I23" s="20">
        <v>0.4</v>
      </c>
      <c r="J23" s="20">
        <v>1.5</v>
      </c>
      <c r="K23" s="1">
        <v>0.9</v>
      </c>
      <c r="L23" s="6">
        <f t="shared" si="21"/>
        <v>237.49999999999997</v>
      </c>
      <c r="M23" s="6">
        <f>H23*$M$17*(1+G23*战斗公式!$E$40)</f>
        <v>42.10526315789474</v>
      </c>
      <c r="N23" s="22">
        <f t="shared" si="22"/>
        <v>279.60526315789468</v>
      </c>
      <c r="O23" s="1">
        <v>15</v>
      </c>
      <c r="P23" s="21"/>
    </row>
    <row r="24" spans="3:36" ht="14.25" customHeight="1" x14ac:dyDescent="0.2">
      <c r="D24" s="1" t="s">
        <v>102</v>
      </c>
      <c r="E24" s="1" t="s">
        <v>5</v>
      </c>
      <c r="F24" s="6">
        <f t="shared" si="19"/>
        <v>3</v>
      </c>
      <c r="G24" s="1">
        <v>4</v>
      </c>
      <c r="H24" s="6">
        <f t="shared" si="20"/>
        <v>55.553333422218664</v>
      </c>
      <c r="I24" s="20">
        <v>0.4</v>
      </c>
      <c r="J24" s="20">
        <v>1.5</v>
      </c>
      <c r="K24" s="1">
        <v>1</v>
      </c>
      <c r="L24" s="6">
        <f>F24*$L$17*(1+I24*(J24-1))*K24</f>
        <v>90</v>
      </c>
      <c r="M24" s="6">
        <f>H24*$M$17*(1+G24*战斗公式!$E$40)+$M$17*基础模型!$G$13*$L$17</f>
        <v>205.55555555555554</v>
      </c>
      <c r="N24" s="22">
        <f>L24+M24</f>
        <v>295.55555555555554</v>
      </c>
      <c r="O24" s="1">
        <v>15</v>
      </c>
      <c r="P24" s="21"/>
    </row>
    <row r="26" spans="3:36" ht="14.25" customHeight="1" x14ac:dyDescent="0.2">
      <c r="C26" s="3" t="s">
        <v>144</v>
      </c>
      <c r="E26" s="20"/>
      <c r="F26" s="1" t="s">
        <v>149</v>
      </c>
      <c r="G26" s="6">
        <f>F16</f>
        <v>7.333333333333333</v>
      </c>
      <c r="H26" s="6">
        <f>G16</f>
        <v>61.666666666666664</v>
      </c>
      <c r="I26" s="6">
        <f>H16</f>
        <v>5.666666666666667</v>
      </c>
      <c r="J26" s="35">
        <v>0.4</v>
      </c>
      <c r="K26" s="35">
        <v>1.5</v>
      </c>
      <c r="L26" s="18">
        <v>1</v>
      </c>
    </row>
    <row r="27" spans="3:36" ht="14.25" customHeight="1" x14ac:dyDescent="0.2">
      <c r="D27" s="3" t="s">
        <v>92</v>
      </c>
      <c r="E27" s="3" t="s">
        <v>93</v>
      </c>
      <c r="F27" s="3" t="s">
        <v>152</v>
      </c>
      <c r="G27" s="3" t="s">
        <v>15</v>
      </c>
      <c r="H27" s="3" t="s">
        <v>16</v>
      </c>
      <c r="I27" s="3" t="s">
        <v>145</v>
      </c>
      <c r="J27" s="3" t="s">
        <v>146</v>
      </c>
      <c r="K27" s="3" t="s">
        <v>147</v>
      </c>
      <c r="L27" s="3" t="s">
        <v>148</v>
      </c>
      <c r="M27" s="25" t="s">
        <v>176</v>
      </c>
      <c r="N27" s="1">
        <v>60</v>
      </c>
      <c r="O27" s="1">
        <f>N27/2.6</f>
        <v>23.076923076923077</v>
      </c>
    </row>
    <row r="28" spans="3:36" ht="14.25" customHeight="1" x14ac:dyDescent="0.2">
      <c r="D28" s="1" t="s">
        <v>71</v>
      </c>
      <c r="E28" s="1" t="s">
        <v>3</v>
      </c>
      <c r="F28" s="1" t="s">
        <v>16</v>
      </c>
      <c r="G28" s="6">
        <f>K10/G$26</f>
        <v>0.61363636363636365</v>
      </c>
      <c r="H28" s="6">
        <f t="shared" ref="G28:H33" si="23">L10/H$26</f>
        <v>1.8018018018018018</v>
      </c>
      <c r="I28" s="6">
        <f>G19/I$26</f>
        <v>2.0294117647058822</v>
      </c>
      <c r="J28" s="6">
        <f>0.05/J$26</f>
        <v>0.125</v>
      </c>
      <c r="K28" s="6">
        <f t="shared" ref="K28:L33" si="24">J19/K$26</f>
        <v>1</v>
      </c>
      <c r="L28" s="6">
        <f t="shared" si="24"/>
        <v>1</v>
      </c>
      <c r="M28" s="1">
        <v>0.9</v>
      </c>
      <c r="N28" s="1">
        <v>40</v>
      </c>
      <c r="O28" s="1">
        <f t="shared" ref="O28:O32" si="25">N28/2.6</f>
        <v>15.384615384615383</v>
      </c>
    </row>
    <row r="29" spans="3:36" ht="14.25" customHeight="1" x14ac:dyDescent="0.2">
      <c r="D29" s="1" t="s">
        <v>94</v>
      </c>
      <c r="E29" s="1" t="s">
        <v>3</v>
      </c>
      <c r="F29" s="1" t="s">
        <v>15</v>
      </c>
      <c r="G29" s="6">
        <f t="shared" si="23"/>
        <v>0.81818181818181823</v>
      </c>
      <c r="H29" s="6">
        <f t="shared" si="23"/>
        <v>1.3513513513513513</v>
      </c>
      <c r="I29" s="6">
        <f t="shared" ref="I29:I33" si="26">G20/I$26</f>
        <v>1.3235294117647058</v>
      </c>
      <c r="J29" s="6">
        <f t="shared" ref="J29:J33" si="27">0.05/J$26</f>
        <v>0.125</v>
      </c>
      <c r="K29" s="6">
        <f t="shared" si="24"/>
        <v>1</v>
      </c>
      <c r="L29" s="6">
        <f t="shared" si="24"/>
        <v>1.1000000000000001</v>
      </c>
      <c r="M29" s="1">
        <v>0.9</v>
      </c>
      <c r="N29" s="1">
        <v>10</v>
      </c>
      <c r="O29" s="1">
        <f t="shared" si="25"/>
        <v>3.8461538461538458</v>
      </c>
    </row>
    <row r="30" spans="3:36" ht="14.25" customHeight="1" x14ac:dyDescent="0.2">
      <c r="D30" s="1" t="s">
        <v>99</v>
      </c>
      <c r="E30" s="1" t="s">
        <v>4</v>
      </c>
      <c r="F30" s="1" t="s">
        <v>15</v>
      </c>
      <c r="G30" s="6">
        <f t="shared" si="23"/>
        <v>1.4318181818181819</v>
      </c>
      <c r="H30" s="6">
        <f t="shared" si="23"/>
        <v>0.61776061776061775</v>
      </c>
      <c r="I30" s="6">
        <f t="shared" si="26"/>
        <v>0.3529411764705882</v>
      </c>
      <c r="J30" s="6">
        <f t="shared" si="27"/>
        <v>0.125</v>
      </c>
      <c r="K30" s="6">
        <f t="shared" si="24"/>
        <v>1</v>
      </c>
      <c r="L30" s="6">
        <f t="shared" si="24"/>
        <v>0.8</v>
      </c>
      <c r="M30" s="1">
        <v>0.8</v>
      </c>
      <c r="N30" s="1">
        <v>20</v>
      </c>
      <c r="O30" s="1">
        <f t="shared" si="25"/>
        <v>7.6923076923076916</v>
      </c>
    </row>
    <row r="31" spans="3:36" ht="14.25" customHeight="1" x14ac:dyDescent="0.2">
      <c r="D31" s="1" t="s">
        <v>100</v>
      </c>
      <c r="E31" s="1" t="s">
        <v>4</v>
      </c>
      <c r="F31" s="1" t="s">
        <v>15</v>
      </c>
      <c r="G31" s="6">
        <f t="shared" si="23"/>
        <v>1.3636363636363638</v>
      </c>
      <c r="H31" s="6">
        <f t="shared" si="23"/>
        <v>0.64864864864864868</v>
      </c>
      <c r="I31" s="6">
        <f t="shared" si="26"/>
        <v>0.70588235294117641</v>
      </c>
      <c r="J31" s="6">
        <f t="shared" si="27"/>
        <v>0.125</v>
      </c>
      <c r="K31" s="6">
        <f t="shared" si="24"/>
        <v>1</v>
      </c>
      <c r="L31" s="6">
        <f t="shared" si="24"/>
        <v>1</v>
      </c>
      <c r="M31" s="1">
        <v>0.8</v>
      </c>
      <c r="N31" s="1">
        <v>25</v>
      </c>
      <c r="O31" s="1">
        <f t="shared" si="25"/>
        <v>9.615384615384615</v>
      </c>
    </row>
    <row r="32" spans="3:36" ht="14.25" customHeight="1" x14ac:dyDescent="0.2">
      <c r="D32" s="1" t="s">
        <v>101</v>
      </c>
      <c r="E32" s="1" t="s">
        <v>4</v>
      </c>
      <c r="F32" s="1" t="s">
        <v>15</v>
      </c>
      <c r="G32" s="6">
        <f t="shared" si="23"/>
        <v>1.2954545454545454</v>
      </c>
      <c r="H32" s="6">
        <f t="shared" si="23"/>
        <v>0.68278805120910391</v>
      </c>
      <c r="I32" s="6">
        <f t="shared" si="26"/>
        <v>0.88235294117647056</v>
      </c>
      <c r="J32" s="6">
        <f t="shared" si="27"/>
        <v>0.125</v>
      </c>
      <c r="K32" s="6">
        <f t="shared" si="24"/>
        <v>1</v>
      </c>
      <c r="L32" s="6">
        <f t="shared" si="24"/>
        <v>0.9</v>
      </c>
      <c r="M32" s="1">
        <v>0.8</v>
      </c>
      <c r="N32" s="1">
        <v>20</v>
      </c>
      <c r="O32" s="1">
        <f t="shared" si="25"/>
        <v>7.6923076923076916</v>
      </c>
    </row>
    <row r="33" spans="4:13" ht="14.25" customHeight="1" x14ac:dyDescent="0.2">
      <c r="D33" s="1" t="s">
        <v>102</v>
      </c>
      <c r="E33" s="1" t="s">
        <v>5</v>
      </c>
      <c r="F33" s="1" t="s">
        <v>155</v>
      </c>
      <c r="G33" s="6">
        <f t="shared" si="23"/>
        <v>0.49090909090909096</v>
      </c>
      <c r="H33" s="6">
        <f t="shared" si="23"/>
        <v>0.90090090090090091</v>
      </c>
      <c r="I33" s="6">
        <f t="shared" si="26"/>
        <v>0.70588235294117641</v>
      </c>
      <c r="J33" s="6">
        <f t="shared" si="27"/>
        <v>0.125</v>
      </c>
      <c r="K33" s="6">
        <f t="shared" si="24"/>
        <v>1</v>
      </c>
      <c r="L33" s="6">
        <f t="shared" si="24"/>
        <v>1</v>
      </c>
      <c r="M33" s="1">
        <v>0.9</v>
      </c>
    </row>
  </sheetData>
  <mergeCells count="1">
    <mergeCell ref="A1:B2"/>
  </mergeCells>
  <phoneticPr fontId="1" type="noConversion"/>
  <dataValidations count="2">
    <dataValidation type="custom" allowBlank="1" showInputMessage="1" showErrorMessage="1" error="注意输入范围" sqref="U10:U21" xr:uid="{141FFB9E-5FF5-4BC2-8BA6-7DB30A7C50B7}">
      <formula1>AND(U10&gt;=MIN(VLOOKUP(S10,$D$9:$M$15,6,0),VLOOKUP(S10,$D$9:$M$15,10,0)),U10&lt;=MAX(VLOOKUP(S10,$D$9:$M$15,6,0),VLOOKUP(S10,$D$9:$M$15,10,0)))</formula1>
    </dataValidation>
    <dataValidation type="custom" allowBlank="1" showInputMessage="1" showErrorMessage="1" sqref="Z10:Z21" xr:uid="{1E9F0C07-5CFF-4B55-9C36-83591941CA3B}">
      <formula1>AND(Z10&gt;=MIN(VLOOKUP(S10,$D$18:$O$24,4,0),VLOOKUP(S10,$D$18:$O$24,12,0)),Z10&lt;=MAX(VLOOKUP(S10,$D$18:$O$24,4,0),VLOOKUP(S10,$D$18:$O$24,12,0)))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C0A73-392F-432F-A623-56EEF77FAB61}">
  <sheetPr codeName="Sheet5"/>
  <dimension ref="A1:AM121"/>
  <sheetViews>
    <sheetView workbookViewId="0">
      <pane xSplit="3" ySplit="8" topLeftCell="E9" activePane="bottomRight" state="frozen"/>
      <selection pane="topRight" activeCell="D1" sqref="D1"/>
      <selection pane="bottomLeft" activeCell="A10" sqref="A10"/>
      <selection pane="bottomRight" activeCell="S14" sqref="S14"/>
    </sheetView>
  </sheetViews>
  <sheetFormatPr defaultRowHeight="14.25" customHeight="1" x14ac:dyDescent="0.2"/>
  <cols>
    <col min="1" max="16384" width="9" style="1"/>
  </cols>
  <sheetData>
    <row r="1" spans="1:35" ht="14.25" customHeight="1" x14ac:dyDescent="0.2">
      <c r="A1" s="79" t="s">
        <v>116</v>
      </c>
      <c r="B1" s="80"/>
      <c r="AB1" s="1" t="s">
        <v>158</v>
      </c>
      <c r="AC1" s="1">
        <v>1</v>
      </c>
      <c r="AD1" s="9">
        <v>4612980.6323862216</v>
      </c>
    </row>
    <row r="2" spans="1:35" ht="14.25" customHeight="1" x14ac:dyDescent="0.2">
      <c r="A2" s="81"/>
      <c r="B2" s="82"/>
      <c r="AB2" s="1" t="s">
        <v>158</v>
      </c>
      <c r="AC2" s="1">
        <v>2</v>
      </c>
      <c r="AD2" s="9">
        <v>4508614.5547304247</v>
      </c>
    </row>
    <row r="3" spans="1:35" ht="14.25" customHeight="1" x14ac:dyDescent="0.2">
      <c r="C3" s="3" t="s">
        <v>118</v>
      </c>
      <c r="D3" s="2" t="s">
        <v>191</v>
      </c>
      <c r="AB3" s="1" t="s">
        <v>159</v>
      </c>
      <c r="AC3" s="1">
        <v>3</v>
      </c>
      <c r="AD3" s="9">
        <v>4457380.2984266691</v>
      </c>
    </row>
    <row r="4" spans="1:35" s="3" customFormat="1" ht="14.25" customHeight="1" x14ac:dyDescent="0.2">
      <c r="D4" s="3" t="s">
        <v>69</v>
      </c>
      <c r="E4" s="3" t="s">
        <v>119</v>
      </c>
      <c r="F4" s="3" t="s">
        <v>168</v>
      </c>
      <c r="G4" s="1"/>
      <c r="H4" s="3" t="s">
        <v>169</v>
      </c>
      <c r="I4" s="1"/>
      <c r="J4" s="1"/>
      <c r="K4" s="1"/>
      <c r="L4" s="1"/>
      <c r="M4" s="1"/>
      <c r="N4" s="1"/>
      <c r="O4" s="1"/>
      <c r="AB4" s="1" t="s">
        <v>159</v>
      </c>
      <c r="AC4" s="1">
        <v>4</v>
      </c>
      <c r="AD4" s="9">
        <v>4445994.9081369452</v>
      </c>
    </row>
    <row r="5" spans="1:35" ht="14.25" customHeight="1" x14ac:dyDescent="0.2">
      <c r="D5" s="1" t="s">
        <v>120</v>
      </c>
      <c r="E5" s="1">
        <v>28</v>
      </c>
      <c r="F5" s="24">
        <f>E5/SUM($E$5:$E$8)</f>
        <v>0.28000000000000003</v>
      </c>
      <c r="H5" s="24">
        <f>E5/SUM($E$5:$E$7)</f>
        <v>0.4</v>
      </c>
      <c r="I5" s="20"/>
      <c r="J5" s="20"/>
      <c r="K5" s="20"/>
      <c r="L5" s="20"/>
      <c r="M5" s="20"/>
      <c r="N5" s="20"/>
      <c r="AB5" s="1" t="s">
        <v>160</v>
      </c>
      <c r="AC5" s="1">
        <v>5</v>
      </c>
      <c r="AD5" s="9">
        <v>5449698.3863924081</v>
      </c>
    </row>
    <row r="6" spans="1:35" ht="14.25" customHeight="1" x14ac:dyDescent="0.2">
      <c r="D6" s="1" t="s">
        <v>183</v>
      </c>
      <c r="E6" s="1">
        <v>28</v>
      </c>
      <c r="F6" s="24">
        <f>E6/SUM($E$5:$E$8)</f>
        <v>0.28000000000000003</v>
      </c>
      <c r="G6" s="4">
        <f>F6/F5</f>
        <v>1</v>
      </c>
      <c r="H6" s="24">
        <f t="shared" ref="H6:H7" si="0">E6/SUM($E$5:$E$7)</f>
        <v>0.4</v>
      </c>
      <c r="I6" s="4">
        <f>H6/H5</f>
        <v>1</v>
      </c>
      <c r="J6" s="36"/>
      <c r="K6" s="36"/>
      <c r="AB6" s="1" t="s">
        <v>160</v>
      </c>
      <c r="AC6" s="1">
        <v>6</v>
      </c>
      <c r="AD6" s="9">
        <v>5260050.3138521584</v>
      </c>
    </row>
    <row r="7" spans="1:35" ht="14.25" customHeight="1" x14ac:dyDescent="0.2">
      <c r="D7" s="1" t="s">
        <v>121</v>
      </c>
      <c r="E7" s="1">
        <v>14</v>
      </c>
      <c r="F7" s="24">
        <f>E7/SUM($E$5:$E$8)</f>
        <v>0.14000000000000001</v>
      </c>
      <c r="G7" s="4">
        <f>F7/SUM($F$5:$F$6)</f>
        <v>0.25</v>
      </c>
      <c r="H7" s="24">
        <f t="shared" si="0"/>
        <v>0.2</v>
      </c>
      <c r="I7" s="4">
        <f>H7/SUM($H$5:$H$6)</f>
        <v>0.25</v>
      </c>
      <c r="J7" s="36"/>
      <c r="K7" s="36"/>
      <c r="O7" s="1">
        <v>1.05</v>
      </c>
      <c r="AB7" s="1" t="s">
        <v>161</v>
      </c>
      <c r="AC7" s="1">
        <v>7</v>
      </c>
      <c r="AD7" s="9">
        <v>5111015.5549596818</v>
      </c>
    </row>
    <row r="8" spans="1:35" ht="14.25" customHeight="1" x14ac:dyDescent="0.2">
      <c r="D8" s="1" t="s">
        <v>122</v>
      </c>
      <c r="E8" s="1">
        <v>30</v>
      </c>
      <c r="F8" s="24">
        <f>E8/SUM($E$5:$E$8)</f>
        <v>0.3</v>
      </c>
      <c r="G8" s="4">
        <f>F8/SUM($F$5:$F$6)</f>
        <v>0.5357142857142857</v>
      </c>
      <c r="I8" s="36"/>
      <c r="J8" s="36"/>
      <c r="K8" s="36"/>
      <c r="O8" s="6">
        <f>POWER(O7,99)</f>
        <v>125.23929318695586</v>
      </c>
      <c r="AB8" s="1" t="s">
        <v>161</v>
      </c>
      <c r="AC8" s="1">
        <v>8</v>
      </c>
      <c r="AD8" s="9">
        <v>5185213.446413096</v>
      </c>
    </row>
    <row r="9" spans="1:35" ht="14.25" customHeight="1" x14ac:dyDescent="0.2">
      <c r="D9" s="2"/>
      <c r="AB9" s="1" t="s">
        <v>162</v>
      </c>
      <c r="AC9" s="1">
        <v>9</v>
      </c>
      <c r="AD9" s="9">
        <v>5037497.4251931254</v>
      </c>
    </row>
    <row r="10" spans="1:35" ht="14.25" customHeight="1" x14ac:dyDescent="0.2">
      <c r="E10" s="2" t="s">
        <v>111</v>
      </c>
      <c r="P10" s="26"/>
      <c r="AB10" s="1" t="s">
        <v>162</v>
      </c>
      <c r="AC10" s="1">
        <v>10</v>
      </c>
      <c r="AD10" s="9">
        <v>4892681.7205037549</v>
      </c>
    </row>
    <row r="11" spans="1:35" ht="14.25" customHeight="1" x14ac:dyDescent="0.2">
      <c r="E11" s="2" t="s">
        <v>112</v>
      </c>
      <c r="AB11" s="1" t="s">
        <v>163</v>
      </c>
      <c r="AC11" s="1">
        <v>11</v>
      </c>
      <c r="AD11" s="9">
        <v>3788488.6189054241</v>
      </c>
    </row>
    <row r="12" spans="1:35" ht="14.25" customHeight="1" x14ac:dyDescent="0.2">
      <c r="E12" s="2" t="s">
        <v>113</v>
      </c>
      <c r="K12" s="2" t="s">
        <v>124</v>
      </c>
      <c r="AB12" s="1" t="s">
        <v>163</v>
      </c>
      <c r="AC12" s="1">
        <v>12</v>
      </c>
      <c r="AD12" s="9">
        <v>3945037.7353891199</v>
      </c>
    </row>
    <row r="13" spans="1:35" ht="14.25" customHeight="1" x14ac:dyDescent="0.2">
      <c r="C13" s="3" t="s">
        <v>170</v>
      </c>
      <c r="D13" s="2" t="s">
        <v>199</v>
      </c>
      <c r="E13" s="2"/>
      <c r="L13" s="2"/>
      <c r="R13" s="3" t="s">
        <v>171</v>
      </c>
      <c r="S13" s="1" t="s">
        <v>259</v>
      </c>
      <c r="AD13" s="4">
        <f>MAX(AD1:AD12)/MIN(AD1:AD12)</f>
        <v>1.4384887839433296</v>
      </c>
    </row>
    <row r="14" spans="1:35" ht="14.25" customHeight="1" x14ac:dyDescent="0.2">
      <c r="E14" s="6">
        <f>MAX(E18:E117)/MIN(E18:E117)</f>
        <v>125.23929318695632</v>
      </c>
      <c r="F14" s="6">
        <f t="shared" ref="F14:G14" si="1">MAX(F18:F117)/MIN(F18:F117)</f>
        <v>125.23929318695616</v>
      </c>
      <c r="G14" s="6">
        <f t="shared" si="1"/>
        <v>125.23929318695609</v>
      </c>
      <c r="N14" s="8">
        <f>N16/G18</f>
        <v>17647.058823529413</v>
      </c>
      <c r="O14" s="8">
        <f>N16/O8</f>
        <v>798.47144977671724</v>
      </c>
      <c r="AH14" s="9">
        <f>AH18*0.4</f>
        <v>56.7</v>
      </c>
      <c r="AI14" s="9">
        <f>AI18*1.8</f>
        <v>8096.3855421686767</v>
      </c>
    </row>
    <row r="15" spans="1:35" ht="14.25" customHeight="1" x14ac:dyDescent="0.2">
      <c r="A15" s="1">
        <v>100</v>
      </c>
      <c r="B15" s="1">
        <f t="shared" ref="B15:B16" si="2">VLOOKUP(A15,$D$17:$E$117,2,0)</f>
        <v>918.42148337101298</v>
      </c>
      <c r="C15" s="6">
        <f>B14/B15</f>
        <v>0</v>
      </c>
      <c r="E15" s="6">
        <f>角色设定!F16</f>
        <v>7.333333333333333</v>
      </c>
      <c r="F15" s="6">
        <f>角色设定!G16</f>
        <v>61.666666666666664</v>
      </c>
      <c r="G15" s="6">
        <f>角色设定!H16</f>
        <v>5.666666666666667</v>
      </c>
      <c r="K15" s="1" t="s">
        <v>131</v>
      </c>
      <c r="L15" s="1">
        <v>150</v>
      </c>
      <c r="P15" s="6">
        <f>1-N16/(N16+N117)</f>
        <v>0.51562919097878934</v>
      </c>
      <c r="Q15" s="8">
        <f>L117*(1-P15)</f>
        <v>38924.948730751814</v>
      </c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6"/>
    </row>
    <row r="16" spans="1:35" ht="14.25" customHeight="1" x14ac:dyDescent="0.2">
      <c r="A16" s="1">
        <v>90</v>
      </c>
      <c r="B16" s="1">
        <f t="shared" si="2"/>
        <v>563.83112097802882</v>
      </c>
      <c r="C16" s="6">
        <f>B15/B16</f>
        <v>1.628894626777442</v>
      </c>
      <c r="E16" s="26">
        <v>1.05</v>
      </c>
      <c r="F16" s="26">
        <v>1.05</v>
      </c>
      <c r="G16" s="26">
        <v>1.05</v>
      </c>
      <c r="L16" s="1">
        <v>0.7</v>
      </c>
      <c r="N16" s="1">
        <v>100000</v>
      </c>
      <c r="T16" s="1">
        <f>T18*H5</f>
        <v>202.5</v>
      </c>
      <c r="U16" s="21">
        <f>U18*F5</f>
        <v>4497.9919678714868</v>
      </c>
      <c r="W16" s="20">
        <f>角色设定!J26</f>
        <v>0.4</v>
      </c>
      <c r="X16" s="20">
        <f>角色设定!K26</f>
        <v>1.5</v>
      </c>
      <c r="AE16" s="22">
        <f>AE117</f>
        <v>3989393.3183928356</v>
      </c>
    </row>
    <row r="17" spans="1:39" ht="14.25" customHeight="1" x14ac:dyDescent="0.2">
      <c r="A17" s="1">
        <v>70</v>
      </c>
      <c r="B17" s="1">
        <f>VLOOKUP(A17,$D$17:$E$117,2,0)</f>
        <v>212.50201961311333</v>
      </c>
      <c r="C17" s="6">
        <f t="shared" ref="C17" si="3">B16/B17</f>
        <v>2.6532977051444231</v>
      </c>
      <c r="D17" s="1" t="s">
        <v>172</v>
      </c>
      <c r="E17" s="1" t="s">
        <v>15</v>
      </c>
      <c r="F17" s="1" t="s">
        <v>16</v>
      </c>
      <c r="G17" s="1" t="s">
        <v>35</v>
      </c>
      <c r="H17" s="1" t="s">
        <v>37</v>
      </c>
      <c r="I17" s="1" t="s">
        <v>89</v>
      </c>
      <c r="J17" s="1" t="s">
        <v>13</v>
      </c>
      <c r="L17" s="1" t="s">
        <v>34</v>
      </c>
      <c r="M17" s="1" t="s">
        <v>36</v>
      </c>
      <c r="N17" s="1" t="s">
        <v>35</v>
      </c>
      <c r="O17" s="1" t="s">
        <v>37</v>
      </c>
      <c r="P17" s="1" t="s">
        <v>89</v>
      </c>
      <c r="Q17" s="1" t="s">
        <v>13</v>
      </c>
      <c r="S17" s="1" t="s">
        <v>172</v>
      </c>
      <c r="T17" s="1" t="s">
        <v>173</v>
      </c>
      <c r="U17" s="1" t="s">
        <v>174</v>
      </c>
      <c r="V17" s="1" t="s">
        <v>145</v>
      </c>
      <c r="W17" s="1" t="s">
        <v>146</v>
      </c>
      <c r="X17" s="1" t="s">
        <v>147</v>
      </c>
      <c r="Y17" s="1" t="s">
        <v>148</v>
      </c>
      <c r="Z17" s="1" t="s">
        <v>176</v>
      </c>
      <c r="AE17" s="1" t="s">
        <v>177</v>
      </c>
      <c r="AF17" s="1" t="s">
        <v>178</v>
      </c>
      <c r="AH17" s="1" t="s">
        <v>179</v>
      </c>
      <c r="AI17" s="1" t="s">
        <v>180</v>
      </c>
      <c r="AJ17" s="1" t="s">
        <v>181</v>
      </c>
    </row>
    <row r="18" spans="1:39" ht="14.25" customHeight="1" x14ac:dyDescent="0.2">
      <c r="A18" s="1">
        <v>50</v>
      </c>
      <c r="B18" s="1">
        <f>VLOOKUP(A18,$D$17:$E$117,2,0)</f>
        <v>80.089776281454434</v>
      </c>
      <c r="C18" s="6">
        <f>B17/B18</f>
        <v>2.6532977051444235</v>
      </c>
      <c r="D18" s="1">
        <v>1</v>
      </c>
      <c r="E18" s="6">
        <f>E15</f>
        <v>7.333333333333333</v>
      </c>
      <c r="F18" s="6">
        <f>F15</f>
        <v>61.666666666666664</v>
      </c>
      <c r="G18" s="6">
        <f>G15</f>
        <v>5.666666666666667</v>
      </c>
      <c r="H18" s="6">
        <v>0.4</v>
      </c>
      <c r="I18" s="6">
        <v>1.5</v>
      </c>
      <c r="J18" s="6">
        <v>1</v>
      </c>
      <c r="K18" s="26">
        <f>M19/M18</f>
        <v>1.0495576975493717</v>
      </c>
      <c r="L18" s="6">
        <f>E18*$L$16/J18/(1+H18*(I18-1))*$L$15</f>
        <v>641.66666666666663</v>
      </c>
      <c r="M18" s="6">
        <f>F18/(1+N18/$N$16)*$L$15</f>
        <v>9172.0376797223598</v>
      </c>
      <c r="N18" s="6">
        <f t="shared" ref="N18:N49" si="4">G18*$L$15</f>
        <v>850</v>
      </c>
      <c r="O18" s="6">
        <f t="shared" ref="O18:O49" si="5">H18</f>
        <v>0.4</v>
      </c>
      <c r="P18" s="6">
        <f t="shared" ref="P18:P49" si="6">I18</f>
        <v>1.5</v>
      </c>
      <c r="Q18" s="6">
        <f t="shared" ref="Q18:Q49" si="7">J18</f>
        <v>1</v>
      </c>
      <c r="R18" s="6"/>
      <c r="S18" s="38">
        <v>1</v>
      </c>
      <c r="T18" s="6">
        <f>VLOOKUP($S$13,角色设定!$AB$9:$AJ$21,MATCH(E$17,角色设定!$AB$9:$AJ$9,0),0)*Z18*$L$15*E18/Y18/(1+W18*(X18-1))</f>
        <v>506.25</v>
      </c>
      <c r="U18" s="6">
        <f>VLOOKUP($S$13,角色设定!$AB$9:$AJ$21,MATCH(F$17,角色设定!$AB$9:$AJ$9,0),0)*F18*$L$15/(1+V18/$N$16)</f>
        <v>16064.25702811245</v>
      </c>
      <c r="V18" s="6">
        <f>VLOOKUP($S$13,角色设定!$AB$9:$AJ$21,MATCH(V$17,角色设定!$AB$9:$AJ$9,0),0)*G18*$L$15</f>
        <v>3749.9999999999995</v>
      </c>
      <c r="W18" s="6">
        <f>VLOOKUP($S$13,角色设定!$AB$9:$AJ$21,MATCH(W$17,角色设定!$AB$9:$AJ$9,0),0)*H18</f>
        <v>0.4</v>
      </c>
      <c r="X18" s="6">
        <f>VLOOKUP($S$13,角色设定!$AB$9:$AJ$21,MATCH(X$17,角色设定!$AB$9:$AJ$9,0),0)*I18</f>
        <v>1.5</v>
      </c>
      <c r="Y18" s="6">
        <f>VLOOKUP($S$13,角色设定!$AB$9:$AJ$21,MATCH(Y$17,角色设定!$AB$9:$AJ$9,0),0)*J18</f>
        <v>1</v>
      </c>
      <c r="Z18" s="6">
        <f>VLOOKUP($S$13,角色设定!$AB$9:$AJ$21,MATCH(Z$17,角色设定!$AB$9:$AJ$9,0),0)</f>
        <v>0.9</v>
      </c>
      <c r="AA18" s="6"/>
      <c r="AB18" s="6"/>
      <c r="AC18" s="6">
        <f>T18*战斗公式!$E$39*(1+W18*(X18-1))*Y18</f>
        <v>15187.5</v>
      </c>
      <c r="AD18" s="6">
        <f>U18*战斗公式!$E$41*(1+V18*战斗公式!$E$40)</f>
        <v>16666.666666666668</v>
      </c>
      <c r="AE18" s="22">
        <f>AC18+AD18</f>
        <v>31854.166666666668</v>
      </c>
      <c r="AH18" s="9">
        <f>T18*$F$5</f>
        <v>141.75</v>
      </c>
      <c r="AI18" s="9">
        <f>U18*$F$5</f>
        <v>4497.9919678714868</v>
      </c>
      <c r="AJ18" s="9">
        <f>V18*$F$5</f>
        <v>1050</v>
      </c>
    </row>
    <row r="19" spans="1:39" ht="14.25" customHeight="1" x14ac:dyDescent="0.2">
      <c r="A19" s="1">
        <v>30</v>
      </c>
      <c r="B19" s="1">
        <f>VLOOKUP(A19,$D$17:$E$117,2,0)</f>
        <v>30.184994366131647</v>
      </c>
      <c r="C19" s="6">
        <f>B18/B19</f>
        <v>2.6532977051444231</v>
      </c>
      <c r="D19" s="1">
        <v>2</v>
      </c>
      <c r="E19" s="6">
        <f>E18*E$16</f>
        <v>7.7</v>
      </c>
      <c r="F19" s="6">
        <f t="shared" ref="F19:G19" si="8">F18*F$16</f>
        <v>64.75</v>
      </c>
      <c r="G19" s="6">
        <f t="shared" si="8"/>
        <v>5.95</v>
      </c>
      <c r="H19" s="6">
        <v>0.4</v>
      </c>
      <c r="I19" s="6">
        <v>1.5</v>
      </c>
      <c r="J19" s="6">
        <v>1</v>
      </c>
      <c r="K19" s="26">
        <f t="shared" ref="K19:K82" si="9">M20/M19</f>
        <v>1.0495357877490565</v>
      </c>
      <c r="L19" s="6">
        <f t="shared" ref="L19:L49" si="10">E19*$L$16/J19/(1+H19*(I19-1))*$L$15</f>
        <v>673.74999999999989</v>
      </c>
      <c r="M19" s="6">
        <f t="shared" ref="M19:M49" si="11">F19/(1+N19/$N$16)*$L$15</f>
        <v>9626.5827489654821</v>
      </c>
      <c r="N19" s="6">
        <f t="shared" si="4"/>
        <v>892.5</v>
      </c>
      <c r="O19" s="6">
        <f t="shared" si="5"/>
        <v>0.4</v>
      </c>
      <c r="P19" s="6">
        <f t="shared" si="6"/>
        <v>1.5</v>
      </c>
      <c r="Q19" s="6">
        <f t="shared" si="7"/>
        <v>1</v>
      </c>
      <c r="R19" s="6"/>
      <c r="S19" s="38">
        <v>2</v>
      </c>
      <c r="T19" s="6">
        <f>VLOOKUP($S$13,角色设定!$AB$9:$AJ$21,MATCH(E$17,角色设定!$AB$9:$AJ$9,0),0)*Z19*$L$15*E19/Y19/(1+W19*(X19-1))</f>
        <v>531.5625</v>
      </c>
      <c r="U19" s="6">
        <f>VLOOKUP($S$13,角色设定!$AB$9:$AJ$21,MATCH(F$17,角色设定!$AB$9:$AJ$9,0),0)*F19*$L$15/(1+V19/$N$16)</f>
        <v>16837.041491280819</v>
      </c>
      <c r="V19" s="6">
        <f>VLOOKUP($S$13,角色设定!$AB$9:$AJ$21,MATCH(V$17,角色设定!$AB$9:$AJ$9,0),0)*G19*$L$15</f>
        <v>3937.4999999999995</v>
      </c>
      <c r="W19" s="6">
        <f>VLOOKUP($S$13,角色设定!$AB$9:$AJ$21,MATCH(W$17,角色设定!$AB$9:$AJ$9,0),0)*H19</f>
        <v>0.4</v>
      </c>
      <c r="X19" s="6">
        <f>VLOOKUP($S$13,角色设定!$AB$9:$AJ$21,MATCH(X$17,角色设定!$AB$9:$AJ$9,0),0)*I19</f>
        <v>1.5</v>
      </c>
      <c r="Y19" s="6">
        <f>VLOOKUP($S$13,角色设定!$AB$9:$AJ$21,MATCH(Y$17,角色设定!$AB$9:$AJ$9,0),0)*J19</f>
        <v>1</v>
      </c>
      <c r="Z19" s="6">
        <f>VLOOKUP($S$13,角色设定!$AB$9:$AJ$21,MATCH(Z$17,角色设定!$AB$9:$AJ$9,0),0)</f>
        <v>0.9</v>
      </c>
      <c r="AA19" s="6"/>
      <c r="AB19" s="6"/>
      <c r="AC19" s="6">
        <f>T19*战斗公式!$E$39*(1+W19*(X19-1))*Y19</f>
        <v>15946.875</v>
      </c>
      <c r="AD19" s="6">
        <f>U19*战斗公式!$E$41*(1+V19*战斗公式!$E$40)</f>
        <v>17500</v>
      </c>
      <c r="AE19" s="22">
        <f t="shared" ref="AE19:AE82" si="12">AC19+AD19</f>
        <v>33446.875</v>
      </c>
      <c r="AF19" s="22">
        <f>AE19-AE18</f>
        <v>1592.7083333333321</v>
      </c>
      <c r="AG19" s="22"/>
      <c r="AH19" s="9">
        <f t="shared" ref="AH19:AH82" si="13">T19*$F$5</f>
        <v>148.83750000000001</v>
      </c>
      <c r="AI19" s="9">
        <f t="shared" ref="AI19:AI82" si="14">U19*$F$5</f>
        <v>4714.3716175586296</v>
      </c>
      <c r="AJ19" s="9">
        <f t="shared" ref="AJ19:AJ82" si="15">V19*$F$5</f>
        <v>1102.5</v>
      </c>
      <c r="AK19" s="9">
        <f>AH19-AH18</f>
        <v>7.0875000000000057</v>
      </c>
      <c r="AL19" s="9">
        <f>AI19-AI18</f>
        <v>216.37964968714277</v>
      </c>
      <c r="AM19" s="9">
        <f>AJ19-AJ18</f>
        <v>52.5</v>
      </c>
    </row>
    <row r="20" spans="1:39" ht="14.25" customHeight="1" x14ac:dyDescent="0.2">
      <c r="A20" s="1">
        <v>1</v>
      </c>
      <c r="B20" s="1">
        <f>VLOOKUP(A20,$D$17:$E$117,2,0)</f>
        <v>7.333333333333333</v>
      </c>
      <c r="C20" s="6">
        <f>B19/B20</f>
        <v>4.1161355953815884</v>
      </c>
      <c r="D20" s="1">
        <v>3</v>
      </c>
      <c r="E20" s="6">
        <f t="shared" ref="E20:E83" si="16">E19*E$16</f>
        <v>8.0850000000000009</v>
      </c>
      <c r="F20" s="6">
        <f t="shared" ref="F20:F83" si="17">F19*F$16</f>
        <v>67.987499999999997</v>
      </c>
      <c r="G20" s="6">
        <f t="shared" ref="G20:G83" si="18">G19*G$16</f>
        <v>6.2475000000000005</v>
      </c>
      <c r="H20" s="6">
        <v>0.4</v>
      </c>
      <c r="I20" s="6">
        <v>1.5</v>
      </c>
      <c r="J20" s="6">
        <v>1</v>
      </c>
      <c r="K20" s="26">
        <f t="shared" si="9"/>
        <v>1.0495128032991867</v>
      </c>
      <c r="L20" s="6">
        <f t="shared" si="10"/>
        <v>707.43750000000011</v>
      </c>
      <c r="M20" s="6">
        <f t="shared" si="11"/>
        <v>10103.443108766965</v>
      </c>
      <c r="N20" s="6">
        <f t="shared" si="4"/>
        <v>937.12500000000011</v>
      </c>
      <c r="O20" s="6">
        <f t="shared" si="5"/>
        <v>0.4</v>
      </c>
      <c r="P20" s="6">
        <f t="shared" si="6"/>
        <v>1.5</v>
      </c>
      <c r="Q20" s="6">
        <f t="shared" si="7"/>
        <v>1</v>
      </c>
      <c r="R20" s="6"/>
      <c r="S20" s="38">
        <v>3</v>
      </c>
      <c r="T20" s="6">
        <f>VLOOKUP($S$13,角色设定!$AB$9:$AJ$21,MATCH(E$17,角色设定!$AB$9:$AJ$9,0),0)*Z20*$L$15*E20/Y20/(1+W20*(X20-1))</f>
        <v>558.14062500000011</v>
      </c>
      <c r="U20" s="6">
        <f>VLOOKUP($S$13,角色设定!$AB$9:$AJ$21,MATCH(F$17,角色设定!$AB$9:$AJ$9,0),0)*F20*$L$15/(1+V20/$N$16)</f>
        <v>17645.470095729677</v>
      </c>
      <c r="V20" s="6">
        <f>VLOOKUP($S$13,角色设定!$AB$9:$AJ$21,MATCH(V$17,角色设定!$AB$9:$AJ$9,0),0)*G20*$L$15</f>
        <v>4134.375</v>
      </c>
      <c r="W20" s="6">
        <f>VLOOKUP($S$13,角色设定!$AB$9:$AJ$21,MATCH(W$17,角色设定!$AB$9:$AJ$9,0),0)*H20</f>
        <v>0.4</v>
      </c>
      <c r="X20" s="6">
        <f>VLOOKUP($S$13,角色设定!$AB$9:$AJ$21,MATCH(X$17,角色设定!$AB$9:$AJ$9,0),0)*I20</f>
        <v>1.5</v>
      </c>
      <c r="Y20" s="6">
        <f>VLOOKUP($S$13,角色设定!$AB$9:$AJ$21,MATCH(Y$17,角色设定!$AB$9:$AJ$9,0),0)*J20</f>
        <v>1</v>
      </c>
      <c r="Z20" s="6">
        <f>VLOOKUP($S$13,角色设定!$AB$9:$AJ$21,MATCH(Z$17,角色设定!$AB$9:$AJ$9,0),0)</f>
        <v>0.9</v>
      </c>
      <c r="AA20" s="6"/>
      <c r="AB20" s="6"/>
      <c r="AC20" s="6">
        <f>T20*战斗公式!$E$39*(1+W20*(X20-1))*Y20</f>
        <v>16744.218750000004</v>
      </c>
      <c r="AD20" s="6">
        <f>U20*战斗公式!$E$41*(1+V20*战斗公式!$E$40)</f>
        <v>18375</v>
      </c>
      <c r="AE20" s="22">
        <f t="shared" si="12"/>
        <v>35119.21875</v>
      </c>
      <c r="AF20" s="22">
        <f t="shared" ref="AF20:AF83" si="19">AE20-AE19</f>
        <v>1672.34375</v>
      </c>
      <c r="AG20" s="22"/>
      <c r="AH20" s="9">
        <f t="shared" si="13"/>
        <v>156.27937500000004</v>
      </c>
      <c r="AI20" s="9">
        <f t="shared" si="14"/>
        <v>4940.7316268043105</v>
      </c>
      <c r="AJ20" s="9">
        <f t="shared" si="15"/>
        <v>1157.625</v>
      </c>
      <c r="AK20" s="9">
        <f t="shared" ref="AK20:AK83" si="20">AH20-AH19</f>
        <v>7.4418750000000387</v>
      </c>
      <c r="AL20" s="9">
        <f t="shared" ref="AL20:AL83" si="21">AI20-AI19</f>
        <v>226.36000924568089</v>
      </c>
      <c r="AM20" s="9">
        <f t="shared" ref="AM20:AM83" si="22">AJ20-AJ19</f>
        <v>55.125</v>
      </c>
    </row>
    <row r="21" spans="1:39" ht="14.25" customHeight="1" x14ac:dyDescent="0.2">
      <c r="B21" s="6">
        <f>B18/B19</f>
        <v>2.6532977051444231</v>
      </c>
      <c r="D21" s="1">
        <v>4</v>
      </c>
      <c r="E21" s="6">
        <f t="shared" si="16"/>
        <v>8.489250000000002</v>
      </c>
      <c r="F21" s="6">
        <f t="shared" si="17"/>
        <v>71.386875000000003</v>
      </c>
      <c r="G21" s="6">
        <f t="shared" si="18"/>
        <v>6.5598750000000008</v>
      </c>
      <c r="H21" s="6">
        <v>0.4</v>
      </c>
      <c r="I21" s="6">
        <v>1.5</v>
      </c>
      <c r="J21" s="6">
        <v>1</v>
      </c>
      <c r="K21" s="26">
        <f t="shared" si="9"/>
        <v>1.0494886925714384</v>
      </c>
      <c r="L21" s="6">
        <f t="shared" si="10"/>
        <v>742.80937500000016</v>
      </c>
      <c r="M21" s="6">
        <f t="shared" si="11"/>
        <v>10603.692900055868</v>
      </c>
      <c r="N21" s="6">
        <f t="shared" si="4"/>
        <v>983.98125000000016</v>
      </c>
      <c r="O21" s="6">
        <f t="shared" si="5"/>
        <v>0.4</v>
      </c>
      <c r="P21" s="6">
        <f t="shared" si="6"/>
        <v>1.5</v>
      </c>
      <c r="Q21" s="6">
        <f t="shared" si="7"/>
        <v>1</v>
      </c>
      <c r="R21" s="6"/>
      <c r="S21" s="38">
        <v>4</v>
      </c>
      <c r="T21" s="6">
        <f>VLOOKUP($S$13,角色设定!$AB$9:$AJ$21,MATCH(E$17,角色设定!$AB$9:$AJ$9,0),0)*Z21*$L$15*E21/Y21/(1+W21*(X21-1))</f>
        <v>586.04765625000016</v>
      </c>
      <c r="U21" s="6">
        <f>VLOOKUP($S$13,角色设定!$AB$9:$AJ$21,MATCH(F$17,角色设定!$AB$9:$AJ$9,0),0)*F21*$L$15/(1+V21/$N$16)</f>
        <v>18491.036758947143</v>
      </c>
      <c r="V21" s="6">
        <f>VLOOKUP($S$13,角色设定!$AB$9:$AJ$21,MATCH(V$17,角色设定!$AB$9:$AJ$9,0),0)*G21*$L$15</f>
        <v>4341.09375</v>
      </c>
      <c r="W21" s="6">
        <f>VLOOKUP($S$13,角色设定!$AB$9:$AJ$21,MATCH(W$17,角色设定!$AB$9:$AJ$9,0),0)*H21</f>
        <v>0.4</v>
      </c>
      <c r="X21" s="6">
        <f>VLOOKUP($S$13,角色设定!$AB$9:$AJ$21,MATCH(X$17,角色设定!$AB$9:$AJ$9,0),0)*I21</f>
        <v>1.5</v>
      </c>
      <c r="Y21" s="6">
        <f>VLOOKUP($S$13,角色设定!$AB$9:$AJ$21,MATCH(Y$17,角色设定!$AB$9:$AJ$9,0),0)*J21</f>
        <v>1</v>
      </c>
      <c r="Z21" s="6">
        <f>VLOOKUP($S$13,角色设定!$AB$9:$AJ$21,MATCH(Z$17,角色设定!$AB$9:$AJ$9,0),0)</f>
        <v>0.9</v>
      </c>
      <c r="AA21" s="6"/>
      <c r="AB21" s="6"/>
      <c r="AC21" s="6">
        <f>T21*战斗公式!$E$39*(1+W21*(X21-1))*Y21</f>
        <v>17581.429687500004</v>
      </c>
      <c r="AD21" s="6">
        <f>U21*战斗公式!$E$41*(1+V21*战斗公式!$E$40)</f>
        <v>19293.75</v>
      </c>
      <c r="AE21" s="22">
        <f t="shared" si="12"/>
        <v>36875.1796875</v>
      </c>
      <c r="AF21" s="22">
        <f t="shared" si="19"/>
        <v>1755.9609375</v>
      </c>
      <c r="AG21" s="22"/>
      <c r="AH21" s="9">
        <f t="shared" si="13"/>
        <v>164.09334375000006</v>
      </c>
      <c r="AI21" s="9">
        <f t="shared" si="14"/>
        <v>5177.4902925052002</v>
      </c>
      <c r="AJ21" s="9">
        <f t="shared" si="15"/>
        <v>1215.5062500000001</v>
      </c>
      <c r="AK21" s="9">
        <f t="shared" si="20"/>
        <v>7.813968750000015</v>
      </c>
      <c r="AL21" s="9">
        <f t="shared" si="21"/>
        <v>236.75866570088965</v>
      </c>
      <c r="AM21" s="9">
        <f t="shared" si="22"/>
        <v>57.881250000000136</v>
      </c>
    </row>
    <row r="22" spans="1:39" ht="14.25" customHeight="1" x14ac:dyDescent="0.2">
      <c r="B22" s="6">
        <f>B18/B20</f>
        <v>10.921333129289241</v>
      </c>
      <c r="C22" s="6">
        <f>B17/B20</f>
        <v>28.97754812906091</v>
      </c>
      <c r="D22" s="1">
        <v>5</v>
      </c>
      <c r="E22" s="6">
        <f t="shared" si="16"/>
        <v>8.9137125000000026</v>
      </c>
      <c r="F22" s="6">
        <f t="shared" si="17"/>
        <v>74.956218750000005</v>
      </c>
      <c r="G22" s="6">
        <f t="shared" si="18"/>
        <v>6.8878687500000009</v>
      </c>
      <c r="H22" s="6">
        <v>0.4</v>
      </c>
      <c r="I22" s="6">
        <v>1.5</v>
      </c>
      <c r="J22" s="6">
        <v>1</v>
      </c>
      <c r="K22" s="26">
        <f t="shared" si="9"/>
        <v>1.0494634015667754</v>
      </c>
      <c r="L22" s="6">
        <f t="shared" si="10"/>
        <v>779.94984375000024</v>
      </c>
      <c r="M22" s="6">
        <f t="shared" si="11"/>
        <v>11128.455798108676</v>
      </c>
      <c r="N22" s="6">
        <f t="shared" si="4"/>
        <v>1033.1803125000001</v>
      </c>
      <c r="O22" s="6">
        <f t="shared" si="5"/>
        <v>0.4</v>
      </c>
      <c r="P22" s="6">
        <f t="shared" si="6"/>
        <v>1.5</v>
      </c>
      <c r="Q22" s="6">
        <f t="shared" si="7"/>
        <v>1</v>
      </c>
      <c r="R22" s="6"/>
      <c r="S22" s="38">
        <v>5</v>
      </c>
      <c r="T22" s="6">
        <f>VLOOKUP($S$13,角色设定!$AB$9:$AJ$21,MATCH(E$17,角色设定!$AB$9:$AJ$9,0),0)*Z22*$L$15*E22/Y22/(1+W22*(X22-1))</f>
        <v>615.35003906250029</v>
      </c>
      <c r="U22" s="6">
        <f>VLOOKUP($S$13,角色设定!$AB$9:$AJ$21,MATCH(F$17,角色设定!$AB$9:$AJ$9,0),0)*F22*$L$15/(1+V22/$N$16)</f>
        <v>19375.283325822809</v>
      </c>
      <c r="V22" s="6">
        <f>VLOOKUP($S$13,角色设定!$AB$9:$AJ$21,MATCH(V$17,角色设定!$AB$9:$AJ$9,0),0)*G22*$L$15</f>
        <v>4558.1484375</v>
      </c>
      <c r="W22" s="6">
        <f>VLOOKUP($S$13,角色设定!$AB$9:$AJ$21,MATCH(W$17,角色设定!$AB$9:$AJ$9,0),0)*H22</f>
        <v>0.4</v>
      </c>
      <c r="X22" s="6">
        <f>VLOOKUP($S$13,角色设定!$AB$9:$AJ$21,MATCH(X$17,角色设定!$AB$9:$AJ$9,0),0)*I22</f>
        <v>1.5</v>
      </c>
      <c r="Y22" s="6">
        <f>VLOOKUP($S$13,角色设定!$AB$9:$AJ$21,MATCH(Y$17,角色设定!$AB$9:$AJ$9,0),0)*J22</f>
        <v>1</v>
      </c>
      <c r="Z22" s="6">
        <f>VLOOKUP($S$13,角色设定!$AB$9:$AJ$21,MATCH(Z$17,角色设定!$AB$9:$AJ$9,0),0)</f>
        <v>0.9</v>
      </c>
      <c r="AA22" s="6"/>
      <c r="AB22" s="6"/>
      <c r="AC22" s="6">
        <f>T22*战斗公式!$E$39*(1+W22*(X22-1))*Y22</f>
        <v>18460.501171875007</v>
      </c>
      <c r="AD22" s="6">
        <f>U22*战斗公式!$E$41*(1+V22*战斗公式!$E$40)</f>
        <v>20258.4375</v>
      </c>
      <c r="AE22" s="22">
        <f t="shared" si="12"/>
        <v>38718.938671875003</v>
      </c>
      <c r="AF22" s="22">
        <f t="shared" si="19"/>
        <v>1843.7589843750029</v>
      </c>
      <c r="AG22" s="22"/>
      <c r="AH22" s="9">
        <f t="shared" si="13"/>
        <v>172.29801093750009</v>
      </c>
      <c r="AI22" s="9">
        <f t="shared" si="14"/>
        <v>5425.0793312303867</v>
      </c>
      <c r="AJ22" s="9">
        <f t="shared" si="15"/>
        <v>1276.2815625000001</v>
      </c>
      <c r="AK22" s="9">
        <f t="shared" si="20"/>
        <v>8.2046671875000357</v>
      </c>
      <c r="AL22" s="9">
        <f t="shared" si="21"/>
        <v>247.58903872518658</v>
      </c>
      <c r="AM22" s="9">
        <f t="shared" si="22"/>
        <v>60.775312499999927</v>
      </c>
    </row>
    <row r="23" spans="1:39" ht="14.25" customHeight="1" x14ac:dyDescent="0.2">
      <c r="C23" s="6"/>
      <c r="D23" s="1">
        <v>6</v>
      </c>
      <c r="E23" s="6">
        <f t="shared" si="16"/>
        <v>9.3593981250000038</v>
      </c>
      <c r="F23" s="6">
        <f t="shared" si="17"/>
        <v>78.704029687500011</v>
      </c>
      <c r="G23" s="6">
        <f t="shared" si="18"/>
        <v>7.2322621875000008</v>
      </c>
      <c r="H23" s="6">
        <v>0.4</v>
      </c>
      <c r="I23" s="6">
        <v>1.5</v>
      </c>
      <c r="J23" s="6">
        <v>1</v>
      </c>
      <c r="K23" s="26">
        <f t="shared" si="9"/>
        <v>1.0494368738177411</v>
      </c>
      <c r="L23" s="6">
        <f t="shared" si="10"/>
        <v>818.94733593750027</v>
      </c>
      <c r="M23" s="6">
        <f t="shared" si="11"/>
        <v>11678.907076068637</v>
      </c>
      <c r="N23" s="6">
        <f t="shared" si="4"/>
        <v>1084.8393281250001</v>
      </c>
      <c r="O23" s="6">
        <f t="shared" si="5"/>
        <v>0.4</v>
      </c>
      <c r="P23" s="6">
        <f t="shared" si="6"/>
        <v>1.5</v>
      </c>
      <c r="Q23" s="6">
        <f t="shared" si="7"/>
        <v>1</v>
      </c>
      <c r="R23" s="6"/>
      <c r="S23" s="38">
        <v>6</v>
      </c>
      <c r="T23" s="6">
        <f>VLOOKUP($S$13,角色设定!$AB$9:$AJ$21,MATCH(E$17,角色设定!$AB$9:$AJ$9,0),0)*Z23*$L$15*E23/Y23/(1+W23*(X23-1))</f>
        <v>646.11754101562531</v>
      </c>
      <c r="U23" s="6">
        <f>VLOOKUP($S$13,角色设定!$AB$9:$AJ$21,MATCH(F$17,角色设定!$AB$9:$AJ$9,0),0)*F23*$L$15/(1+V23/$N$16)</f>
        <v>20299.799625578613</v>
      </c>
      <c r="V23" s="6">
        <f>VLOOKUP($S$13,角色设定!$AB$9:$AJ$21,MATCH(V$17,角色设定!$AB$9:$AJ$9,0),0)*G23*$L$15</f>
        <v>4786.0558593750002</v>
      </c>
      <c r="W23" s="6">
        <f>VLOOKUP($S$13,角色设定!$AB$9:$AJ$21,MATCH(W$17,角色设定!$AB$9:$AJ$9,0),0)*H23</f>
        <v>0.4</v>
      </c>
      <c r="X23" s="6">
        <f>VLOOKUP($S$13,角色设定!$AB$9:$AJ$21,MATCH(X$17,角色设定!$AB$9:$AJ$9,0),0)*I23</f>
        <v>1.5</v>
      </c>
      <c r="Y23" s="6">
        <f>VLOOKUP($S$13,角色设定!$AB$9:$AJ$21,MATCH(Y$17,角色设定!$AB$9:$AJ$9,0),0)*J23</f>
        <v>1</v>
      </c>
      <c r="Z23" s="6">
        <f>VLOOKUP($S$13,角色设定!$AB$9:$AJ$21,MATCH(Z$17,角色设定!$AB$9:$AJ$9,0),0)</f>
        <v>0.9</v>
      </c>
      <c r="AA23" s="6"/>
      <c r="AB23" s="6"/>
      <c r="AC23" s="6">
        <f>T23*战斗公式!$E$39*(1+W23*(X23-1))*Y23</f>
        <v>19383.52623046876</v>
      </c>
      <c r="AD23" s="6">
        <f>U23*战斗公式!$E$41*(1+V23*战斗公式!$E$40)</f>
        <v>21271.359375</v>
      </c>
      <c r="AE23" s="22">
        <f t="shared" si="12"/>
        <v>40654.885605468764</v>
      </c>
      <c r="AF23" s="22">
        <f t="shared" si="19"/>
        <v>1935.9469335937611</v>
      </c>
      <c r="AG23" s="22"/>
      <c r="AH23" s="9">
        <f t="shared" si="13"/>
        <v>180.91291148437512</v>
      </c>
      <c r="AI23" s="9">
        <f t="shared" si="14"/>
        <v>5683.9438951620123</v>
      </c>
      <c r="AJ23" s="9">
        <f t="shared" si="15"/>
        <v>1340.0956406250002</v>
      </c>
      <c r="AK23" s="9">
        <f t="shared" si="20"/>
        <v>8.6149005468750204</v>
      </c>
      <c r="AL23" s="9">
        <f t="shared" si="21"/>
        <v>258.86456393162553</v>
      </c>
      <c r="AM23" s="9">
        <f t="shared" si="22"/>
        <v>63.814078125000151</v>
      </c>
    </row>
    <row r="24" spans="1:39" ht="14.25" customHeight="1" x14ac:dyDescent="0.2">
      <c r="D24" s="1">
        <v>7</v>
      </c>
      <c r="E24" s="6">
        <f t="shared" si="16"/>
        <v>9.8273680312500051</v>
      </c>
      <c r="F24" s="6">
        <f t="shared" si="17"/>
        <v>82.639231171875011</v>
      </c>
      <c r="G24" s="6">
        <f t="shared" si="18"/>
        <v>7.5938752968750016</v>
      </c>
      <c r="H24" s="6">
        <v>0.4</v>
      </c>
      <c r="I24" s="6">
        <v>1.5</v>
      </c>
      <c r="J24" s="6">
        <v>1</v>
      </c>
      <c r="K24" s="26">
        <f t="shared" si="9"/>
        <v>1.0494090502878834</v>
      </c>
      <c r="L24" s="6">
        <f t="shared" si="10"/>
        <v>859.89470273437541</v>
      </c>
      <c r="M24" s="6">
        <f t="shared" si="11"/>
        <v>12256.275731517366</v>
      </c>
      <c r="N24" s="6">
        <f t="shared" si="4"/>
        <v>1139.0812945312503</v>
      </c>
      <c r="O24" s="6">
        <f t="shared" si="5"/>
        <v>0.4</v>
      </c>
      <c r="P24" s="6">
        <f t="shared" si="6"/>
        <v>1.5</v>
      </c>
      <c r="Q24" s="6">
        <f t="shared" si="7"/>
        <v>1</v>
      </c>
      <c r="R24" s="6"/>
      <c r="S24" s="38">
        <v>7</v>
      </c>
      <c r="T24" s="6">
        <f>VLOOKUP($S$13,角色设定!$AB$9:$AJ$21,MATCH(E$17,角色设定!$AB$9:$AJ$9,0),0)*Z24*$L$15*E24/Y24/(1+W24*(X24-1))</f>
        <v>678.42341806640661</v>
      </c>
      <c r="U24" s="6">
        <f>VLOOKUP($S$13,角色设定!$AB$9:$AJ$21,MATCH(F$17,角色设定!$AB$9:$AJ$9,0),0)*F24*$L$15/(1+V24/$N$16)</f>
        <v>21266.223348670825</v>
      </c>
      <c r="V24" s="6">
        <f>VLOOKUP($S$13,角色设定!$AB$9:$AJ$21,MATCH(V$17,角色设定!$AB$9:$AJ$9,0),0)*G24*$L$15</f>
        <v>5025.3586523437498</v>
      </c>
      <c r="W24" s="6">
        <f>VLOOKUP($S$13,角色设定!$AB$9:$AJ$21,MATCH(W$17,角色设定!$AB$9:$AJ$9,0),0)*H24</f>
        <v>0.4</v>
      </c>
      <c r="X24" s="6">
        <f>VLOOKUP($S$13,角色设定!$AB$9:$AJ$21,MATCH(X$17,角色设定!$AB$9:$AJ$9,0),0)*I24</f>
        <v>1.5</v>
      </c>
      <c r="Y24" s="6">
        <f>VLOOKUP($S$13,角色设定!$AB$9:$AJ$21,MATCH(Y$17,角色设定!$AB$9:$AJ$9,0),0)*J24</f>
        <v>1</v>
      </c>
      <c r="Z24" s="6">
        <f>VLOOKUP($S$13,角色设定!$AB$9:$AJ$21,MATCH(Z$17,角色设定!$AB$9:$AJ$9,0),0)</f>
        <v>0.9</v>
      </c>
      <c r="AA24" s="6"/>
      <c r="AB24" s="6"/>
      <c r="AC24" s="6">
        <f>T24*战斗公式!$E$39*(1+W24*(X24-1))*Y24</f>
        <v>20352.702541992196</v>
      </c>
      <c r="AD24" s="6">
        <f>U24*战斗公式!$E$41*(1+V24*战斗公式!$E$40)</f>
        <v>22334.927343750001</v>
      </c>
      <c r="AE24" s="22">
        <f t="shared" si="12"/>
        <v>42687.629885742193</v>
      </c>
      <c r="AF24" s="22">
        <f t="shared" si="19"/>
        <v>2032.7442802734295</v>
      </c>
      <c r="AG24" s="22"/>
      <c r="AH24" s="9">
        <f t="shared" si="13"/>
        <v>189.95855705859387</v>
      </c>
      <c r="AI24" s="9">
        <f t="shared" si="14"/>
        <v>5954.5425376278317</v>
      </c>
      <c r="AJ24" s="9">
        <f t="shared" si="15"/>
        <v>1407.10042265625</v>
      </c>
      <c r="AK24" s="9">
        <f t="shared" si="20"/>
        <v>9.0456455742187529</v>
      </c>
      <c r="AL24" s="9">
        <f t="shared" si="21"/>
        <v>270.59864246581947</v>
      </c>
      <c r="AM24" s="9">
        <f t="shared" si="22"/>
        <v>67.004782031249761</v>
      </c>
    </row>
    <row r="25" spans="1:39" ht="14.25" customHeight="1" x14ac:dyDescent="0.2">
      <c r="B25" s="33"/>
      <c r="C25" s="6"/>
      <c r="D25" s="1">
        <v>8</v>
      </c>
      <c r="E25" s="6">
        <f t="shared" si="16"/>
        <v>10.318736432812505</v>
      </c>
      <c r="F25" s="6">
        <f t="shared" si="17"/>
        <v>86.771192730468769</v>
      </c>
      <c r="G25" s="6">
        <f t="shared" si="18"/>
        <v>7.9735690617187522</v>
      </c>
      <c r="H25" s="6">
        <v>0.4</v>
      </c>
      <c r="I25" s="6">
        <v>1.5</v>
      </c>
      <c r="J25" s="6">
        <v>1</v>
      </c>
      <c r="K25" s="26">
        <f t="shared" si="9"/>
        <v>1.0493798692683549</v>
      </c>
      <c r="L25" s="6">
        <f t="shared" si="10"/>
        <v>902.88943787109417</v>
      </c>
      <c r="M25" s="6">
        <f t="shared" si="11"/>
        <v>12861.846675478073</v>
      </c>
      <c r="N25" s="6">
        <f t="shared" si="4"/>
        <v>1196.0353592578128</v>
      </c>
      <c r="O25" s="6">
        <f t="shared" si="5"/>
        <v>0.4</v>
      </c>
      <c r="P25" s="6">
        <f t="shared" si="6"/>
        <v>1.5</v>
      </c>
      <c r="Q25" s="6">
        <f t="shared" si="7"/>
        <v>1</v>
      </c>
      <c r="R25" s="6"/>
      <c r="S25" s="38">
        <v>8</v>
      </c>
      <c r="T25" s="6">
        <f>VLOOKUP($S$13,角色设定!$AB$9:$AJ$21,MATCH(E$17,角色设定!$AB$9:$AJ$9,0),0)*Z25*$L$15*E25/Y25/(1+W25*(X25-1))</f>
        <v>712.34458896972694</v>
      </c>
      <c r="U25" s="6">
        <f>VLOOKUP($S$13,角色设定!$AB$9:$AJ$21,MATCH(F$17,角色设定!$AB$9:$AJ$9,0),0)*F25*$L$15/(1+V25/$N$16)</f>
        <v>22276.239723554783</v>
      </c>
      <c r="V25" s="6">
        <f>VLOOKUP($S$13,角色设定!$AB$9:$AJ$21,MATCH(V$17,角色设定!$AB$9:$AJ$9,0),0)*G25*$L$15</f>
        <v>5276.6265849609381</v>
      </c>
      <c r="W25" s="6">
        <f>VLOOKUP($S$13,角色设定!$AB$9:$AJ$21,MATCH(W$17,角色设定!$AB$9:$AJ$9,0),0)*H25</f>
        <v>0.4</v>
      </c>
      <c r="X25" s="6">
        <f>VLOOKUP($S$13,角色设定!$AB$9:$AJ$21,MATCH(X$17,角色设定!$AB$9:$AJ$9,0),0)*I25</f>
        <v>1.5</v>
      </c>
      <c r="Y25" s="6">
        <f>VLOOKUP($S$13,角色设定!$AB$9:$AJ$21,MATCH(Y$17,角色设定!$AB$9:$AJ$9,0),0)*J25</f>
        <v>1</v>
      </c>
      <c r="Z25" s="6">
        <f>VLOOKUP($S$13,角色设定!$AB$9:$AJ$21,MATCH(Z$17,角色设定!$AB$9:$AJ$9,0),0)</f>
        <v>0.9</v>
      </c>
      <c r="AA25" s="6"/>
      <c r="AB25" s="6"/>
      <c r="AC25" s="6">
        <f>T25*战斗公式!$E$39*(1+W25*(X25-1))*Y25</f>
        <v>21370.337669091805</v>
      </c>
      <c r="AD25" s="6">
        <f>U25*战斗公式!$E$41*(1+V25*战斗公式!$E$40)</f>
        <v>23451.673710937503</v>
      </c>
      <c r="AE25" s="22">
        <f t="shared" si="12"/>
        <v>44822.011380029304</v>
      </c>
      <c r="AF25" s="22">
        <f t="shared" si="19"/>
        <v>2134.3814942871104</v>
      </c>
      <c r="AG25" s="22"/>
      <c r="AH25" s="9">
        <f t="shared" si="13"/>
        <v>199.45648491152357</v>
      </c>
      <c r="AI25" s="9">
        <f t="shared" si="14"/>
        <v>6237.3471225953399</v>
      </c>
      <c r="AJ25" s="9">
        <f t="shared" si="15"/>
        <v>1477.4554437890629</v>
      </c>
      <c r="AK25" s="9">
        <f t="shared" si="20"/>
        <v>9.4979278529297062</v>
      </c>
      <c r="AL25" s="9">
        <f t="shared" si="21"/>
        <v>282.80458496750816</v>
      </c>
      <c r="AM25" s="9">
        <f t="shared" si="22"/>
        <v>70.355021132812908</v>
      </c>
    </row>
    <row r="26" spans="1:39" ht="14.25" customHeight="1" x14ac:dyDescent="0.2">
      <c r="B26" s="33"/>
      <c r="C26" s="6"/>
      <c r="D26" s="1">
        <v>9</v>
      </c>
      <c r="E26" s="6">
        <f t="shared" si="16"/>
        <v>10.834673254453131</v>
      </c>
      <c r="F26" s="6">
        <f t="shared" si="17"/>
        <v>91.109752366992211</v>
      </c>
      <c r="G26" s="6">
        <f t="shared" si="18"/>
        <v>8.3722475148046893</v>
      </c>
      <c r="H26" s="6">
        <v>0.4</v>
      </c>
      <c r="I26" s="6">
        <v>1.5</v>
      </c>
      <c r="J26" s="6">
        <v>1</v>
      </c>
      <c r="K26" s="26">
        <f t="shared" si="9"/>
        <v>1.0493492662717556</v>
      </c>
      <c r="L26" s="6">
        <f t="shared" si="10"/>
        <v>948.03390976464891</v>
      </c>
      <c r="M26" s="6">
        <f t="shared" si="11"/>
        <v>13496.962982862806</v>
      </c>
      <c r="N26" s="6">
        <f t="shared" si="4"/>
        <v>1255.8371272207035</v>
      </c>
      <c r="O26" s="6">
        <f t="shared" si="5"/>
        <v>0.4</v>
      </c>
      <c r="P26" s="6">
        <f t="shared" si="6"/>
        <v>1.5</v>
      </c>
      <c r="Q26" s="6">
        <f t="shared" si="7"/>
        <v>1</v>
      </c>
      <c r="R26" s="6"/>
      <c r="S26" s="38">
        <v>9</v>
      </c>
      <c r="T26" s="6">
        <f>VLOOKUP($S$13,角色设定!$AB$9:$AJ$21,MATCH(E$17,角色设定!$AB$9:$AJ$9,0),0)*Z26*$L$15*E26/Y26/(1+W26*(X26-1))</f>
        <v>747.9618184182134</v>
      </c>
      <c r="U26" s="6">
        <f>VLOOKUP($S$13,角色设定!$AB$9:$AJ$21,MATCH(F$17,角色设定!$AB$9:$AJ$9,0),0)*F26*$L$15/(1+V26/$N$16)</f>
        <v>23331.580972010543</v>
      </c>
      <c r="V26" s="6">
        <f>VLOOKUP($S$13,角色设定!$AB$9:$AJ$21,MATCH(V$17,角色设定!$AB$9:$AJ$9,0),0)*G26*$L$15</f>
        <v>5540.4579142089851</v>
      </c>
      <c r="W26" s="6">
        <f>VLOOKUP($S$13,角色设定!$AB$9:$AJ$21,MATCH(W$17,角色设定!$AB$9:$AJ$9,0),0)*H26</f>
        <v>0.4</v>
      </c>
      <c r="X26" s="6">
        <f>VLOOKUP($S$13,角色设定!$AB$9:$AJ$21,MATCH(X$17,角色设定!$AB$9:$AJ$9,0),0)*I26</f>
        <v>1.5</v>
      </c>
      <c r="Y26" s="6">
        <f>VLOOKUP($S$13,角色设定!$AB$9:$AJ$21,MATCH(Y$17,角色设定!$AB$9:$AJ$9,0),0)*J26</f>
        <v>1</v>
      </c>
      <c r="Z26" s="6">
        <f>VLOOKUP($S$13,角色设定!$AB$9:$AJ$21,MATCH(Z$17,角色设定!$AB$9:$AJ$9,0),0)</f>
        <v>0.9</v>
      </c>
      <c r="AA26" s="6"/>
      <c r="AB26" s="6"/>
      <c r="AC26" s="6">
        <f>T26*战斗公式!$E$39*(1+W26*(X26-1))*Y26</f>
        <v>22438.8545525464</v>
      </c>
      <c r="AD26" s="6">
        <f>U26*战斗公式!$E$41*(1+V26*战斗公式!$E$40)</f>
        <v>24624.25739648438</v>
      </c>
      <c r="AE26" s="22">
        <f t="shared" si="12"/>
        <v>47063.111949030776</v>
      </c>
      <c r="AF26" s="22">
        <f t="shared" si="19"/>
        <v>2241.1005690014717</v>
      </c>
      <c r="AG26" s="22"/>
      <c r="AH26" s="9">
        <f t="shared" si="13"/>
        <v>209.42930915709977</v>
      </c>
      <c r="AI26" s="9">
        <f t="shared" si="14"/>
        <v>6532.8426721629521</v>
      </c>
      <c r="AJ26" s="9">
        <f t="shared" si="15"/>
        <v>1551.328215978516</v>
      </c>
      <c r="AK26" s="9">
        <f t="shared" si="20"/>
        <v>9.9728242455761915</v>
      </c>
      <c r="AL26" s="9">
        <f t="shared" si="21"/>
        <v>295.49554956761222</v>
      </c>
      <c r="AM26" s="9">
        <f t="shared" si="22"/>
        <v>73.872772189453144</v>
      </c>
    </row>
    <row r="27" spans="1:39" ht="14.25" customHeight="1" x14ac:dyDescent="0.2">
      <c r="B27" s="33"/>
      <c r="C27" s="6"/>
      <c r="D27" s="1">
        <v>10</v>
      </c>
      <c r="E27" s="6">
        <f t="shared" si="16"/>
        <v>11.376406917175789</v>
      </c>
      <c r="F27" s="6">
        <f t="shared" si="17"/>
        <v>95.665239985341827</v>
      </c>
      <c r="G27" s="6">
        <f t="shared" si="18"/>
        <v>8.7908598905449242</v>
      </c>
      <c r="H27" s="6">
        <v>0.4</v>
      </c>
      <c r="I27" s="6">
        <v>1.5</v>
      </c>
      <c r="J27" s="6">
        <v>1</v>
      </c>
      <c r="K27" s="26">
        <f t="shared" si="9"/>
        <v>1.0493171739233023</v>
      </c>
      <c r="L27" s="6">
        <f t="shared" si="10"/>
        <v>995.43560525288149</v>
      </c>
      <c r="M27" s="6">
        <f t="shared" si="11"/>
        <v>14163.028202964131</v>
      </c>
      <c r="N27" s="6">
        <f t="shared" si="4"/>
        <v>1318.6289835817386</v>
      </c>
      <c r="O27" s="6">
        <f t="shared" si="5"/>
        <v>0.4</v>
      </c>
      <c r="P27" s="6">
        <f t="shared" si="6"/>
        <v>1.5</v>
      </c>
      <c r="Q27" s="6">
        <f t="shared" si="7"/>
        <v>1</v>
      </c>
      <c r="R27" s="6"/>
      <c r="S27" s="38">
        <v>10</v>
      </c>
      <c r="T27" s="6">
        <f>VLOOKUP($S$13,角色设定!$AB$9:$AJ$21,MATCH(E$17,角色设定!$AB$9:$AJ$9,0),0)*Z27*$L$15*E27/Y27/(1+W27*(X27-1))</f>
        <v>785.3599093391241</v>
      </c>
      <c r="U27" s="6">
        <f>VLOOKUP($S$13,角色设定!$AB$9:$AJ$21,MATCH(F$17,角色设定!$AB$9:$AJ$9,0),0)*F27*$L$15/(1+V27/$N$16)</f>
        <v>24434.025520559248</v>
      </c>
      <c r="V27" s="6">
        <f>VLOOKUP($S$13,角色设定!$AB$9:$AJ$21,MATCH(V$17,角色设定!$AB$9:$AJ$9,0),0)*G27*$L$15</f>
        <v>5817.4808099194343</v>
      </c>
      <c r="W27" s="6">
        <f>VLOOKUP($S$13,角色设定!$AB$9:$AJ$21,MATCH(W$17,角色设定!$AB$9:$AJ$9,0),0)*H27</f>
        <v>0.4</v>
      </c>
      <c r="X27" s="6">
        <f>VLOOKUP($S$13,角色设定!$AB$9:$AJ$21,MATCH(X$17,角色设定!$AB$9:$AJ$9,0),0)*I27</f>
        <v>1.5</v>
      </c>
      <c r="Y27" s="6">
        <f>VLOOKUP($S$13,角色设定!$AB$9:$AJ$21,MATCH(Y$17,角色设定!$AB$9:$AJ$9,0),0)*J27</f>
        <v>1</v>
      </c>
      <c r="Z27" s="6">
        <f>VLOOKUP($S$13,角色设定!$AB$9:$AJ$21,MATCH(Z$17,角色设定!$AB$9:$AJ$9,0),0)</f>
        <v>0.9</v>
      </c>
      <c r="AA27" s="6"/>
      <c r="AB27" s="6"/>
      <c r="AC27" s="6">
        <f>T27*战斗公式!$E$39*(1+W27*(X27-1))*Y27</f>
        <v>23560.797280173723</v>
      </c>
      <c r="AD27" s="6">
        <f>U27*战斗公式!$E$41*(1+V27*战斗公式!$E$40)</f>
        <v>25855.470266308599</v>
      </c>
      <c r="AE27" s="22">
        <f t="shared" si="12"/>
        <v>49416.267546482326</v>
      </c>
      <c r="AF27" s="22">
        <f t="shared" si="19"/>
        <v>2353.1555974515504</v>
      </c>
      <c r="AG27" s="22"/>
      <c r="AH27" s="9">
        <f t="shared" si="13"/>
        <v>219.90077461495477</v>
      </c>
      <c r="AI27" s="9">
        <f t="shared" si="14"/>
        <v>6841.5271457565896</v>
      </c>
      <c r="AJ27" s="9">
        <f t="shared" si="15"/>
        <v>1628.8946267774418</v>
      </c>
      <c r="AK27" s="9">
        <f t="shared" si="20"/>
        <v>10.471465457855004</v>
      </c>
      <c r="AL27" s="9">
        <f t="shared" si="21"/>
        <v>308.68447359363745</v>
      </c>
      <c r="AM27" s="9">
        <f t="shared" si="22"/>
        <v>77.566410798925745</v>
      </c>
    </row>
    <row r="28" spans="1:39" ht="14.25" customHeight="1" x14ac:dyDescent="0.2">
      <c r="B28" s="33"/>
      <c r="C28" s="6"/>
      <c r="D28" s="1">
        <v>11</v>
      </c>
      <c r="E28" s="6">
        <f t="shared" si="16"/>
        <v>11.945227263034578</v>
      </c>
      <c r="F28" s="6">
        <f t="shared" si="17"/>
        <v>100.44850198460892</v>
      </c>
      <c r="G28" s="6">
        <f t="shared" si="18"/>
        <v>9.23040288507217</v>
      </c>
      <c r="H28" s="6">
        <v>0.4</v>
      </c>
      <c r="I28" s="6">
        <v>1.5</v>
      </c>
      <c r="J28" s="6">
        <v>1</v>
      </c>
      <c r="K28" s="26">
        <f t="shared" si="9"/>
        <v>1.0492835218494316</v>
      </c>
      <c r="L28" s="6">
        <f t="shared" si="10"/>
        <v>1045.2073855155256</v>
      </c>
      <c r="M28" s="6">
        <f t="shared" si="11"/>
        <v>14861.508728130349</v>
      </c>
      <c r="N28" s="6">
        <f t="shared" si="4"/>
        <v>1384.5604327608255</v>
      </c>
      <c r="O28" s="6">
        <f t="shared" si="5"/>
        <v>0.4</v>
      </c>
      <c r="P28" s="6">
        <f t="shared" si="6"/>
        <v>1.5</v>
      </c>
      <c r="Q28" s="6">
        <f t="shared" si="7"/>
        <v>1</v>
      </c>
      <c r="R28" s="6"/>
      <c r="S28" s="38">
        <v>11</v>
      </c>
      <c r="T28" s="6">
        <f>VLOOKUP($S$13,角色设定!$AB$9:$AJ$21,MATCH(E$17,角色设定!$AB$9:$AJ$9,0),0)*Z28*$L$15*E28/Y28/(1+W28*(X28-1))</f>
        <v>824.62790480608032</v>
      </c>
      <c r="U28" s="6">
        <f>VLOOKUP($S$13,角色设定!$AB$9:$AJ$21,MATCH(F$17,角色设定!$AB$9:$AJ$9,0),0)*F28*$L$15/(1+V28/$N$16)</f>
        <v>25585.396944374308</v>
      </c>
      <c r="V28" s="6">
        <f>VLOOKUP($S$13,角色设定!$AB$9:$AJ$21,MATCH(V$17,角色设定!$AB$9:$AJ$9,0),0)*G28*$L$15</f>
        <v>6108.354850415406</v>
      </c>
      <c r="W28" s="6">
        <f>VLOOKUP($S$13,角色设定!$AB$9:$AJ$21,MATCH(W$17,角色设定!$AB$9:$AJ$9,0),0)*H28</f>
        <v>0.4</v>
      </c>
      <c r="X28" s="6">
        <f>VLOOKUP($S$13,角色设定!$AB$9:$AJ$21,MATCH(X$17,角色设定!$AB$9:$AJ$9,0),0)*I28</f>
        <v>1.5</v>
      </c>
      <c r="Y28" s="6">
        <f>VLOOKUP($S$13,角色设定!$AB$9:$AJ$21,MATCH(Y$17,角色设定!$AB$9:$AJ$9,0),0)*J28</f>
        <v>1</v>
      </c>
      <c r="Z28" s="6">
        <f>VLOOKUP($S$13,角色设定!$AB$9:$AJ$21,MATCH(Z$17,角色设定!$AB$9:$AJ$9,0),0)</f>
        <v>0.9</v>
      </c>
      <c r="AA28" s="6"/>
      <c r="AB28" s="6"/>
      <c r="AC28" s="6">
        <f>T28*战斗公式!$E$39*(1+W28*(X28-1))*Y28</f>
        <v>24738.837144182409</v>
      </c>
      <c r="AD28" s="6">
        <f>U28*战斗公式!$E$41*(1+V28*战斗公式!$E$40)</f>
        <v>27148.243779624034</v>
      </c>
      <c r="AE28" s="22">
        <f t="shared" si="12"/>
        <v>51887.080923806439</v>
      </c>
      <c r="AF28" s="22">
        <f t="shared" si="19"/>
        <v>2470.8133773241134</v>
      </c>
      <c r="AG28" s="22"/>
      <c r="AH28" s="9">
        <f t="shared" si="13"/>
        <v>230.89581334570252</v>
      </c>
      <c r="AI28" s="9">
        <f t="shared" si="14"/>
        <v>7163.9111444248074</v>
      </c>
      <c r="AJ28" s="9">
        <f t="shared" si="15"/>
        <v>1710.3393581163139</v>
      </c>
      <c r="AK28" s="9">
        <f t="shared" si="20"/>
        <v>10.995038730747751</v>
      </c>
      <c r="AL28" s="9">
        <f t="shared" si="21"/>
        <v>322.38399866821783</v>
      </c>
      <c r="AM28" s="9">
        <f t="shared" si="22"/>
        <v>81.444731338872089</v>
      </c>
    </row>
    <row r="29" spans="1:39" ht="14.25" customHeight="1" x14ac:dyDescent="0.2">
      <c r="B29" s="33"/>
      <c r="C29" s="6"/>
      <c r="D29" s="1">
        <v>12</v>
      </c>
      <c r="E29" s="6">
        <f t="shared" si="16"/>
        <v>12.542488626186307</v>
      </c>
      <c r="F29" s="6">
        <f t="shared" si="17"/>
        <v>105.47092708383937</v>
      </c>
      <c r="G29" s="6">
        <f t="shared" si="18"/>
        <v>9.6919230293257783</v>
      </c>
      <c r="H29" s="6">
        <v>0.4</v>
      </c>
      <c r="I29" s="6">
        <v>1.5</v>
      </c>
      <c r="J29" s="6">
        <v>1</v>
      </c>
      <c r="K29" s="26">
        <f t="shared" si="9"/>
        <v>1.0492482365639797</v>
      </c>
      <c r="L29" s="6">
        <f t="shared" si="10"/>
        <v>1097.4677547913018</v>
      </c>
      <c r="M29" s="6">
        <f t="shared" si="11"/>
        <v>15593.936218248682</v>
      </c>
      <c r="N29" s="6">
        <f t="shared" si="4"/>
        <v>1453.7884543988666</v>
      </c>
      <c r="O29" s="6">
        <f t="shared" si="5"/>
        <v>0.4</v>
      </c>
      <c r="P29" s="6">
        <f t="shared" si="6"/>
        <v>1.5</v>
      </c>
      <c r="Q29" s="6">
        <f t="shared" si="7"/>
        <v>1</v>
      </c>
      <c r="R29" s="6"/>
      <c r="S29" s="38">
        <v>12</v>
      </c>
      <c r="T29" s="6">
        <f>VLOOKUP($S$13,角色设定!$AB$9:$AJ$21,MATCH(E$17,角色设定!$AB$9:$AJ$9,0),0)*Z29*$L$15*E29/Y29/(1+W29*(X29-1))</f>
        <v>865.85930004638431</v>
      </c>
      <c r="U29" s="6">
        <f>VLOOKUP($S$13,角色设定!$AB$9:$AJ$21,MATCH(F$17,角色设定!$AB$9:$AJ$9,0),0)*F29*$L$15/(1+V29/$N$16)</f>
        <v>26787.562619030254</v>
      </c>
      <c r="V29" s="6">
        <f>VLOOKUP($S$13,角色设定!$AB$9:$AJ$21,MATCH(V$17,角色设定!$AB$9:$AJ$9,0),0)*G29*$L$15</f>
        <v>6413.7725929361759</v>
      </c>
      <c r="W29" s="6">
        <f>VLOOKUP($S$13,角色设定!$AB$9:$AJ$21,MATCH(W$17,角色设定!$AB$9:$AJ$9,0),0)*H29</f>
        <v>0.4</v>
      </c>
      <c r="X29" s="6">
        <f>VLOOKUP($S$13,角色设定!$AB$9:$AJ$21,MATCH(X$17,角色设定!$AB$9:$AJ$9,0),0)*I29</f>
        <v>1.5</v>
      </c>
      <c r="Y29" s="6">
        <f>VLOOKUP($S$13,角色设定!$AB$9:$AJ$21,MATCH(Y$17,角色设定!$AB$9:$AJ$9,0),0)*J29</f>
        <v>1</v>
      </c>
      <c r="Z29" s="6">
        <f>VLOOKUP($S$13,角色设定!$AB$9:$AJ$21,MATCH(Z$17,角色设定!$AB$9:$AJ$9,0),0)</f>
        <v>0.9</v>
      </c>
      <c r="AA29" s="6"/>
      <c r="AB29" s="6"/>
      <c r="AC29" s="6">
        <f>T29*战斗公式!$E$39*(1+W29*(X29-1))*Y29</f>
        <v>25975.779001391529</v>
      </c>
      <c r="AD29" s="6">
        <f>U29*战斗公式!$E$41*(1+V29*战斗公式!$E$40)</f>
        <v>28505.655968605235</v>
      </c>
      <c r="AE29" s="22">
        <f t="shared" si="12"/>
        <v>54481.434969996764</v>
      </c>
      <c r="AF29" s="22">
        <f t="shared" si="19"/>
        <v>2594.3540461903249</v>
      </c>
      <c r="AG29" s="22"/>
      <c r="AH29" s="9">
        <f t="shared" si="13"/>
        <v>242.44060401298762</v>
      </c>
      <c r="AI29" s="9">
        <f t="shared" si="14"/>
        <v>7500.5175333284715</v>
      </c>
      <c r="AJ29" s="9">
        <f t="shared" si="15"/>
        <v>1795.8563260221295</v>
      </c>
      <c r="AK29" s="9">
        <f t="shared" si="20"/>
        <v>11.544790667285099</v>
      </c>
      <c r="AL29" s="9">
        <f t="shared" si="21"/>
        <v>336.60638890366408</v>
      </c>
      <c r="AM29" s="9">
        <f t="shared" si="22"/>
        <v>85.516967905815591</v>
      </c>
    </row>
    <row r="30" spans="1:39" ht="14.25" customHeight="1" x14ac:dyDescent="0.2">
      <c r="B30" s="33"/>
      <c r="C30" s="6"/>
      <c r="D30" s="1">
        <v>13</v>
      </c>
      <c r="E30" s="6">
        <f t="shared" si="16"/>
        <v>13.169613057495622</v>
      </c>
      <c r="F30" s="6">
        <f t="shared" si="17"/>
        <v>110.74447343803135</v>
      </c>
      <c r="G30" s="6">
        <f t="shared" si="18"/>
        <v>10.176519180792068</v>
      </c>
      <c r="H30" s="6">
        <v>0.4</v>
      </c>
      <c r="I30" s="6">
        <v>1.5</v>
      </c>
      <c r="J30" s="6">
        <v>1</v>
      </c>
      <c r="K30" s="26">
        <f t="shared" si="9"/>
        <v>1.04921124135209</v>
      </c>
      <c r="L30" s="6">
        <f t="shared" si="10"/>
        <v>1152.341142530867</v>
      </c>
      <c r="M30" s="6">
        <f t="shared" si="11"/>
        <v>16361.910078088606</v>
      </c>
      <c r="N30" s="6">
        <f t="shared" si="4"/>
        <v>1526.4778771188103</v>
      </c>
      <c r="O30" s="6">
        <f t="shared" si="5"/>
        <v>0.4</v>
      </c>
      <c r="P30" s="6">
        <f t="shared" si="6"/>
        <v>1.5</v>
      </c>
      <c r="Q30" s="6">
        <f t="shared" si="7"/>
        <v>1</v>
      </c>
      <c r="R30" s="6"/>
      <c r="S30" s="38">
        <v>13</v>
      </c>
      <c r="T30" s="6">
        <f>VLOOKUP($S$13,角色设定!$AB$9:$AJ$21,MATCH(E$17,角色设定!$AB$9:$AJ$9,0),0)*Z30*$L$15*E30/Y30/(1+W30*(X30-1))</f>
        <v>909.1522650487035</v>
      </c>
      <c r="U30" s="6">
        <f>VLOOKUP($S$13,角色设定!$AB$9:$AJ$21,MATCH(F$17,角色设定!$AB$9:$AJ$9,0),0)*F30*$L$15/(1+V30/$N$16)</f>
        <v>28042.43205445879</v>
      </c>
      <c r="V30" s="6">
        <f>VLOOKUP($S$13,角色设定!$AB$9:$AJ$21,MATCH(V$17,角色设定!$AB$9:$AJ$9,0),0)*G30*$L$15</f>
        <v>6734.4612225829851</v>
      </c>
      <c r="W30" s="6">
        <f>VLOOKUP($S$13,角色设定!$AB$9:$AJ$21,MATCH(W$17,角色设定!$AB$9:$AJ$9,0),0)*H30</f>
        <v>0.4</v>
      </c>
      <c r="X30" s="6">
        <f>VLOOKUP($S$13,角色设定!$AB$9:$AJ$21,MATCH(X$17,角色设定!$AB$9:$AJ$9,0),0)*I30</f>
        <v>1.5</v>
      </c>
      <c r="Y30" s="6">
        <f>VLOOKUP($S$13,角色设定!$AB$9:$AJ$21,MATCH(Y$17,角色设定!$AB$9:$AJ$9,0),0)*J30</f>
        <v>1</v>
      </c>
      <c r="Z30" s="6">
        <f>VLOOKUP($S$13,角色设定!$AB$9:$AJ$21,MATCH(Z$17,角色设定!$AB$9:$AJ$9,0),0)</f>
        <v>0.9</v>
      </c>
      <c r="AA30" s="6"/>
      <c r="AB30" s="6"/>
      <c r="AC30" s="6">
        <f>T30*战斗公式!$E$39*(1+W30*(X30-1))*Y30</f>
        <v>27274.567951461107</v>
      </c>
      <c r="AD30" s="6">
        <f>U30*战斗公式!$E$41*(1+V30*战斗公式!$E$40)</f>
        <v>29930.938767035499</v>
      </c>
      <c r="AE30" s="22">
        <f t="shared" si="12"/>
        <v>57205.506718496603</v>
      </c>
      <c r="AF30" s="22">
        <f t="shared" si="19"/>
        <v>2724.0717484998386</v>
      </c>
      <c r="AG30" s="22"/>
      <c r="AH30" s="9">
        <f t="shared" si="13"/>
        <v>254.56263421363701</v>
      </c>
      <c r="AI30" s="9">
        <f t="shared" si="14"/>
        <v>7851.8809752484622</v>
      </c>
      <c r="AJ30" s="9">
        <f t="shared" si="15"/>
        <v>1885.649142323236</v>
      </c>
      <c r="AK30" s="9">
        <f t="shared" si="20"/>
        <v>12.122030200649391</v>
      </c>
      <c r="AL30" s="9">
        <f t="shared" si="21"/>
        <v>351.36344191999069</v>
      </c>
      <c r="AM30" s="9">
        <f t="shared" si="22"/>
        <v>89.792816301106541</v>
      </c>
    </row>
    <row r="31" spans="1:39" ht="14.25" customHeight="1" x14ac:dyDescent="0.2">
      <c r="B31" s="6"/>
      <c r="D31" s="1">
        <v>14</v>
      </c>
      <c r="E31" s="6">
        <f t="shared" si="16"/>
        <v>13.828093710370403</v>
      </c>
      <c r="F31" s="6">
        <f t="shared" si="17"/>
        <v>116.28169710993292</v>
      </c>
      <c r="G31" s="6">
        <f t="shared" si="18"/>
        <v>10.685345139831671</v>
      </c>
      <c r="H31" s="6">
        <v>0.4</v>
      </c>
      <c r="I31" s="6">
        <v>1.5</v>
      </c>
      <c r="J31" s="6">
        <v>1</v>
      </c>
      <c r="K31" s="26">
        <f t="shared" si="9"/>
        <v>1.0491724561520612</v>
      </c>
      <c r="L31" s="6">
        <f t="shared" si="10"/>
        <v>1209.9581996574102</v>
      </c>
      <c r="M31" s="6">
        <f t="shared" si="11"/>
        <v>17167.099983922617</v>
      </c>
      <c r="N31" s="6">
        <f t="shared" si="4"/>
        <v>1602.8017709747508</v>
      </c>
      <c r="O31" s="6">
        <f t="shared" si="5"/>
        <v>0.4</v>
      </c>
      <c r="P31" s="6">
        <f t="shared" si="6"/>
        <v>1.5</v>
      </c>
      <c r="Q31" s="6">
        <f t="shared" si="7"/>
        <v>1</v>
      </c>
      <c r="R31" s="6"/>
      <c r="S31" s="38">
        <v>14</v>
      </c>
      <c r="T31" s="6">
        <f>VLOOKUP($S$13,角色设定!$AB$9:$AJ$21,MATCH(E$17,角色设定!$AB$9:$AJ$9,0),0)*Z31*$L$15*E31/Y31/(1+W31*(X31-1))</f>
        <v>954.60987830113868</v>
      </c>
      <c r="U31" s="6">
        <f>VLOOKUP($S$13,角色设定!$AB$9:$AJ$21,MATCH(F$17,角色设定!$AB$9:$AJ$9,0),0)*F31*$L$15/(1+V31/$N$16)</f>
        <v>29351.954884623501</v>
      </c>
      <c r="V31" s="6">
        <f>VLOOKUP($S$13,角色设定!$AB$9:$AJ$21,MATCH(V$17,角色设定!$AB$9:$AJ$9,0),0)*G31*$L$15</f>
        <v>7071.1842837121349</v>
      </c>
      <c r="W31" s="6">
        <f>VLOOKUP($S$13,角色设定!$AB$9:$AJ$21,MATCH(W$17,角色设定!$AB$9:$AJ$9,0),0)*H31</f>
        <v>0.4</v>
      </c>
      <c r="X31" s="6">
        <f>VLOOKUP($S$13,角色设定!$AB$9:$AJ$21,MATCH(X$17,角色设定!$AB$9:$AJ$9,0),0)*I31</f>
        <v>1.5</v>
      </c>
      <c r="Y31" s="6">
        <f>VLOOKUP($S$13,角色设定!$AB$9:$AJ$21,MATCH(Y$17,角色设定!$AB$9:$AJ$9,0),0)*J31</f>
        <v>1</v>
      </c>
      <c r="Z31" s="6">
        <f>VLOOKUP($S$13,角色设定!$AB$9:$AJ$21,MATCH(Z$17,角色设定!$AB$9:$AJ$9,0),0)</f>
        <v>0.9</v>
      </c>
      <c r="AA31" s="6"/>
      <c r="AB31" s="6"/>
      <c r="AC31" s="6">
        <f>T31*战斗公式!$E$39*(1+W31*(X31-1))*Y31</f>
        <v>28638.296349034161</v>
      </c>
      <c r="AD31" s="6">
        <f>U31*战斗公式!$E$41*(1+V31*战斗公式!$E$40)</f>
        <v>31427.485705387277</v>
      </c>
      <c r="AE31" s="22">
        <f t="shared" si="12"/>
        <v>60065.782054421434</v>
      </c>
      <c r="AF31" s="22">
        <f t="shared" si="19"/>
        <v>2860.2753359248309</v>
      </c>
      <c r="AG31" s="22"/>
      <c r="AH31" s="9">
        <f t="shared" si="13"/>
        <v>267.29076592431886</v>
      </c>
      <c r="AI31" s="9">
        <f t="shared" si="14"/>
        <v>8218.5473676945803</v>
      </c>
      <c r="AJ31" s="9">
        <f t="shared" si="15"/>
        <v>1979.931599439398</v>
      </c>
      <c r="AK31" s="9">
        <f t="shared" si="20"/>
        <v>12.728131710681851</v>
      </c>
      <c r="AL31" s="9">
        <f t="shared" si="21"/>
        <v>366.66639244611815</v>
      </c>
      <c r="AM31" s="9">
        <f t="shared" si="22"/>
        <v>94.28245711616205</v>
      </c>
    </row>
    <row r="32" spans="1:39" ht="14.25" customHeight="1" x14ac:dyDescent="0.2">
      <c r="B32" s="6"/>
      <c r="D32" s="1">
        <v>15</v>
      </c>
      <c r="E32" s="6">
        <f t="shared" si="16"/>
        <v>14.519498395888924</v>
      </c>
      <c r="F32" s="6">
        <f t="shared" si="17"/>
        <v>122.09578196542957</v>
      </c>
      <c r="G32" s="6">
        <f t="shared" si="18"/>
        <v>11.219612396823255</v>
      </c>
      <c r="H32" s="6">
        <v>0.4</v>
      </c>
      <c r="I32" s="6">
        <v>1.5</v>
      </c>
      <c r="J32" s="6">
        <v>1</v>
      </c>
      <c r="K32" s="26">
        <f t="shared" si="9"/>
        <v>1.0491317974353556</v>
      </c>
      <c r="L32" s="6">
        <f t="shared" si="10"/>
        <v>1270.4561096402806</v>
      </c>
      <c r="M32" s="6">
        <f t="shared" si="11"/>
        <v>18011.248455140103</v>
      </c>
      <c r="N32" s="6">
        <f t="shared" si="4"/>
        <v>1682.9418595234881</v>
      </c>
      <c r="O32" s="6">
        <f t="shared" si="5"/>
        <v>0.4</v>
      </c>
      <c r="P32" s="6">
        <f t="shared" si="6"/>
        <v>1.5</v>
      </c>
      <c r="Q32" s="6">
        <f t="shared" si="7"/>
        <v>1</v>
      </c>
      <c r="R32" s="6"/>
      <c r="S32" s="38">
        <v>15</v>
      </c>
      <c r="T32" s="6">
        <f>VLOOKUP($S$13,角色设定!$AB$9:$AJ$21,MATCH(E$17,角色设定!$AB$9:$AJ$9,0),0)*Z32*$L$15*E32/Y32/(1+W32*(X32-1))</f>
        <v>1002.3403722161958</v>
      </c>
      <c r="U32" s="6">
        <f>VLOOKUP($S$13,角色设定!$AB$9:$AJ$21,MATCH(F$17,角色设定!$AB$9:$AJ$9,0),0)*F32*$L$15/(1+V32/$N$16)</f>
        <v>30718.118485712195</v>
      </c>
      <c r="V32" s="6">
        <f>VLOOKUP($S$13,角色设定!$AB$9:$AJ$21,MATCH(V$17,角色设定!$AB$9:$AJ$9,0),0)*G32*$L$15</f>
        <v>7424.7434978977408</v>
      </c>
      <c r="W32" s="6">
        <f>VLOOKUP($S$13,角色设定!$AB$9:$AJ$21,MATCH(W$17,角色设定!$AB$9:$AJ$9,0),0)*H32</f>
        <v>0.4</v>
      </c>
      <c r="X32" s="6">
        <f>VLOOKUP($S$13,角色设定!$AB$9:$AJ$21,MATCH(X$17,角色设定!$AB$9:$AJ$9,0),0)*I32</f>
        <v>1.5</v>
      </c>
      <c r="Y32" s="6">
        <f>VLOOKUP($S$13,角色设定!$AB$9:$AJ$21,MATCH(Y$17,角色设定!$AB$9:$AJ$9,0),0)*J32</f>
        <v>1</v>
      </c>
      <c r="Z32" s="6">
        <f>VLOOKUP($S$13,角色设定!$AB$9:$AJ$21,MATCH(Z$17,角色设定!$AB$9:$AJ$9,0),0)</f>
        <v>0.9</v>
      </c>
      <c r="AA32" s="6"/>
      <c r="AB32" s="6"/>
      <c r="AC32" s="6">
        <f>T32*战斗公式!$E$39*(1+W32*(X32-1))*Y32</f>
        <v>30070.211166485875</v>
      </c>
      <c r="AD32" s="6">
        <f>U32*战斗公式!$E$41*(1+V32*战斗公式!$E$40)</f>
        <v>32998.859990656638</v>
      </c>
      <c r="AE32" s="22">
        <f t="shared" si="12"/>
        <v>63069.071157142513</v>
      </c>
      <c r="AF32" s="22">
        <f t="shared" si="19"/>
        <v>3003.289102721079</v>
      </c>
      <c r="AG32" s="22"/>
      <c r="AH32" s="9">
        <f t="shared" si="13"/>
        <v>280.65530422053484</v>
      </c>
      <c r="AI32" s="9">
        <f t="shared" si="14"/>
        <v>8601.073175999416</v>
      </c>
      <c r="AJ32" s="9">
        <f t="shared" si="15"/>
        <v>2078.9281794113676</v>
      </c>
      <c r="AK32" s="9">
        <f t="shared" si="20"/>
        <v>13.364538296215983</v>
      </c>
      <c r="AL32" s="9">
        <f t="shared" si="21"/>
        <v>382.52580830483566</v>
      </c>
      <c r="AM32" s="9">
        <f t="shared" si="22"/>
        <v>98.996579971969595</v>
      </c>
    </row>
    <row r="33" spans="4:39" ht="14.25" customHeight="1" x14ac:dyDescent="0.2">
      <c r="D33" s="1">
        <v>16</v>
      </c>
      <c r="E33" s="6">
        <f t="shared" si="16"/>
        <v>15.245473315683371</v>
      </c>
      <c r="F33" s="6">
        <f t="shared" si="17"/>
        <v>128.20057106370106</v>
      </c>
      <c r="G33" s="6">
        <f t="shared" si="18"/>
        <v>11.780593016664419</v>
      </c>
      <c r="H33" s="6">
        <v>0.4</v>
      </c>
      <c r="I33" s="6">
        <v>1.5</v>
      </c>
      <c r="J33" s="6">
        <v>1</v>
      </c>
      <c r="K33" s="26">
        <f t="shared" si="9"/>
        <v>1.049089178085046</v>
      </c>
      <c r="L33" s="6">
        <f t="shared" si="10"/>
        <v>1333.9789151222951</v>
      </c>
      <c r="M33" s="6">
        <f t="shared" si="11"/>
        <v>18896.173465795906</v>
      </c>
      <c r="N33" s="6">
        <f t="shared" si="4"/>
        <v>1767.0889524996628</v>
      </c>
      <c r="O33" s="6">
        <f t="shared" si="5"/>
        <v>0.4</v>
      </c>
      <c r="P33" s="6">
        <f t="shared" si="6"/>
        <v>1.5</v>
      </c>
      <c r="Q33" s="6">
        <f t="shared" si="7"/>
        <v>1</v>
      </c>
      <c r="R33" s="6"/>
      <c r="S33" s="38">
        <v>16</v>
      </c>
      <c r="T33" s="6">
        <f>VLOOKUP($S$13,角色设定!$AB$9:$AJ$21,MATCH(E$17,角色设定!$AB$9:$AJ$9,0),0)*Z33*$L$15*E33/Y33/(1+W33*(X33-1))</f>
        <v>1052.4573908270056</v>
      </c>
      <c r="U33" s="6">
        <f>VLOOKUP($S$13,角色设定!$AB$9:$AJ$21,MATCH(F$17,角色设定!$AB$9:$AJ$9,0),0)*F33*$L$15/(1+V33/$N$16)</f>
        <v>32142.945195112199</v>
      </c>
      <c r="V33" s="6">
        <f>VLOOKUP($S$13,角色设定!$AB$9:$AJ$21,MATCH(V$17,角色设定!$AB$9:$AJ$9,0),0)*G33*$L$15</f>
        <v>7795.9806727926289</v>
      </c>
      <c r="W33" s="6">
        <f>VLOOKUP($S$13,角色设定!$AB$9:$AJ$21,MATCH(W$17,角色设定!$AB$9:$AJ$9,0),0)*H33</f>
        <v>0.4</v>
      </c>
      <c r="X33" s="6">
        <f>VLOOKUP($S$13,角色设定!$AB$9:$AJ$21,MATCH(X$17,角色设定!$AB$9:$AJ$9,0),0)*I33</f>
        <v>1.5</v>
      </c>
      <c r="Y33" s="6">
        <f>VLOOKUP($S$13,角色设定!$AB$9:$AJ$21,MATCH(Y$17,角色设定!$AB$9:$AJ$9,0),0)*J33</f>
        <v>1</v>
      </c>
      <c r="Z33" s="6">
        <f>VLOOKUP($S$13,角色设定!$AB$9:$AJ$21,MATCH(Z$17,角色设定!$AB$9:$AJ$9,0),0)</f>
        <v>0.9</v>
      </c>
      <c r="AA33" s="6"/>
      <c r="AB33" s="6"/>
      <c r="AC33" s="6">
        <f>T33*战斗公式!$E$39*(1+W33*(X33-1))*Y33</f>
        <v>31573.721724810166</v>
      </c>
      <c r="AD33" s="6">
        <f>U33*战斗公式!$E$41*(1+V33*战斗公式!$E$40)</f>
        <v>34648.802990189477</v>
      </c>
      <c r="AE33" s="22">
        <f t="shared" si="12"/>
        <v>66222.524714999643</v>
      </c>
      <c r="AF33" s="22">
        <f t="shared" si="19"/>
        <v>3153.4535578571304</v>
      </c>
      <c r="AG33" s="22"/>
      <c r="AH33" s="9">
        <f t="shared" si="13"/>
        <v>294.68806943156159</v>
      </c>
      <c r="AI33" s="9">
        <f t="shared" si="14"/>
        <v>9000.0246546314174</v>
      </c>
      <c r="AJ33" s="9">
        <f t="shared" si="15"/>
        <v>2182.8745883819361</v>
      </c>
      <c r="AK33" s="9">
        <f t="shared" si="20"/>
        <v>14.032765211026742</v>
      </c>
      <c r="AL33" s="9">
        <f t="shared" si="21"/>
        <v>398.95147863200145</v>
      </c>
      <c r="AM33" s="9">
        <f t="shared" si="22"/>
        <v>103.94640897056843</v>
      </c>
    </row>
    <row r="34" spans="4:39" ht="14.25" customHeight="1" x14ac:dyDescent="0.2">
      <c r="D34" s="1">
        <v>17</v>
      </c>
      <c r="E34" s="6">
        <f t="shared" si="16"/>
        <v>16.007746981467541</v>
      </c>
      <c r="F34" s="6">
        <f t="shared" si="17"/>
        <v>134.61059961688613</v>
      </c>
      <c r="G34" s="6">
        <f t="shared" si="18"/>
        <v>12.369622667497641</v>
      </c>
      <c r="H34" s="6">
        <v>0.4</v>
      </c>
      <c r="I34" s="6">
        <v>1.5</v>
      </c>
      <c r="J34" s="6">
        <v>1</v>
      </c>
      <c r="K34" s="26">
        <f t="shared" si="9"/>
        <v>1.0490445072730132</v>
      </c>
      <c r="L34" s="6">
        <f t="shared" si="10"/>
        <v>1400.67786087841</v>
      </c>
      <c r="M34" s="6">
        <f t="shared" si="11"/>
        <v>19823.77109018428</v>
      </c>
      <c r="N34" s="6">
        <f t="shared" si="4"/>
        <v>1855.4434001246461</v>
      </c>
      <c r="O34" s="6">
        <f t="shared" si="5"/>
        <v>0.4</v>
      </c>
      <c r="P34" s="6">
        <f t="shared" si="6"/>
        <v>1.5</v>
      </c>
      <c r="Q34" s="6">
        <f t="shared" si="7"/>
        <v>1</v>
      </c>
      <c r="R34" s="6"/>
      <c r="S34" s="38">
        <v>17</v>
      </c>
      <c r="T34" s="6">
        <f>VLOOKUP($S$13,角色设定!$AB$9:$AJ$21,MATCH(E$17,角色设定!$AB$9:$AJ$9,0),0)*Z34*$L$15*E34/Y34/(1+W34*(X34-1))</f>
        <v>1105.080260368356</v>
      </c>
      <c r="U34" s="6">
        <f>VLOOKUP($S$13,角色设定!$AB$9:$AJ$21,MATCH(F$17,角色设定!$AB$9:$AJ$9,0),0)*F34*$L$15/(1+V34/$N$16)</f>
        <v>33628.489103116277</v>
      </c>
      <c r="V34" s="6">
        <f>VLOOKUP($S$13,角色设定!$AB$9:$AJ$21,MATCH(V$17,角色设定!$AB$9:$AJ$9,0),0)*G34*$L$15</f>
        <v>8185.7797064322613</v>
      </c>
      <c r="W34" s="6">
        <f>VLOOKUP($S$13,角色设定!$AB$9:$AJ$21,MATCH(W$17,角色设定!$AB$9:$AJ$9,0),0)*H34</f>
        <v>0.4</v>
      </c>
      <c r="X34" s="6">
        <f>VLOOKUP($S$13,角色设定!$AB$9:$AJ$21,MATCH(X$17,角色设定!$AB$9:$AJ$9,0),0)*I34</f>
        <v>1.5</v>
      </c>
      <c r="Y34" s="6">
        <f>VLOOKUP($S$13,角色设定!$AB$9:$AJ$21,MATCH(Y$17,角色设定!$AB$9:$AJ$9,0),0)*J34</f>
        <v>1</v>
      </c>
      <c r="Z34" s="6">
        <f>VLOOKUP($S$13,角色设定!$AB$9:$AJ$21,MATCH(Z$17,角色设定!$AB$9:$AJ$9,0),0)</f>
        <v>0.9</v>
      </c>
      <c r="AA34" s="6"/>
      <c r="AB34" s="6"/>
      <c r="AC34" s="6">
        <f>T34*战斗公式!$E$39*(1+W34*(X34-1))*Y34</f>
        <v>33152.407811050674</v>
      </c>
      <c r="AD34" s="6">
        <f>U34*战斗公式!$E$41*(1+V34*战斗公式!$E$40)</f>
        <v>36381.243139698956</v>
      </c>
      <c r="AE34" s="22">
        <f t="shared" si="12"/>
        <v>69533.650950749638</v>
      </c>
      <c r="AF34" s="22">
        <f t="shared" si="19"/>
        <v>3311.1262357499945</v>
      </c>
      <c r="AG34" s="22"/>
      <c r="AH34" s="9">
        <f t="shared" si="13"/>
        <v>309.42247290313969</v>
      </c>
      <c r="AI34" s="9">
        <f t="shared" si="14"/>
        <v>9415.9769488725578</v>
      </c>
      <c r="AJ34" s="9">
        <f t="shared" si="15"/>
        <v>2292.0183178010334</v>
      </c>
      <c r="AK34" s="9">
        <f t="shared" si="20"/>
        <v>14.734403471578105</v>
      </c>
      <c r="AL34" s="9">
        <f t="shared" si="21"/>
        <v>415.95229424114041</v>
      </c>
      <c r="AM34" s="9">
        <f t="shared" si="22"/>
        <v>109.14372941909733</v>
      </c>
    </row>
    <row r="35" spans="4:39" ht="14.25" customHeight="1" x14ac:dyDescent="0.2">
      <c r="D35" s="1">
        <v>18</v>
      </c>
      <c r="E35" s="6">
        <f t="shared" si="16"/>
        <v>16.80813433054092</v>
      </c>
      <c r="F35" s="6">
        <f t="shared" si="17"/>
        <v>141.34112959773046</v>
      </c>
      <c r="G35" s="6">
        <f t="shared" si="18"/>
        <v>12.988103800872523</v>
      </c>
      <c r="H35" s="6">
        <v>0.4</v>
      </c>
      <c r="I35" s="6">
        <v>1.5</v>
      </c>
      <c r="J35" s="6">
        <v>1</v>
      </c>
      <c r="K35" s="26">
        <f t="shared" si="9"/>
        <v>1.0489976903362577</v>
      </c>
      <c r="L35" s="6">
        <f t="shared" si="10"/>
        <v>1470.7117539223304</v>
      </c>
      <c r="M35" s="6">
        <f t="shared" si="11"/>
        <v>20796.018175595371</v>
      </c>
      <c r="N35" s="6">
        <f t="shared" si="4"/>
        <v>1948.2155701308784</v>
      </c>
      <c r="O35" s="6">
        <f t="shared" si="5"/>
        <v>0.4</v>
      </c>
      <c r="P35" s="6">
        <f t="shared" si="6"/>
        <v>1.5</v>
      </c>
      <c r="Q35" s="6">
        <f t="shared" si="7"/>
        <v>1</v>
      </c>
      <c r="R35" s="6"/>
      <c r="S35" s="38">
        <v>18</v>
      </c>
      <c r="T35" s="6">
        <f>VLOOKUP($S$13,角色设定!$AB$9:$AJ$21,MATCH(E$17,角色设定!$AB$9:$AJ$9,0),0)*Z35*$L$15*E35/Y35/(1+W35*(X35-1))</f>
        <v>1160.3342733867737</v>
      </c>
      <c r="U35" s="6">
        <f>VLOOKUP($S$13,角色设定!$AB$9:$AJ$21,MATCH(F$17,角色设定!$AB$9:$AJ$9,0),0)*F35*$L$15/(1+V35/$N$16)</f>
        <v>35176.832389245159</v>
      </c>
      <c r="V35" s="6">
        <f>VLOOKUP($S$13,角色设定!$AB$9:$AJ$21,MATCH(V$17,角色设定!$AB$9:$AJ$9,0),0)*G35*$L$15</f>
        <v>8595.0686917538733</v>
      </c>
      <c r="W35" s="6">
        <f>VLOOKUP($S$13,角色设定!$AB$9:$AJ$21,MATCH(W$17,角色设定!$AB$9:$AJ$9,0),0)*H35</f>
        <v>0.4</v>
      </c>
      <c r="X35" s="6">
        <f>VLOOKUP($S$13,角色设定!$AB$9:$AJ$21,MATCH(X$17,角色设定!$AB$9:$AJ$9,0),0)*I35</f>
        <v>1.5</v>
      </c>
      <c r="Y35" s="6">
        <f>VLOOKUP($S$13,角色设定!$AB$9:$AJ$21,MATCH(Y$17,角色设定!$AB$9:$AJ$9,0),0)*J35</f>
        <v>1</v>
      </c>
      <c r="Z35" s="6">
        <f>VLOOKUP($S$13,角色设定!$AB$9:$AJ$21,MATCH(Z$17,角色设定!$AB$9:$AJ$9,0),0)</f>
        <v>0.9</v>
      </c>
      <c r="AA35" s="6"/>
      <c r="AB35" s="6"/>
      <c r="AC35" s="6">
        <f>T35*战斗公式!$E$39*(1+W35*(X35-1))*Y35</f>
        <v>34810.028201603207</v>
      </c>
      <c r="AD35" s="6">
        <f>U35*战斗公式!$E$41*(1+V35*战斗公式!$E$40)</f>
        <v>38200.30529668391</v>
      </c>
      <c r="AE35" s="22">
        <f t="shared" si="12"/>
        <v>73010.333498287117</v>
      </c>
      <c r="AF35" s="22">
        <f t="shared" si="19"/>
        <v>3476.682547537479</v>
      </c>
      <c r="AG35" s="22"/>
      <c r="AH35" s="9">
        <f t="shared" si="13"/>
        <v>324.89359654829667</v>
      </c>
      <c r="AI35" s="9">
        <f t="shared" si="14"/>
        <v>9849.5130689886446</v>
      </c>
      <c r="AJ35" s="9">
        <f t="shared" si="15"/>
        <v>2406.6192336910849</v>
      </c>
      <c r="AK35" s="9">
        <f t="shared" si="20"/>
        <v>15.471123645156979</v>
      </c>
      <c r="AL35" s="9">
        <f t="shared" si="21"/>
        <v>433.53612011608675</v>
      </c>
      <c r="AM35" s="9">
        <f t="shared" si="22"/>
        <v>114.60091589005151</v>
      </c>
    </row>
    <row r="36" spans="4:39" ht="14.25" customHeight="1" x14ac:dyDescent="0.2">
      <c r="D36" s="1">
        <v>19</v>
      </c>
      <c r="E36" s="6">
        <f t="shared" si="16"/>
        <v>17.648541047067965</v>
      </c>
      <c r="F36" s="6">
        <f t="shared" si="17"/>
        <v>148.40818607761699</v>
      </c>
      <c r="G36" s="6">
        <f t="shared" si="18"/>
        <v>13.63750899091615</v>
      </c>
      <c r="H36" s="6">
        <v>0.4</v>
      </c>
      <c r="I36" s="6">
        <v>1.5</v>
      </c>
      <c r="J36" s="6">
        <v>1</v>
      </c>
      <c r="K36" s="26">
        <f t="shared" si="9"/>
        <v>1.0489486286527325</v>
      </c>
      <c r="L36" s="6">
        <f t="shared" si="10"/>
        <v>1544.2473416184471</v>
      </c>
      <c r="M36" s="6">
        <f t="shared" si="11"/>
        <v>21814.97503439038</v>
      </c>
      <c r="N36" s="6">
        <f t="shared" si="4"/>
        <v>2045.6263486374223</v>
      </c>
      <c r="O36" s="6">
        <f t="shared" si="5"/>
        <v>0.4</v>
      </c>
      <c r="P36" s="6">
        <f t="shared" si="6"/>
        <v>1.5</v>
      </c>
      <c r="Q36" s="6">
        <f t="shared" si="7"/>
        <v>1</v>
      </c>
      <c r="R36" s="6"/>
      <c r="S36" s="38">
        <v>19</v>
      </c>
      <c r="T36" s="6">
        <f>VLOOKUP($S$13,角色设定!$AB$9:$AJ$21,MATCH(E$17,角色设定!$AB$9:$AJ$9,0),0)*Z36*$L$15*E36/Y36/(1+W36*(X36-1))</f>
        <v>1218.3509870561124</v>
      </c>
      <c r="U36" s="6">
        <f>VLOOKUP($S$13,角色设定!$AB$9:$AJ$21,MATCH(F$17,角色设定!$AB$9:$AJ$9,0),0)*F36*$L$15/(1+V36/$N$16)</f>
        <v>36790.08117530973</v>
      </c>
      <c r="V36" s="6">
        <f>VLOOKUP($S$13,角色设定!$AB$9:$AJ$21,MATCH(V$17,角色设定!$AB$9:$AJ$9,0),0)*G36*$L$15</f>
        <v>9024.8221263415671</v>
      </c>
      <c r="W36" s="6">
        <f>VLOOKUP($S$13,角色设定!$AB$9:$AJ$21,MATCH(W$17,角色设定!$AB$9:$AJ$9,0),0)*H36</f>
        <v>0.4</v>
      </c>
      <c r="X36" s="6">
        <f>VLOOKUP($S$13,角色设定!$AB$9:$AJ$21,MATCH(X$17,角色设定!$AB$9:$AJ$9,0),0)*I36</f>
        <v>1.5</v>
      </c>
      <c r="Y36" s="6">
        <f>VLOOKUP($S$13,角色设定!$AB$9:$AJ$21,MATCH(Y$17,角色设定!$AB$9:$AJ$9,0),0)*J36</f>
        <v>1</v>
      </c>
      <c r="Z36" s="6">
        <f>VLOOKUP($S$13,角色设定!$AB$9:$AJ$21,MATCH(Z$17,角色设定!$AB$9:$AJ$9,0),0)</f>
        <v>0.9</v>
      </c>
      <c r="AA36" s="6"/>
      <c r="AB36" s="6"/>
      <c r="AC36" s="6">
        <f>T36*战斗公式!$E$39*(1+W36*(X36-1))*Y36</f>
        <v>36550.529611683371</v>
      </c>
      <c r="AD36" s="6">
        <f>U36*战斗公式!$E$41*(1+V36*战斗公式!$E$40)</f>
        <v>40110.320561518107</v>
      </c>
      <c r="AE36" s="22">
        <f t="shared" si="12"/>
        <v>76660.85017320147</v>
      </c>
      <c r="AF36" s="22">
        <f t="shared" si="19"/>
        <v>3650.5166749143536</v>
      </c>
      <c r="AG36" s="22"/>
      <c r="AH36" s="9">
        <f t="shared" si="13"/>
        <v>341.13827637571154</v>
      </c>
      <c r="AI36" s="9">
        <f t="shared" si="14"/>
        <v>10301.222729086725</v>
      </c>
      <c r="AJ36" s="9">
        <f t="shared" si="15"/>
        <v>2526.9501953756389</v>
      </c>
      <c r="AK36" s="9">
        <f t="shared" si="20"/>
        <v>16.24467982741487</v>
      </c>
      <c r="AL36" s="9">
        <f t="shared" si="21"/>
        <v>451.70966009808035</v>
      </c>
      <c r="AM36" s="9">
        <f t="shared" si="22"/>
        <v>120.33096168455404</v>
      </c>
    </row>
    <row r="37" spans="4:39" ht="14.25" customHeight="1" x14ac:dyDescent="0.2">
      <c r="D37" s="1">
        <v>20</v>
      </c>
      <c r="E37" s="6">
        <f t="shared" si="16"/>
        <v>18.530968099421365</v>
      </c>
      <c r="F37" s="6">
        <f t="shared" si="17"/>
        <v>155.82859538149785</v>
      </c>
      <c r="G37" s="6">
        <f t="shared" si="18"/>
        <v>14.319384440461958</v>
      </c>
      <c r="H37" s="6">
        <v>0.4</v>
      </c>
      <c r="I37" s="6">
        <v>1.5</v>
      </c>
      <c r="J37" s="6">
        <v>1</v>
      </c>
      <c r="K37" s="26">
        <f t="shared" si="9"/>
        <v>1.0488972195171706</v>
      </c>
      <c r="L37" s="6">
        <f t="shared" si="10"/>
        <v>1621.4597086993695</v>
      </c>
      <c r="M37" s="6">
        <f t="shared" si="11"/>
        <v>22882.788146417384</v>
      </c>
      <c r="N37" s="6">
        <f t="shared" si="4"/>
        <v>2147.9076660692936</v>
      </c>
      <c r="O37" s="6">
        <f t="shared" si="5"/>
        <v>0.4</v>
      </c>
      <c r="P37" s="6">
        <f t="shared" si="6"/>
        <v>1.5</v>
      </c>
      <c r="Q37" s="6">
        <f t="shared" si="7"/>
        <v>1</v>
      </c>
      <c r="R37" s="6"/>
      <c r="S37" s="38">
        <v>20</v>
      </c>
      <c r="T37" s="6">
        <f>VLOOKUP($S$13,角色设定!$AB$9:$AJ$21,MATCH(E$17,角色设定!$AB$9:$AJ$9,0),0)*Z37*$L$15*E37/Y37/(1+W37*(X37-1))</f>
        <v>1279.2685364089182</v>
      </c>
      <c r="U37" s="6">
        <f>VLOOKUP($S$13,角色设定!$AB$9:$AJ$21,MATCH(F$17,角色设定!$AB$9:$AJ$9,0),0)*F37*$L$15/(1+V37/$N$16)</f>
        <v>38470.360867918127</v>
      </c>
      <c r="V37" s="6">
        <f>VLOOKUP($S$13,角色设定!$AB$9:$AJ$21,MATCH(V$17,角色设定!$AB$9:$AJ$9,0),0)*G37*$L$15</f>
        <v>9476.0632326586474</v>
      </c>
      <c r="W37" s="6">
        <f>VLOOKUP($S$13,角色设定!$AB$9:$AJ$21,MATCH(W$17,角色设定!$AB$9:$AJ$9,0),0)*H37</f>
        <v>0.4</v>
      </c>
      <c r="X37" s="6">
        <f>VLOOKUP($S$13,角色设定!$AB$9:$AJ$21,MATCH(X$17,角色设定!$AB$9:$AJ$9,0),0)*I37</f>
        <v>1.5</v>
      </c>
      <c r="Y37" s="6">
        <f>VLOOKUP($S$13,角色设定!$AB$9:$AJ$21,MATCH(Y$17,角色设定!$AB$9:$AJ$9,0),0)*J37</f>
        <v>1</v>
      </c>
      <c r="Z37" s="6">
        <f>VLOOKUP($S$13,角色设定!$AB$9:$AJ$21,MATCH(Z$17,角色设定!$AB$9:$AJ$9,0),0)</f>
        <v>0.9</v>
      </c>
      <c r="AA37" s="6"/>
      <c r="AB37" s="6"/>
      <c r="AC37" s="6">
        <f>T37*战斗公式!$E$39*(1+W37*(X37-1))*Y37</f>
        <v>38378.056092267543</v>
      </c>
      <c r="AD37" s="6">
        <f>U37*战斗公式!$E$41*(1+V37*战斗公式!$E$40)</f>
        <v>42115.836589594015</v>
      </c>
      <c r="AE37" s="22">
        <f t="shared" si="12"/>
        <v>80493.892681861558</v>
      </c>
      <c r="AF37" s="22">
        <f t="shared" si="19"/>
        <v>3833.0425086600881</v>
      </c>
      <c r="AG37" s="22"/>
      <c r="AH37" s="9">
        <f t="shared" si="13"/>
        <v>358.19519019449712</v>
      </c>
      <c r="AI37" s="9">
        <f t="shared" si="14"/>
        <v>10771.701043017076</v>
      </c>
      <c r="AJ37" s="9">
        <f t="shared" si="15"/>
        <v>2653.2977051444213</v>
      </c>
      <c r="AK37" s="9">
        <f t="shared" si="20"/>
        <v>17.056913818785574</v>
      </c>
      <c r="AL37" s="9">
        <f t="shared" si="21"/>
        <v>470.47831393035085</v>
      </c>
      <c r="AM37" s="9">
        <f t="shared" si="22"/>
        <v>126.3475097687824</v>
      </c>
    </row>
    <row r="38" spans="4:39" ht="14.25" customHeight="1" x14ac:dyDescent="0.2">
      <c r="D38" s="1">
        <v>21</v>
      </c>
      <c r="E38" s="6">
        <f t="shared" si="16"/>
        <v>19.457516504392434</v>
      </c>
      <c r="F38" s="6">
        <f t="shared" si="17"/>
        <v>163.62002515057276</v>
      </c>
      <c r="G38" s="6">
        <f t="shared" si="18"/>
        <v>15.035353662485056</v>
      </c>
      <c r="H38" s="6">
        <v>0.4</v>
      </c>
      <c r="I38" s="6">
        <v>1.5</v>
      </c>
      <c r="J38" s="6">
        <v>1</v>
      </c>
      <c r="K38" s="26">
        <f t="shared" si="9"/>
        <v>1.0488433560174391</v>
      </c>
      <c r="L38" s="6">
        <f t="shared" si="10"/>
        <v>1702.5326941343378</v>
      </c>
      <c r="M38" s="6">
        <f t="shared" si="11"/>
        <v>24001.692861577667</v>
      </c>
      <c r="N38" s="6">
        <f t="shared" si="4"/>
        <v>2255.3030493727583</v>
      </c>
      <c r="O38" s="6">
        <f t="shared" si="5"/>
        <v>0.4</v>
      </c>
      <c r="P38" s="6">
        <f t="shared" si="6"/>
        <v>1.5</v>
      </c>
      <c r="Q38" s="6">
        <f t="shared" si="7"/>
        <v>1</v>
      </c>
      <c r="R38" s="6"/>
      <c r="S38" s="38">
        <v>21</v>
      </c>
      <c r="T38" s="6">
        <f>VLOOKUP($S$13,角色设定!$AB$9:$AJ$21,MATCH(E$17,角色设定!$AB$9:$AJ$9,0),0)*Z38*$L$15*E38/Y38/(1+W38*(X38-1))</f>
        <v>1343.2319632293641</v>
      </c>
      <c r="U38" s="6">
        <f>VLOOKUP($S$13,角色设定!$AB$9:$AJ$21,MATCH(F$17,角色设定!$AB$9:$AJ$9,0),0)*F38*$L$15/(1+V38/$N$16)</f>
        <v>40219.810964108299</v>
      </c>
      <c r="V38" s="6">
        <f>VLOOKUP($S$13,角色设定!$AB$9:$AJ$21,MATCH(V$17,角色设定!$AB$9:$AJ$9,0),0)*G38*$L$15</f>
        <v>9949.8663942915809</v>
      </c>
      <c r="W38" s="6">
        <f>VLOOKUP($S$13,角色设定!$AB$9:$AJ$21,MATCH(W$17,角色设定!$AB$9:$AJ$9,0),0)*H38</f>
        <v>0.4</v>
      </c>
      <c r="X38" s="6">
        <f>VLOOKUP($S$13,角色设定!$AB$9:$AJ$21,MATCH(X$17,角色设定!$AB$9:$AJ$9,0),0)*I38</f>
        <v>1.5</v>
      </c>
      <c r="Y38" s="6">
        <f>VLOOKUP($S$13,角色设定!$AB$9:$AJ$21,MATCH(Y$17,角色设定!$AB$9:$AJ$9,0),0)*J38</f>
        <v>1</v>
      </c>
      <c r="Z38" s="6">
        <f>VLOOKUP($S$13,角色设定!$AB$9:$AJ$21,MATCH(Z$17,角色设定!$AB$9:$AJ$9,0),0)</f>
        <v>0.9</v>
      </c>
      <c r="AA38" s="6"/>
      <c r="AB38" s="6"/>
      <c r="AC38" s="6">
        <f>T38*战斗公式!$E$39*(1+W38*(X38-1))*Y38</f>
        <v>40296.958896880926</v>
      </c>
      <c r="AD38" s="6">
        <f>U38*战斗公式!$E$41*(1+V38*战斗公式!$E$40)</f>
        <v>44221.628419073713</v>
      </c>
      <c r="AE38" s="22">
        <f t="shared" si="12"/>
        <v>84518.587315954646</v>
      </c>
      <c r="AF38" s="22">
        <f t="shared" si="19"/>
        <v>4024.6946340930881</v>
      </c>
      <c r="AG38" s="22"/>
      <c r="AH38" s="9">
        <f t="shared" si="13"/>
        <v>376.10494970422195</v>
      </c>
      <c r="AI38" s="9">
        <f t="shared" si="14"/>
        <v>11261.547069950326</v>
      </c>
      <c r="AJ38" s="9">
        <f t="shared" si="15"/>
        <v>2785.962590401643</v>
      </c>
      <c r="AK38" s="9">
        <f t="shared" si="20"/>
        <v>17.909759509724836</v>
      </c>
      <c r="AL38" s="9">
        <f t="shared" si="21"/>
        <v>489.84602693324996</v>
      </c>
      <c r="AM38" s="9">
        <f t="shared" si="22"/>
        <v>132.66488525722161</v>
      </c>
    </row>
    <row r="39" spans="4:39" ht="14.25" customHeight="1" x14ac:dyDescent="0.2">
      <c r="D39" s="1">
        <v>22</v>
      </c>
      <c r="E39" s="6">
        <f t="shared" si="16"/>
        <v>20.430392329612054</v>
      </c>
      <c r="F39" s="6">
        <f t="shared" si="17"/>
        <v>171.80102640810139</v>
      </c>
      <c r="G39" s="6">
        <f t="shared" si="18"/>
        <v>15.787121345609309</v>
      </c>
      <c r="H39" s="6">
        <v>0.4</v>
      </c>
      <c r="I39" s="6">
        <v>1.5</v>
      </c>
      <c r="J39" s="6">
        <v>1</v>
      </c>
      <c r="K39" s="26">
        <f t="shared" si="9"/>
        <v>1.0487869269119983</v>
      </c>
      <c r="L39" s="6">
        <f t="shared" si="10"/>
        <v>1787.6593288410547</v>
      </c>
      <c r="M39" s="6">
        <f t="shared" si="11"/>
        <v>25174.01609103693</v>
      </c>
      <c r="N39" s="6">
        <f t="shared" si="4"/>
        <v>2368.0682018413963</v>
      </c>
      <c r="O39" s="6">
        <f t="shared" si="5"/>
        <v>0.4</v>
      </c>
      <c r="P39" s="6">
        <f t="shared" si="6"/>
        <v>1.5</v>
      </c>
      <c r="Q39" s="6">
        <f t="shared" si="7"/>
        <v>1</v>
      </c>
      <c r="R39" s="6"/>
      <c r="S39" s="38">
        <v>22</v>
      </c>
      <c r="T39" s="6">
        <f>VLOOKUP($S$13,角色设定!$AB$9:$AJ$21,MATCH(E$17,角色设定!$AB$9:$AJ$9,0),0)*Z39*$L$15*E39/Y39/(1+W39*(X39-1))</f>
        <v>1410.3935613908322</v>
      </c>
      <c r="U39" s="6">
        <f>VLOOKUP($S$13,角色设定!$AB$9:$AJ$21,MATCH(F$17,角色设定!$AB$9:$AJ$9,0),0)*F39*$L$15/(1+V39/$N$16)</f>
        <v>42040.579295205316</v>
      </c>
      <c r="V39" s="6">
        <f>VLOOKUP($S$13,角色设定!$AB$9:$AJ$21,MATCH(V$17,角色设定!$AB$9:$AJ$9,0),0)*G39*$L$15</f>
        <v>10447.359714006159</v>
      </c>
      <c r="W39" s="6">
        <f>VLOOKUP($S$13,角色设定!$AB$9:$AJ$21,MATCH(W$17,角色设定!$AB$9:$AJ$9,0),0)*H39</f>
        <v>0.4</v>
      </c>
      <c r="X39" s="6">
        <f>VLOOKUP($S$13,角色设定!$AB$9:$AJ$21,MATCH(X$17,角色设定!$AB$9:$AJ$9,0),0)*I39</f>
        <v>1.5</v>
      </c>
      <c r="Y39" s="6">
        <f>VLOOKUP($S$13,角色设定!$AB$9:$AJ$21,MATCH(Y$17,角色设定!$AB$9:$AJ$9,0),0)*J39</f>
        <v>1</v>
      </c>
      <c r="Z39" s="6">
        <f>VLOOKUP($S$13,角色设定!$AB$9:$AJ$21,MATCH(Z$17,角色设定!$AB$9:$AJ$9,0),0)</f>
        <v>0.9</v>
      </c>
      <c r="AA39" s="6"/>
      <c r="AB39" s="6"/>
      <c r="AC39" s="6">
        <f>T39*战斗公式!$E$39*(1+W39*(X39-1))*Y39</f>
        <v>42311.806841724967</v>
      </c>
      <c r="AD39" s="6">
        <f>U39*战斗公式!$E$41*(1+V39*战斗公式!$E$40)</f>
        <v>46432.709840027412</v>
      </c>
      <c r="AE39" s="22">
        <f t="shared" si="12"/>
        <v>88744.516681752371</v>
      </c>
      <c r="AF39" s="22">
        <f t="shared" si="19"/>
        <v>4225.929365797725</v>
      </c>
      <c r="AG39" s="22"/>
      <c r="AH39" s="9">
        <f t="shared" si="13"/>
        <v>394.91019718943306</v>
      </c>
      <c r="AI39" s="9">
        <f t="shared" si="14"/>
        <v>11771.36220265749</v>
      </c>
      <c r="AJ39" s="9">
        <f t="shared" si="15"/>
        <v>2925.260719921725</v>
      </c>
      <c r="AK39" s="9">
        <f t="shared" si="20"/>
        <v>18.805247485211112</v>
      </c>
      <c r="AL39" s="9">
        <f t="shared" si="21"/>
        <v>509.81513270716459</v>
      </c>
      <c r="AM39" s="9">
        <f t="shared" si="22"/>
        <v>139.29812952008206</v>
      </c>
    </row>
    <row r="40" spans="4:39" ht="14.25" customHeight="1" x14ac:dyDescent="0.2">
      <c r="D40" s="1">
        <v>23</v>
      </c>
      <c r="E40" s="6">
        <f t="shared" si="16"/>
        <v>21.451911946092658</v>
      </c>
      <c r="F40" s="6">
        <f t="shared" si="17"/>
        <v>180.39107772850647</v>
      </c>
      <c r="G40" s="6">
        <f t="shared" si="18"/>
        <v>16.576477412889776</v>
      </c>
      <c r="H40" s="6">
        <v>0.4</v>
      </c>
      <c r="I40" s="6">
        <v>1.5</v>
      </c>
      <c r="J40" s="6">
        <v>1</v>
      </c>
      <c r="K40" s="26">
        <f t="shared" si="9"/>
        <v>1.0487278165091543</v>
      </c>
      <c r="L40" s="6">
        <f t="shared" si="10"/>
        <v>1877.0422952831073</v>
      </c>
      <c r="M40" s="6">
        <f t="shared" si="11"/>
        <v>26402.178974151819</v>
      </c>
      <c r="N40" s="6">
        <f t="shared" si="4"/>
        <v>2486.4716119334666</v>
      </c>
      <c r="O40" s="6">
        <f t="shared" si="5"/>
        <v>0.4</v>
      </c>
      <c r="P40" s="6">
        <f t="shared" si="6"/>
        <v>1.5</v>
      </c>
      <c r="Q40" s="6">
        <f t="shared" si="7"/>
        <v>1</v>
      </c>
      <c r="R40" s="6"/>
      <c r="S40" s="38">
        <v>23</v>
      </c>
      <c r="T40" s="6">
        <f>VLOOKUP($S$13,角色设定!$AB$9:$AJ$21,MATCH(E$17,角色设定!$AB$9:$AJ$9,0),0)*Z40*$L$15*E40/Y40/(1+W40*(X40-1))</f>
        <v>1480.9132394603739</v>
      </c>
      <c r="U40" s="6">
        <f>VLOOKUP($S$13,角色设定!$AB$9:$AJ$21,MATCH(F$17,角色设定!$AB$9:$AJ$9,0),0)*F40*$L$15/(1+V40/$N$16)</f>
        <v>43934.815685915877</v>
      </c>
      <c r="V40" s="6">
        <f>VLOOKUP($S$13,角色设定!$AB$9:$AJ$21,MATCH(V$17,角色设定!$AB$9:$AJ$9,0),0)*G40*$L$15</f>
        <v>10969.727699706469</v>
      </c>
      <c r="W40" s="6">
        <f>VLOOKUP($S$13,角色设定!$AB$9:$AJ$21,MATCH(W$17,角色设定!$AB$9:$AJ$9,0),0)*H40</f>
        <v>0.4</v>
      </c>
      <c r="X40" s="6">
        <f>VLOOKUP($S$13,角色设定!$AB$9:$AJ$21,MATCH(X$17,角色设定!$AB$9:$AJ$9,0),0)*I40</f>
        <v>1.5</v>
      </c>
      <c r="Y40" s="6">
        <f>VLOOKUP($S$13,角色设定!$AB$9:$AJ$21,MATCH(Y$17,角色设定!$AB$9:$AJ$9,0),0)*J40</f>
        <v>1</v>
      </c>
      <c r="Z40" s="6">
        <f>VLOOKUP($S$13,角色设定!$AB$9:$AJ$21,MATCH(Z$17,角色设定!$AB$9:$AJ$9,0),0)</f>
        <v>0.9</v>
      </c>
      <c r="AA40" s="6"/>
      <c r="AB40" s="6"/>
      <c r="AC40" s="6">
        <f>T40*战斗公式!$E$39*(1+W40*(X40-1))*Y40</f>
        <v>44427.397183811212</v>
      </c>
      <c r="AD40" s="6">
        <f>U40*战斗公式!$E$41*(1+V40*战斗公式!$E$40)</f>
        <v>48754.345332028781</v>
      </c>
      <c r="AE40" s="22">
        <f t="shared" si="12"/>
        <v>93181.742515839986</v>
      </c>
      <c r="AF40" s="22">
        <f t="shared" si="19"/>
        <v>4437.2258340876142</v>
      </c>
      <c r="AG40" s="22"/>
      <c r="AH40" s="9">
        <f t="shared" si="13"/>
        <v>414.65570704890473</v>
      </c>
      <c r="AI40" s="9">
        <f t="shared" si="14"/>
        <v>12301.748392056446</v>
      </c>
      <c r="AJ40" s="9">
        <f t="shared" si="15"/>
        <v>3071.5237559178117</v>
      </c>
      <c r="AK40" s="9">
        <f t="shared" si="20"/>
        <v>19.745509859471667</v>
      </c>
      <c r="AL40" s="9">
        <f t="shared" si="21"/>
        <v>530.38618939895605</v>
      </c>
      <c r="AM40" s="9">
        <f t="shared" si="22"/>
        <v>146.26303599608673</v>
      </c>
    </row>
    <row r="41" spans="4:39" ht="14.25" customHeight="1" x14ac:dyDescent="0.2">
      <c r="D41" s="1">
        <v>24</v>
      </c>
      <c r="E41" s="6">
        <f t="shared" si="16"/>
        <v>22.524507543397291</v>
      </c>
      <c r="F41" s="6">
        <f t="shared" si="17"/>
        <v>189.41063161493182</v>
      </c>
      <c r="G41" s="6">
        <f t="shared" si="18"/>
        <v>17.405301283534264</v>
      </c>
      <c r="H41" s="6">
        <v>0.4</v>
      </c>
      <c r="I41" s="6">
        <v>1.5</v>
      </c>
      <c r="J41" s="6">
        <v>1</v>
      </c>
      <c r="K41" s="26">
        <f t="shared" si="9"/>
        <v>1.0486659045488202</v>
      </c>
      <c r="L41" s="6">
        <f t="shared" si="10"/>
        <v>1970.8944100472629</v>
      </c>
      <c r="M41" s="6">
        <f t="shared" si="11"/>
        <v>27688.699506646139</v>
      </c>
      <c r="N41" s="6">
        <f t="shared" si="4"/>
        <v>2610.7951925301395</v>
      </c>
      <c r="O41" s="6">
        <f t="shared" si="5"/>
        <v>0.4</v>
      </c>
      <c r="P41" s="6">
        <f t="shared" si="6"/>
        <v>1.5</v>
      </c>
      <c r="Q41" s="6">
        <f t="shared" si="7"/>
        <v>1</v>
      </c>
      <c r="R41" s="6"/>
      <c r="S41" s="38">
        <v>24</v>
      </c>
      <c r="T41" s="6">
        <f>VLOOKUP($S$13,角色设定!$AB$9:$AJ$21,MATCH(E$17,角色设定!$AB$9:$AJ$9,0),0)*Z41*$L$15*E41/Y41/(1+W41*(X41-1))</f>
        <v>1554.9589014333926</v>
      </c>
      <c r="U41" s="6">
        <f>VLOOKUP($S$13,角色设定!$AB$9:$AJ$21,MATCH(F$17,角色设定!$AB$9:$AJ$9,0),0)*F41*$L$15/(1+V41/$N$16)</f>
        <v>45904.665008132877</v>
      </c>
      <c r="V41" s="6">
        <f>VLOOKUP($S$13,角色设定!$AB$9:$AJ$21,MATCH(V$17,角色设定!$AB$9:$AJ$9,0),0)*G41*$L$15</f>
        <v>11518.214084691792</v>
      </c>
      <c r="W41" s="6">
        <f>VLOOKUP($S$13,角色设定!$AB$9:$AJ$21,MATCH(W$17,角色设定!$AB$9:$AJ$9,0),0)*H41</f>
        <v>0.4</v>
      </c>
      <c r="X41" s="6">
        <f>VLOOKUP($S$13,角色设定!$AB$9:$AJ$21,MATCH(X$17,角色设定!$AB$9:$AJ$9,0),0)*I41</f>
        <v>1.5</v>
      </c>
      <c r="Y41" s="6">
        <f>VLOOKUP($S$13,角色设定!$AB$9:$AJ$21,MATCH(Y$17,角色设定!$AB$9:$AJ$9,0),0)*J41</f>
        <v>1</v>
      </c>
      <c r="Z41" s="6">
        <f>VLOOKUP($S$13,角色设定!$AB$9:$AJ$21,MATCH(Z$17,角色设定!$AB$9:$AJ$9,0),0)</f>
        <v>0.9</v>
      </c>
      <c r="AA41" s="6"/>
      <c r="AB41" s="6"/>
      <c r="AC41" s="6">
        <f>T41*战斗公式!$E$39*(1+W41*(X41-1))*Y41</f>
        <v>46648.767043001775</v>
      </c>
      <c r="AD41" s="6">
        <f>U41*战斗公式!$E$41*(1+V41*战斗公式!$E$40)</f>
        <v>51192.062598630226</v>
      </c>
      <c r="AE41" s="22">
        <f t="shared" si="12"/>
        <v>97840.829641632008</v>
      </c>
      <c r="AF41" s="22">
        <f t="shared" si="19"/>
        <v>4659.0871257920226</v>
      </c>
      <c r="AG41" s="22"/>
      <c r="AH41" s="9">
        <f t="shared" si="13"/>
        <v>435.38849240134999</v>
      </c>
      <c r="AI41" s="9">
        <f t="shared" si="14"/>
        <v>12853.306202277206</v>
      </c>
      <c r="AJ41" s="9">
        <f t="shared" si="15"/>
        <v>3225.099943713702</v>
      </c>
      <c r="AK41" s="9">
        <f t="shared" si="20"/>
        <v>20.732785352445262</v>
      </c>
      <c r="AL41" s="9">
        <f t="shared" si="21"/>
        <v>551.55781022076008</v>
      </c>
      <c r="AM41" s="9">
        <f t="shared" si="22"/>
        <v>153.57618779589029</v>
      </c>
    </row>
    <row r="42" spans="4:39" ht="14.25" customHeight="1" x14ac:dyDescent="0.2">
      <c r="D42" s="1">
        <v>25</v>
      </c>
      <c r="E42" s="6">
        <f t="shared" si="16"/>
        <v>23.650732920567158</v>
      </c>
      <c r="F42" s="6">
        <f t="shared" si="17"/>
        <v>198.88116319567843</v>
      </c>
      <c r="G42" s="6">
        <f t="shared" si="18"/>
        <v>18.275566347710978</v>
      </c>
      <c r="H42" s="6">
        <v>0.4</v>
      </c>
      <c r="I42" s="6">
        <v>1.5</v>
      </c>
      <c r="J42" s="6">
        <v>1</v>
      </c>
      <c r="K42" s="26">
        <f t="shared" si="9"/>
        <v>1.0486010660876299</v>
      </c>
      <c r="L42" s="6">
        <f t="shared" si="10"/>
        <v>2069.4391305496265</v>
      </c>
      <c r="M42" s="6">
        <f t="shared" si="11"/>
        <v>29036.195113917543</v>
      </c>
      <c r="N42" s="6">
        <f t="shared" si="4"/>
        <v>2741.3349521566465</v>
      </c>
      <c r="O42" s="6">
        <f t="shared" si="5"/>
        <v>0.4</v>
      </c>
      <c r="P42" s="6">
        <f t="shared" si="6"/>
        <v>1.5</v>
      </c>
      <c r="Q42" s="6">
        <f t="shared" si="7"/>
        <v>1</v>
      </c>
      <c r="R42" s="6"/>
      <c r="S42" s="38">
        <v>25</v>
      </c>
      <c r="T42" s="6">
        <f>VLOOKUP($S$13,角色设定!$AB$9:$AJ$21,MATCH(E$17,角色设定!$AB$9:$AJ$9,0),0)*Z42*$L$15*E42/Y42/(1+W42*(X42-1))</f>
        <v>1632.7068465050625</v>
      </c>
      <c r="U42" s="6">
        <f>VLOOKUP($S$13,角色设定!$AB$9:$AJ$21,MATCH(F$17,角色设定!$AB$9:$AJ$9,0),0)*F42*$L$15/(1+V42/$N$16)</f>
        <v>47952.259611979054</v>
      </c>
      <c r="V42" s="6">
        <f>VLOOKUP($S$13,角色设定!$AB$9:$AJ$21,MATCH(V$17,角色设定!$AB$9:$AJ$9,0),0)*G42*$L$15</f>
        <v>12094.124788926381</v>
      </c>
      <c r="W42" s="6">
        <f>VLOOKUP($S$13,角色设定!$AB$9:$AJ$21,MATCH(W$17,角色设定!$AB$9:$AJ$9,0),0)*H42</f>
        <v>0.4</v>
      </c>
      <c r="X42" s="6">
        <f>VLOOKUP($S$13,角色设定!$AB$9:$AJ$21,MATCH(X$17,角色设定!$AB$9:$AJ$9,0),0)*I42</f>
        <v>1.5</v>
      </c>
      <c r="Y42" s="6">
        <f>VLOOKUP($S$13,角色设定!$AB$9:$AJ$21,MATCH(Y$17,角色设定!$AB$9:$AJ$9,0),0)*J42</f>
        <v>1</v>
      </c>
      <c r="Z42" s="6">
        <f>VLOOKUP($S$13,角色设定!$AB$9:$AJ$21,MATCH(Z$17,角色设定!$AB$9:$AJ$9,0),0)</f>
        <v>0.9</v>
      </c>
      <c r="AA42" s="6"/>
      <c r="AB42" s="6"/>
      <c r="AC42" s="6">
        <f>T42*战斗公式!$E$39*(1+W42*(X42-1))*Y42</f>
        <v>48981.205395151868</v>
      </c>
      <c r="AD42" s="6">
        <f>U42*战斗公式!$E$41*(1+V42*战斗公式!$E$40)</f>
        <v>53751.66572856174</v>
      </c>
      <c r="AE42" s="22">
        <f t="shared" si="12"/>
        <v>102732.87112371362</v>
      </c>
      <c r="AF42" s="22">
        <f t="shared" si="19"/>
        <v>4892.0414820816077</v>
      </c>
      <c r="AG42" s="22"/>
      <c r="AH42" s="9">
        <f t="shared" si="13"/>
        <v>457.15791702141752</v>
      </c>
      <c r="AI42" s="9">
        <f t="shared" si="14"/>
        <v>13426.632691354136</v>
      </c>
      <c r="AJ42" s="9">
        <f t="shared" si="15"/>
        <v>3386.3549408993872</v>
      </c>
      <c r="AK42" s="9">
        <f t="shared" si="20"/>
        <v>21.769424620067525</v>
      </c>
      <c r="AL42" s="9">
        <f t="shared" si="21"/>
        <v>573.32648907692965</v>
      </c>
      <c r="AM42" s="9">
        <f t="shared" si="22"/>
        <v>161.25499718568517</v>
      </c>
    </row>
    <row r="43" spans="4:39" ht="14.25" customHeight="1" x14ac:dyDescent="0.2">
      <c r="D43" s="1">
        <v>26</v>
      </c>
      <c r="E43" s="6">
        <f t="shared" si="16"/>
        <v>24.833269566595519</v>
      </c>
      <c r="F43" s="6">
        <f t="shared" si="17"/>
        <v>208.82522135546236</v>
      </c>
      <c r="G43" s="6">
        <f t="shared" si="18"/>
        <v>19.189344665096527</v>
      </c>
      <c r="H43" s="6">
        <v>0.4</v>
      </c>
      <c r="I43" s="6">
        <v>1.5</v>
      </c>
      <c r="J43" s="6">
        <v>1</v>
      </c>
      <c r="K43" s="26">
        <f t="shared" si="9"/>
        <v>1.0485331713883002</v>
      </c>
      <c r="L43" s="6">
        <f t="shared" si="10"/>
        <v>2172.9110870771078</v>
      </c>
      <c r="M43" s="6">
        <f t="shared" si="11"/>
        <v>30447.38515158237</v>
      </c>
      <c r="N43" s="6">
        <f t="shared" si="4"/>
        <v>2878.401699764479</v>
      </c>
      <c r="O43" s="6">
        <f t="shared" si="5"/>
        <v>0.4</v>
      </c>
      <c r="P43" s="6">
        <f t="shared" si="6"/>
        <v>1.5</v>
      </c>
      <c r="Q43" s="6">
        <f t="shared" si="7"/>
        <v>1</v>
      </c>
      <c r="R43" s="6"/>
      <c r="S43" s="38">
        <v>26</v>
      </c>
      <c r="T43" s="6">
        <f>VLOOKUP($S$13,角色设定!$AB$9:$AJ$21,MATCH(E$17,角色设定!$AB$9:$AJ$9,0),0)*Z43*$L$15*E43/Y43/(1+W43*(X43-1))</f>
        <v>1714.3421888303158</v>
      </c>
      <c r="U43" s="6">
        <f>VLOOKUP($S$13,角色设定!$AB$9:$AJ$21,MATCH(F$17,角色设定!$AB$9:$AJ$9,0),0)*F43*$L$15/(1+V43/$N$16)</f>
        <v>50079.711120322856</v>
      </c>
      <c r="V43" s="6">
        <f>VLOOKUP($S$13,角色设定!$AB$9:$AJ$21,MATCH(V$17,角色设定!$AB$9:$AJ$9,0),0)*G43*$L$15</f>
        <v>12698.831028372701</v>
      </c>
      <c r="W43" s="6">
        <f>VLOOKUP($S$13,角色设定!$AB$9:$AJ$21,MATCH(W$17,角色设定!$AB$9:$AJ$9,0),0)*H43</f>
        <v>0.4</v>
      </c>
      <c r="X43" s="6">
        <f>VLOOKUP($S$13,角色设定!$AB$9:$AJ$21,MATCH(X$17,角色设定!$AB$9:$AJ$9,0),0)*I43</f>
        <v>1.5</v>
      </c>
      <c r="Y43" s="6">
        <f>VLOOKUP($S$13,角色设定!$AB$9:$AJ$21,MATCH(Y$17,角色设定!$AB$9:$AJ$9,0),0)*J43</f>
        <v>1</v>
      </c>
      <c r="Z43" s="6">
        <f>VLOOKUP($S$13,角色设定!$AB$9:$AJ$21,MATCH(Z$17,角色设定!$AB$9:$AJ$9,0),0)</f>
        <v>0.9</v>
      </c>
      <c r="AA43" s="6"/>
      <c r="AB43" s="6"/>
      <c r="AC43" s="6">
        <f>T43*战斗公式!$E$39*(1+W43*(X43-1))*Y43</f>
        <v>51430.265664909472</v>
      </c>
      <c r="AD43" s="6">
        <f>U43*战斗公式!$E$41*(1+V43*战斗公式!$E$40)</f>
        <v>56439.249014989829</v>
      </c>
      <c r="AE43" s="22">
        <f t="shared" si="12"/>
        <v>107869.51467989929</v>
      </c>
      <c r="AF43" s="22">
        <f t="shared" si="19"/>
        <v>5136.6435561856779</v>
      </c>
      <c r="AG43" s="22"/>
      <c r="AH43" s="9">
        <f t="shared" si="13"/>
        <v>480.01581287248848</v>
      </c>
      <c r="AI43" s="9">
        <f t="shared" si="14"/>
        <v>14022.319113690401</v>
      </c>
      <c r="AJ43" s="9">
        <f t="shared" si="15"/>
        <v>3555.6726879443563</v>
      </c>
      <c r="AK43" s="9">
        <f t="shared" si="20"/>
        <v>22.857895851070964</v>
      </c>
      <c r="AL43" s="9">
        <f t="shared" si="21"/>
        <v>595.68642233626451</v>
      </c>
      <c r="AM43" s="9">
        <f t="shared" si="22"/>
        <v>169.31774704496911</v>
      </c>
    </row>
    <row r="44" spans="4:39" ht="14.25" customHeight="1" x14ac:dyDescent="0.2">
      <c r="D44" s="1">
        <v>27</v>
      </c>
      <c r="E44" s="6">
        <f t="shared" si="16"/>
        <v>26.074933044925295</v>
      </c>
      <c r="F44" s="6">
        <f t="shared" si="17"/>
        <v>219.26648242323549</v>
      </c>
      <c r="G44" s="6">
        <f t="shared" si="18"/>
        <v>20.148811898351354</v>
      </c>
      <c r="H44" s="6">
        <v>0.4</v>
      </c>
      <c r="I44" s="6">
        <v>1.5</v>
      </c>
      <c r="J44" s="6">
        <v>1</v>
      </c>
      <c r="K44" s="26">
        <f t="shared" si="9"/>
        <v>1.048462085814245</v>
      </c>
      <c r="L44" s="6">
        <f t="shared" si="10"/>
        <v>2281.5566414309633</v>
      </c>
      <c r="M44" s="6">
        <f t="shared" si="11"/>
        <v>31925.093313469701</v>
      </c>
      <c r="N44" s="6">
        <f t="shared" si="4"/>
        <v>3022.321784752703</v>
      </c>
      <c r="O44" s="6">
        <f t="shared" si="5"/>
        <v>0.4</v>
      </c>
      <c r="P44" s="6">
        <f t="shared" si="6"/>
        <v>1.5</v>
      </c>
      <c r="Q44" s="6">
        <f t="shared" si="7"/>
        <v>1</v>
      </c>
      <c r="R44" s="6"/>
      <c r="S44" s="38">
        <v>27</v>
      </c>
      <c r="T44" s="6">
        <f>VLOOKUP($S$13,角色设定!$AB$9:$AJ$21,MATCH(E$17,角色设定!$AB$9:$AJ$9,0),0)*Z44*$L$15*E44/Y44/(1+W44*(X44-1))</f>
        <v>1800.0592982718317</v>
      </c>
      <c r="U44" s="6">
        <f>VLOOKUP($S$13,角色设定!$AB$9:$AJ$21,MATCH(F$17,角色设定!$AB$9:$AJ$9,0),0)*F44*$L$15/(1+V44/$N$16)</f>
        <v>52289.10157739358</v>
      </c>
      <c r="V44" s="6">
        <f>VLOOKUP($S$13,角色设定!$AB$9:$AJ$21,MATCH(V$17,角色设定!$AB$9:$AJ$9,0),0)*G44*$L$15</f>
        <v>13333.772579791335</v>
      </c>
      <c r="W44" s="6">
        <f>VLOOKUP($S$13,角色设定!$AB$9:$AJ$21,MATCH(W$17,角色设定!$AB$9:$AJ$9,0),0)*H44</f>
        <v>0.4</v>
      </c>
      <c r="X44" s="6">
        <f>VLOOKUP($S$13,角色设定!$AB$9:$AJ$21,MATCH(X$17,角色设定!$AB$9:$AJ$9,0),0)*I44</f>
        <v>1.5</v>
      </c>
      <c r="Y44" s="6">
        <f>VLOOKUP($S$13,角色设定!$AB$9:$AJ$21,MATCH(Y$17,角色设定!$AB$9:$AJ$9,0),0)*J44</f>
        <v>1</v>
      </c>
      <c r="Z44" s="6">
        <f>VLOOKUP($S$13,角色设定!$AB$9:$AJ$21,MATCH(Z$17,角色设定!$AB$9:$AJ$9,0),0)</f>
        <v>0.9</v>
      </c>
      <c r="AA44" s="6"/>
      <c r="AB44" s="6"/>
      <c r="AC44" s="6">
        <f>T44*战斗公式!$E$39*(1+W44*(X44-1))*Y44</f>
        <v>54001.778948154948</v>
      </c>
      <c r="AD44" s="6">
        <f>U44*战斗公式!$E$41*(1+V44*战斗公式!$E$40)</f>
        <v>59261.211465739325</v>
      </c>
      <c r="AE44" s="22">
        <f t="shared" si="12"/>
        <v>113262.99041389427</v>
      </c>
      <c r="AF44" s="22">
        <f t="shared" si="19"/>
        <v>5393.475733994972</v>
      </c>
      <c r="AG44" s="22"/>
      <c r="AH44" s="9">
        <f t="shared" si="13"/>
        <v>504.01660351611292</v>
      </c>
      <c r="AI44" s="9">
        <f t="shared" si="14"/>
        <v>14640.948441670203</v>
      </c>
      <c r="AJ44" s="9">
        <f t="shared" si="15"/>
        <v>3733.4563223415744</v>
      </c>
      <c r="AK44" s="9">
        <f t="shared" si="20"/>
        <v>24.000790643624441</v>
      </c>
      <c r="AL44" s="9">
        <f t="shared" si="21"/>
        <v>618.62932797980284</v>
      </c>
      <c r="AM44" s="9">
        <f t="shared" si="22"/>
        <v>177.78363439721807</v>
      </c>
    </row>
    <row r="45" spans="4:39" ht="14.25" customHeight="1" x14ac:dyDescent="0.2">
      <c r="D45" s="1">
        <v>28</v>
      </c>
      <c r="E45" s="6">
        <f t="shared" si="16"/>
        <v>27.37867969717156</v>
      </c>
      <c r="F45" s="6">
        <f t="shared" si="17"/>
        <v>230.22980654439726</v>
      </c>
      <c r="G45" s="6">
        <f t="shared" si="18"/>
        <v>21.156252493268923</v>
      </c>
      <c r="H45" s="6">
        <v>0.4</v>
      </c>
      <c r="I45" s="6">
        <v>1.5</v>
      </c>
      <c r="J45" s="6">
        <v>1</v>
      </c>
      <c r="K45" s="26">
        <f t="shared" si="9"/>
        <v>1.0483876697305505</v>
      </c>
      <c r="L45" s="6">
        <f t="shared" si="10"/>
        <v>2395.6344735025114</v>
      </c>
      <c r="M45" s="6">
        <f t="shared" si="11"/>
        <v>33472.249925254851</v>
      </c>
      <c r="N45" s="6">
        <f t="shared" si="4"/>
        <v>3173.4378739903386</v>
      </c>
      <c r="O45" s="6">
        <f t="shared" si="5"/>
        <v>0.4</v>
      </c>
      <c r="P45" s="6">
        <f t="shared" si="6"/>
        <v>1.5</v>
      </c>
      <c r="Q45" s="6">
        <f t="shared" si="7"/>
        <v>1</v>
      </c>
      <c r="R45" s="6"/>
      <c r="S45" s="38">
        <v>28</v>
      </c>
      <c r="T45" s="6">
        <f>VLOOKUP($S$13,角色设定!$AB$9:$AJ$21,MATCH(E$17,角色设定!$AB$9:$AJ$9,0),0)*Z45*$L$15*E45/Y45/(1+W45*(X45-1))</f>
        <v>1890.062263185423</v>
      </c>
      <c r="U45" s="6">
        <f>VLOOKUP($S$13,角色设定!$AB$9:$AJ$21,MATCH(F$17,角色设定!$AB$9:$AJ$9,0),0)*F45*$L$15/(1+V45/$N$16)</f>
        <v>54582.473947248771</v>
      </c>
      <c r="V45" s="6">
        <f>VLOOKUP($S$13,角色设定!$AB$9:$AJ$21,MATCH(V$17,角色设定!$AB$9:$AJ$9,0),0)*G45*$L$15</f>
        <v>14000.461208780902</v>
      </c>
      <c r="W45" s="6">
        <f>VLOOKUP($S$13,角色设定!$AB$9:$AJ$21,MATCH(W$17,角色设定!$AB$9:$AJ$9,0),0)*H45</f>
        <v>0.4</v>
      </c>
      <c r="X45" s="6">
        <f>VLOOKUP($S$13,角色设定!$AB$9:$AJ$21,MATCH(X$17,角色设定!$AB$9:$AJ$9,0),0)*I45</f>
        <v>1.5</v>
      </c>
      <c r="Y45" s="6">
        <f>VLOOKUP($S$13,角色设定!$AB$9:$AJ$21,MATCH(Y$17,角色设定!$AB$9:$AJ$9,0),0)*J45</f>
        <v>1</v>
      </c>
      <c r="Z45" s="6">
        <f>VLOOKUP($S$13,角色设定!$AB$9:$AJ$21,MATCH(Z$17,角色设定!$AB$9:$AJ$9,0),0)</f>
        <v>0.9</v>
      </c>
      <c r="AA45" s="6"/>
      <c r="AB45" s="6"/>
      <c r="AC45" s="6">
        <f>T45*战斗公式!$E$39*(1+W45*(X45-1))*Y45</f>
        <v>56701.867895562689</v>
      </c>
      <c r="AD45" s="6">
        <f>U45*战斗公式!$E$41*(1+V45*战斗公式!$E$40)</f>
        <v>62224.272039026284</v>
      </c>
      <c r="AE45" s="22">
        <f t="shared" si="12"/>
        <v>118926.13993458898</v>
      </c>
      <c r="AF45" s="22">
        <f t="shared" si="19"/>
        <v>5663.1495206947147</v>
      </c>
      <c r="AG45" s="22"/>
      <c r="AH45" s="9">
        <f t="shared" si="13"/>
        <v>529.21743369191847</v>
      </c>
      <c r="AI45" s="9">
        <f t="shared" si="14"/>
        <v>15283.092705229657</v>
      </c>
      <c r="AJ45" s="9">
        <f t="shared" si="15"/>
        <v>3920.129138458653</v>
      </c>
      <c r="AK45" s="9">
        <f t="shared" si="20"/>
        <v>25.20083017580555</v>
      </c>
      <c r="AL45" s="9">
        <f t="shared" si="21"/>
        <v>642.14426355945398</v>
      </c>
      <c r="AM45" s="9">
        <f t="shared" si="22"/>
        <v>186.67281611707858</v>
      </c>
    </row>
    <row r="46" spans="4:39" ht="14.25" customHeight="1" x14ac:dyDescent="0.2">
      <c r="D46" s="1">
        <v>29</v>
      </c>
      <c r="E46" s="6">
        <f t="shared" si="16"/>
        <v>28.747613682030138</v>
      </c>
      <c r="F46" s="6">
        <f t="shared" si="17"/>
        <v>241.74129687161712</v>
      </c>
      <c r="G46" s="6">
        <f t="shared" si="18"/>
        <v>22.214065117932371</v>
      </c>
      <c r="H46" s="6">
        <v>0.4</v>
      </c>
      <c r="I46" s="6">
        <v>1.5</v>
      </c>
      <c r="J46" s="6">
        <v>1</v>
      </c>
      <c r="K46" s="26">
        <f t="shared" si="9"/>
        <v>1.0483097784125062</v>
      </c>
      <c r="L46" s="6">
        <f t="shared" si="10"/>
        <v>2515.4161971776375</v>
      </c>
      <c r="M46" s="6">
        <f t="shared" si="11"/>
        <v>35091.894099776531</v>
      </c>
      <c r="N46" s="6">
        <f t="shared" si="4"/>
        <v>3332.1097676898557</v>
      </c>
      <c r="O46" s="6">
        <f t="shared" si="5"/>
        <v>0.4</v>
      </c>
      <c r="P46" s="6">
        <f t="shared" si="6"/>
        <v>1.5</v>
      </c>
      <c r="Q46" s="6">
        <f t="shared" si="7"/>
        <v>1</v>
      </c>
      <c r="R46" s="6"/>
      <c r="S46" s="38">
        <v>29</v>
      </c>
      <c r="T46" s="6">
        <f>VLOOKUP($S$13,角色设定!$AB$9:$AJ$21,MATCH(E$17,角色设定!$AB$9:$AJ$9,0),0)*Z46*$L$15*E46/Y46/(1+W46*(X46-1))</f>
        <v>1984.5653763446944</v>
      </c>
      <c r="U46" s="6">
        <f>VLOOKUP($S$13,角色设定!$AB$9:$AJ$21,MATCH(F$17,角色设定!$AB$9:$AJ$9,0),0)*F46*$L$15/(1+V46/$N$16)</f>
        <v>56961.821963737326</v>
      </c>
      <c r="V46" s="6">
        <f>VLOOKUP($S$13,角色设定!$AB$9:$AJ$21,MATCH(V$17,角色设定!$AB$9:$AJ$9,0),0)*G46*$L$15</f>
        <v>14700.484269219951</v>
      </c>
      <c r="W46" s="6">
        <f>VLOOKUP($S$13,角色设定!$AB$9:$AJ$21,MATCH(W$17,角色设定!$AB$9:$AJ$9,0),0)*H46</f>
        <v>0.4</v>
      </c>
      <c r="X46" s="6">
        <f>VLOOKUP($S$13,角色设定!$AB$9:$AJ$21,MATCH(X$17,角色设定!$AB$9:$AJ$9,0),0)*I46</f>
        <v>1.5</v>
      </c>
      <c r="Y46" s="6">
        <f>VLOOKUP($S$13,角色设定!$AB$9:$AJ$21,MATCH(Y$17,角色设定!$AB$9:$AJ$9,0),0)*J46</f>
        <v>1</v>
      </c>
      <c r="Z46" s="6">
        <f>VLOOKUP($S$13,角色设定!$AB$9:$AJ$21,MATCH(Z$17,角色设定!$AB$9:$AJ$9,0),0)</f>
        <v>0.9</v>
      </c>
      <c r="AA46" s="6"/>
      <c r="AB46" s="6"/>
      <c r="AC46" s="6">
        <f>T46*战斗公式!$E$39*(1+W46*(X46-1))*Y46</f>
        <v>59536.961290340834</v>
      </c>
      <c r="AD46" s="6">
        <f>U46*战斗公式!$E$41*(1+V46*战斗公式!$E$40)</f>
        <v>65335.485640977604</v>
      </c>
      <c r="AE46" s="22">
        <f t="shared" si="12"/>
        <v>124872.44693131844</v>
      </c>
      <c r="AF46" s="22">
        <f t="shared" si="19"/>
        <v>5946.3069967294578</v>
      </c>
      <c r="AG46" s="22"/>
      <c r="AH46" s="9">
        <f t="shared" si="13"/>
        <v>555.67830537651446</v>
      </c>
      <c r="AI46" s="9">
        <f t="shared" si="14"/>
        <v>15949.310149846453</v>
      </c>
      <c r="AJ46" s="9">
        <f t="shared" si="15"/>
        <v>4116.1355953815864</v>
      </c>
      <c r="AK46" s="9">
        <f t="shared" si="20"/>
        <v>26.460871684595986</v>
      </c>
      <c r="AL46" s="9">
        <f t="shared" si="21"/>
        <v>666.21744461679555</v>
      </c>
      <c r="AM46" s="9">
        <f t="shared" si="22"/>
        <v>196.00645692293347</v>
      </c>
    </row>
    <row r="47" spans="4:39" ht="14.25" customHeight="1" x14ac:dyDescent="0.2">
      <c r="D47" s="1">
        <v>30</v>
      </c>
      <c r="E47" s="6">
        <f t="shared" si="16"/>
        <v>30.184994366131647</v>
      </c>
      <c r="F47" s="6">
        <f t="shared" si="17"/>
        <v>253.82836171519799</v>
      </c>
      <c r="G47" s="6">
        <f t="shared" si="18"/>
        <v>23.324768373828991</v>
      </c>
      <c r="H47" s="6">
        <v>0.4</v>
      </c>
      <c r="I47" s="6">
        <v>1.5</v>
      </c>
      <c r="J47" s="6">
        <v>1</v>
      </c>
      <c r="K47" s="26">
        <f t="shared" si="9"/>
        <v>1.0482282619630086</v>
      </c>
      <c r="L47" s="6">
        <f t="shared" si="10"/>
        <v>2641.1870070365189</v>
      </c>
      <c r="M47" s="6">
        <f t="shared" si="11"/>
        <v>36787.175727811868</v>
      </c>
      <c r="N47" s="6">
        <f t="shared" si="4"/>
        <v>3498.7152560743489</v>
      </c>
      <c r="O47" s="6">
        <f t="shared" si="5"/>
        <v>0.4</v>
      </c>
      <c r="P47" s="6">
        <f t="shared" si="6"/>
        <v>1.5</v>
      </c>
      <c r="Q47" s="6">
        <f t="shared" si="7"/>
        <v>1</v>
      </c>
      <c r="R47" s="6"/>
      <c r="S47" s="38">
        <v>30</v>
      </c>
      <c r="T47" s="6">
        <f>VLOOKUP($S$13,角色设定!$AB$9:$AJ$21,MATCH(E$17,角色设定!$AB$9:$AJ$9,0),0)*Z47*$L$15*E47/Y47/(1+W47*(X47-1))</f>
        <v>2083.7936451619289</v>
      </c>
      <c r="U47" s="6">
        <f>VLOOKUP($S$13,角色设定!$AB$9:$AJ$21,MATCH(F$17,角色设定!$AB$9:$AJ$9,0),0)*F47*$L$15/(1+V47/$N$16)</f>
        <v>59429.0793402786</v>
      </c>
      <c r="V47" s="6">
        <f>VLOOKUP($S$13,角色设定!$AB$9:$AJ$21,MATCH(V$17,角色设定!$AB$9:$AJ$9,0),0)*G47*$L$15</f>
        <v>15435.508482680947</v>
      </c>
      <c r="W47" s="6">
        <f>VLOOKUP($S$13,角色设定!$AB$9:$AJ$21,MATCH(W$17,角色设定!$AB$9:$AJ$9,0),0)*H47</f>
        <v>0.4</v>
      </c>
      <c r="X47" s="6">
        <f>VLOOKUP($S$13,角色设定!$AB$9:$AJ$21,MATCH(X$17,角色设定!$AB$9:$AJ$9,0),0)*I47</f>
        <v>1.5</v>
      </c>
      <c r="Y47" s="6">
        <f>VLOOKUP($S$13,角色设定!$AB$9:$AJ$21,MATCH(Y$17,角色设定!$AB$9:$AJ$9,0),0)*J47</f>
        <v>1</v>
      </c>
      <c r="Z47" s="6">
        <f>VLOOKUP($S$13,角色设定!$AB$9:$AJ$21,MATCH(Z$17,角色设定!$AB$9:$AJ$9,0),0)</f>
        <v>0.9</v>
      </c>
      <c r="AA47" s="6"/>
      <c r="AB47" s="6"/>
      <c r="AC47" s="6">
        <f>T47*战斗公式!$E$39*(1+W47*(X47-1))*Y47</f>
        <v>62513.809354857869</v>
      </c>
      <c r="AD47" s="6">
        <f>U47*战斗公式!$E$41*(1+V47*战斗公式!$E$40)</f>
        <v>68602.25992302649</v>
      </c>
      <c r="AE47" s="22">
        <f t="shared" si="12"/>
        <v>131116.06927788435</v>
      </c>
      <c r="AF47" s="22">
        <f t="shared" si="19"/>
        <v>6243.6223465659132</v>
      </c>
      <c r="AG47" s="22"/>
      <c r="AH47" s="9">
        <f t="shared" si="13"/>
        <v>583.46222064534015</v>
      </c>
      <c r="AI47" s="9">
        <f t="shared" si="14"/>
        <v>16640.142215278011</v>
      </c>
      <c r="AJ47" s="9">
        <f t="shared" si="15"/>
        <v>4321.9423751506656</v>
      </c>
      <c r="AK47" s="9">
        <f t="shared" si="20"/>
        <v>27.783915268825695</v>
      </c>
      <c r="AL47" s="9">
        <f t="shared" si="21"/>
        <v>690.83206543155757</v>
      </c>
      <c r="AM47" s="9">
        <f t="shared" si="22"/>
        <v>205.80677976907918</v>
      </c>
    </row>
    <row r="48" spans="4:39" ht="14.25" customHeight="1" x14ac:dyDescent="0.2">
      <c r="D48" s="1">
        <v>31</v>
      </c>
      <c r="E48" s="6">
        <f t="shared" si="16"/>
        <v>31.694244084438232</v>
      </c>
      <c r="F48" s="6">
        <f t="shared" si="17"/>
        <v>266.51977980095791</v>
      </c>
      <c r="G48" s="6">
        <f t="shared" si="18"/>
        <v>24.491006792520441</v>
      </c>
      <c r="H48" s="6">
        <v>0.4</v>
      </c>
      <c r="I48" s="6">
        <v>1.5</v>
      </c>
      <c r="J48" s="6">
        <v>1</v>
      </c>
      <c r="K48" s="26">
        <f t="shared" si="9"/>
        <v>1.0481429652402792</v>
      </c>
      <c r="L48" s="6">
        <f t="shared" si="10"/>
        <v>2773.2463573883451</v>
      </c>
      <c r="M48" s="6">
        <f t="shared" si="11"/>
        <v>38561.357275692011</v>
      </c>
      <c r="N48" s="6">
        <f t="shared" si="4"/>
        <v>3673.6510188780662</v>
      </c>
      <c r="O48" s="6">
        <f t="shared" si="5"/>
        <v>0.4</v>
      </c>
      <c r="P48" s="6">
        <f t="shared" si="6"/>
        <v>1.5</v>
      </c>
      <c r="Q48" s="6">
        <f t="shared" si="7"/>
        <v>1</v>
      </c>
      <c r="R48" s="6"/>
      <c r="S48" s="38">
        <v>31</v>
      </c>
      <c r="T48" s="6">
        <f>VLOOKUP($S$13,角色设定!$AB$9:$AJ$21,MATCH(E$17,角色设定!$AB$9:$AJ$9,0),0)*Z48*$L$15*E48/Y48/(1+W48*(X48-1))</f>
        <v>2187.9833274200259</v>
      </c>
      <c r="U48" s="6">
        <f>VLOOKUP($S$13,角色设定!$AB$9:$AJ$21,MATCH(F$17,角色设定!$AB$9:$AJ$9,0),0)*F48*$L$15/(1+V48/$N$16)</f>
        <v>61986.108355255579</v>
      </c>
      <c r="V48" s="6">
        <f>VLOOKUP($S$13,角色设定!$AB$9:$AJ$21,MATCH(V$17,角色设定!$AB$9:$AJ$9,0),0)*G48*$L$15</f>
        <v>16207.283906814995</v>
      </c>
      <c r="W48" s="6">
        <f>VLOOKUP($S$13,角色设定!$AB$9:$AJ$21,MATCH(W$17,角色设定!$AB$9:$AJ$9,0),0)*H48</f>
        <v>0.4</v>
      </c>
      <c r="X48" s="6">
        <f>VLOOKUP($S$13,角色设定!$AB$9:$AJ$21,MATCH(X$17,角色设定!$AB$9:$AJ$9,0),0)*I48</f>
        <v>1.5</v>
      </c>
      <c r="Y48" s="6">
        <f>VLOOKUP($S$13,角色设定!$AB$9:$AJ$21,MATCH(Y$17,角色设定!$AB$9:$AJ$9,0),0)*J48</f>
        <v>1</v>
      </c>
      <c r="Z48" s="6">
        <f>VLOOKUP($S$13,角色设定!$AB$9:$AJ$21,MATCH(Z$17,角色设定!$AB$9:$AJ$9,0),0)</f>
        <v>0.9</v>
      </c>
      <c r="AA48" s="6"/>
      <c r="AB48" s="6"/>
      <c r="AC48" s="6">
        <f>T48*战斗公式!$E$39*(1+W48*(X48-1))*Y48</f>
        <v>65639.499822600774</v>
      </c>
      <c r="AD48" s="6">
        <f>U48*战斗公式!$E$41*(1+V48*战斗公式!$E$40)</f>
        <v>72032.372919177811</v>
      </c>
      <c r="AE48" s="22">
        <f t="shared" si="12"/>
        <v>137671.87274177858</v>
      </c>
      <c r="AF48" s="22">
        <f t="shared" si="19"/>
        <v>6555.8034638942336</v>
      </c>
      <c r="AG48" s="22"/>
      <c r="AH48" s="9">
        <f t="shared" si="13"/>
        <v>612.63533167760727</v>
      </c>
      <c r="AI48" s="9">
        <f t="shared" si="14"/>
        <v>17356.110339471565</v>
      </c>
      <c r="AJ48" s="9">
        <f t="shared" si="15"/>
        <v>4538.0394939081989</v>
      </c>
      <c r="AK48" s="9">
        <f t="shared" si="20"/>
        <v>29.173111032267116</v>
      </c>
      <c r="AL48" s="9">
        <f t="shared" si="21"/>
        <v>715.9681241935541</v>
      </c>
      <c r="AM48" s="9">
        <f t="shared" si="22"/>
        <v>216.09711875753328</v>
      </c>
    </row>
    <row r="49" spans="4:39" ht="14.25" customHeight="1" x14ac:dyDescent="0.2">
      <c r="D49" s="1">
        <v>32</v>
      </c>
      <c r="E49" s="6">
        <f t="shared" si="16"/>
        <v>33.278956288660147</v>
      </c>
      <c r="F49" s="6">
        <f t="shared" si="17"/>
        <v>279.84576879100581</v>
      </c>
      <c r="G49" s="6">
        <f t="shared" si="18"/>
        <v>25.715557132146465</v>
      </c>
      <c r="H49" s="6">
        <v>0.4</v>
      </c>
      <c r="I49" s="6">
        <v>1.5</v>
      </c>
      <c r="J49" s="6">
        <v>1</v>
      </c>
      <c r="K49" s="26">
        <f t="shared" si="9"/>
        <v>1.0480537277974251</v>
      </c>
      <c r="L49" s="6">
        <f t="shared" si="10"/>
        <v>2911.9086752577628</v>
      </c>
      <c r="M49" s="6">
        <f t="shared" si="11"/>
        <v>40417.815358633634</v>
      </c>
      <c r="N49" s="6">
        <f t="shared" si="4"/>
        <v>3857.3335698219698</v>
      </c>
      <c r="O49" s="6">
        <f t="shared" si="5"/>
        <v>0.4</v>
      </c>
      <c r="P49" s="6">
        <f t="shared" si="6"/>
        <v>1.5</v>
      </c>
      <c r="Q49" s="6">
        <f t="shared" si="7"/>
        <v>1</v>
      </c>
      <c r="R49" s="6"/>
      <c r="S49" s="38">
        <v>32</v>
      </c>
      <c r="T49" s="6">
        <f>VLOOKUP($S$13,角色设定!$AB$9:$AJ$21,MATCH(E$17,角色设定!$AB$9:$AJ$9,0),0)*Z49*$L$15*E49/Y49/(1+W49*(X49-1))</f>
        <v>2297.3824937910276</v>
      </c>
      <c r="U49" s="6">
        <f>VLOOKUP($S$13,角色设定!$AB$9:$AJ$21,MATCH(F$17,角色设定!$AB$9:$AJ$9,0),0)*F49*$L$15/(1+V49/$N$16)</f>
        <v>64634.687837093297</v>
      </c>
      <c r="V49" s="6">
        <f>VLOOKUP($S$13,角色设定!$AB$9:$AJ$21,MATCH(V$17,角色设定!$AB$9:$AJ$9,0),0)*G49*$L$15</f>
        <v>17017.648102155748</v>
      </c>
      <c r="W49" s="6">
        <f>VLOOKUP($S$13,角色设定!$AB$9:$AJ$21,MATCH(W$17,角色设定!$AB$9:$AJ$9,0),0)*H49</f>
        <v>0.4</v>
      </c>
      <c r="X49" s="6">
        <f>VLOOKUP($S$13,角色设定!$AB$9:$AJ$21,MATCH(X$17,角色设定!$AB$9:$AJ$9,0),0)*I49</f>
        <v>1.5</v>
      </c>
      <c r="Y49" s="6">
        <f>VLOOKUP($S$13,角色设定!$AB$9:$AJ$21,MATCH(Y$17,角色设定!$AB$9:$AJ$9,0),0)*J49</f>
        <v>1</v>
      </c>
      <c r="Z49" s="6">
        <f>VLOOKUP($S$13,角色设定!$AB$9:$AJ$21,MATCH(Z$17,角色设定!$AB$9:$AJ$9,0),0)</f>
        <v>0.9</v>
      </c>
      <c r="AA49" s="6"/>
      <c r="AB49" s="6"/>
      <c r="AC49" s="6">
        <f>T49*战斗公式!$E$39*(1+W49*(X49-1))*Y49</f>
        <v>68921.47481373082</v>
      </c>
      <c r="AD49" s="6">
        <f>U49*战斗公式!$E$41*(1+V49*战斗公式!$E$40)</f>
        <v>75633.991565136705</v>
      </c>
      <c r="AE49" s="22">
        <f t="shared" si="12"/>
        <v>144555.46637886751</v>
      </c>
      <c r="AF49" s="22">
        <f t="shared" si="19"/>
        <v>6883.5936370889249</v>
      </c>
      <c r="AG49" s="22"/>
      <c r="AH49" s="9">
        <f t="shared" si="13"/>
        <v>643.26709826148783</v>
      </c>
      <c r="AI49" s="9">
        <f t="shared" si="14"/>
        <v>18097.712594386125</v>
      </c>
      <c r="AJ49" s="9">
        <f t="shared" si="15"/>
        <v>4764.9414686036098</v>
      </c>
      <c r="AK49" s="9">
        <f t="shared" si="20"/>
        <v>30.631766583880562</v>
      </c>
      <c r="AL49" s="9">
        <f t="shared" si="21"/>
        <v>741.60225491456004</v>
      </c>
      <c r="AM49" s="9">
        <f t="shared" si="22"/>
        <v>226.9019746954109</v>
      </c>
    </row>
    <row r="50" spans="4:39" ht="14.25" customHeight="1" x14ac:dyDescent="0.2">
      <c r="D50" s="1">
        <v>33</v>
      </c>
      <c r="E50" s="6">
        <f t="shared" si="16"/>
        <v>34.942904103093156</v>
      </c>
      <c r="F50" s="6">
        <f t="shared" si="17"/>
        <v>293.8380572305561</v>
      </c>
      <c r="G50" s="6">
        <f t="shared" si="18"/>
        <v>27.00133498875379</v>
      </c>
      <c r="H50" s="6">
        <v>0.4</v>
      </c>
      <c r="I50" s="6">
        <v>1.5</v>
      </c>
      <c r="J50" s="6">
        <v>1</v>
      </c>
      <c r="K50" s="26">
        <f t="shared" si="9"/>
        <v>1.0479603838355409</v>
      </c>
      <c r="L50" s="6">
        <f t="shared" ref="L50:L81" si="23">E50*$L$16/J50/(1+H50*(I50-1))*$L$15</f>
        <v>3057.504109020651</v>
      </c>
      <c r="M50" s="6">
        <f t="shared" ref="M50:M81" si="24">F50/(1+N50/$N$16)*$L$15</f>
        <v>42360.042056044003</v>
      </c>
      <c r="N50" s="6">
        <f t="shared" ref="N50:N81" si="25">G50*$L$15</f>
        <v>4050.2002483130686</v>
      </c>
      <c r="O50" s="6">
        <f t="shared" ref="O50:O81" si="26">H50</f>
        <v>0.4</v>
      </c>
      <c r="P50" s="6">
        <f t="shared" ref="P50:P81" si="27">I50</f>
        <v>1.5</v>
      </c>
      <c r="Q50" s="6">
        <f t="shared" ref="Q50:Q81" si="28">J50</f>
        <v>1</v>
      </c>
      <c r="R50" s="6"/>
      <c r="S50" s="38">
        <v>33</v>
      </c>
      <c r="T50" s="6">
        <f>VLOOKUP($S$13,角色设定!$AB$9:$AJ$21,MATCH(E$17,角色设定!$AB$9:$AJ$9,0),0)*Z50*$L$15*E50/Y50/(1+W50*(X50-1))</f>
        <v>2412.2516184805791</v>
      </c>
      <c r="U50" s="6">
        <f>VLOOKUP($S$13,角色设定!$AB$9:$AJ$21,MATCH(F$17,角色设定!$AB$9:$AJ$9,0),0)*F50*$L$15/(1+V50/$N$16)</f>
        <v>67376.500582146167</v>
      </c>
      <c r="V50" s="6">
        <f>VLOOKUP($S$13,角色设定!$AB$9:$AJ$21,MATCH(V$17,角色设定!$AB$9:$AJ$9,0),0)*G50*$L$15</f>
        <v>17868.530507263535</v>
      </c>
      <c r="W50" s="6">
        <f>VLOOKUP($S$13,角色设定!$AB$9:$AJ$21,MATCH(W$17,角色设定!$AB$9:$AJ$9,0),0)*H50</f>
        <v>0.4</v>
      </c>
      <c r="X50" s="6">
        <f>VLOOKUP($S$13,角色设定!$AB$9:$AJ$21,MATCH(X$17,角色设定!$AB$9:$AJ$9,0),0)*I50</f>
        <v>1.5</v>
      </c>
      <c r="Y50" s="6">
        <f>VLOOKUP($S$13,角色设定!$AB$9:$AJ$21,MATCH(Y$17,角色设定!$AB$9:$AJ$9,0),0)*J50</f>
        <v>1</v>
      </c>
      <c r="Z50" s="6">
        <f>VLOOKUP($S$13,角色设定!$AB$9:$AJ$21,MATCH(Z$17,角色设定!$AB$9:$AJ$9,0),0)</f>
        <v>0.9</v>
      </c>
      <c r="AA50" s="6"/>
      <c r="AB50" s="6"/>
      <c r="AC50" s="6">
        <f>T50*战斗公式!$E$39*(1+W50*(X50-1))*Y50</f>
        <v>72367.548554417372</v>
      </c>
      <c r="AD50" s="6">
        <f>U50*战斗公式!$E$41*(1+V50*战斗公式!$E$40)</f>
        <v>79415.691143393546</v>
      </c>
      <c r="AE50" s="22">
        <f t="shared" si="12"/>
        <v>151783.2396978109</v>
      </c>
      <c r="AF50" s="22">
        <f t="shared" si="19"/>
        <v>7227.773318943393</v>
      </c>
      <c r="AG50" s="22"/>
      <c r="AH50" s="9">
        <f t="shared" si="13"/>
        <v>675.43045317456222</v>
      </c>
      <c r="AI50" s="9">
        <f t="shared" si="14"/>
        <v>18865.42016300093</v>
      </c>
      <c r="AJ50" s="9">
        <f t="shared" si="15"/>
        <v>5003.1885420337903</v>
      </c>
      <c r="AK50" s="9">
        <f t="shared" si="20"/>
        <v>32.163354913074386</v>
      </c>
      <c r="AL50" s="9">
        <f t="shared" si="21"/>
        <v>767.7075686148055</v>
      </c>
      <c r="AM50" s="9">
        <f t="shared" si="22"/>
        <v>238.24707343018054</v>
      </c>
    </row>
    <row r="51" spans="4:39" ht="14.25" customHeight="1" x14ac:dyDescent="0.2">
      <c r="D51" s="1">
        <v>34</v>
      </c>
      <c r="E51" s="6">
        <f t="shared" si="16"/>
        <v>36.690049308247815</v>
      </c>
      <c r="F51" s="6">
        <f t="shared" si="17"/>
        <v>308.52996009208391</v>
      </c>
      <c r="G51" s="6">
        <f t="shared" si="18"/>
        <v>28.35140173819148</v>
      </c>
      <c r="H51" s="6">
        <v>0.4</v>
      </c>
      <c r="I51" s="6">
        <v>1.5</v>
      </c>
      <c r="J51" s="6">
        <v>1</v>
      </c>
      <c r="K51" s="26">
        <f t="shared" si="9"/>
        <v>1.0478627621721393</v>
      </c>
      <c r="L51" s="6">
        <f t="shared" si="23"/>
        <v>3210.3793144716833</v>
      </c>
      <c r="M51" s="6">
        <f t="shared" si="24"/>
        <v>44391.645932341533</v>
      </c>
      <c r="N51" s="6">
        <f t="shared" si="25"/>
        <v>4252.7102607287225</v>
      </c>
      <c r="O51" s="6">
        <f t="shared" si="26"/>
        <v>0.4</v>
      </c>
      <c r="P51" s="6">
        <f t="shared" si="27"/>
        <v>1.5</v>
      </c>
      <c r="Q51" s="6">
        <f t="shared" si="28"/>
        <v>1</v>
      </c>
      <c r="R51" s="6"/>
      <c r="S51" s="38">
        <v>34</v>
      </c>
      <c r="T51" s="6">
        <f>VLOOKUP($S$13,角色设定!$AB$9:$AJ$21,MATCH(E$17,角色设定!$AB$9:$AJ$9,0),0)*Z51*$L$15*E51/Y51/(1+W51*(X51-1))</f>
        <v>2532.8641994046079</v>
      </c>
      <c r="U51" s="6">
        <f>VLOOKUP($S$13,角色设定!$AB$9:$AJ$21,MATCH(F$17,角色设定!$AB$9:$AJ$9,0),0)*F51*$L$15/(1+V51/$N$16)</f>
        <v>70213.120248308958</v>
      </c>
      <c r="V51" s="6">
        <f>VLOOKUP($S$13,角色设定!$AB$9:$AJ$21,MATCH(V$17,角色设定!$AB$9:$AJ$9,0),0)*G51*$L$15</f>
        <v>18761.957032626713</v>
      </c>
      <c r="W51" s="6">
        <f>VLOOKUP($S$13,角色设定!$AB$9:$AJ$21,MATCH(W$17,角色设定!$AB$9:$AJ$9,0),0)*H51</f>
        <v>0.4</v>
      </c>
      <c r="X51" s="6">
        <f>VLOOKUP($S$13,角色设定!$AB$9:$AJ$21,MATCH(X$17,角色设定!$AB$9:$AJ$9,0),0)*I51</f>
        <v>1.5</v>
      </c>
      <c r="Y51" s="6">
        <f>VLOOKUP($S$13,角色设定!$AB$9:$AJ$21,MATCH(Y$17,角色设定!$AB$9:$AJ$9,0),0)*J51</f>
        <v>1</v>
      </c>
      <c r="Z51" s="6">
        <f>VLOOKUP($S$13,角色设定!$AB$9:$AJ$21,MATCH(Z$17,角色设定!$AB$9:$AJ$9,0),0)</f>
        <v>0.9</v>
      </c>
      <c r="AA51" s="6"/>
      <c r="AB51" s="6"/>
      <c r="AC51" s="6">
        <f>T51*战斗公式!$E$39*(1+W51*(X51-1))*Y51</f>
        <v>75985.925982138229</v>
      </c>
      <c r="AD51" s="6">
        <f>U51*战斗公式!$E$41*(1+V51*战斗公式!$E$40)</f>
        <v>83386.475700563213</v>
      </c>
      <c r="AE51" s="22">
        <f t="shared" si="12"/>
        <v>159372.40168270143</v>
      </c>
      <c r="AF51" s="22">
        <f t="shared" si="19"/>
        <v>7589.1619848905248</v>
      </c>
      <c r="AG51" s="22"/>
      <c r="AH51" s="9">
        <f t="shared" si="13"/>
        <v>709.20197583329025</v>
      </c>
      <c r="AI51" s="9">
        <f t="shared" si="14"/>
        <v>19659.67366952651</v>
      </c>
      <c r="AJ51" s="9">
        <f t="shared" si="15"/>
        <v>5253.3479691354805</v>
      </c>
      <c r="AK51" s="9">
        <f t="shared" si="20"/>
        <v>33.771522658728031</v>
      </c>
      <c r="AL51" s="9">
        <f t="shared" si="21"/>
        <v>794.25350652557972</v>
      </c>
      <c r="AM51" s="9">
        <f t="shared" si="22"/>
        <v>250.1594271016902</v>
      </c>
    </row>
    <row r="52" spans="4:39" ht="14.25" customHeight="1" x14ac:dyDescent="0.2">
      <c r="D52" s="1">
        <v>35</v>
      </c>
      <c r="E52" s="6">
        <f t="shared" si="16"/>
        <v>38.524551773660207</v>
      </c>
      <c r="F52" s="6">
        <f t="shared" si="17"/>
        <v>323.9564580966881</v>
      </c>
      <c r="G52" s="6">
        <f t="shared" si="18"/>
        <v>29.768971825101055</v>
      </c>
      <c r="H52" s="6">
        <v>0.4</v>
      </c>
      <c r="I52" s="6">
        <v>1.5</v>
      </c>
      <c r="J52" s="6">
        <v>1</v>
      </c>
      <c r="K52" s="26">
        <f t="shared" si="9"/>
        <v>1.0477606862268507</v>
      </c>
      <c r="L52" s="6">
        <f t="shared" si="23"/>
        <v>3370.8982801952679</v>
      </c>
      <c r="M52" s="6">
        <f t="shared" si="24"/>
        <v>46516.352724031007</v>
      </c>
      <c r="N52" s="6">
        <f t="shared" si="25"/>
        <v>4465.3457737651579</v>
      </c>
      <c r="O52" s="6">
        <f t="shared" si="26"/>
        <v>0.4</v>
      </c>
      <c r="P52" s="6">
        <f t="shared" si="27"/>
        <v>1.5</v>
      </c>
      <c r="Q52" s="6">
        <f t="shared" si="28"/>
        <v>1</v>
      </c>
      <c r="R52" s="6"/>
      <c r="S52" s="38">
        <v>35</v>
      </c>
      <c r="T52" s="6">
        <f>VLOOKUP($S$13,角色设定!$AB$9:$AJ$21,MATCH(E$17,角色设定!$AB$9:$AJ$9,0),0)*Z52*$L$15*E52/Y52/(1+W52*(X52-1))</f>
        <v>2659.5074093748385</v>
      </c>
      <c r="U52" s="6">
        <f>VLOOKUP($S$13,角色设定!$AB$9:$AJ$21,MATCH(F$17,角色设定!$AB$9:$AJ$9,0),0)*F52*$L$15/(1+V52/$N$16)</f>
        <v>73145.997777738681</v>
      </c>
      <c r="V52" s="6">
        <f>VLOOKUP($S$13,角色设定!$AB$9:$AJ$21,MATCH(V$17,角色设定!$AB$9:$AJ$9,0),0)*G52*$L$15</f>
        <v>19700.05488425805</v>
      </c>
      <c r="W52" s="6">
        <f>VLOOKUP($S$13,角色设定!$AB$9:$AJ$21,MATCH(W$17,角色设定!$AB$9:$AJ$9,0),0)*H52</f>
        <v>0.4</v>
      </c>
      <c r="X52" s="6">
        <f>VLOOKUP($S$13,角色设定!$AB$9:$AJ$21,MATCH(X$17,角色设定!$AB$9:$AJ$9,0),0)*I52</f>
        <v>1.5</v>
      </c>
      <c r="Y52" s="6">
        <f>VLOOKUP($S$13,角色设定!$AB$9:$AJ$21,MATCH(Y$17,角色设定!$AB$9:$AJ$9,0),0)*J52</f>
        <v>1</v>
      </c>
      <c r="Z52" s="6">
        <f>VLOOKUP($S$13,角色设定!$AB$9:$AJ$21,MATCH(Z$17,角色设定!$AB$9:$AJ$9,0),0)</f>
        <v>0.9</v>
      </c>
      <c r="AA52" s="6"/>
      <c r="AB52" s="6"/>
      <c r="AC52" s="6">
        <f>T52*战斗公式!$E$39*(1+W52*(X52-1))*Y52</f>
        <v>79785.222281245151</v>
      </c>
      <c r="AD52" s="6">
        <f>U52*战斗公式!$E$41*(1+V52*战斗公式!$E$40)</f>
        <v>87555.799485591386</v>
      </c>
      <c r="AE52" s="22">
        <f t="shared" si="12"/>
        <v>167341.02176683652</v>
      </c>
      <c r="AF52" s="22">
        <f t="shared" si="19"/>
        <v>7968.6200841350947</v>
      </c>
      <c r="AG52" s="22"/>
      <c r="AH52" s="9">
        <f t="shared" si="13"/>
        <v>744.66207462495481</v>
      </c>
      <c r="AI52" s="9">
        <f t="shared" si="14"/>
        <v>20480.879377766832</v>
      </c>
      <c r="AJ52" s="9">
        <f t="shared" si="15"/>
        <v>5516.0153675922547</v>
      </c>
      <c r="AK52" s="9">
        <f t="shared" si="20"/>
        <v>35.460098791664564</v>
      </c>
      <c r="AL52" s="9">
        <f t="shared" si="21"/>
        <v>821.20570824032256</v>
      </c>
      <c r="AM52" s="9">
        <f t="shared" si="22"/>
        <v>262.66739845677421</v>
      </c>
    </row>
    <row r="53" spans="4:39" ht="14.25" customHeight="1" x14ac:dyDescent="0.2">
      <c r="D53" s="1">
        <v>36</v>
      </c>
      <c r="E53" s="6">
        <f t="shared" si="16"/>
        <v>40.450779362343219</v>
      </c>
      <c r="F53" s="6">
        <f t="shared" si="17"/>
        <v>340.15428100152252</v>
      </c>
      <c r="G53" s="6">
        <f t="shared" si="18"/>
        <v>31.257420416356108</v>
      </c>
      <c r="H53" s="6">
        <v>0.4</v>
      </c>
      <c r="I53" s="6">
        <v>1.5</v>
      </c>
      <c r="J53" s="6">
        <v>1</v>
      </c>
      <c r="K53" s="26">
        <f t="shared" si="9"/>
        <v>1.0476539740264674</v>
      </c>
      <c r="L53" s="6">
        <f t="shared" si="23"/>
        <v>3539.4431942050314</v>
      </c>
      <c r="M53" s="6">
        <f t="shared" si="24"/>
        <v>48738.005650900959</v>
      </c>
      <c r="N53" s="6">
        <f t="shared" si="25"/>
        <v>4688.6130624534162</v>
      </c>
      <c r="O53" s="6">
        <f t="shared" si="26"/>
        <v>0.4</v>
      </c>
      <c r="P53" s="6">
        <f t="shared" si="27"/>
        <v>1.5</v>
      </c>
      <c r="Q53" s="6">
        <f t="shared" si="28"/>
        <v>1</v>
      </c>
      <c r="R53" s="6"/>
      <c r="S53" s="38">
        <v>36</v>
      </c>
      <c r="T53" s="6">
        <f>VLOOKUP($S$13,角色设定!$AB$9:$AJ$21,MATCH(E$17,角色设定!$AB$9:$AJ$9,0),0)*Z53*$L$15*E53/Y53/(1+W53*(X53-1))</f>
        <v>2792.4827798435804</v>
      </c>
      <c r="U53" s="6">
        <f>VLOOKUP($S$13,角色设定!$AB$9:$AJ$21,MATCH(F$17,角色设定!$AB$9:$AJ$9,0),0)*F53*$L$15/(1+V53/$N$16)</f>
        <v>76176.447413140893</v>
      </c>
      <c r="V53" s="6">
        <f>VLOOKUP($S$13,角色设定!$AB$9:$AJ$21,MATCH(V$17,角色设定!$AB$9:$AJ$9,0),0)*G53*$L$15</f>
        <v>20685.057628470953</v>
      </c>
      <c r="W53" s="6">
        <f>VLOOKUP($S$13,角色设定!$AB$9:$AJ$21,MATCH(W$17,角色设定!$AB$9:$AJ$9,0),0)*H53</f>
        <v>0.4</v>
      </c>
      <c r="X53" s="6">
        <f>VLOOKUP($S$13,角色设定!$AB$9:$AJ$21,MATCH(X$17,角色设定!$AB$9:$AJ$9,0),0)*I53</f>
        <v>1.5</v>
      </c>
      <c r="Y53" s="6">
        <f>VLOOKUP($S$13,角色设定!$AB$9:$AJ$21,MATCH(Y$17,角色设定!$AB$9:$AJ$9,0),0)*J53</f>
        <v>1</v>
      </c>
      <c r="Z53" s="6">
        <f>VLOOKUP($S$13,角色设定!$AB$9:$AJ$21,MATCH(Z$17,角色设定!$AB$9:$AJ$9,0),0)</f>
        <v>0.9</v>
      </c>
      <c r="AA53" s="6"/>
      <c r="AB53" s="6"/>
      <c r="AC53" s="6">
        <f>T53*战斗公式!$E$39*(1+W53*(X53-1))*Y53</f>
        <v>83774.483395307398</v>
      </c>
      <c r="AD53" s="6">
        <f>U53*战斗公式!$E$41*(1+V53*战斗公式!$E$40)</f>
        <v>91933.589459870956</v>
      </c>
      <c r="AE53" s="22">
        <f t="shared" si="12"/>
        <v>175708.07285517835</v>
      </c>
      <c r="AF53" s="22">
        <f t="shared" si="19"/>
        <v>8367.0510883418319</v>
      </c>
      <c r="AG53" s="22"/>
      <c r="AH53" s="9">
        <f t="shared" si="13"/>
        <v>781.89517835620256</v>
      </c>
      <c r="AI53" s="9">
        <f t="shared" si="14"/>
        <v>21329.405275679452</v>
      </c>
      <c r="AJ53" s="9">
        <f t="shared" si="15"/>
        <v>5791.8161359718679</v>
      </c>
      <c r="AK53" s="9">
        <f t="shared" si="20"/>
        <v>37.233103731247752</v>
      </c>
      <c r="AL53" s="9">
        <f t="shared" si="21"/>
        <v>848.52589791261926</v>
      </c>
      <c r="AM53" s="9">
        <f t="shared" si="22"/>
        <v>275.80076837961315</v>
      </c>
    </row>
    <row r="54" spans="4:39" ht="14.25" customHeight="1" x14ac:dyDescent="0.2">
      <c r="D54" s="1">
        <v>37</v>
      </c>
      <c r="E54" s="6">
        <f t="shared" si="16"/>
        <v>42.47331833046038</v>
      </c>
      <c r="F54" s="6">
        <f t="shared" si="17"/>
        <v>357.16199505159864</v>
      </c>
      <c r="G54" s="6">
        <f t="shared" si="18"/>
        <v>32.820291437173914</v>
      </c>
      <c r="H54" s="6">
        <v>0.4</v>
      </c>
      <c r="I54" s="6">
        <v>1.5</v>
      </c>
      <c r="J54" s="6">
        <v>1</v>
      </c>
      <c r="K54" s="26">
        <f t="shared" si="9"/>
        <v>1.0475424382315315</v>
      </c>
      <c r="L54" s="6">
        <f t="shared" si="23"/>
        <v>3716.415353915283</v>
      </c>
      <c r="M54" s="6">
        <f t="shared" si="24"/>
        <v>51060.565306290817</v>
      </c>
      <c r="N54" s="6">
        <f t="shared" si="25"/>
        <v>4923.0437155760874</v>
      </c>
      <c r="O54" s="6">
        <f t="shared" si="26"/>
        <v>0.4</v>
      </c>
      <c r="P54" s="6">
        <f t="shared" si="27"/>
        <v>1.5</v>
      </c>
      <c r="Q54" s="6">
        <f t="shared" si="28"/>
        <v>1</v>
      </c>
      <c r="R54" s="6"/>
      <c r="S54" s="38">
        <v>37</v>
      </c>
      <c r="T54" s="6">
        <f>VLOOKUP($S$13,角色设定!$AB$9:$AJ$21,MATCH(E$17,角色设定!$AB$9:$AJ$9,0),0)*Z54*$L$15*E54/Y54/(1+W54*(X54-1))</f>
        <v>2932.1069188357592</v>
      </c>
      <c r="U54" s="6">
        <f>VLOOKUP($S$13,角色设定!$AB$9:$AJ$21,MATCH(F$17,角色设定!$AB$9:$AJ$9,0),0)*F54*$L$15/(1+V54/$N$16)</f>
        <v>79305.632383628734</v>
      </c>
      <c r="V54" s="6">
        <f>VLOOKUP($S$13,角色设定!$AB$9:$AJ$21,MATCH(V$17,角色设定!$AB$9:$AJ$9,0),0)*G54*$L$15</f>
        <v>21719.310509894502</v>
      </c>
      <c r="W54" s="6">
        <f>VLOOKUP($S$13,角色设定!$AB$9:$AJ$21,MATCH(W$17,角色设定!$AB$9:$AJ$9,0),0)*H54</f>
        <v>0.4</v>
      </c>
      <c r="X54" s="6">
        <f>VLOOKUP($S$13,角色设定!$AB$9:$AJ$21,MATCH(X$17,角色设定!$AB$9:$AJ$9,0),0)*I54</f>
        <v>1.5</v>
      </c>
      <c r="Y54" s="6">
        <f>VLOOKUP($S$13,角色设定!$AB$9:$AJ$21,MATCH(Y$17,角色设定!$AB$9:$AJ$9,0),0)*J54</f>
        <v>1</v>
      </c>
      <c r="Z54" s="6">
        <f>VLOOKUP($S$13,角色设定!$AB$9:$AJ$21,MATCH(Z$17,角色设定!$AB$9:$AJ$9,0),0)</f>
        <v>0.9</v>
      </c>
      <c r="AA54" s="6"/>
      <c r="AB54" s="6"/>
      <c r="AC54" s="6">
        <f>T54*战斗公式!$E$39*(1+W54*(X54-1))*Y54</f>
        <v>87963.207565072778</v>
      </c>
      <c r="AD54" s="6">
        <f>U54*战斗公式!$E$41*(1+V54*战斗公式!$E$40)</f>
        <v>96530.268932864506</v>
      </c>
      <c r="AE54" s="22">
        <f t="shared" si="12"/>
        <v>184493.47649793728</v>
      </c>
      <c r="AF54" s="22">
        <f t="shared" si="19"/>
        <v>8785.4036427589308</v>
      </c>
      <c r="AG54" s="22"/>
      <c r="AH54" s="9">
        <f t="shared" si="13"/>
        <v>820.98993727401262</v>
      </c>
      <c r="AI54" s="9">
        <f t="shared" si="14"/>
        <v>22205.577067416049</v>
      </c>
      <c r="AJ54" s="9">
        <f t="shared" si="15"/>
        <v>6081.4069427704608</v>
      </c>
      <c r="AK54" s="9">
        <f t="shared" si="20"/>
        <v>39.094758917810054</v>
      </c>
      <c r="AL54" s="9">
        <f t="shared" si="21"/>
        <v>876.17179173659679</v>
      </c>
      <c r="AM54" s="9">
        <f t="shared" si="22"/>
        <v>289.59080679859289</v>
      </c>
    </row>
    <row r="55" spans="4:39" ht="14.25" customHeight="1" x14ac:dyDescent="0.2">
      <c r="D55" s="1">
        <v>38</v>
      </c>
      <c r="E55" s="6">
        <f t="shared" si="16"/>
        <v>44.596984246983403</v>
      </c>
      <c r="F55" s="6">
        <f t="shared" si="17"/>
        <v>375.0200948041786</v>
      </c>
      <c r="G55" s="6">
        <f t="shared" si="18"/>
        <v>34.461306009032612</v>
      </c>
      <c r="H55" s="6">
        <v>0.4</v>
      </c>
      <c r="I55" s="6">
        <v>1.5</v>
      </c>
      <c r="J55" s="6">
        <v>1</v>
      </c>
      <c r="K55" s="26">
        <f t="shared" si="9"/>
        <v>1.0474258861868033</v>
      </c>
      <c r="L55" s="6">
        <f t="shared" si="23"/>
        <v>3902.236121611048</v>
      </c>
      <c r="M55" s="6">
        <f t="shared" si="24"/>
        <v>53488.10907843223</v>
      </c>
      <c r="N55" s="6">
        <f t="shared" si="25"/>
        <v>5169.1959013548922</v>
      </c>
      <c r="O55" s="6">
        <f t="shared" si="26"/>
        <v>0.4</v>
      </c>
      <c r="P55" s="6">
        <f t="shared" si="27"/>
        <v>1.5</v>
      </c>
      <c r="Q55" s="6">
        <f t="shared" si="28"/>
        <v>1</v>
      </c>
      <c r="R55" s="6"/>
      <c r="S55" s="38">
        <v>38</v>
      </c>
      <c r="T55" s="6">
        <f>VLOOKUP($S$13,角色设定!$AB$9:$AJ$21,MATCH(E$17,角色设定!$AB$9:$AJ$9,0),0)*Z55*$L$15*E55/Y55/(1+W55*(X55-1))</f>
        <v>3078.7122647775477</v>
      </c>
      <c r="U55" s="6">
        <f>VLOOKUP($S$13,角色设定!$AB$9:$AJ$21,MATCH(F$17,角色设定!$AB$9:$AJ$9,0),0)*F55*$L$15/(1+V55/$N$16)</f>
        <v>82534.550348064353</v>
      </c>
      <c r="V55" s="6">
        <f>VLOOKUP($S$13,角色设定!$AB$9:$AJ$21,MATCH(V$17,角色设定!$AB$9:$AJ$9,0),0)*G55*$L$15</f>
        <v>22805.276035389226</v>
      </c>
      <c r="W55" s="6">
        <f>VLOOKUP($S$13,角色设定!$AB$9:$AJ$21,MATCH(W$17,角色设定!$AB$9:$AJ$9,0),0)*H55</f>
        <v>0.4</v>
      </c>
      <c r="X55" s="6">
        <f>VLOOKUP($S$13,角色设定!$AB$9:$AJ$21,MATCH(X$17,角色设定!$AB$9:$AJ$9,0),0)*I55</f>
        <v>1.5</v>
      </c>
      <c r="Y55" s="6">
        <f>VLOOKUP($S$13,角色设定!$AB$9:$AJ$21,MATCH(Y$17,角色设定!$AB$9:$AJ$9,0),0)*J55</f>
        <v>1</v>
      </c>
      <c r="Z55" s="6">
        <f>VLOOKUP($S$13,角色设定!$AB$9:$AJ$21,MATCH(Z$17,角色设定!$AB$9:$AJ$9,0),0)</f>
        <v>0.9</v>
      </c>
      <c r="AA55" s="6"/>
      <c r="AB55" s="6"/>
      <c r="AC55" s="6">
        <f>T55*战斗公式!$E$39*(1+W55*(X55-1))*Y55</f>
        <v>92361.367943326433</v>
      </c>
      <c r="AD55" s="6">
        <f>U55*战斗公式!$E$41*(1+V55*战斗公式!$E$40)</f>
        <v>101356.78237950773</v>
      </c>
      <c r="AE55" s="22">
        <f t="shared" si="12"/>
        <v>193718.15032283415</v>
      </c>
      <c r="AF55" s="22">
        <f t="shared" si="19"/>
        <v>9224.6738248968613</v>
      </c>
      <c r="AG55" s="22"/>
      <c r="AH55" s="9">
        <f t="shared" si="13"/>
        <v>862.03943413771344</v>
      </c>
      <c r="AI55" s="9">
        <f t="shared" si="14"/>
        <v>23109.674097458021</v>
      </c>
      <c r="AJ55" s="9">
        <f t="shared" si="15"/>
        <v>6385.4772899089839</v>
      </c>
      <c r="AK55" s="9">
        <f t="shared" si="20"/>
        <v>41.049496863700824</v>
      </c>
      <c r="AL55" s="9">
        <f t="shared" si="21"/>
        <v>904.09703004197218</v>
      </c>
      <c r="AM55" s="9">
        <f t="shared" si="22"/>
        <v>304.07034713852318</v>
      </c>
    </row>
    <row r="56" spans="4:39" ht="14.25" customHeight="1" x14ac:dyDescent="0.2">
      <c r="D56" s="1">
        <v>39</v>
      </c>
      <c r="E56" s="6">
        <f t="shared" si="16"/>
        <v>46.826833459332576</v>
      </c>
      <c r="F56" s="6">
        <f t="shared" si="17"/>
        <v>393.77109954438754</v>
      </c>
      <c r="G56" s="6">
        <f t="shared" si="18"/>
        <v>36.184371309484241</v>
      </c>
      <c r="H56" s="6">
        <v>0.4</v>
      </c>
      <c r="I56" s="6">
        <v>1.5</v>
      </c>
      <c r="J56" s="6">
        <v>1</v>
      </c>
      <c r="K56" s="26">
        <f t="shared" si="9"/>
        <v>1.0473041199980946</v>
      </c>
      <c r="L56" s="6">
        <f t="shared" si="23"/>
        <v>4097.3479276916005</v>
      </c>
      <c r="M56" s="6">
        <f t="shared" si="24"/>
        <v>56024.830051933277</v>
      </c>
      <c r="N56" s="6">
        <f t="shared" si="25"/>
        <v>5427.6556964226365</v>
      </c>
      <c r="O56" s="6">
        <f t="shared" si="26"/>
        <v>0.4</v>
      </c>
      <c r="P56" s="6">
        <f t="shared" si="27"/>
        <v>1.5</v>
      </c>
      <c r="Q56" s="6">
        <f t="shared" si="28"/>
        <v>1</v>
      </c>
      <c r="R56" s="6"/>
      <c r="S56" s="38">
        <v>39</v>
      </c>
      <c r="T56" s="6">
        <f>VLOOKUP($S$13,角色设定!$AB$9:$AJ$21,MATCH(E$17,角色设定!$AB$9:$AJ$9,0),0)*Z56*$L$15*E56/Y56/(1+W56*(X56-1))</f>
        <v>3232.6478780164252</v>
      </c>
      <c r="U56" s="6">
        <f>VLOOKUP($S$13,角色设定!$AB$9:$AJ$21,MATCH(F$17,角色设定!$AB$9:$AJ$9,0),0)*F56*$L$15/(1+V56/$N$16)</f>
        <v>85864.018695876613</v>
      </c>
      <c r="V56" s="6">
        <f>VLOOKUP($S$13,角色设定!$AB$9:$AJ$21,MATCH(V$17,角色设定!$AB$9:$AJ$9,0),0)*G56*$L$15</f>
        <v>23945.539837158689</v>
      </c>
      <c r="W56" s="6">
        <f>VLOOKUP($S$13,角色设定!$AB$9:$AJ$21,MATCH(W$17,角色设定!$AB$9:$AJ$9,0),0)*H56</f>
        <v>0.4</v>
      </c>
      <c r="X56" s="6">
        <f>VLOOKUP($S$13,角色设定!$AB$9:$AJ$21,MATCH(X$17,角色设定!$AB$9:$AJ$9,0),0)*I56</f>
        <v>1.5</v>
      </c>
      <c r="Y56" s="6">
        <f>VLOOKUP($S$13,角色设定!$AB$9:$AJ$21,MATCH(Y$17,角色设定!$AB$9:$AJ$9,0),0)*J56</f>
        <v>1</v>
      </c>
      <c r="Z56" s="6">
        <f>VLOOKUP($S$13,角色设定!$AB$9:$AJ$21,MATCH(Z$17,角色设定!$AB$9:$AJ$9,0),0)</f>
        <v>0.9</v>
      </c>
      <c r="AA56" s="6"/>
      <c r="AB56" s="6"/>
      <c r="AC56" s="6">
        <f>T56*战斗公式!$E$39*(1+W56*(X56-1))*Y56</f>
        <v>96979.436340492757</v>
      </c>
      <c r="AD56" s="6">
        <f>U56*战斗公式!$E$41*(1+V56*战斗公式!$E$40)</f>
        <v>106424.62149848313</v>
      </c>
      <c r="AE56" s="22">
        <f t="shared" si="12"/>
        <v>203404.05783897589</v>
      </c>
      <c r="AF56" s="22">
        <f t="shared" si="19"/>
        <v>9685.9075161417422</v>
      </c>
      <c r="AG56" s="22"/>
      <c r="AH56" s="9">
        <f t="shared" si="13"/>
        <v>905.14140584459915</v>
      </c>
      <c r="AI56" s="9">
        <f t="shared" si="14"/>
        <v>24041.925234845454</v>
      </c>
      <c r="AJ56" s="9">
        <f t="shared" si="15"/>
        <v>6704.7511544044337</v>
      </c>
      <c r="AK56" s="9">
        <f t="shared" si="20"/>
        <v>43.101971706885706</v>
      </c>
      <c r="AL56" s="9">
        <f t="shared" si="21"/>
        <v>932.25113738743312</v>
      </c>
      <c r="AM56" s="9">
        <f t="shared" si="22"/>
        <v>319.27386449544974</v>
      </c>
    </row>
    <row r="57" spans="4:39" ht="14.25" customHeight="1" x14ac:dyDescent="0.2">
      <c r="D57" s="1">
        <v>40</v>
      </c>
      <c r="E57" s="6">
        <f t="shared" si="16"/>
        <v>49.168175132299204</v>
      </c>
      <c r="F57" s="6">
        <f t="shared" si="17"/>
        <v>413.45965452160692</v>
      </c>
      <c r="G57" s="6">
        <f t="shared" si="18"/>
        <v>37.993589874958452</v>
      </c>
      <c r="H57" s="6">
        <v>0.4</v>
      </c>
      <c r="I57" s="6">
        <v>1.5</v>
      </c>
      <c r="J57" s="6">
        <v>1</v>
      </c>
      <c r="K57" s="26">
        <f t="shared" si="9"/>
        <v>1.0471769366380614</v>
      </c>
      <c r="L57" s="6">
        <f t="shared" si="23"/>
        <v>4302.2153240761809</v>
      </c>
      <c r="M57" s="6">
        <f t="shared" si="24"/>
        <v>58675.03533558279</v>
      </c>
      <c r="N57" s="6">
        <f t="shared" si="25"/>
        <v>5699.0384812437678</v>
      </c>
      <c r="O57" s="6">
        <f t="shared" si="26"/>
        <v>0.4</v>
      </c>
      <c r="P57" s="6">
        <f t="shared" si="27"/>
        <v>1.5</v>
      </c>
      <c r="Q57" s="6">
        <f t="shared" si="28"/>
        <v>1</v>
      </c>
      <c r="R57" s="6"/>
      <c r="S57" s="38">
        <v>40</v>
      </c>
      <c r="T57" s="6">
        <f>VLOOKUP($S$13,角色设定!$AB$9:$AJ$21,MATCH(E$17,角色设定!$AB$9:$AJ$9,0),0)*Z57*$L$15*E57/Y57/(1+W57*(X57-1))</f>
        <v>3394.2802719172464</v>
      </c>
      <c r="U57" s="6">
        <f>VLOOKUP($S$13,角色设定!$AB$9:$AJ$21,MATCH(F$17,角色设定!$AB$9:$AJ$9,0),0)*F57*$L$15/(1+V57/$N$16)</f>
        <v>89294.659817419888</v>
      </c>
      <c r="V57" s="6">
        <f>VLOOKUP($S$13,角色设定!$AB$9:$AJ$21,MATCH(V$17,角色设定!$AB$9:$AJ$9,0),0)*G57*$L$15</f>
        <v>25142.816829016621</v>
      </c>
      <c r="W57" s="6">
        <f>VLOOKUP($S$13,角色设定!$AB$9:$AJ$21,MATCH(W$17,角色设定!$AB$9:$AJ$9,0),0)*H57</f>
        <v>0.4</v>
      </c>
      <c r="X57" s="6">
        <f>VLOOKUP($S$13,角色设定!$AB$9:$AJ$21,MATCH(X$17,角色设定!$AB$9:$AJ$9,0),0)*I57</f>
        <v>1.5</v>
      </c>
      <c r="Y57" s="6">
        <f>VLOOKUP($S$13,角色设定!$AB$9:$AJ$21,MATCH(Y$17,角色设定!$AB$9:$AJ$9,0),0)*J57</f>
        <v>1</v>
      </c>
      <c r="Z57" s="6">
        <f>VLOOKUP($S$13,角色设定!$AB$9:$AJ$21,MATCH(Z$17,角色设定!$AB$9:$AJ$9,0),0)</f>
        <v>0.9</v>
      </c>
      <c r="AA57" s="6"/>
      <c r="AB57" s="6"/>
      <c r="AC57" s="6">
        <f>T57*战斗公式!$E$39*(1+W57*(X57-1))*Y57</f>
        <v>101828.40815751739</v>
      </c>
      <c r="AD57" s="6">
        <f>U57*战斗公式!$E$41*(1+V57*战斗公式!$E$40)</f>
        <v>111745.85257340728</v>
      </c>
      <c r="AE57" s="22">
        <f t="shared" si="12"/>
        <v>213574.26073092467</v>
      </c>
      <c r="AF57" s="22">
        <f t="shared" si="19"/>
        <v>10170.202891948778</v>
      </c>
      <c r="AG57" s="22"/>
      <c r="AH57" s="9">
        <f t="shared" si="13"/>
        <v>950.39847613682912</v>
      </c>
      <c r="AI57" s="9">
        <f t="shared" si="14"/>
        <v>25002.504748877571</v>
      </c>
      <c r="AJ57" s="9">
        <f t="shared" si="15"/>
        <v>7039.9887121246547</v>
      </c>
      <c r="AK57" s="9">
        <f t="shared" si="20"/>
        <v>45.257070292229969</v>
      </c>
      <c r="AL57" s="9">
        <f t="shared" si="21"/>
        <v>960.579514032117</v>
      </c>
      <c r="AM57" s="9">
        <f t="shared" si="22"/>
        <v>335.23755772022105</v>
      </c>
    </row>
    <row r="58" spans="4:39" ht="14.25" customHeight="1" x14ac:dyDescent="0.2">
      <c r="D58" s="1">
        <v>41</v>
      </c>
      <c r="E58" s="6">
        <f t="shared" si="16"/>
        <v>51.626583888914169</v>
      </c>
      <c r="F58" s="6">
        <f t="shared" si="17"/>
        <v>434.13263724768728</v>
      </c>
      <c r="G58" s="6">
        <f t="shared" si="18"/>
        <v>39.893269368706378</v>
      </c>
      <c r="H58" s="6">
        <v>0.4</v>
      </c>
      <c r="I58" s="6">
        <v>1.5</v>
      </c>
      <c r="J58" s="6">
        <v>1</v>
      </c>
      <c r="K58" s="26">
        <f t="shared" si="9"/>
        <v>1.0470441280836735</v>
      </c>
      <c r="L58" s="6">
        <f t="shared" si="23"/>
        <v>4517.3260902799893</v>
      </c>
      <c r="M58" s="6">
        <f t="shared" si="24"/>
        <v>61443.143759845596</v>
      </c>
      <c r="N58" s="6">
        <f t="shared" si="25"/>
        <v>5983.9904053059563</v>
      </c>
      <c r="O58" s="6">
        <f t="shared" si="26"/>
        <v>0.4</v>
      </c>
      <c r="P58" s="6">
        <f t="shared" si="27"/>
        <v>1.5</v>
      </c>
      <c r="Q58" s="6">
        <f t="shared" si="28"/>
        <v>1</v>
      </c>
      <c r="R58" s="6"/>
      <c r="S58" s="38">
        <v>41</v>
      </c>
      <c r="T58" s="6">
        <f>VLOOKUP($S$13,角色设定!$AB$9:$AJ$21,MATCH(E$17,角色设定!$AB$9:$AJ$9,0),0)*Z58*$L$15*E58/Y58/(1+W58*(X58-1))</f>
        <v>3563.9942855131094</v>
      </c>
      <c r="U58" s="6">
        <f>VLOOKUP($S$13,角色设定!$AB$9:$AJ$21,MATCH(F$17,角色设定!$AB$9:$AJ$9,0),0)*F58*$L$15/(1+V58/$N$16)</f>
        <v>92826.886467772754</v>
      </c>
      <c r="V58" s="6">
        <f>VLOOKUP($S$13,角色设定!$AB$9:$AJ$21,MATCH(V$17,角色设定!$AB$9:$AJ$9,0),0)*G58*$L$15</f>
        <v>26399.957670467451</v>
      </c>
      <c r="W58" s="6">
        <f>VLOOKUP($S$13,角色设定!$AB$9:$AJ$21,MATCH(W$17,角色设定!$AB$9:$AJ$9,0),0)*H58</f>
        <v>0.4</v>
      </c>
      <c r="X58" s="6">
        <f>VLOOKUP($S$13,角色设定!$AB$9:$AJ$21,MATCH(X$17,角色设定!$AB$9:$AJ$9,0),0)*I58</f>
        <v>1.5</v>
      </c>
      <c r="Y58" s="6">
        <f>VLOOKUP($S$13,角色设定!$AB$9:$AJ$21,MATCH(Y$17,角色设定!$AB$9:$AJ$9,0),0)*J58</f>
        <v>1</v>
      </c>
      <c r="Z58" s="6">
        <f>VLOOKUP($S$13,角色设定!$AB$9:$AJ$21,MATCH(Z$17,角色设定!$AB$9:$AJ$9,0),0)</f>
        <v>0.9</v>
      </c>
      <c r="AA58" s="6"/>
      <c r="AB58" s="6"/>
      <c r="AC58" s="6">
        <f>T58*战斗公式!$E$39*(1+W58*(X58-1))*Y58</f>
        <v>106919.82856539328</v>
      </c>
      <c r="AD58" s="6">
        <f>U58*战斗公式!$E$41*(1+V58*战斗公式!$E$40)</f>
        <v>117333.14520207765</v>
      </c>
      <c r="AE58" s="22">
        <f t="shared" si="12"/>
        <v>224252.97376747092</v>
      </c>
      <c r="AF58" s="22">
        <f t="shared" si="19"/>
        <v>10678.713036546251</v>
      </c>
      <c r="AG58" s="22"/>
      <c r="AH58" s="9">
        <f t="shared" si="13"/>
        <v>997.91839994367069</v>
      </c>
      <c r="AI58" s="9">
        <f t="shared" si="14"/>
        <v>25991.528210976372</v>
      </c>
      <c r="AJ58" s="9">
        <f t="shared" si="15"/>
        <v>7391.9881477308872</v>
      </c>
      <c r="AK58" s="9">
        <f t="shared" si="20"/>
        <v>47.519923806841575</v>
      </c>
      <c r="AL58" s="9">
        <f t="shared" si="21"/>
        <v>989.02346209880125</v>
      </c>
      <c r="AM58" s="9">
        <f t="shared" si="22"/>
        <v>351.99943560623251</v>
      </c>
    </row>
    <row r="59" spans="4:39" ht="14.25" customHeight="1" x14ac:dyDescent="0.2">
      <c r="D59" s="1">
        <v>42</v>
      </c>
      <c r="E59" s="6">
        <f t="shared" si="16"/>
        <v>54.207913083359877</v>
      </c>
      <c r="F59" s="6">
        <f t="shared" si="17"/>
        <v>455.83926911007165</v>
      </c>
      <c r="G59" s="6">
        <f t="shared" si="18"/>
        <v>41.887932837141697</v>
      </c>
      <c r="H59" s="6">
        <v>0.4</v>
      </c>
      <c r="I59" s="6">
        <v>1.5</v>
      </c>
      <c r="J59" s="6">
        <v>1</v>
      </c>
      <c r="K59" s="26">
        <f t="shared" si="9"/>
        <v>1.0469054814882213</v>
      </c>
      <c r="L59" s="6">
        <f t="shared" si="23"/>
        <v>4743.1923947939895</v>
      </c>
      <c r="M59" s="6">
        <f t="shared" si="24"/>
        <v>64333.682884747337</v>
      </c>
      <c r="N59" s="6">
        <f t="shared" si="25"/>
        <v>6283.1899255712542</v>
      </c>
      <c r="O59" s="6">
        <f t="shared" si="26"/>
        <v>0.4</v>
      </c>
      <c r="P59" s="6">
        <f t="shared" si="27"/>
        <v>1.5</v>
      </c>
      <c r="Q59" s="6">
        <f t="shared" si="28"/>
        <v>1</v>
      </c>
      <c r="R59" s="6"/>
      <c r="S59" s="38">
        <v>42</v>
      </c>
      <c r="T59" s="6">
        <f>VLOOKUP($S$13,角色设定!$AB$9:$AJ$21,MATCH(E$17,角色设定!$AB$9:$AJ$9,0),0)*Z59*$L$15*E59/Y59/(1+W59*(X59-1))</f>
        <v>3742.1939997887644</v>
      </c>
      <c r="U59" s="6">
        <f>VLOOKUP($S$13,角色设定!$AB$9:$AJ$21,MATCH(F$17,角色设定!$AB$9:$AJ$9,0),0)*F59*$L$15/(1+V59/$N$16)</f>
        <v>96460.887359220462</v>
      </c>
      <c r="V59" s="6">
        <f>VLOOKUP($S$13,角色设定!$AB$9:$AJ$21,MATCH(V$17,角色设定!$AB$9:$AJ$9,0),0)*G59*$L$15</f>
        <v>27719.955553990825</v>
      </c>
      <c r="W59" s="6">
        <f>VLOOKUP($S$13,角色设定!$AB$9:$AJ$21,MATCH(W$17,角色设定!$AB$9:$AJ$9,0),0)*H59</f>
        <v>0.4</v>
      </c>
      <c r="X59" s="6">
        <f>VLOOKUP($S$13,角色设定!$AB$9:$AJ$21,MATCH(X$17,角色设定!$AB$9:$AJ$9,0),0)*I59</f>
        <v>1.5</v>
      </c>
      <c r="Y59" s="6">
        <f>VLOOKUP($S$13,角色设定!$AB$9:$AJ$21,MATCH(Y$17,角色设定!$AB$9:$AJ$9,0),0)*J59</f>
        <v>1</v>
      </c>
      <c r="Z59" s="6">
        <f>VLOOKUP($S$13,角色设定!$AB$9:$AJ$21,MATCH(Z$17,角色设定!$AB$9:$AJ$9,0),0)</f>
        <v>0.9</v>
      </c>
      <c r="AA59" s="6"/>
      <c r="AB59" s="6"/>
      <c r="AC59" s="6">
        <f>T59*战斗公式!$E$39*(1+W59*(X59-1))*Y59</f>
        <v>112265.81999366294</v>
      </c>
      <c r="AD59" s="6">
        <f>U59*战斗公式!$E$41*(1+V59*战斗公式!$E$40)</f>
        <v>123199.80246218153</v>
      </c>
      <c r="AE59" s="22">
        <f t="shared" si="12"/>
        <v>235465.62245584448</v>
      </c>
      <c r="AF59" s="22">
        <f t="shared" si="19"/>
        <v>11212.648688373563</v>
      </c>
      <c r="AG59" s="22"/>
      <c r="AH59" s="9">
        <f t="shared" si="13"/>
        <v>1047.8143199408541</v>
      </c>
      <c r="AI59" s="9">
        <f t="shared" si="14"/>
        <v>27009.048460581733</v>
      </c>
      <c r="AJ59" s="9">
        <f t="shared" si="15"/>
        <v>7761.5875551174322</v>
      </c>
      <c r="AK59" s="9">
        <f t="shared" si="20"/>
        <v>49.895919997183455</v>
      </c>
      <c r="AL59" s="9">
        <f t="shared" si="21"/>
        <v>1017.5202496053607</v>
      </c>
      <c r="AM59" s="9">
        <f t="shared" si="22"/>
        <v>369.59940738654495</v>
      </c>
    </row>
    <row r="60" spans="4:39" ht="14.25" customHeight="1" x14ac:dyDescent="0.2">
      <c r="D60" s="1">
        <v>43</v>
      </c>
      <c r="E60" s="6">
        <f t="shared" si="16"/>
        <v>56.918308737527873</v>
      </c>
      <c r="F60" s="6">
        <f t="shared" si="17"/>
        <v>478.63123256557526</v>
      </c>
      <c r="G60" s="6">
        <f t="shared" si="18"/>
        <v>43.982329478998786</v>
      </c>
      <c r="H60" s="6">
        <v>0.4</v>
      </c>
      <c r="I60" s="6">
        <v>1.5</v>
      </c>
      <c r="J60" s="6">
        <v>1</v>
      </c>
      <c r="K60" s="26">
        <f t="shared" si="9"/>
        <v>1.0467607793907712</v>
      </c>
      <c r="L60" s="6">
        <f t="shared" si="23"/>
        <v>4980.3520145336888</v>
      </c>
      <c r="M60" s="6">
        <f t="shared" si="24"/>
        <v>67351.285256366944</v>
      </c>
      <c r="N60" s="6">
        <f t="shared" si="25"/>
        <v>6597.3494218498181</v>
      </c>
      <c r="O60" s="6">
        <f t="shared" si="26"/>
        <v>0.4</v>
      </c>
      <c r="P60" s="6">
        <f t="shared" si="27"/>
        <v>1.5</v>
      </c>
      <c r="Q60" s="6">
        <f t="shared" si="28"/>
        <v>1</v>
      </c>
      <c r="R60" s="6"/>
      <c r="S60" s="38">
        <v>43</v>
      </c>
      <c r="T60" s="6">
        <f>VLOOKUP($S$13,角色设定!$AB$9:$AJ$21,MATCH(E$17,角色设定!$AB$9:$AJ$9,0),0)*Z60*$L$15*E60/Y60/(1+W60*(X60-1))</f>
        <v>3929.3036997782028</v>
      </c>
      <c r="U60" s="6">
        <f>VLOOKUP($S$13,角色设定!$AB$9:$AJ$21,MATCH(F$17,角色设定!$AB$9:$AJ$9,0),0)*F60*$L$15/(1+V60/$N$16)</f>
        <v>100196.61312824831</v>
      </c>
      <c r="V60" s="6">
        <f>VLOOKUP($S$13,角色设定!$AB$9:$AJ$21,MATCH(V$17,角色设定!$AB$9:$AJ$9,0),0)*G60*$L$15</f>
        <v>29105.953331690369</v>
      </c>
      <c r="W60" s="6">
        <f>VLOOKUP($S$13,角色设定!$AB$9:$AJ$21,MATCH(W$17,角色设定!$AB$9:$AJ$9,0),0)*H60</f>
        <v>0.4</v>
      </c>
      <c r="X60" s="6">
        <f>VLOOKUP($S$13,角色设定!$AB$9:$AJ$21,MATCH(X$17,角色设定!$AB$9:$AJ$9,0),0)*I60</f>
        <v>1.5</v>
      </c>
      <c r="Y60" s="6">
        <f>VLOOKUP($S$13,角色设定!$AB$9:$AJ$21,MATCH(Y$17,角色设定!$AB$9:$AJ$9,0),0)*J60</f>
        <v>1</v>
      </c>
      <c r="Z60" s="6">
        <f>VLOOKUP($S$13,角色设定!$AB$9:$AJ$21,MATCH(Z$17,角色设定!$AB$9:$AJ$9,0),0)</f>
        <v>0.9</v>
      </c>
      <c r="AA60" s="6"/>
      <c r="AB60" s="6"/>
      <c r="AC60" s="6">
        <f>T60*战斗公式!$E$39*(1+W60*(X60-1))*Y60</f>
        <v>117879.11099334607</v>
      </c>
      <c r="AD60" s="6">
        <f>U60*战斗公式!$E$41*(1+V60*战斗公式!$E$40)</f>
        <v>129359.7925852906</v>
      </c>
      <c r="AE60" s="22">
        <f t="shared" si="12"/>
        <v>247238.90357863667</v>
      </c>
      <c r="AF60" s="22">
        <f t="shared" si="19"/>
        <v>11773.281122792192</v>
      </c>
      <c r="AG60" s="22"/>
      <c r="AH60" s="9">
        <f t="shared" si="13"/>
        <v>1100.2050359378968</v>
      </c>
      <c r="AI60" s="9">
        <f t="shared" si="14"/>
        <v>28055.05167590953</v>
      </c>
      <c r="AJ60" s="9">
        <f t="shared" si="15"/>
        <v>8149.6669328733042</v>
      </c>
      <c r="AK60" s="9">
        <f t="shared" si="20"/>
        <v>52.390715997042662</v>
      </c>
      <c r="AL60" s="9">
        <f t="shared" si="21"/>
        <v>1046.0032153277971</v>
      </c>
      <c r="AM60" s="9">
        <f t="shared" si="22"/>
        <v>388.07937775587197</v>
      </c>
    </row>
    <row r="61" spans="4:39" ht="14.25" customHeight="1" x14ac:dyDescent="0.2">
      <c r="D61" s="1">
        <v>44</v>
      </c>
      <c r="E61" s="6">
        <f t="shared" si="16"/>
        <v>59.764224174404269</v>
      </c>
      <c r="F61" s="6">
        <f t="shared" si="17"/>
        <v>502.56279419385402</v>
      </c>
      <c r="G61" s="6">
        <f t="shared" si="18"/>
        <v>46.181445952948728</v>
      </c>
      <c r="H61" s="6">
        <v>0.4</v>
      </c>
      <c r="I61" s="6">
        <v>1.5</v>
      </c>
      <c r="J61" s="6">
        <v>1</v>
      </c>
      <c r="K61" s="26">
        <f t="shared" si="9"/>
        <v>1.0466097999661286</v>
      </c>
      <c r="L61" s="6">
        <f t="shared" si="23"/>
        <v>5229.3696152603734</v>
      </c>
      <c r="M61" s="6">
        <f t="shared" si="24"/>
        <v>70500.683847924811</v>
      </c>
      <c r="N61" s="6">
        <f t="shared" si="25"/>
        <v>6927.2168929423096</v>
      </c>
      <c r="O61" s="6">
        <f t="shared" si="26"/>
        <v>0.4</v>
      </c>
      <c r="P61" s="6">
        <f t="shared" si="27"/>
        <v>1.5</v>
      </c>
      <c r="Q61" s="6">
        <f t="shared" si="28"/>
        <v>1</v>
      </c>
      <c r="R61" s="6"/>
      <c r="S61" s="38">
        <v>44</v>
      </c>
      <c r="T61" s="6">
        <f>VLOOKUP($S$13,角色设定!$AB$9:$AJ$21,MATCH(E$17,角色设定!$AB$9:$AJ$9,0),0)*Z61*$L$15*E61/Y61/(1+W61*(X61-1))</f>
        <v>4125.7688847671134</v>
      </c>
      <c r="U61" s="6">
        <f>VLOOKUP($S$13,角色设定!$AB$9:$AJ$21,MATCH(F$17,角色设定!$AB$9:$AJ$9,0),0)*F61*$L$15/(1+V61/$N$16)</f>
        <v>104033.76283239645</v>
      </c>
      <c r="V61" s="6">
        <f>VLOOKUP($S$13,角色设定!$AB$9:$AJ$21,MATCH(V$17,角色设定!$AB$9:$AJ$9,0),0)*G61*$L$15</f>
        <v>30561.250998274889</v>
      </c>
      <c r="W61" s="6">
        <f>VLOOKUP($S$13,角色设定!$AB$9:$AJ$21,MATCH(W$17,角色设定!$AB$9:$AJ$9,0),0)*H61</f>
        <v>0.4</v>
      </c>
      <c r="X61" s="6">
        <f>VLOOKUP($S$13,角色设定!$AB$9:$AJ$21,MATCH(X$17,角色设定!$AB$9:$AJ$9,0),0)*I61</f>
        <v>1.5</v>
      </c>
      <c r="Y61" s="6">
        <f>VLOOKUP($S$13,角色设定!$AB$9:$AJ$21,MATCH(Y$17,角色设定!$AB$9:$AJ$9,0),0)*J61</f>
        <v>1</v>
      </c>
      <c r="Z61" s="6">
        <f>VLOOKUP($S$13,角色设定!$AB$9:$AJ$21,MATCH(Z$17,角色设定!$AB$9:$AJ$9,0),0)</f>
        <v>0.9</v>
      </c>
      <c r="AA61" s="6"/>
      <c r="AB61" s="6"/>
      <c r="AC61" s="6">
        <f>T61*战斗公式!$E$39*(1+W61*(X61-1))*Y61</f>
        <v>123773.0665430134</v>
      </c>
      <c r="AD61" s="6">
        <f>U61*战斗公式!$E$41*(1+V61*战斗公式!$E$40)</f>
        <v>135827.78221455513</v>
      </c>
      <c r="AE61" s="22">
        <f t="shared" si="12"/>
        <v>259600.84875756851</v>
      </c>
      <c r="AF61" s="22">
        <f t="shared" si="19"/>
        <v>12361.945178931841</v>
      </c>
      <c r="AG61" s="22"/>
      <c r="AH61" s="9">
        <f t="shared" si="13"/>
        <v>1155.2152877347919</v>
      </c>
      <c r="AI61" s="9">
        <f t="shared" si="14"/>
        <v>29129.453593071008</v>
      </c>
      <c r="AJ61" s="9">
        <f t="shared" si="15"/>
        <v>8557.150279516969</v>
      </c>
      <c r="AK61" s="9">
        <f t="shared" si="20"/>
        <v>55.010251796895091</v>
      </c>
      <c r="AL61" s="9">
        <f t="shared" si="21"/>
        <v>1074.4019171614782</v>
      </c>
      <c r="AM61" s="9">
        <f t="shared" si="22"/>
        <v>407.48334664366485</v>
      </c>
    </row>
    <row r="62" spans="4:39" ht="14.25" customHeight="1" x14ac:dyDescent="0.2">
      <c r="D62" s="1">
        <v>45</v>
      </c>
      <c r="E62" s="6">
        <f t="shared" si="16"/>
        <v>62.752435383124485</v>
      </c>
      <c r="F62" s="6">
        <f t="shared" si="17"/>
        <v>527.69093390354669</v>
      </c>
      <c r="G62" s="6">
        <f t="shared" si="18"/>
        <v>48.490518250596168</v>
      </c>
      <c r="H62" s="6">
        <v>0.4</v>
      </c>
      <c r="I62" s="6">
        <v>1.5</v>
      </c>
      <c r="J62" s="6">
        <v>1</v>
      </c>
      <c r="K62" s="26">
        <f t="shared" si="9"/>
        <v>1.0464523173183826</v>
      </c>
      <c r="L62" s="6">
        <f t="shared" si="23"/>
        <v>5490.8380960233917</v>
      </c>
      <c r="M62" s="6">
        <f t="shared" si="24"/>
        <v>73786.706619551856</v>
      </c>
      <c r="N62" s="6">
        <f t="shared" si="25"/>
        <v>7273.5777375894249</v>
      </c>
      <c r="O62" s="6">
        <f t="shared" si="26"/>
        <v>0.4</v>
      </c>
      <c r="P62" s="6">
        <f t="shared" si="27"/>
        <v>1.5</v>
      </c>
      <c r="Q62" s="6">
        <f t="shared" si="28"/>
        <v>1</v>
      </c>
      <c r="R62" s="6"/>
      <c r="S62" s="38">
        <v>45</v>
      </c>
      <c r="T62" s="6">
        <f>VLOOKUP($S$13,角色设定!$AB$9:$AJ$21,MATCH(E$17,角色设定!$AB$9:$AJ$9,0),0)*Z62*$L$15*E62/Y62/(1+W62*(X62-1))</f>
        <v>4332.057329005469</v>
      </c>
      <c r="U62" s="6">
        <f>VLOOKUP($S$13,角色设定!$AB$9:$AJ$21,MATCH(F$17,角色设定!$AB$9:$AJ$9,0),0)*F62*$L$15/(1+V62/$N$16)</f>
        <v>107971.77114048121</v>
      </c>
      <c r="V62" s="6">
        <f>VLOOKUP($S$13,角色设定!$AB$9:$AJ$21,MATCH(V$17,角色设定!$AB$9:$AJ$9,0),0)*G62*$L$15</f>
        <v>32089.313548188635</v>
      </c>
      <c r="W62" s="6">
        <f>VLOOKUP($S$13,角色设定!$AB$9:$AJ$21,MATCH(W$17,角色设定!$AB$9:$AJ$9,0),0)*H62</f>
        <v>0.4</v>
      </c>
      <c r="X62" s="6">
        <f>VLOOKUP($S$13,角色设定!$AB$9:$AJ$21,MATCH(X$17,角色设定!$AB$9:$AJ$9,0),0)*I62</f>
        <v>1.5</v>
      </c>
      <c r="Y62" s="6">
        <f>VLOOKUP($S$13,角色设定!$AB$9:$AJ$21,MATCH(Y$17,角色设定!$AB$9:$AJ$9,0),0)*J62</f>
        <v>1</v>
      </c>
      <c r="Z62" s="6">
        <f>VLOOKUP($S$13,角色设定!$AB$9:$AJ$21,MATCH(Z$17,角色设定!$AB$9:$AJ$9,0),0)</f>
        <v>0.9</v>
      </c>
      <c r="AA62" s="6"/>
      <c r="AB62" s="6"/>
      <c r="AC62" s="6">
        <f>T62*战斗公式!$E$39*(1+W62*(X62-1))*Y62</f>
        <v>129961.71987016407</v>
      </c>
      <c r="AD62" s="6">
        <f>U62*战斗公式!$E$41*(1+V62*战斗公式!$E$40)</f>
        <v>142619.17132528289</v>
      </c>
      <c r="AE62" s="22">
        <f t="shared" si="12"/>
        <v>272580.89119544695</v>
      </c>
      <c r="AF62" s="22">
        <f t="shared" si="19"/>
        <v>12980.042437878437</v>
      </c>
      <c r="AG62" s="22"/>
      <c r="AH62" s="9">
        <f t="shared" si="13"/>
        <v>1212.9760521215314</v>
      </c>
      <c r="AI62" s="9">
        <f t="shared" si="14"/>
        <v>30232.095919334744</v>
      </c>
      <c r="AJ62" s="9">
        <f t="shared" si="15"/>
        <v>8985.0077934928195</v>
      </c>
      <c r="AK62" s="9">
        <f t="shared" si="20"/>
        <v>57.760764386739538</v>
      </c>
      <c r="AL62" s="9">
        <f t="shared" si="21"/>
        <v>1102.6423262637363</v>
      </c>
      <c r="AM62" s="9">
        <f t="shared" si="22"/>
        <v>427.85751397585045</v>
      </c>
    </row>
    <row r="63" spans="4:39" ht="14.25" customHeight="1" x14ac:dyDescent="0.2">
      <c r="D63" s="1">
        <v>46</v>
      </c>
      <c r="E63" s="6">
        <f t="shared" si="16"/>
        <v>65.890057152280718</v>
      </c>
      <c r="F63" s="6">
        <f t="shared" si="17"/>
        <v>554.07548059872408</v>
      </c>
      <c r="G63" s="6">
        <f t="shared" si="18"/>
        <v>50.915044163125977</v>
      </c>
      <c r="H63" s="6">
        <v>0.4</v>
      </c>
      <c r="I63" s="6">
        <v>1.5</v>
      </c>
      <c r="J63" s="6">
        <v>1</v>
      </c>
      <c r="K63" s="26">
        <f t="shared" si="9"/>
        <v>1.0462881018211865</v>
      </c>
      <c r="L63" s="6">
        <f t="shared" si="23"/>
        <v>5765.3800008245626</v>
      </c>
      <c r="M63" s="6">
        <f t="shared" si="24"/>
        <v>77214.270129321681</v>
      </c>
      <c r="N63" s="6">
        <f t="shared" si="25"/>
        <v>7637.2566244688969</v>
      </c>
      <c r="O63" s="6">
        <f t="shared" si="26"/>
        <v>0.4</v>
      </c>
      <c r="P63" s="6">
        <f t="shared" si="27"/>
        <v>1.5</v>
      </c>
      <c r="Q63" s="6">
        <f t="shared" si="28"/>
        <v>1</v>
      </c>
      <c r="R63" s="6"/>
      <c r="S63" s="38">
        <v>46</v>
      </c>
      <c r="T63" s="6">
        <f>VLOOKUP($S$13,角色设定!$AB$9:$AJ$21,MATCH(E$17,角色设定!$AB$9:$AJ$9,0),0)*Z63*$L$15*E63/Y63/(1+W63*(X63-1))</f>
        <v>4548.6601954557436</v>
      </c>
      <c r="U63" s="6">
        <f>VLOOKUP($S$13,角色设定!$AB$9:$AJ$21,MATCH(F$17,角色设定!$AB$9:$AJ$9,0),0)*F63*$L$15/(1+V63/$N$16)</f>
        <v>112009.79638615431</v>
      </c>
      <c r="V63" s="6">
        <f>VLOOKUP($S$13,角色设定!$AB$9:$AJ$21,MATCH(V$17,角色设定!$AB$9:$AJ$9,0),0)*G63*$L$15</f>
        <v>33693.779225598068</v>
      </c>
      <c r="W63" s="6">
        <f>VLOOKUP($S$13,角色设定!$AB$9:$AJ$21,MATCH(W$17,角色设定!$AB$9:$AJ$9,0),0)*H63</f>
        <v>0.4</v>
      </c>
      <c r="X63" s="6">
        <f>VLOOKUP($S$13,角色设定!$AB$9:$AJ$21,MATCH(X$17,角色设定!$AB$9:$AJ$9,0),0)*I63</f>
        <v>1.5</v>
      </c>
      <c r="Y63" s="6">
        <f>VLOOKUP($S$13,角色设定!$AB$9:$AJ$21,MATCH(Y$17,角色设定!$AB$9:$AJ$9,0),0)*J63</f>
        <v>1</v>
      </c>
      <c r="Z63" s="6">
        <f>VLOOKUP($S$13,角色设定!$AB$9:$AJ$21,MATCH(Z$17,角色设定!$AB$9:$AJ$9,0),0)</f>
        <v>0.9</v>
      </c>
      <c r="AA63" s="6"/>
      <c r="AB63" s="6"/>
      <c r="AC63" s="6">
        <f>T63*战斗公式!$E$39*(1+W63*(X63-1))*Y63</f>
        <v>136459.80586367231</v>
      </c>
      <c r="AD63" s="6">
        <f>U63*战斗公式!$E$41*(1+V63*战斗公式!$E$40)</f>
        <v>149750.12989154705</v>
      </c>
      <c r="AE63" s="22">
        <f t="shared" si="12"/>
        <v>286209.93575521937</v>
      </c>
      <c r="AF63" s="22">
        <f t="shared" si="19"/>
        <v>13629.044559772417</v>
      </c>
      <c r="AG63" s="22"/>
      <c r="AH63" s="9">
        <f t="shared" si="13"/>
        <v>1273.6248547276084</v>
      </c>
      <c r="AI63" s="9">
        <f t="shared" si="14"/>
        <v>31362.742988123209</v>
      </c>
      <c r="AJ63" s="9">
        <f t="shared" si="15"/>
        <v>9434.2581831674597</v>
      </c>
      <c r="AK63" s="9">
        <f t="shared" si="20"/>
        <v>60.64880260607697</v>
      </c>
      <c r="AL63" s="9">
        <f t="shared" si="21"/>
        <v>1130.6470687884648</v>
      </c>
      <c r="AM63" s="9">
        <f t="shared" si="22"/>
        <v>449.25038967464025</v>
      </c>
    </row>
    <row r="64" spans="4:39" ht="14.25" customHeight="1" x14ac:dyDescent="0.2">
      <c r="D64" s="1">
        <v>47</v>
      </c>
      <c r="E64" s="6">
        <f t="shared" si="16"/>
        <v>69.184560009894753</v>
      </c>
      <c r="F64" s="6">
        <f t="shared" si="17"/>
        <v>581.77925462866028</v>
      </c>
      <c r="G64" s="6">
        <f t="shared" si="18"/>
        <v>53.460796371282278</v>
      </c>
      <c r="H64" s="6">
        <v>0.4</v>
      </c>
      <c r="I64" s="6">
        <v>1.5</v>
      </c>
      <c r="J64" s="6">
        <v>1</v>
      </c>
      <c r="K64" s="26">
        <f t="shared" si="9"/>
        <v>1.0461169205079408</v>
      </c>
      <c r="L64" s="6">
        <f t="shared" si="23"/>
        <v>6053.6490008657902</v>
      </c>
      <c r="M64" s="6">
        <f t="shared" si="24"/>
        <v>80788.372127116323</v>
      </c>
      <c r="N64" s="6">
        <f t="shared" si="25"/>
        <v>8019.1194556923419</v>
      </c>
      <c r="O64" s="6">
        <f t="shared" si="26"/>
        <v>0.4</v>
      </c>
      <c r="P64" s="6">
        <f t="shared" si="27"/>
        <v>1.5</v>
      </c>
      <c r="Q64" s="6">
        <f t="shared" si="28"/>
        <v>1</v>
      </c>
      <c r="R64" s="6"/>
      <c r="S64" s="38">
        <v>47</v>
      </c>
      <c r="T64" s="6">
        <f>VLOOKUP($S$13,角色设定!$AB$9:$AJ$21,MATCH(E$17,角色设定!$AB$9:$AJ$9,0),0)*Z64*$L$15*E64/Y64/(1+W64*(X64-1))</f>
        <v>4776.0932052285298</v>
      </c>
      <c r="U64" s="6">
        <f>VLOOKUP($S$13,角色设定!$AB$9:$AJ$21,MATCH(F$17,角色设定!$AB$9:$AJ$9,0),0)*F64*$L$15/(1+V64/$N$16)</f>
        <v>116146.70965922865</v>
      </c>
      <c r="V64" s="6">
        <f>VLOOKUP($S$13,角色设定!$AB$9:$AJ$21,MATCH(V$17,角色设定!$AB$9:$AJ$9,0),0)*G64*$L$15</f>
        <v>35378.468186877973</v>
      </c>
      <c r="W64" s="6">
        <f>VLOOKUP($S$13,角色设定!$AB$9:$AJ$21,MATCH(W$17,角色设定!$AB$9:$AJ$9,0),0)*H64</f>
        <v>0.4</v>
      </c>
      <c r="X64" s="6">
        <f>VLOOKUP($S$13,角色设定!$AB$9:$AJ$21,MATCH(X$17,角色设定!$AB$9:$AJ$9,0),0)*I64</f>
        <v>1.5</v>
      </c>
      <c r="Y64" s="6">
        <f>VLOOKUP($S$13,角色设定!$AB$9:$AJ$21,MATCH(Y$17,角色设定!$AB$9:$AJ$9,0),0)*J64</f>
        <v>1</v>
      </c>
      <c r="Z64" s="6">
        <f>VLOOKUP($S$13,角色设定!$AB$9:$AJ$21,MATCH(Z$17,角色设定!$AB$9:$AJ$9,0),0)</f>
        <v>0.9</v>
      </c>
      <c r="AA64" s="6"/>
      <c r="AB64" s="6"/>
      <c r="AC64" s="6">
        <f>T64*战斗公式!$E$39*(1+W64*(X64-1))*Y64</f>
        <v>143282.79615685588</v>
      </c>
      <c r="AD64" s="6">
        <f>U64*战斗公式!$E$41*(1+V64*战斗公式!$E$40)</f>
        <v>157237.63638612439</v>
      </c>
      <c r="AE64" s="22">
        <f t="shared" si="12"/>
        <v>300520.4325429803</v>
      </c>
      <c r="AF64" s="22">
        <f t="shared" si="19"/>
        <v>14310.496787760931</v>
      </c>
      <c r="AG64" s="22"/>
      <c r="AH64" s="9">
        <f t="shared" si="13"/>
        <v>1337.3060974639884</v>
      </c>
      <c r="AI64" s="9">
        <f t="shared" si="14"/>
        <v>32521.078704584026</v>
      </c>
      <c r="AJ64" s="9">
        <f t="shared" si="15"/>
        <v>9905.9710923258335</v>
      </c>
      <c r="AK64" s="9">
        <f t="shared" si="20"/>
        <v>63.68124273638</v>
      </c>
      <c r="AL64" s="9">
        <f t="shared" si="21"/>
        <v>1158.3357164608169</v>
      </c>
      <c r="AM64" s="9">
        <f t="shared" si="22"/>
        <v>471.7129091583738</v>
      </c>
    </row>
    <row r="65" spans="4:39" ht="14.25" customHeight="1" x14ac:dyDescent="0.2">
      <c r="D65" s="1">
        <v>48</v>
      </c>
      <c r="E65" s="6">
        <f t="shared" si="16"/>
        <v>72.6437880103895</v>
      </c>
      <c r="F65" s="6">
        <f t="shared" si="17"/>
        <v>610.86821736009335</v>
      </c>
      <c r="G65" s="6">
        <f t="shared" si="18"/>
        <v>56.133836189846392</v>
      </c>
      <c r="H65" s="6">
        <v>0.4</v>
      </c>
      <c r="I65" s="6">
        <v>1.5</v>
      </c>
      <c r="J65" s="6">
        <v>1</v>
      </c>
      <c r="K65" s="26">
        <f t="shared" si="9"/>
        <v>1.045938537515021</v>
      </c>
      <c r="L65" s="6">
        <f t="shared" si="23"/>
        <v>6356.3314509090806</v>
      </c>
      <c r="M65" s="6">
        <f t="shared" si="24"/>
        <v>84514.08306246849</v>
      </c>
      <c r="N65" s="6">
        <f t="shared" si="25"/>
        <v>8420.0754284769591</v>
      </c>
      <c r="O65" s="6">
        <f t="shared" si="26"/>
        <v>0.4</v>
      </c>
      <c r="P65" s="6">
        <f t="shared" si="27"/>
        <v>1.5</v>
      </c>
      <c r="Q65" s="6">
        <f t="shared" si="28"/>
        <v>1</v>
      </c>
      <c r="R65" s="6"/>
      <c r="S65" s="38">
        <v>48</v>
      </c>
      <c r="T65" s="6">
        <f>VLOOKUP($S$13,角色设定!$AB$9:$AJ$21,MATCH(E$17,角色设定!$AB$9:$AJ$9,0),0)*Z65*$L$15*E65/Y65/(1+W65*(X65-1))</f>
        <v>5014.8978654899574</v>
      </c>
      <c r="U65" s="6">
        <f>VLOOKUP($S$13,角色设定!$AB$9:$AJ$21,MATCH(F$17,角色设定!$AB$9:$AJ$9,0),0)*F65*$L$15/(1+V65/$N$16)</f>
        <v>120381.08511134003</v>
      </c>
      <c r="V65" s="6">
        <f>VLOOKUP($S$13,角色设定!$AB$9:$AJ$21,MATCH(V$17,角色设定!$AB$9:$AJ$9,0),0)*G65*$L$15</f>
        <v>37147.391596221874</v>
      </c>
      <c r="W65" s="6">
        <f>VLOOKUP($S$13,角色设定!$AB$9:$AJ$21,MATCH(W$17,角色设定!$AB$9:$AJ$9,0),0)*H65</f>
        <v>0.4</v>
      </c>
      <c r="X65" s="6">
        <f>VLOOKUP($S$13,角色设定!$AB$9:$AJ$21,MATCH(X$17,角色设定!$AB$9:$AJ$9,0),0)*I65</f>
        <v>1.5</v>
      </c>
      <c r="Y65" s="6">
        <f>VLOOKUP($S$13,角色设定!$AB$9:$AJ$21,MATCH(Y$17,角色设定!$AB$9:$AJ$9,0),0)*J65</f>
        <v>1</v>
      </c>
      <c r="Z65" s="6">
        <f>VLOOKUP($S$13,角色设定!$AB$9:$AJ$21,MATCH(Z$17,角色设定!$AB$9:$AJ$9,0),0)</f>
        <v>0.9</v>
      </c>
      <c r="AA65" s="6"/>
      <c r="AB65" s="6"/>
      <c r="AC65" s="6">
        <f>T65*战斗公式!$E$39*(1+W65*(X65-1))*Y65</f>
        <v>150446.93596469873</v>
      </c>
      <c r="AD65" s="6">
        <f>U65*战斗公式!$E$41*(1+V65*战斗公式!$E$40)</f>
        <v>165099.51820543068</v>
      </c>
      <c r="AE65" s="22">
        <f t="shared" si="12"/>
        <v>315546.45417012938</v>
      </c>
      <c r="AF65" s="22">
        <f t="shared" si="19"/>
        <v>15026.021627149079</v>
      </c>
      <c r="AG65" s="22"/>
      <c r="AH65" s="9">
        <f t="shared" si="13"/>
        <v>1404.1714023371883</v>
      </c>
      <c r="AI65" s="9">
        <f t="shared" si="14"/>
        <v>33706.703831175211</v>
      </c>
      <c r="AJ65" s="9">
        <f t="shared" si="15"/>
        <v>10401.269646942126</v>
      </c>
      <c r="AK65" s="9">
        <f t="shared" si="20"/>
        <v>66.865304873199875</v>
      </c>
      <c r="AL65" s="9">
        <f t="shared" si="21"/>
        <v>1185.6251265911851</v>
      </c>
      <c r="AM65" s="9">
        <f t="shared" si="22"/>
        <v>495.29855461629268</v>
      </c>
    </row>
    <row r="66" spans="4:39" ht="14.25" customHeight="1" x14ac:dyDescent="0.2">
      <c r="D66" s="1">
        <v>49</v>
      </c>
      <c r="E66" s="6">
        <f t="shared" si="16"/>
        <v>76.275977410908979</v>
      </c>
      <c r="F66" s="6">
        <f t="shared" si="17"/>
        <v>641.41162822809804</v>
      </c>
      <c r="G66" s="6">
        <f t="shared" si="18"/>
        <v>58.940527999338713</v>
      </c>
      <c r="H66" s="6">
        <v>0.4</v>
      </c>
      <c r="I66" s="6">
        <v>1.5</v>
      </c>
      <c r="J66" s="6">
        <v>1</v>
      </c>
      <c r="K66" s="26">
        <f t="shared" si="9"/>
        <v>1.0457527145811636</v>
      </c>
      <c r="L66" s="6">
        <f t="shared" si="23"/>
        <v>6674.1480234545361</v>
      </c>
      <c r="M66" s="6">
        <f t="shared" si="24"/>
        <v>88396.536437781295</v>
      </c>
      <c r="N66" s="6">
        <f t="shared" si="25"/>
        <v>8841.079199900807</v>
      </c>
      <c r="O66" s="6">
        <f t="shared" si="26"/>
        <v>0.4</v>
      </c>
      <c r="P66" s="6">
        <f t="shared" si="27"/>
        <v>1.5</v>
      </c>
      <c r="Q66" s="6">
        <f t="shared" si="28"/>
        <v>1</v>
      </c>
      <c r="R66" s="6"/>
      <c r="S66" s="38">
        <v>49</v>
      </c>
      <c r="T66" s="6">
        <f>VLOOKUP($S$13,角色设定!$AB$9:$AJ$21,MATCH(E$17,角色设定!$AB$9:$AJ$9,0),0)*Z66*$L$15*E66/Y66/(1+W66*(X66-1))</f>
        <v>5265.6427587644557</v>
      </c>
      <c r="U66" s="6">
        <f>VLOOKUP($S$13,角色设定!$AB$9:$AJ$21,MATCH(F$17,角色设定!$AB$9:$AJ$9,0),0)*F66*$L$15/(1+V66/$N$16)</f>
        <v>124711.19165203944</v>
      </c>
      <c r="V66" s="6">
        <f>VLOOKUP($S$13,角色设定!$AB$9:$AJ$21,MATCH(V$17,角色设定!$AB$9:$AJ$9,0),0)*G66*$L$15</f>
        <v>39004.76117603296</v>
      </c>
      <c r="W66" s="6">
        <f>VLOOKUP($S$13,角色设定!$AB$9:$AJ$21,MATCH(W$17,角色设定!$AB$9:$AJ$9,0),0)*H66</f>
        <v>0.4</v>
      </c>
      <c r="X66" s="6">
        <f>VLOOKUP($S$13,角色设定!$AB$9:$AJ$21,MATCH(X$17,角色设定!$AB$9:$AJ$9,0),0)*I66</f>
        <v>1.5</v>
      </c>
      <c r="Y66" s="6">
        <f>VLOOKUP($S$13,角色设定!$AB$9:$AJ$21,MATCH(Y$17,角色设定!$AB$9:$AJ$9,0),0)*J66</f>
        <v>1</v>
      </c>
      <c r="Z66" s="6">
        <f>VLOOKUP($S$13,角色设定!$AB$9:$AJ$21,MATCH(Z$17,角色设定!$AB$9:$AJ$9,0),0)</f>
        <v>0.9</v>
      </c>
      <c r="AA66" s="6"/>
      <c r="AB66" s="6"/>
      <c r="AC66" s="6">
        <f>T66*战斗公式!$E$39*(1+W66*(X66-1))*Y66</f>
        <v>157969.28276293367</v>
      </c>
      <c r="AD66" s="6">
        <f>U66*战斗公式!$E$41*(1+V66*战斗公式!$E$40)</f>
        <v>173354.49411570217</v>
      </c>
      <c r="AE66" s="22">
        <f t="shared" si="12"/>
        <v>331323.77687863586</v>
      </c>
      <c r="AF66" s="22">
        <f t="shared" si="19"/>
        <v>15777.322708506486</v>
      </c>
      <c r="AG66" s="22"/>
      <c r="AH66" s="9">
        <f t="shared" si="13"/>
        <v>1474.3799724540477</v>
      </c>
      <c r="AI66" s="9">
        <f t="shared" si="14"/>
        <v>34919.133662571046</v>
      </c>
      <c r="AJ66" s="9">
        <f t="shared" si="15"/>
        <v>10921.333129289229</v>
      </c>
      <c r="AK66" s="9">
        <f t="shared" si="20"/>
        <v>70.208570116859391</v>
      </c>
      <c r="AL66" s="9">
        <f t="shared" si="21"/>
        <v>1212.4298313958352</v>
      </c>
      <c r="AM66" s="9">
        <f t="shared" si="22"/>
        <v>520.06348234710276</v>
      </c>
    </row>
    <row r="67" spans="4:39" ht="14.25" customHeight="1" x14ac:dyDescent="0.2">
      <c r="D67" s="1">
        <v>50</v>
      </c>
      <c r="E67" s="6">
        <f t="shared" si="16"/>
        <v>80.089776281454434</v>
      </c>
      <c r="F67" s="6">
        <f t="shared" si="17"/>
        <v>673.48220963950303</v>
      </c>
      <c r="G67" s="6">
        <f t="shared" si="18"/>
        <v>61.88755439930565</v>
      </c>
      <c r="H67" s="6">
        <v>0.4</v>
      </c>
      <c r="I67" s="6">
        <v>1.5</v>
      </c>
      <c r="J67" s="6">
        <v>1</v>
      </c>
      <c r="K67" s="26">
        <f t="shared" si="9"/>
        <v>1.0455592116060155</v>
      </c>
      <c r="L67" s="6">
        <f t="shared" si="23"/>
        <v>7007.8554246272624</v>
      </c>
      <c r="M67" s="6">
        <f t="shared" si="24"/>
        <v>92440.917939382532</v>
      </c>
      <c r="N67" s="6">
        <f t="shared" si="25"/>
        <v>9283.1331598958477</v>
      </c>
      <c r="O67" s="6">
        <f t="shared" si="26"/>
        <v>0.4</v>
      </c>
      <c r="P67" s="6">
        <f t="shared" si="27"/>
        <v>1.5</v>
      </c>
      <c r="Q67" s="6">
        <f t="shared" si="28"/>
        <v>1</v>
      </c>
      <c r="R67" s="6"/>
      <c r="S67" s="38">
        <v>50</v>
      </c>
      <c r="T67" s="6">
        <f>VLOOKUP($S$13,角色设定!$AB$9:$AJ$21,MATCH(E$17,角色设定!$AB$9:$AJ$9,0),0)*Z67*$L$15*E67/Y67/(1+W67*(X67-1))</f>
        <v>5528.9248967026788</v>
      </c>
      <c r="U67" s="6">
        <f>VLOOKUP($S$13,角色设定!$AB$9:$AJ$21,MATCH(F$17,角色设定!$AB$9:$AJ$9,0),0)*F67*$L$15/(1+V67/$N$16)</f>
        <v>129134.98620806892</v>
      </c>
      <c r="V67" s="6">
        <f>VLOOKUP($S$13,角色设定!$AB$9:$AJ$21,MATCH(V$17,角色设定!$AB$9:$AJ$9,0),0)*G67*$L$15</f>
        <v>40954.999234834613</v>
      </c>
      <c r="W67" s="6">
        <f>VLOOKUP($S$13,角色设定!$AB$9:$AJ$21,MATCH(W$17,角色设定!$AB$9:$AJ$9,0),0)*H67</f>
        <v>0.4</v>
      </c>
      <c r="X67" s="6">
        <f>VLOOKUP($S$13,角色设定!$AB$9:$AJ$21,MATCH(X$17,角色设定!$AB$9:$AJ$9,0),0)*I67</f>
        <v>1.5</v>
      </c>
      <c r="Y67" s="6">
        <f>VLOOKUP($S$13,角色设定!$AB$9:$AJ$21,MATCH(Y$17,角色设定!$AB$9:$AJ$9,0),0)*J67</f>
        <v>1</v>
      </c>
      <c r="Z67" s="6">
        <f>VLOOKUP($S$13,角色设定!$AB$9:$AJ$21,MATCH(Z$17,角色设定!$AB$9:$AJ$9,0),0)</f>
        <v>0.9</v>
      </c>
      <c r="AA67" s="6"/>
      <c r="AB67" s="6"/>
      <c r="AC67" s="6">
        <f>T67*战斗公式!$E$39*(1+W67*(X67-1))*Y67</f>
        <v>165867.74690108036</v>
      </c>
      <c r="AD67" s="6">
        <f>U67*战斗公式!$E$41*(1+V67*战斗公式!$E$40)</f>
        <v>182022.21882148733</v>
      </c>
      <c r="AE67" s="22">
        <f t="shared" si="12"/>
        <v>347889.96572256769</v>
      </c>
      <c r="AF67" s="22">
        <f t="shared" si="19"/>
        <v>16566.188843931828</v>
      </c>
      <c r="AG67" s="22"/>
      <c r="AH67" s="9">
        <f t="shared" si="13"/>
        <v>1548.0989710767501</v>
      </c>
      <c r="AI67" s="9">
        <f t="shared" si="14"/>
        <v>36157.796138259298</v>
      </c>
      <c r="AJ67" s="9">
        <f t="shared" si="15"/>
        <v>11467.399785753692</v>
      </c>
      <c r="AK67" s="9">
        <f t="shared" si="20"/>
        <v>73.718998622702429</v>
      </c>
      <c r="AL67" s="9">
        <f t="shared" si="21"/>
        <v>1238.662475688252</v>
      </c>
      <c r="AM67" s="9">
        <f t="shared" si="22"/>
        <v>546.06665646446345</v>
      </c>
    </row>
    <row r="68" spans="4:39" ht="14.25" customHeight="1" x14ac:dyDescent="0.2">
      <c r="D68" s="1">
        <v>51</v>
      </c>
      <c r="E68" s="6">
        <f t="shared" si="16"/>
        <v>84.094265095527163</v>
      </c>
      <c r="F68" s="6">
        <f t="shared" si="17"/>
        <v>707.15632012147819</v>
      </c>
      <c r="G68" s="6">
        <f t="shared" si="18"/>
        <v>64.981932119270937</v>
      </c>
      <c r="H68" s="6">
        <v>0.4</v>
      </c>
      <c r="I68" s="6">
        <v>1.5</v>
      </c>
      <c r="J68" s="6">
        <v>1</v>
      </c>
      <c r="K68" s="26">
        <f t="shared" si="9"/>
        <v>1.0453577872707271</v>
      </c>
      <c r="L68" s="6">
        <f t="shared" si="23"/>
        <v>7358.2481958586259</v>
      </c>
      <c r="M68" s="6">
        <f t="shared" si="24"/>
        <v>96652.453280837173</v>
      </c>
      <c r="N68" s="6">
        <f t="shared" si="25"/>
        <v>9747.2898178906398</v>
      </c>
      <c r="O68" s="6">
        <f t="shared" si="26"/>
        <v>0.4</v>
      </c>
      <c r="P68" s="6">
        <f t="shared" si="27"/>
        <v>1.5</v>
      </c>
      <c r="Q68" s="6">
        <f t="shared" si="28"/>
        <v>1</v>
      </c>
      <c r="R68" s="6"/>
      <c r="S68" s="38">
        <v>51</v>
      </c>
      <c r="T68" s="6">
        <f>VLOOKUP($S$13,角色设定!$AB$9:$AJ$21,MATCH(E$17,角色设定!$AB$9:$AJ$9,0),0)*Z68*$L$15*E68/Y68/(1+W68*(X68-1))</f>
        <v>5805.3711415378129</v>
      </c>
      <c r="U68" s="6">
        <f>VLOOKUP($S$13,角色设定!$AB$9:$AJ$21,MATCH(F$17,角色设定!$AB$9:$AJ$9,0),0)*F68*$L$15/(1+V68/$N$16)</f>
        <v>133650.10871213194</v>
      </c>
      <c r="V68" s="6">
        <f>VLOOKUP($S$13,角色设定!$AB$9:$AJ$21,MATCH(V$17,角色设定!$AB$9:$AJ$9,0),0)*G68*$L$15</f>
        <v>43002.749196576355</v>
      </c>
      <c r="W68" s="6">
        <f>VLOOKUP($S$13,角色设定!$AB$9:$AJ$21,MATCH(W$17,角色设定!$AB$9:$AJ$9,0),0)*H68</f>
        <v>0.4</v>
      </c>
      <c r="X68" s="6">
        <f>VLOOKUP($S$13,角色设定!$AB$9:$AJ$21,MATCH(X$17,角色设定!$AB$9:$AJ$9,0),0)*I68</f>
        <v>1.5</v>
      </c>
      <c r="Y68" s="6">
        <f>VLOOKUP($S$13,角色设定!$AB$9:$AJ$21,MATCH(Y$17,角色设定!$AB$9:$AJ$9,0),0)*J68</f>
        <v>1</v>
      </c>
      <c r="Z68" s="6">
        <f>VLOOKUP($S$13,角色设定!$AB$9:$AJ$21,MATCH(Z$17,角色设定!$AB$9:$AJ$9,0),0)</f>
        <v>0.9</v>
      </c>
      <c r="AA68" s="6"/>
      <c r="AB68" s="6"/>
      <c r="AC68" s="6">
        <f>T68*战斗公式!$E$39*(1+W68*(X68-1))*Y68</f>
        <v>174161.1342461344</v>
      </c>
      <c r="AD68" s="6">
        <f>U68*战斗公式!$E$41*(1+V68*战斗公式!$E$40)</f>
        <v>191123.32976256168</v>
      </c>
      <c r="AE68" s="22">
        <f t="shared" si="12"/>
        <v>365284.46400869609</v>
      </c>
      <c r="AF68" s="22">
        <f t="shared" si="19"/>
        <v>17394.498286128393</v>
      </c>
      <c r="AG68" s="22"/>
      <c r="AH68" s="9">
        <f t="shared" si="13"/>
        <v>1625.5039196305877</v>
      </c>
      <c r="AI68" s="9">
        <f t="shared" si="14"/>
        <v>37422.030439396949</v>
      </c>
      <c r="AJ68" s="9">
        <f t="shared" si="15"/>
        <v>12040.769775041381</v>
      </c>
      <c r="AK68" s="9">
        <f t="shared" si="20"/>
        <v>77.404948553837585</v>
      </c>
      <c r="AL68" s="9">
        <f t="shared" si="21"/>
        <v>1264.2343011376506</v>
      </c>
      <c r="AM68" s="9">
        <f t="shared" si="22"/>
        <v>573.36998928768844</v>
      </c>
    </row>
    <row r="69" spans="4:39" ht="14.25" customHeight="1" x14ac:dyDescent="0.2">
      <c r="D69" s="1">
        <v>52</v>
      </c>
      <c r="E69" s="6">
        <f t="shared" si="16"/>
        <v>88.298978350303528</v>
      </c>
      <c r="F69" s="6">
        <f t="shared" si="17"/>
        <v>742.51413612755209</v>
      </c>
      <c r="G69" s="6">
        <f t="shared" si="18"/>
        <v>68.231028725234481</v>
      </c>
      <c r="H69" s="6">
        <v>0.4</v>
      </c>
      <c r="I69" s="6">
        <v>1.5</v>
      </c>
      <c r="J69" s="6">
        <v>1</v>
      </c>
      <c r="K69" s="26">
        <f t="shared" si="9"/>
        <v>1.0451481997232677</v>
      </c>
      <c r="L69" s="6">
        <f t="shared" si="23"/>
        <v>7726.1606056515593</v>
      </c>
      <c r="M69" s="6">
        <f t="shared" si="24"/>
        <v>101036.39469594328</v>
      </c>
      <c r="N69" s="6">
        <f t="shared" si="25"/>
        <v>10234.654308785171</v>
      </c>
      <c r="O69" s="6">
        <f t="shared" si="26"/>
        <v>0.4</v>
      </c>
      <c r="P69" s="6">
        <f t="shared" si="27"/>
        <v>1.5</v>
      </c>
      <c r="Q69" s="6">
        <f t="shared" si="28"/>
        <v>1</v>
      </c>
      <c r="R69" s="6"/>
      <c r="S69" s="38">
        <v>52</v>
      </c>
      <c r="T69" s="6">
        <f>VLOOKUP($S$13,角色设定!$AB$9:$AJ$21,MATCH(E$17,角色设定!$AB$9:$AJ$9,0),0)*Z69*$L$15*E69/Y69/(1+W69*(X69-1))</f>
        <v>6095.6396986147038</v>
      </c>
      <c r="U69" s="6">
        <f>VLOOKUP($S$13,角色设定!$AB$9:$AJ$21,MATCH(F$17,角色设定!$AB$9:$AJ$9,0),0)*F69*$L$15/(1+V69/$N$16)</f>
        <v>138253.87897777255</v>
      </c>
      <c r="V69" s="6">
        <f>VLOOKUP($S$13,角色设定!$AB$9:$AJ$21,MATCH(V$17,角色设定!$AB$9:$AJ$9,0),0)*G69*$L$15</f>
        <v>45152.886656405164</v>
      </c>
      <c r="W69" s="6">
        <f>VLOOKUP($S$13,角色设定!$AB$9:$AJ$21,MATCH(W$17,角色设定!$AB$9:$AJ$9,0),0)*H69</f>
        <v>0.4</v>
      </c>
      <c r="X69" s="6">
        <f>VLOOKUP($S$13,角色设定!$AB$9:$AJ$21,MATCH(X$17,角色设定!$AB$9:$AJ$9,0),0)*I69</f>
        <v>1.5</v>
      </c>
      <c r="Y69" s="6">
        <f>VLOOKUP($S$13,角色设定!$AB$9:$AJ$21,MATCH(Y$17,角色设定!$AB$9:$AJ$9,0),0)*J69</f>
        <v>1</v>
      </c>
      <c r="Z69" s="6">
        <f>VLOOKUP($S$13,角色设定!$AB$9:$AJ$21,MATCH(Z$17,角色设定!$AB$9:$AJ$9,0),0)</f>
        <v>0.9</v>
      </c>
      <c r="AA69" s="6"/>
      <c r="AB69" s="6"/>
      <c r="AC69" s="6">
        <f>T69*战斗公式!$E$39*(1+W69*(X69-1))*Y69</f>
        <v>182869.19095844112</v>
      </c>
      <c r="AD69" s="6">
        <f>U69*战斗公式!$E$41*(1+V69*战斗公式!$E$40)</f>
        <v>200679.49625068976</v>
      </c>
      <c r="AE69" s="22">
        <f t="shared" si="12"/>
        <v>383548.68720913085</v>
      </c>
      <c r="AF69" s="22">
        <f t="shared" si="19"/>
        <v>18264.223200434761</v>
      </c>
      <c r="AG69" s="22"/>
      <c r="AH69" s="9">
        <f t="shared" si="13"/>
        <v>1706.7791156121173</v>
      </c>
      <c r="AI69" s="9">
        <f t="shared" si="14"/>
        <v>38711.08611377632</v>
      </c>
      <c r="AJ69" s="9">
        <f t="shared" si="15"/>
        <v>12642.808263793448</v>
      </c>
      <c r="AK69" s="9">
        <f t="shared" si="20"/>
        <v>81.275195981529578</v>
      </c>
      <c r="AL69" s="9">
        <f t="shared" si="21"/>
        <v>1289.0556743793713</v>
      </c>
      <c r="AM69" s="9">
        <f t="shared" si="22"/>
        <v>602.03848875206677</v>
      </c>
    </row>
    <row r="70" spans="4:39" ht="14.25" customHeight="1" x14ac:dyDescent="0.2">
      <c r="D70" s="1">
        <v>53</v>
      </c>
      <c r="E70" s="6">
        <f t="shared" si="16"/>
        <v>92.713927267818704</v>
      </c>
      <c r="F70" s="6">
        <f t="shared" si="17"/>
        <v>779.63984293392969</v>
      </c>
      <c r="G70" s="6">
        <f t="shared" si="18"/>
        <v>71.642580161496213</v>
      </c>
      <c r="H70" s="6">
        <v>0.4</v>
      </c>
      <c r="I70" s="6">
        <v>1.5</v>
      </c>
      <c r="J70" s="6">
        <v>1</v>
      </c>
      <c r="K70" s="26">
        <f t="shared" si="9"/>
        <v>1.0449302073309061</v>
      </c>
      <c r="L70" s="6">
        <f t="shared" si="23"/>
        <v>8112.4686359341358</v>
      </c>
      <c r="M70" s="6">
        <f t="shared" si="24"/>
        <v>105598.00602299462</v>
      </c>
      <c r="N70" s="6">
        <f t="shared" si="25"/>
        <v>10746.387024224432</v>
      </c>
      <c r="O70" s="6">
        <f t="shared" si="26"/>
        <v>0.4</v>
      </c>
      <c r="P70" s="6">
        <f t="shared" si="27"/>
        <v>1.5</v>
      </c>
      <c r="Q70" s="6">
        <f t="shared" si="28"/>
        <v>1</v>
      </c>
      <c r="R70" s="6"/>
      <c r="S70" s="38">
        <v>53</v>
      </c>
      <c r="T70" s="6">
        <f>VLOOKUP($S$13,角色设定!$AB$9:$AJ$21,MATCH(E$17,角色设定!$AB$9:$AJ$9,0),0)*Z70*$L$15*E70/Y70/(1+W70*(X70-1))</f>
        <v>6400.4216835454399</v>
      </c>
      <c r="U70" s="6">
        <f>VLOOKUP($S$13,角色设定!$AB$9:$AJ$21,MATCH(F$17,角色设定!$AB$9:$AJ$9,0),0)*F70*$L$15/(1+V70/$N$16)</f>
        <v>142943.2956039116</v>
      </c>
      <c r="V70" s="6">
        <f>VLOOKUP($S$13,角色设定!$AB$9:$AJ$21,MATCH(V$17,角色设定!$AB$9:$AJ$9,0),0)*G70*$L$15</f>
        <v>47410.53098922543</v>
      </c>
      <c r="W70" s="6">
        <f>VLOOKUP($S$13,角色设定!$AB$9:$AJ$21,MATCH(W$17,角色设定!$AB$9:$AJ$9,0),0)*H70</f>
        <v>0.4</v>
      </c>
      <c r="X70" s="6">
        <f>VLOOKUP($S$13,角色设定!$AB$9:$AJ$21,MATCH(X$17,角色设定!$AB$9:$AJ$9,0),0)*I70</f>
        <v>1.5</v>
      </c>
      <c r="Y70" s="6">
        <f>VLOOKUP($S$13,角色设定!$AB$9:$AJ$21,MATCH(Y$17,角色设定!$AB$9:$AJ$9,0),0)*J70</f>
        <v>1</v>
      </c>
      <c r="Z70" s="6">
        <f>VLOOKUP($S$13,角色设定!$AB$9:$AJ$21,MATCH(Z$17,角色设定!$AB$9:$AJ$9,0),0)</f>
        <v>0.9</v>
      </c>
      <c r="AA70" s="6"/>
      <c r="AB70" s="6"/>
      <c r="AC70" s="6">
        <f>T70*战斗公式!$E$39*(1+W70*(X70-1))*Y70</f>
        <v>192012.65050636319</v>
      </c>
      <c r="AD70" s="6">
        <f>U70*战斗公式!$E$41*(1+V70*战斗公式!$E$40)</f>
        <v>210713.47106322422</v>
      </c>
      <c r="AE70" s="22">
        <f t="shared" si="12"/>
        <v>402726.12156958738</v>
      </c>
      <c r="AF70" s="22">
        <f t="shared" si="19"/>
        <v>19177.434360456537</v>
      </c>
      <c r="AG70" s="22"/>
      <c r="AH70" s="9">
        <f t="shared" si="13"/>
        <v>1792.1180713927233</v>
      </c>
      <c r="AI70" s="9">
        <f t="shared" si="14"/>
        <v>40024.122769095251</v>
      </c>
      <c r="AJ70" s="9">
        <f t="shared" si="15"/>
        <v>13274.948676983122</v>
      </c>
      <c r="AK70" s="9">
        <f t="shared" si="20"/>
        <v>85.338955780606057</v>
      </c>
      <c r="AL70" s="9">
        <f t="shared" si="21"/>
        <v>1313.0366553189306</v>
      </c>
      <c r="AM70" s="9">
        <f t="shared" si="22"/>
        <v>632.14041318967429</v>
      </c>
    </row>
    <row r="71" spans="4:39" ht="14.25" customHeight="1" x14ac:dyDescent="0.2">
      <c r="D71" s="1">
        <v>54</v>
      </c>
      <c r="E71" s="6">
        <f t="shared" si="16"/>
        <v>97.349623631209639</v>
      </c>
      <c r="F71" s="6">
        <f t="shared" si="17"/>
        <v>818.62183508062617</v>
      </c>
      <c r="G71" s="6">
        <f t="shared" si="18"/>
        <v>75.224709169571028</v>
      </c>
      <c r="H71" s="6">
        <v>0.4</v>
      </c>
      <c r="I71" s="6">
        <v>1.5</v>
      </c>
      <c r="J71" s="6">
        <v>1</v>
      </c>
      <c r="K71" s="26">
        <f t="shared" si="9"/>
        <v>1.0447035695019629</v>
      </c>
      <c r="L71" s="6">
        <f t="shared" si="23"/>
        <v>8518.0920677308441</v>
      </c>
      <c r="M71" s="6">
        <f t="shared" si="24"/>
        <v>110342.54632733804</v>
      </c>
      <c r="N71" s="6">
        <f t="shared" si="25"/>
        <v>11283.706375435655</v>
      </c>
      <c r="O71" s="6">
        <f t="shared" si="26"/>
        <v>0.4</v>
      </c>
      <c r="P71" s="6">
        <f t="shared" si="27"/>
        <v>1.5</v>
      </c>
      <c r="Q71" s="6">
        <f t="shared" si="28"/>
        <v>1</v>
      </c>
      <c r="R71" s="6"/>
      <c r="S71" s="38">
        <v>54</v>
      </c>
      <c r="T71" s="6">
        <f>VLOOKUP($S$13,角色设定!$AB$9:$AJ$21,MATCH(E$17,角色设定!$AB$9:$AJ$9,0),0)*Z71*$L$15*E71/Y71/(1+W71*(X71-1))</f>
        <v>6720.4427677227113</v>
      </c>
      <c r="U71" s="6">
        <f>VLOOKUP($S$13,角色设定!$AB$9:$AJ$21,MATCH(F$17,角色设定!$AB$9:$AJ$9,0),0)*F71*$L$15/(1+V71/$N$16)</f>
        <v>147715.0370361348</v>
      </c>
      <c r="V71" s="6">
        <f>VLOOKUP($S$13,角色设定!$AB$9:$AJ$21,MATCH(V$17,角色设定!$AB$9:$AJ$9,0),0)*G71*$L$15</f>
        <v>49781.057538686706</v>
      </c>
      <c r="W71" s="6">
        <f>VLOOKUP($S$13,角色设定!$AB$9:$AJ$21,MATCH(W$17,角色设定!$AB$9:$AJ$9,0),0)*H71</f>
        <v>0.4</v>
      </c>
      <c r="X71" s="6">
        <f>VLOOKUP($S$13,角色设定!$AB$9:$AJ$21,MATCH(X$17,角色设定!$AB$9:$AJ$9,0),0)*I71</f>
        <v>1.5</v>
      </c>
      <c r="Y71" s="6">
        <f>VLOOKUP($S$13,角色设定!$AB$9:$AJ$21,MATCH(Y$17,角色设定!$AB$9:$AJ$9,0),0)*J71</f>
        <v>1</v>
      </c>
      <c r="Z71" s="6">
        <f>VLOOKUP($S$13,角色设定!$AB$9:$AJ$21,MATCH(Z$17,角色设定!$AB$9:$AJ$9,0),0)</f>
        <v>0.9</v>
      </c>
      <c r="AA71" s="6"/>
      <c r="AB71" s="6"/>
      <c r="AC71" s="6">
        <f>T71*战斗公式!$E$39*(1+W71*(X71-1))*Y71</f>
        <v>201613.28303168135</v>
      </c>
      <c r="AD71" s="6">
        <f>U71*战斗公式!$E$41*(1+V71*战斗公式!$E$40)</f>
        <v>221249.14461638546</v>
      </c>
      <c r="AE71" s="22">
        <f t="shared" si="12"/>
        <v>422862.42764806678</v>
      </c>
      <c r="AF71" s="22">
        <f t="shared" si="19"/>
        <v>20136.306078479392</v>
      </c>
      <c r="AG71" s="22"/>
      <c r="AH71" s="9">
        <f t="shared" si="13"/>
        <v>1881.7239749623593</v>
      </c>
      <c r="AI71" s="9">
        <f t="shared" si="14"/>
        <v>41360.210370117748</v>
      </c>
      <c r="AJ71" s="9">
        <f t="shared" si="15"/>
        <v>13938.696110832279</v>
      </c>
      <c r="AK71" s="9">
        <f t="shared" si="20"/>
        <v>89.605903569635984</v>
      </c>
      <c r="AL71" s="9">
        <f t="shared" si="21"/>
        <v>1336.0876010224965</v>
      </c>
      <c r="AM71" s="9">
        <f t="shared" si="22"/>
        <v>663.74743384915746</v>
      </c>
    </row>
    <row r="72" spans="4:39" ht="14.25" customHeight="1" x14ac:dyDescent="0.2">
      <c r="D72" s="1">
        <v>55</v>
      </c>
      <c r="E72" s="6">
        <f t="shared" si="16"/>
        <v>102.21710481277013</v>
      </c>
      <c r="F72" s="6">
        <f t="shared" si="17"/>
        <v>859.55292683465757</v>
      </c>
      <c r="G72" s="6">
        <f t="shared" si="18"/>
        <v>78.98594462804958</v>
      </c>
      <c r="H72" s="6">
        <v>0.4</v>
      </c>
      <c r="I72" s="6">
        <v>1.5</v>
      </c>
      <c r="J72" s="6">
        <v>1</v>
      </c>
      <c r="K72" s="26">
        <f t="shared" si="9"/>
        <v>1.0444680475785793</v>
      </c>
      <c r="L72" s="6">
        <f t="shared" si="23"/>
        <v>8943.9966711173856</v>
      </c>
      <c r="M72" s="6">
        <f t="shared" si="24"/>
        <v>115275.25201610576</v>
      </c>
      <c r="N72" s="6">
        <f t="shared" si="25"/>
        <v>11847.891694207437</v>
      </c>
      <c r="O72" s="6">
        <f t="shared" si="26"/>
        <v>0.4</v>
      </c>
      <c r="P72" s="6">
        <f t="shared" si="27"/>
        <v>1.5</v>
      </c>
      <c r="Q72" s="6">
        <f t="shared" si="28"/>
        <v>1</v>
      </c>
      <c r="R72" s="6"/>
      <c r="S72" s="38">
        <v>55</v>
      </c>
      <c r="T72" s="6">
        <f>VLOOKUP($S$13,角色设定!$AB$9:$AJ$21,MATCH(E$17,角色设定!$AB$9:$AJ$9,0),0)*Z72*$L$15*E72/Y72/(1+W72*(X72-1))</f>
        <v>7056.4649061088485</v>
      </c>
      <c r="U72" s="6">
        <f>VLOOKUP($S$13,角色设定!$AB$9:$AJ$21,MATCH(F$17,角色设定!$AB$9:$AJ$9,0),0)*F72*$L$15/(1+V72/$N$16)</f>
        <v>152565.46489203334</v>
      </c>
      <c r="V72" s="6">
        <f>VLOOKUP($S$13,角色设定!$AB$9:$AJ$21,MATCH(V$17,角色设定!$AB$9:$AJ$9,0),0)*G72*$L$15</f>
        <v>52270.110415621042</v>
      </c>
      <c r="W72" s="6">
        <f>VLOOKUP($S$13,角色设定!$AB$9:$AJ$21,MATCH(W$17,角色设定!$AB$9:$AJ$9,0),0)*H72</f>
        <v>0.4</v>
      </c>
      <c r="X72" s="6">
        <f>VLOOKUP($S$13,角色设定!$AB$9:$AJ$21,MATCH(X$17,角色设定!$AB$9:$AJ$9,0),0)*I72</f>
        <v>1.5</v>
      </c>
      <c r="Y72" s="6">
        <f>VLOOKUP($S$13,角色设定!$AB$9:$AJ$21,MATCH(Y$17,角色设定!$AB$9:$AJ$9,0),0)*J72</f>
        <v>1</v>
      </c>
      <c r="Z72" s="6">
        <f>VLOOKUP($S$13,角色设定!$AB$9:$AJ$21,MATCH(Z$17,角色设定!$AB$9:$AJ$9,0),0)</f>
        <v>0.9</v>
      </c>
      <c r="AA72" s="6"/>
      <c r="AB72" s="6"/>
      <c r="AC72" s="6">
        <f>T72*战斗公式!$E$39*(1+W72*(X72-1))*Y72</f>
        <v>211693.94718326544</v>
      </c>
      <c r="AD72" s="6">
        <f>U72*战斗公式!$E$41*(1+V72*战斗公式!$E$40)</f>
        <v>232311.60184720473</v>
      </c>
      <c r="AE72" s="22">
        <f t="shared" si="12"/>
        <v>444005.5490304702</v>
      </c>
      <c r="AF72" s="22">
        <f t="shared" si="19"/>
        <v>21143.12138240342</v>
      </c>
      <c r="AG72" s="22"/>
      <c r="AH72" s="9">
        <f t="shared" si="13"/>
        <v>1975.8101737104778</v>
      </c>
      <c r="AI72" s="9">
        <f t="shared" si="14"/>
        <v>42718.330169769339</v>
      </c>
      <c r="AJ72" s="9">
        <f t="shared" si="15"/>
        <v>14635.630916373893</v>
      </c>
      <c r="AK72" s="9">
        <f t="shared" si="20"/>
        <v>94.086198748118477</v>
      </c>
      <c r="AL72" s="9">
        <f t="shared" si="21"/>
        <v>1358.1197996515912</v>
      </c>
      <c r="AM72" s="9">
        <f t="shared" si="22"/>
        <v>696.93480554161397</v>
      </c>
    </row>
    <row r="73" spans="4:39" ht="14.25" customHeight="1" x14ac:dyDescent="0.2">
      <c r="D73" s="1">
        <v>56</v>
      </c>
      <c r="E73" s="6">
        <f t="shared" si="16"/>
        <v>107.32796005340865</v>
      </c>
      <c r="F73" s="6">
        <f t="shared" si="17"/>
        <v>902.53057317639048</v>
      </c>
      <c r="G73" s="6">
        <f t="shared" si="18"/>
        <v>82.935241859452063</v>
      </c>
      <c r="H73" s="6">
        <v>0.4</v>
      </c>
      <c r="I73" s="6">
        <v>1.5</v>
      </c>
      <c r="J73" s="6">
        <v>1</v>
      </c>
      <c r="K73" s="26">
        <f t="shared" si="9"/>
        <v>1.0442234058017708</v>
      </c>
      <c r="L73" s="6">
        <f t="shared" si="23"/>
        <v>9391.1965046732566</v>
      </c>
      <c r="M73" s="6">
        <f t="shared" si="24"/>
        <v>120401.31740739067</v>
      </c>
      <c r="N73" s="6">
        <f t="shared" si="25"/>
        <v>12440.286278917809</v>
      </c>
      <c r="O73" s="6">
        <f t="shared" si="26"/>
        <v>0.4</v>
      </c>
      <c r="P73" s="6">
        <f t="shared" si="27"/>
        <v>1.5</v>
      </c>
      <c r="Q73" s="6">
        <f t="shared" si="28"/>
        <v>1</v>
      </c>
      <c r="R73" s="6"/>
      <c r="S73" s="38">
        <v>56</v>
      </c>
      <c r="T73" s="6">
        <f>VLOOKUP($S$13,角色设定!$AB$9:$AJ$21,MATCH(E$17,角色设定!$AB$9:$AJ$9,0),0)*Z73*$L$15*E73/Y73/(1+W73*(X73-1))</f>
        <v>7409.288151414291</v>
      </c>
      <c r="U73" s="6">
        <f>VLOOKUP($S$13,角色设定!$AB$9:$AJ$21,MATCH(F$17,角色设定!$AB$9:$AJ$9,0),0)*F73*$L$15/(1+V73/$N$16)</f>
        <v>157490.62963491614</v>
      </c>
      <c r="V73" s="6">
        <f>VLOOKUP($S$13,角色设定!$AB$9:$AJ$21,MATCH(V$17,角色设定!$AB$9:$AJ$9,0),0)*G73*$L$15</f>
        <v>54883.615936402093</v>
      </c>
      <c r="W73" s="6">
        <f>VLOOKUP($S$13,角色设定!$AB$9:$AJ$21,MATCH(W$17,角色设定!$AB$9:$AJ$9,0),0)*H73</f>
        <v>0.4</v>
      </c>
      <c r="X73" s="6">
        <f>VLOOKUP($S$13,角色设定!$AB$9:$AJ$21,MATCH(X$17,角色设定!$AB$9:$AJ$9,0),0)*I73</f>
        <v>1.5</v>
      </c>
      <c r="Y73" s="6">
        <f>VLOOKUP($S$13,角色设定!$AB$9:$AJ$21,MATCH(Y$17,角色设定!$AB$9:$AJ$9,0),0)*J73</f>
        <v>1</v>
      </c>
      <c r="Z73" s="6">
        <f>VLOOKUP($S$13,角色设定!$AB$9:$AJ$21,MATCH(Z$17,角色设定!$AB$9:$AJ$9,0),0)</f>
        <v>0.9</v>
      </c>
      <c r="AA73" s="6"/>
      <c r="AB73" s="6"/>
      <c r="AC73" s="6">
        <f>T73*战斗公式!$E$39*(1+W73*(X73-1))*Y73</f>
        <v>222278.64454242872</v>
      </c>
      <c r="AD73" s="6">
        <f>U73*战斗公式!$E$41*(1+V73*战斗公式!$E$40)</f>
        <v>243927.18193956499</v>
      </c>
      <c r="AE73" s="22">
        <f t="shared" si="12"/>
        <v>466205.82648199372</v>
      </c>
      <c r="AF73" s="22">
        <f t="shared" si="19"/>
        <v>22200.277451523521</v>
      </c>
      <c r="AG73" s="22"/>
      <c r="AH73" s="9">
        <f t="shared" si="13"/>
        <v>2074.6006823960015</v>
      </c>
      <c r="AI73" s="9">
        <f t="shared" si="14"/>
        <v>44097.376297776522</v>
      </c>
      <c r="AJ73" s="9">
        <f t="shared" si="15"/>
        <v>15367.412462192588</v>
      </c>
      <c r="AK73" s="9">
        <f t="shared" si="20"/>
        <v>98.790508685523719</v>
      </c>
      <c r="AL73" s="9">
        <f t="shared" si="21"/>
        <v>1379.0461280071831</v>
      </c>
      <c r="AM73" s="9">
        <f t="shared" si="22"/>
        <v>731.78154581869421</v>
      </c>
    </row>
    <row r="74" spans="4:39" ht="14.25" customHeight="1" x14ac:dyDescent="0.2">
      <c r="D74" s="1">
        <v>57</v>
      </c>
      <c r="E74" s="6">
        <f t="shared" si="16"/>
        <v>112.69435805607908</v>
      </c>
      <c r="F74" s="6">
        <f t="shared" si="17"/>
        <v>947.65710183521003</v>
      </c>
      <c r="G74" s="6">
        <f t="shared" si="18"/>
        <v>87.082003952424671</v>
      </c>
      <c r="H74" s="6">
        <v>0.4</v>
      </c>
      <c r="I74" s="6">
        <v>1.5</v>
      </c>
      <c r="J74" s="6">
        <v>1</v>
      </c>
      <c r="K74" s="26">
        <f t="shared" si="9"/>
        <v>1.0439694123494931</v>
      </c>
      <c r="L74" s="6">
        <f t="shared" si="23"/>
        <v>9860.7563299069207</v>
      </c>
      <c r="M74" s="6">
        <f t="shared" si="24"/>
        <v>125725.8737261655</v>
      </c>
      <c r="N74" s="6">
        <f t="shared" si="25"/>
        <v>13062.300592863701</v>
      </c>
      <c r="O74" s="6">
        <f t="shared" si="26"/>
        <v>0.4</v>
      </c>
      <c r="P74" s="6">
        <f t="shared" si="27"/>
        <v>1.5</v>
      </c>
      <c r="Q74" s="6">
        <f t="shared" si="28"/>
        <v>1</v>
      </c>
      <c r="R74" s="6"/>
      <c r="S74" s="38">
        <v>57</v>
      </c>
      <c r="T74" s="6">
        <f>VLOOKUP($S$13,角色设定!$AB$9:$AJ$21,MATCH(E$17,角色设定!$AB$9:$AJ$9,0),0)*Z74*$L$15*E74/Y74/(1+W74*(X74-1))</f>
        <v>7779.7525589850056</v>
      </c>
      <c r="U74" s="6">
        <f>VLOOKUP($S$13,角色设定!$AB$9:$AJ$21,MATCH(F$17,角色设定!$AB$9:$AJ$9,0),0)*F74*$L$15/(1+V74/$N$16)</f>
        <v>162486.27865427858</v>
      </c>
      <c r="V74" s="6">
        <f>VLOOKUP($S$13,角色设定!$AB$9:$AJ$21,MATCH(V$17,角色设定!$AB$9:$AJ$9,0),0)*G74*$L$15</f>
        <v>57627.796733222203</v>
      </c>
      <c r="W74" s="6">
        <f>VLOOKUP($S$13,角色设定!$AB$9:$AJ$21,MATCH(W$17,角色设定!$AB$9:$AJ$9,0),0)*H74</f>
        <v>0.4</v>
      </c>
      <c r="X74" s="6">
        <f>VLOOKUP($S$13,角色设定!$AB$9:$AJ$21,MATCH(X$17,角色设定!$AB$9:$AJ$9,0),0)*I74</f>
        <v>1.5</v>
      </c>
      <c r="Y74" s="6">
        <f>VLOOKUP($S$13,角色设定!$AB$9:$AJ$21,MATCH(Y$17,角色设定!$AB$9:$AJ$9,0),0)*J74</f>
        <v>1</v>
      </c>
      <c r="Z74" s="6">
        <f>VLOOKUP($S$13,角色设定!$AB$9:$AJ$21,MATCH(Z$17,角色设定!$AB$9:$AJ$9,0),0)</f>
        <v>0.9</v>
      </c>
      <c r="AA74" s="6"/>
      <c r="AB74" s="6"/>
      <c r="AC74" s="6">
        <f>T74*战斗公式!$E$39*(1+W74*(X74-1))*Y74</f>
        <v>233392.57676955016</v>
      </c>
      <c r="AD74" s="6">
        <f>U74*战斗公式!$E$41*(1+V74*战斗公式!$E$40)</f>
        <v>256123.54103654326</v>
      </c>
      <c r="AE74" s="22">
        <f t="shared" si="12"/>
        <v>489516.11780609342</v>
      </c>
      <c r="AF74" s="22">
        <f t="shared" si="19"/>
        <v>23310.2913240997</v>
      </c>
      <c r="AG74" s="22"/>
      <c r="AH74" s="9">
        <f t="shared" si="13"/>
        <v>2178.3307165158017</v>
      </c>
      <c r="AI74" s="9">
        <f t="shared" si="14"/>
        <v>45496.158023198004</v>
      </c>
      <c r="AJ74" s="9">
        <f t="shared" si="15"/>
        <v>16135.783085302219</v>
      </c>
      <c r="AK74" s="9">
        <f t="shared" si="20"/>
        <v>103.73003411980017</v>
      </c>
      <c r="AL74" s="9">
        <f t="shared" si="21"/>
        <v>1398.7817254214824</v>
      </c>
      <c r="AM74" s="9">
        <f t="shared" si="22"/>
        <v>768.3706231096312</v>
      </c>
    </row>
    <row r="75" spans="4:39" ht="14.25" customHeight="1" x14ac:dyDescent="0.2">
      <c r="D75" s="1">
        <v>58</v>
      </c>
      <c r="E75" s="6">
        <f t="shared" si="16"/>
        <v>118.32907595888304</v>
      </c>
      <c r="F75" s="6">
        <f t="shared" si="17"/>
        <v>995.0399569269706</v>
      </c>
      <c r="G75" s="6">
        <f t="shared" si="18"/>
        <v>91.436104150045907</v>
      </c>
      <c r="H75" s="6">
        <v>0.4</v>
      </c>
      <c r="I75" s="6">
        <v>1.5</v>
      </c>
      <c r="J75" s="6">
        <v>1</v>
      </c>
      <c r="K75" s="26">
        <f t="shared" si="9"/>
        <v>1.0437058404478337</v>
      </c>
      <c r="L75" s="6">
        <f t="shared" si="23"/>
        <v>10353.794146402266</v>
      </c>
      <c r="M75" s="6">
        <f t="shared" si="24"/>
        <v>131253.96651103158</v>
      </c>
      <c r="N75" s="6">
        <f t="shared" si="25"/>
        <v>13715.415622506885</v>
      </c>
      <c r="O75" s="6">
        <f t="shared" si="26"/>
        <v>0.4</v>
      </c>
      <c r="P75" s="6">
        <f t="shared" si="27"/>
        <v>1.5</v>
      </c>
      <c r="Q75" s="6">
        <f t="shared" si="28"/>
        <v>1</v>
      </c>
      <c r="R75" s="6"/>
      <c r="S75" s="38">
        <v>58</v>
      </c>
      <c r="T75" s="6">
        <f>VLOOKUP($S$13,角色设定!$AB$9:$AJ$21,MATCH(E$17,角色设定!$AB$9:$AJ$9,0),0)*Z75*$L$15*E75/Y75/(1+W75*(X75-1))</f>
        <v>8168.7401869342557</v>
      </c>
      <c r="U75" s="6">
        <f>VLOOKUP($S$13,角色设定!$AB$9:$AJ$21,MATCH(F$17,角色设定!$AB$9:$AJ$9,0),0)*F75*$L$15/(1+V75/$N$16)</f>
        <v>167547.86678286633</v>
      </c>
      <c r="V75" s="6">
        <f>VLOOKUP($S$13,角色设定!$AB$9:$AJ$21,MATCH(V$17,角色设定!$AB$9:$AJ$9,0),0)*G75*$L$15</f>
        <v>60509.186569883313</v>
      </c>
      <c r="W75" s="6">
        <f>VLOOKUP($S$13,角色设定!$AB$9:$AJ$21,MATCH(W$17,角色设定!$AB$9:$AJ$9,0),0)*H75</f>
        <v>0.4</v>
      </c>
      <c r="X75" s="6">
        <f>VLOOKUP($S$13,角色设定!$AB$9:$AJ$21,MATCH(X$17,角色设定!$AB$9:$AJ$9,0),0)*I75</f>
        <v>1.5</v>
      </c>
      <c r="Y75" s="6">
        <f>VLOOKUP($S$13,角色设定!$AB$9:$AJ$21,MATCH(Y$17,角色设定!$AB$9:$AJ$9,0),0)*J75</f>
        <v>1</v>
      </c>
      <c r="Z75" s="6">
        <f>VLOOKUP($S$13,角色设定!$AB$9:$AJ$21,MATCH(Z$17,角色设定!$AB$9:$AJ$9,0),0)</f>
        <v>0.9</v>
      </c>
      <c r="AA75" s="6"/>
      <c r="AB75" s="6"/>
      <c r="AC75" s="6">
        <f>T75*战斗公式!$E$39*(1+W75*(X75-1))*Y75</f>
        <v>245062.20560802767</v>
      </c>
      <c r="AD75" s="6">
        <f>U75*战斗公式!$E$41*(1+V75*战斗公式!$E$40)</f>
        <v>268929.71808837052</v>
      </c>
      <c r="AE75" s="22">
        <f t="shared" si="12"/>
        <v>513991.92369639815</v>
      </c>
      <c r="AF75" s="22">
        <f t="shared" si="19"/>
        <v>24475.805890304735</v>
      </c>
      <c r="AG75" s="22"/>
      <c r="AH75" s="9">
        <f t="shared" si="13"/>
        <v>2287.2472523415918</v>
      </c>
      <c r="AI75" s="9">
        <f t="shared" si="14"/>
        <v>46913.402699202576</v>
      </c>
      <c r="AJ75" s="9">
        <f t="shared" si="15"/>
        <v>16942.572239567329</v>
      </c>
      <c r="AK75" s="9">
        <f t="shared" si="20"/>
        <v>108.91653582579011</v>
      </c>
      <c r="AL75" s="9">
        <f t="shared" si="21"/>
        <v>1417.2446760045714</v>
      </c>
      <c r="AM75" s="9">
        <f t="shared" si="22"/>
        <v>806.78915426511048</v>
      </c>
    </row>
    <row r="76" spans="4:39" ht="14.25" customHeight="1" x14ac:dyDescent="0.2">
      <c r="D76" s="1">
        <v>59</v>
      </c>
      <c r="E76" s="6">
        <f t="shared" si="16"/>
        <v>124.2455297568272</v>
      </c>
      <c r="F76" s="6">
        <f t="shared" si="17"/>
        <v>1044.7919547733193</v>
      </c>
      <c r="G76" s="6">
        <f t="shared" si="18"/>
        <v>96.007909357548201</v>
      </c>
      <c r="H76" s="6">
        <v>0.4</v>
      </c>
      <c r="I76" s="6">
        <v>1.5</v>
      </c>
      <c r="J76" s="6">
        <v>1</v>
      </c>
      <c r="K76" s="26">
        <f t="shared" si="9"/>
        <v>1.0434324695547117</v>
      </c>
      <c r="L76" s="6">
        <f t="shared" si="23"/>
        <v>10871.48385372238</v>
      </c>
      <c r="M76" s="6">
        <f t="shared" si="24"/>
        <v>136990.53142950803</v>
      </c>
      <c r="N76" s="6">
        <f t="shared" si="25"/>
        <v>14401.186403632229</v>
      </c>
      <c r="O76" s="6">
        <f t="shared" si="26"/>
        <v>0.4</v>
      </c>
      <c r="P76" s="6">
        <f t="shared" si="27"/>
        <v>1.5</v>
      </c>
      <c r="Q76" s="6">
        <f t="shared" si="28"/>
        <v>1</v>
      </c>
      <c r="R76" s="6"/>
      <c r="S76" s="38">
        <v>59</v>
      </c>
      <c r="T76" s="6">
        <f>VLOOKUP($S$13,角色设定!$AB$9:$AJ$21,MATCH(E$17,角色设定!$AB$9:$AJ$9,0),0)*Z76*$L$15*E76/Y76/(1+W76*(X76-1))</f>
        <v>8577.1771962809689</v>
      </c>
      <c r="U76" s="6">
        <f>VLOOKUP($S$13,角色设定!$AB$9:$AJ$21,MATCH(F$17,角色设定!$AB$9:$AJ$9,0),0)*F76*$L$15/(1+V76/$N$16)</f>
        <v>172670.56924944281</v>
      </c>
      <c r="V76" s="6">
        <f>VLOOKUP($S$13,角色设定!$AB$9:$AJ$21,MATCH(V$17,角色设定!$AB$9:$AJ$9,0),0)*G76*$L$15</f>
        <v>63534.645898377479</v>
      </c>
      <c r="W76" s="6">
        <f>VLOOKUP($S$13,角色设定!$AB$9:$AJ$21,MATCH(W$17,角色设定!$AB$9:$AJ$9,0),0)*H76</f>
        <v>0.4</v>
      </c>
      <c r="X76" s="6">
        <f>VLOOKUP($S$13,角色设定!$AB$9:$AJ$21,MATCH(X$17,角色设定!$AB$9:$AJ$9,0),0)*I76</f>
        <v>1.5</v>
      </c>
      <c r="Y76" s="6">
        <f>VLOOKUP($S$13,角色设定!$AB$9:$AJ$21,MATCH(Y$17,角色设定!$AB$9:$AJ$9,0),0)*J76</f>
        <v>1</v>
      </c>
      <c r="Z76" s="6">
        <f>VLOOKUP($S$13,角色设定!$AB$9:$AJ$21,MATCH(Z$17,角色设定!$AB$9:$AJ$9,0),0)</f>
        <v>0.9</v>
      </c>
      <c r="AA76" s="6"/>
      <c r="AB76" s="6"/>
      <c r="AC76" s="6">
        <f>T76*战斗公式!$E$39*(1+W76*(X76-1))*Y76</f>
        <v>257315.31588842906</v>
      </c>
      <c r="AD76" s="6">
        <f>U76*战斗公式!$E$41*(1+V76*战斗公式!$E$40)</f>
        <v>282376.20399278897</v>
      </c>
      <c r="AE76" s="22">
        <f t="shared" si="12"/>
        <v>539691.51988121797</v>
      </c>
      <c r="AF76" s="22">
        <f t="shared" si="19"/>
        <v>25699.59618481982</v>
      </c>
      <c r="AG76" s="22"/>
      <c r="AH76" s="9">
        <f t="shared" si="13"/>
        <v>2401.6096149586715</v>
      </c>
      <c r="AI76" s="9">
        <f t="shared" si="14"/>
        <v>48347.759389843988</v>
      </c>
      <c r="AJ76" s="9">
        <f t="shared" si="15"/>
        <v>17789.700851545695</v>
      </c>
      <c r="AK76" s="9">
        <f t="shared" si="20"/>
        <v>114.36236261707973</v>
      </c>
      <c r="AL76" s="9">
        <f t="shared" si="21"/>
        <v>1434.3566906414126</v>
      </c>
      <c r="AM76" s="9">
        <f t="shared" si="22"/>
        <v>847.12861197836537</v>
      </c>
    </row>
    <row r="77" spans="4:39" ht="14.25" customHeight="1" x14ac:dyDescent="0.2">
      <c r="D77" s="1">
        <v>60</v>
      </c>
      <c r="E77" s="6">
        <f t="shared" si="16"/>
        <v>130.45780624466857</v>
      </c>
      <c r="F77" s="6">
        <f t="shared" si="17"/>
        <v>1097.0315525119852</v>
      </c>
      <c r="G77" s="6">
        <f t="shared" si="18"/>
        <v>100.80830482542561</v>
      </c>
      <c r="H77" s="6">
        <v>0.4</v>
      </c>
      <c r="I77" s="6">
        <v>1.5</v>
      </c>
      <c r="J77" s="6">
        <v>1</v>
      </c>
      <c r="K77" s="26">
        <f t="shared" si="9"/>
        <v>1.0431490866146831</v>
      </c>
      <c r="L77" s="6">
        <f t="shared" si="23"/>
        <v>11415.0580464085</v>
      </c>
      <c r="M77" s="6">
        <f t="shared" si="24"/>
        <v>142940.36851510391</v>
      </c>
      <c r="N77" s="6">
        <f t="shared" si="25"/>
        <v>15121.245723813841</v>
      </c>
      <c r="O77" s="6">
        <f t="shared" si="26"/>
        <v>0.4</v>
      </c>
      <c r="P77" s="6">
        <f t="shared" si="27"/>
        <v>1.5</v>
      </c>
      <c r="Q77" s="6">
        <f t="shared" si="28"/>
        <v>1</v>
      </c>
      <c r="R77" s="6"/>
      <c r="S77" s="38">
        <v>60</v>
      </c>
      <c r="T77" s="6">
        <f>VLOOKUP($S$13,角色设定!$AB$9:$AJ$21,MATCH(E$17,角色设定!$AB$9:$AJ$9,0),0)*Z77*$L$15*E77/Y77/(1+W77*(X77-1))</f>
        <v>9006.0360560950194</v>
      </c>
      <c r="U77" s="6">
        <f>VLOOKUP($S$13,角色设定!$AB$9:$AJ$21,MATCH(F$17,角色设定!$AB$9:$AJ$9,0),0)*F77*$L$15/(1+V77/$N$16)</f>
        <v>177849.29703397464</v>
      </c>
      <c r="V77" s="6">
        <f>VLOOKUP($S$13,角色设定!$AB$9:$AJ$21,MATCH(V$17,角色设定!$AB$9:$AJ$9,0),0)*G77*$L$15</f>
        <v>66711.378193296347</v>
      </c>
      <c r="W77" s="6">
        <f>VLOOKUP($S$13,角色设定!$AB$9:$AJ$21,MATCH(W$17,角色设定!$AB$9:$AJ$9,0),0)*H77</f>
        <v>0.4</v>
      </c>
      <c r="X77" s="6">
        <f>VLOOKUP($S$13,角色设定!$AB$9:$AJ$21,MATCH(X$17,角色设定!$AB$9:$AJ$9,0),0)*I77</f>
        <v>1.5</v>
      </c>
      <c r="Y77" s="6">
        <f>VLOOKUP($S$13,角色设定!$AB$9:$AJ$21,MATCH(Y$17,角色设定!$AB$9:$AJ$9,0),0)*J77</f>
        <v>1</v>
      </c>
      <c r="Z77" s="6">
        <f>VLOOKUP($S$13,角色设定!$AB$9:$AJ$21,MATCH(Z$17,角色设定!$AB$9:$AJ$9,0),0)</f>
        <v>0.9</v>
      </c>
      <c r="AA77" s="6"/>
      <c r="AB77" s="6"/>
      <c r="AC77" s="6">
        <f>T77*战斗公式!$E$39*(1+W77*(X77-1))*Y77</f>
        <v>270181.08168285055</v>
      </c>
      <c r="AD77" s="6">
        <f>U77*战斗公式!$E$41*(1+V77*战斗公式!$E$40)</f>
        <v>296495.01419242844</v>
      </c>
      <c r="AE77" s="22">
        <f t="shared" si="12"/>
        <v>566676.09587527905</v>
      </c>
      <c r="AF77" s="22">
        <f t="shared" si="19"/>
        <v>26984.575994061073</v>
      </c>
      <c r="AG77" s="22"/>
      <c r="AH77" s="9">
        <f t="shared" si="13"/>
        <v>2521.6900957066055</v>
      </c>
      <c r="AI77" s="9">
        <f t="shared" si="14"/>
        <v>49797.803169512903</v>
      </c>
      <c r="AJ77" s="9">
        <f t="shared" si="15"/>
        <v>18679.18589412298</v>
      </c>
      <c r="AK77" s="9">
        <f t="shared" si="20"/>
        <v>120.08048074793396</v>
      </c>
      <c r="AL77" s="9">
        <f t="shared" si="21"/>
        <v>1450.0437796689148</v>
      </c>
      <c r="AM77" s="9">
        <f t="shared" si="22"/>
        <v>889.48504257728564</v>
      </c>
    </row>
    <row r="78" spans="4:39" ht="14.25" customHeight="1" x14ac:dyDescent="0.2">
      <c r="D78" s="1">
        <v>61</v>
      </c>
      <c r="E78" s="6">
        <f t="shared" si="16"/>
        <v>136.98069655690202</v>
      </c>
      <c r="F78" s="6">
        <f t="shared" si="17"/>
        <v>1151.8831301375844</v>
      </c>
      <c r="G78" s="6">
        <f t="shared" si="18"/>
        <v>105.8487200666969</v>
      </c>
      <c r="H78" s="6">
        <v>0.4</v>
      </c>
      <c r="I78" s="6">
        <v>1.5</v>
      </c>
      <c r="J78" s="6">
        <v>1</v>
      </c>
      <c r="K78" s="26">
        <f t="shared" si="9"/>
        <v>1.0428554873825397</v>
      </c>
      <c r="L78" s="6">
        <f t="shared" si="23"/>
        <v>11985.810948728928</v>
      </c>
      <c r="M78" s="6">
        <f t="shared" si="24"/>
        <v>149108.11485689683</v>
      </c>
      <c r="N78" s="6">
        <f t="shared" si="25"/>
        <v>15877.308010004535</v>
      </c>
      <c r="O78" s="6">
        <f t="shared" si="26"/>
        <v>0.4</v>
      </c>
      <c r="P78" s="6">
        <f t="shared" si="27"/>
        <v>1.5</v>
      </c>
      <c r="Q78" s="6">
        <f t="shared" si="28"/>
        <v>1</v>
      </c>
      <c r="R78" s="6"/>
      <c r="S78" s="38">
        <v>61</v>
      </c>
      <c r="T78" s="6">
        <f>VLOOKUP($S$13,角色设定!$AB$9:$AJ$21,MATCH(E$17,角色设定!$AB$9:$AJ$9,0),0)*Z78*$L$15*E78/Y78/(1+W78*(X78-1))</f>
        <v>9456.3378588997712</v>
      </c>
      <c r="U78" s="6">
        <f>VLOOKUP($S$13,角色设定!$AB$9:$AJ$21,MATCH(F$17,角色设定!$AB$9:$AJ$9,0),0)*F78*$L$15/(1+V78/$N$16)</f>
        <v>183078.71455848592</v>
      </c>
      <c r="V78" s="6">
        <f>VLOOKUP($S$13,角色设定!$AB$9:$AJ$21,MATCH(V$17,角色设定!$AB$9:$AJ$9,0),0)*G78*$L$15</f>
        <v>70046.947102961174</v>
      </c>
      <c r="W78" s="6">
        <f>VLOOKUP($S$13,角色设定!$AB$9:$AJ$21,MATCH(W$17,角色设定!$AB$9:$AJ$9,0),0)*H78</f>
        <v>0.4</v>
      </c>
      <c r="X78" s="6">
        <f>VLOOKUP($S$13,角色设定!$AB$9:$AJ$21,MATCH(X$17,角色设定!$AB$9:$AJ$9,0),0)*I78</f>
        <v>1.5</v>
      </c>
      <c r="Y78" s="6">
        <f>VLOOKUP($S$13,角色设定!$AB$9:$AJ$21,MATCH(Y$17,角色设定!$AB$9:$AJ$9,0),0)*J78</f>
        <v>1</v>
      </c>
      <c r="Z78" s="6">
        <f>VLOOKUP($S$13,角色设定!$AB$9:$AJ$21,MATCH(Z$17,角色设定!$AB$9:$AJ$9,0),0)</f>
        <v>0.9</v>
      </c>
      <c r="AA78" s="6"/>
      <c r="AB78" s="6"/>
      <c r="AC78" s="6">
        <f>T78*战斗公式!$E$39*(1+W78*(X78-1))*Y78</f>
        <v>283690.1357669931</v>
      </c>
      <c r="AD78" s="6">
        <f>U78*战斗公式!$E$41*(1+V78*战斗公式!$E$40)</f>
        <v>311319.76490204985</v>
      </c>
      <c r="AE78" s="22">
        <f t="shared" si="12"/>
        <v>595009.90066904295</v>
      </c>
      <c r="AF78" s="22">
        <f t="shared" si="19"/>
        <v>28333.804793763906</v>
      </c>
      <c r="AG78" s="22"/>
      <c r="AH78" s="9">
        <f t="shared" si="13"/>
        <v>2647.7746004919363</v>
      </c>
      <c r="AI78" s="9">
        <f t="shared" si="14"/>
        <v>51262.040076376063</v>
      </c>
      <c r="AJ78" s="9">
        <f t="shared" si="15"/>
        <v>19613.14518882913</v>
      </c>
      <c r="AK78" s="9">
        <f t="shared" si="20"/>
        <v>126.08450478533086</v>
      </c>
      <c r="AL78" s="9">
        <f t="shared" si="21"/>
        <v>1464.2369068631597</v>
      </c>
      <c r="AM78" s="9">
        <f t="shared" si="22"/>
        <v>933.9592947061501</v>
      </c>
    </row>
    <row r="79" spans="4:39" ht="14.25" customHeight="1" x14ac:dyDescent="0.2">
      <c r="D79" s="1">
        <v>62</v>
      </c>
      <c r="E79" s="6">
        <f t="shared" si="16"/>
        <v>143.82973138474713</v>
      </c>
      <c r="F79" s="6">
        <f t="shared" si="17"/>
        <v>1209.4772866444637</v>
      </c>
      <c r="G79" s="6">
        <f t="shared" si="18"/>
        <v>111.14115607003176</v>
      </c>
      <c r="H79" s="6">
        <v>0.4</v>
      </c>
      <c r="I79" s="6">
        <v>1.5</v>
      </c>
      <c r="J79" s="6">
        <v>1</v>
      </c>
      <c r="K79" s="26">
        <f t="shared" si="9"/>
        <v>1.0425514778124174</v>
      </c>
      <c r="L79" s="6">
        <f t="shared" si="23"/>
        <v>12585.101496165375</v>
      </c>
      <c r="M79" s="6">
        <f t="shared" si="24"/>
        <v>155498.21579178085</v>
      </c>
      <c r="N79" s="6">
        <f t="shared" si="25"/>
        <v>16671.173410504762</v>
      </c>
      <c r="O79" s="6">
        <f t="shared" si="26"/>
        <v>0.4</v>
      </c>
      <c r="P79" s="6">
        <f t="shared" si="27"/>
        <v>1.5</v>
      </c>
      <c r="Q79" s="6">
        <f t="shared" si="28"/>
        <v>1</v>
      </c>
      <c r="R79" s="6"/>
      <c r="S79" s="38">
        <v>62</v>
      </c>
      <c r="T79" s="6">
        <f>VLOOKUP($S$13,角色设定!$AB$9:$AJ$21,MATCH(E$17,角色设定!$AB$9:$AJ$9,0),0)*Z79*$L$15*E79/Y79/(1+W79*(X79-1))</f>
        <v>9929.1547518447605</v>
      </c>
      <c r="U79" s="6">
        <f>VLOOKUP($S$13,角色设定!$AB$9:$AJ$21,MATCH(F$17,角色设定!$AB$9:$AJ$9,0),0)*F79*$L$15/(1+V79/$N$16)</f>
        <v>188353.25961296546</v>
      </c>
      <c r="V79" s="6">
        <f>VLOOKUP($S$13,角色设定!$AB$9:$AJ$21,MATCH(V$17,角色设定!$AB$9:$AJ$9,0),0)*G79*$L$15</f>
        <v>73549.294458109245</v>
      </c>
      <c r="W79" s="6">
        <f>VLOOKUP($S$13,角色设定!$AB$9:$AJ$21,MATCH(W$17,角色设定!$AB$9:$AJ$9,0),0)*H79</f>
        <v>0.4</v>
      </c>
      <c r="X79" s="6">
        <f>VLOOKUP($S$13,角色设定!$AB$9:$AJ$21,MATCH(X$17,角色设定!$AB$9:$AJ$9,0),0)*I79</f>
        <v>1.5</v>
      </c>
      <c r="Y79" s="6">
        <f>VLOOKUP($S$13,角色设定!$AB$9:$AJ$21,MATCH(Y$17,角色设定!$AB$9:$AJ$9,0),0)*J79</f>
        <v>1</v>
      </c>
      <c r="Z79" s="6">
        <f>VLOOKUP($S$13,角色设定!$AB$9:$AJ$21,MATCH(Z$17,角色设定!$AB$9:$AJ$9,0),0)</f>
        <v>0.9</v>
      </c>
      <c r="AA79" s="6"/>
      <c r="AB79" s="6"/>
      <c r="AC79" s="6">
        <f>T79*战斗公式!$E$39*(1+W79*(X79-1))*Y79</f>
        <v>297874.64255534281</v>
      </c>
      <c r="AD79" s="6">
        <f>U79*战斗公式!$E$41*(1+V79*战斗公式!$E$40)</f>
        <v>326885.75314715237</v>
      </c>
      <c r="AE79" s="22">
        <f t="shared" si="12"/>
        <v>624760.39570249524</v>
      </c>
      <c r="AF79" s="22">
        <f t="shared" si="19"/>
        <v>29750.495033452287</v>
      </c>
      <c r="AG79" s="22"/>
      <c r="AH79" s="9">
        <f t="shared" si="13"/>
        <v>2780.1633305165333</v>
      </c>
      <c r="AI79" s="9">
        <f t="shared" si="14"/>
        <v>52738.912691630336</v>
      </c>
      <c r="AJ79" s="9">
        <f t="shared" si="15"/>
        <v>20593.802448270591</v>
      </c>
      <c r="AK79" s="9">
        <f t="shared" si="20"/>
        <v>132.38873002459695</v>
      </c>
      <c r="AL79" s="9">
        <f t="shared" si="21"/>
        <v>1476.8726152542731</v>
      </c>
      <c r="AM79" s="9">
        <f t="shared" si="22"/>
        <v>980.65725944146106</v>
      </c>
    </row>
    <row r="80" spans="4:39" ht="14.25" customHeight="1" x14ac:dyDescent="0.2">
      <c r="D80" s="1">
        <v>63</v>
      </c>
      <c r="E80" s="6">
        <f t="shared" si="16"/>
        <v>151.02121795398449</v>
      </c>
      <c r="F80" s="6">
        <f t="shared" si="17"/>
        <v>1269.9511509766869</v>
      </c>
      <c r="G80" s="6">
        <f t="shared" si="18"/>
        <v>116.69821387353335</v>
      </c>
      <c r="H80" s="6">
        <v>0.4</v>
      </c>
      <c r="I80" s="6">
        <v>1.5</v>
      </c>
      <c r="J80" s="6">
        <v>1</v>
      </c>
      <c r="K80" s="26">
        <f t="shared" si="9"/>
        <v>1.0422368755080618</v>
      </c>
      <c r="L80" s="6">
        <f t="shared" si="23"/>
        <v>13214.356570973643</v>
      </c>
      <c r="M80" s="6">
        <f t="shared" si="24"/>
        <v>162114.8946709153</v>
      </c>
      <c r="N80" s="6">
        <f t="shared" si="25"/>
        <v>17504.732081030001</v>
      </c>
      <c r="O80" s="6">
        <f t="shared" si="26"/>
        <v>0.4</v>
      </c>
      <c r="P80" s="6">
        <f t="shared" si="27"/>
        <v>1.5</v>
      </c>
      <c r="Q80" s="6">
        <f t="shared" si="28"/>
        <v>1</v>
      </c>
      <c r="R80" s="6"/>
      <c r="S80" s="38">
        <v>63</v>
      </c>
      <c r="T80" s="6">
        <f>VLOOKUP($S$13,角色设定!$AB$9:$AJ$21,MATCH(E$17,角色设定!$AB$9:$AJ$9,0),0)*Z80*$L$15*E80/Y80/(1+W80*(X80-1))</f>
        <v>10425.612489436997</v>
      </c>
      <c r="U80" s="6">
        <f>VLOOKUP($S$13,角色设定!$AB$9:$AJ$21,MATCH(F$17,角色设定!$AB$9:$AJ$9,0),0)*F80*$L$15/(1+V80/$N$16)</f>
        <v>193667.1653821441</v>
      </c>
      <c r="V80" s="6">
        <f>VLOOKUP($S$13,角色设定!$AB$9:$AJ$21,MATCH(V$17,角色设定!$AB$9:$AJ$9,0),0)*G80*$L$15</f>
        <v>77226.759181014713</v>
      </c>
      <c r="W80" s="6">
        <f>VLOOKUP($S$13,角色设定!$AB$9:$AJ$21,MATCH(W$17,角色设定!$AB$9:$AJ$9,0),0)*H80</f>
        <v>0.4</v>
      </c>
      <c r="X80" s="6">
        <f>VLOOKUP($S$13,角色设定!$AB$9:$AJ$21,MATCH(X$17,角色设定!$AB$9:$AJ$9,0),0)*I80</f>
        <v>1.5</v>
      </c>
      <c r="Y80" s="6">
        <f>VLOOKUP($S$13,角色设定!$AB$9:$AJ$21,MATCH(Y$17,角色设定!$AB$9:$AJ$9,0),0)*J80</f>
        <v>1</v>
      </c>
      <c r="Z80" s="6">
        <f>VLOOKUP($S$13,角色设定!$AB$9:$AJ$21,MATCH(Z$17,角色设定!$AB$9:$AJ$9,0),0)</f>
        <v>0.9</v>
      </c>
      <c r="AA80" s="6"/>
      <c r="AB80" s="6"/>
      <c r="AC80" s="6">
        <f>T80*战斗公式!$E$39*(1+W80*(X80-1))*Y80</f>
        <v>312768.37468310987</v>
      </c>
      <c r="AD80" s="6">
        <f>U80*战斗公式!$E$41*(1+V80*战斗公式!$E$40)</f>
        <v>343230.04080451</v>
      </c>
      <c r="AE80" s="22">
        <f t="shared" si="12"/>
        <v>655998.41548761982</v>
      </c>
      <c r="AF80" s="22">
        <f t="shared" si="19"/>
        <v>31238.019785124576</v>
      </c>
      <c r="AG80" s="22"/>
      <c r="AH80" s="9">
        <f t="shared" si="13"/>
        <v>2919.1714970423595</v>
      </c>
      <c r="AI80" s="9">
        <f t="shared" si="14"/>
        <v>54226.806307000355</v>
      </c>
      <c r="AJ80" s="9">
        <f t="shared" si="15"/>
        <v>21623.49257068412</v>
      </c>
      <c r="AK80" s="9">
        <f t="shared" si="20"/>
        <v>139.00816652582625</v>
      </c>
      <c r="AL80" s="9">
        <f t="shared" si="21"/>
        <v>1487.8936153700197</v>
      </c>
      <c r="AM80" s="9">
        <f t="shared" si="22"/>
        <v>1029.690122413529</v>
      </c>
    </row>
    <row r="81" spans="4:39" ht="14.25" customHeight="1" x14ac:dyDescent="0.2">
      <c r="D81" s="1">
        <v>64</v>
      </c>
      <c r="E81" s="6">
        <f t="shared" si="16"/>
        <v>158.57227885168373</v>
      </c>
      <c r="F81" s="6">
        <f t="shared" si="17"/>
        <v>1333.4487085255214</v>
      </c>
      <c r="G81" s="6">
        <f t="shared" si="18"/>
        <v>122.53312456721002</v>
      </c>
      <c r="H81" s="6">
        <v>0.4</v>
      </c>
      <c r="I81" s="6">
        <v>1.5</v>
      </c>
      <c r="J81" s="6">
        <v>1</v>
      </c>
      <c r="K81" s="26">
        <f t="shared" si="9"/>
        <v>1.0419115112287474</v>
      </c>
      <c r="L81" s="6">
        <f t="shared" si="23"/>
        <v>13875.074399522327</v>
      </c>
      <c r="M81" s="6">
        <f t="shared" si="24"/>
        <v>168962.12129513329</v>
      </c>
      <c r="N81" s="6">
        <f t="shared" si="25"/>
        <v>18379.968685081505</v>
      </c>
      <c r="O81" s="6">
        <f t="shared" si="26"/>
        <v>0.4</v>
      </c>
      <c r="P81" s="6">
        <f t="shared" si="27"/>
        <v>1.5</v>
      </c>
      <c r="Q81" s="6">
        <f t="shared" si="28"/>
        <v>1</v>
      </c>
      <c r="R81" s="6"/>
      <c r="S81" s="38">
        <v>64</v>
      </c>
      <c r="T81" s="6">
        <f>VLOOKUP($S$13,角色设定!$AB$9:$AJ$21,MATCH(E$17,角色设定!$AB$9:$AJ$9,0),0)*Z81*$L$15*E81/Y81/(1+W81*(X81-1))</f>
        <v>10946.893113908849</v>
      </c>
      <c r="U81" s="6">
        <f>VLOOKUP($S$13,角色设定!$AB$9:$AJ$21,MATCH(F$17,角色设定!$AB$9:$AJ$9,0),0)*F81*$L$15/(1+V81/$N$16)</f>
        <v>199014.48440644058</v>
      </c>
      <c r="V81" s="6">
        <f>VLOOKUP($S$13,角色设定!$AB$9:$AJ$21,MATCH(V$17,角色设定!$AB$9:$AJ$9,0),0)*G81*$L$15</f>
        <v>81088.097140065453</v>
      </c>
      <c r="W81" s="6">
        <f>VLOOKUP($S$13,角色设定!$AB$9:$AJ$21,MATCH(W$17,角色设定!$AB$9:$AJ$9,0),0)*H81</f>
        <v>0.4</v>
      </c>
      <c r="X81" s="6">
        <f>VLOOKUP($S$13,角色设定!$AB$9:$AJ$21,MATCH(X$17,角色设定!$AB$9:$AJ$9,0),0)*I81</f>
        <v>1.5</v>
      </c>
      <c r="Y81" s="6">
        <f>VLOOKUP($S$13,角色设定!$AB$9:$AJ$21,MATCH(Y$17,角色设定!$AB$9:$AJ$9,0),0)*J81</f>
        <v>1</v>
      </c>
      <c r="Z81" s="6">
        <f>VLOOKUP($S$13,角色设定!$AB$9:$AJ$21,MATCH(Z$17,角色设定!$AB$9:$AJ$9,0),0)</f>
        <v>0.9</v>
      </c>
      <c r="AA81" s="6"/>
      <c r="AB81" s="6"/>
      <c r="AC81" s="6">
        <f>T81*战斗公式!$E$39*(1+W81*(X81-1))*Y81</f>
        <v>328406.79341726546</v>
      </c>
      <c r="AD81" s="6">
        <f>U81*战斗公式!$E$41*(1+V81*战斗公式!$E$40)</f>
        <v>360391.54284473555</v>
      </c>
      <c r="AE81" s="22">
        <f t="shared" si="12"/>
        <v>688798.33626200096</v>
      </c>
      <c r="AF81" s="22">
        <f t="shared" si="19"/>
        <v>32799.920774381142</v>
      </c>
      <c r="AG81" s="22"/>
      <c r="AH81" s="9">
        <f t="shared" si="13"/>
        <v>3065.1300718944781</v>
      </c>
      <c r="AI81" s="9">
        <f t="shared" si="14"/>
        <v>55724.055633803364</v>
      </c>
      <c r="AJ81" s="9">
        <f t="shared" si="15"/>
        <v>22704.667199218329</v>
      </c>
      <c r="AK81" s="9">
        <f t="shared" si="20"/>
        <v>145.95857485211855</v>
      </c>
      <c r="AL81" s="9">
        <f t="shared" si="21"/>
        <v>1497.2493268030084</v>
      </c>
      <c r="AM81" s="9">
        <f t="shared" si="22"/>
        <v>1081.1746285342088</v>
      </c>
    </row>
    <row r="82" spans="4:39" ht="14.25" customHeight="1" x14ac:dyDescent="0.2">
      <c r="D82" s="1">
        <v>65</v>
      </c>
      <c r="E82" s="6">
        <f t="shared" si="16"/>
        <v>166.50089279426794</v>
      </c>
      <c r="F82" s="6">
        <f t="shared" si="17"/>
        <v>1400.1211439517974</v>
      </c>
      <c r="G82" s="6">
        <f t="shared" si="18"/>
        <v>128.65978079557053</v>
      </c>
      <c r="H82" s="6">
        <v>0.4</v>
      </c>
      <c r="I82" s="6">
        <v>1.5</v>
      </c>
      <c r="J82" s="6">
        <v>1</v>
      </c>
      <c r="K82" s="26">
        <f t="shared" si="9"/>
        <v>1.0415752304441377</v>
      </c>
      <c r="L82" s="6">
        <f t="shared" ref="L82:L117" si="29">E82*$L$16/J82/(1+H82*(I82-1))*$L$15</f>
        <v>14568.828119498443</v>
      </c>
      <c r="M82" s="6">
        <f t="shared" ref="M82:M113" si="30">F82/(1+N82/$N$16)*$L$15</f>
        <v>176043.57913902725</v>
      </c>
      <c r="N82" s="6">
        <f t="shared" ref="N82:N117" si="31">G82*$L$15</f>
        <v>19298.967119335579</v>
      </c>
      <c r="O82" s="6">
        <f t="shared" ref="O82:O94" si="32">H82</f>
        <v>0.4</v>
      </c>
      <c r="P82" s="6">
        <f t="shared" ref="P82:P94" si="33">I82</f>
        <v>1.5</v>
      </c>
      <c r="Q82" s="6">
        <f t="shared" ref="Q82:Q94" si="34">J82</f>
        <v>1</v>
      </c>
      <c r="R82" s="6"/>
      <c r="S82" s="38">
        <v>65</v>
      </c>
      <c r="T82" s="6">
        <f>VLOOKUP($S$13,角色设定!$AB$9:$AJ$21,MATCH(E$17,角色设定!$AB$9:$AJ$9,0),0)*Z82*$L$15*E82/Y82/(1+W82*(X82-1))</f>
        <v>11494.237769604293</v>
      </c>
      <c r="U82" s="6">
        <f>VLOOKUP($S$13,角色设定!$AB$9:$AJ$21,MATCH(F$17,角色设定!$AB$9:$AJ$9,0),0)*F82*$L$15/(1+V82/$N$16)</f>
        <v>204389.11427963933</v>
      </c>
      <c r="V82" s="6">
        <f>VLOOKUP($S$13,角色设定!$AB$9:$AJ$21,MATCH(V$17,角色设定!$AB$9:$AJ$9,0),0)*G82*$L$15</f>
        <v>85142.501997068714</v>
      </c>
      <c r="W82" s="6">
        <f>VLOOKUP($S$13,角色设定!$AB$9:$AJ$21,MATCH(W$17,角色设定!$AB$9:$AJ$9,0),0)*H82</f>
        <v>0.4</v>
      </c>
      <c r="X82" s="6">
        <f>VLOOKUP($S$13,角色设定!$AB$9:$AJ$21,MATCH(X$17,角色设定!$AB$9:$AJ$9,0),0)*I82</f>
        <v>1.5</v>
      </c>
      <c r="Y82" s="6">
        <f>VLOOKUP($S$13,角色设定!$AB$9:$AJ$21,MATCH(Y$17,角色设定!$AB$9:$AJ$9,0),0)*J82</f>
        <v>1</v>
      </c>
      <c r="Z82" s="6">
        <f>VLOOKUP($S$13,角色设定!$AB$9:$AJ$21,MATCH(Z$17,角色设定!$AB$9:$AJ$9,0),0)</f>
        <v>0.9</v>
      </c>
      <c r="AA82" s="6"/>
      <c r="AB82" s="6"/>
      <c r="AC82" s="6">
        <f>T82*战斗公式!$E$39*(1+W82*(X82-1))*Y82</f>
        <v>344827.13308812876</v>
      </c>
      <c r="AD82" s="6">
        <f>U82*战斗公式!$E$41*(1+V82*战斗公式!$E$40)</f>
        <v>378411.11998697231</v>
      </c>
      <c r="AE82" s="22">
        <f t="shared" si="12"/>
        <v>723238.25307510106</v>
      </c>
      <c r="AF82" s="22">
        <f t="shared" si="19"/>
        <v>34439.916813100106</v>
      </c>
      <c r="AG82" s="22"/>
      <c r="AH82" s="9">
        <f t="shared" si="13"/>
        <v>3218.3865754892022</v>
      </c>
      <c r="AI82" s="9">
        <f t="shared" si="14"/>
        <v>57228.951998299017</v>
      </c>
      <c r="AJ82" s="9">
        <f t="shared" si="15"/>
        <v>23839.900559179241</v>
      </c>
      <c r="AK82" s="9">
        <f t="shared" si="20"/>
        <v>153.25650359472411</v>
      </c>
      <c r="AL82" s="9">
        <f t="shared" si="21"/>
        <v>1504.896364495653</v>
      </c>
      <c r="AM82" s="9">
        <f t="shared" si="22"/>
        <v>1135.2333599609119</v>
      </c>
    </row>
    <row r="83" spans="4:39" ht="14.25" customHeight="1" x14ac:dyDescent="0.2">
      <c r="D83" s="1">
        <v>66</v>
      </c>
      <c r="E83" s="6">
        <f t="shared" si="16"/>
        <v>174.82593743398135</v>
      </c>
      <c r="F83" s="6">
        <f t="shared" si="17"/>
        <v>1470.1272011493872</v>
      </c>
      <c r="G83" s="6">
        <f t="shared" si="18"/>
        <v>135.09276983534906</v>
      </c>
      <c r="H83" s="6">
        <v>0.4</v>
      </c>
      <c r="I83" s="6">
        <v>1.5</v>
      </c>
      <c r="J83" s="6">
        <v>1</v>
      </c>
      <c r="K83" s="26">
        <f t="shared" ref="K83:K115" si="35">M84/M83</f>
        <v>1.0412278949300786</v>
      </c>
      <c r="L83" s="6">
        <f t="shared" si="29"/>
        <v>15297.269525473368</v>
      </c>
      <c r="M83" s="6">
        <f t="shared" si="30"/>
        <v>183362.63150994311</v>
      </c>
      <c r="N83" s="6">
        <f t="shared" si="31"/>
        <v>20263.915475302358</v>
      </c>
      <c r="O83" s="6">
        <f t="shared" si="32"/>
        <v>0.4</v>
      </c>
      <c r="P83" s="6">
        <f t="shared" si="33"/>
        <v>1.5</v>
      </c>
      <c r="Q83" s="6">
        <f t="shared" si="34"/>
        <v>1</v>
      </c>
      <c r="R83" s="6"/>
      <c r="S83" s="38">
        <v>66</v>
      </c>
      <c r="T83" s="6">
        <f>VLOOKUP($S$13,角色设定!$AB$9:$AJ$21,MATCH(E$17,角色设定!$AB$9:$AJ$9,0),0)*Z83*$L$15*E83/Y83/(1+W83*(X83-1))</f>
        <v>12068.94965808451</v>
      </c>
      <c r="U83" s="6">
        <f>VLOOKUP($S$13,角色设定!$AB$9:$AJ$21,MATCH(F$17,角色设定!$AB$9:$AJ$9,0),0)*F83*$L$15/(1+V83/$N$16)</f>
        <v>209784.8248576503</v>
      </c>
      <c r="V83" s="6">
        <f>VLOOKUP($S$13,角色设定!$AB$9:$AJ$21,MATCH(V$17,角色设定!$AB$9:$AJ$9,0),0)*G83*$L$15</f>
        <v>89399.627096922151</v>
      </c>
      <c r="W83" s="6">
        <f>VLOOKUP($S$13,角色设定!$AB$9:$AJ$21,MATCH(W$17,角色设定!$AB$9:$AJ$9,0),0)*H83</f>
        <v>0.4</v>
      </c>
      <c r="X83" s="6">
        <f>VLOOKUP($S$13,角色设定!$AB$9:$AJ$21,MATCH(X$17,角色设定!$AB$9:$AJ$9,0),0)*I83</f>
        <v>1.5</v>
      </c>
      <c r="Y83" s="6">
        <f>VLOOKUP($S$13,角色设定!$AB$9:$AJ$21,MATCH(Y$17,角色设定!$AB$9:$AJ$9,0),0)*J83</f>
        <v>1</v>
      </c>
      <c r="Z83" s="6">
        <f>VLOOKUP($S$13,角色设定!$AB$9:$AJ$21,MATCH(Z$17,角色设定!$AB$9:$AJ$9,0),0)</f>
        <v>0.9</v>
      </c>
      <c r="AA83" s="6"/>
      <c r="AB83" s="6"/>
      <c r="AC83" s="6">
        <f>T83*战斗公式!$E$39*(1+W83*(X83-1))*Y83</f>
        <v>362068.48974253528</v>
      </c>
      <c r="AD83" s="6">
        <f>U83*战斗公式!$E$41*(1+V83*战斗公式!$E$40)</f>
        <v>397331.67598632094</v>
      </c>
      <c r="AE83" s="22">
        <f t="shared" ref="AE83:AE117" si="36">AC83+AD83</f>
        <v>759400.16572885623</v>
      </c>
      <c r="AF83" s="22">
        <f t="shared" si="19"/>
        <v>36161.912653755164</v>
      </c>
      <c r="AG83" s="22"/>
      <c r="AH83" s="9">
        <f t="shared" ref="AH83:AH117" si="37">T83*$F$5</f>
        <v>3379.3059042636633</v>
      </c>
      <c r="AI83" s="9">
        <f t="shared" ref="AI83:AI117" si="38">U83*$F$5</f>
        <v>58739.75096014209</v>
      </c>
      <c r="AJ83" s="9">
        <f t="shared" ref="AJ83:AJ117" si="39">V83*$F$5</f>
        <v>25031.895587138206</v>
      </c>
      <c r="AK83" s="9">
        <f t="shared" si="20"/>
        <v>160.91932877446106</v>
      </c>
      <c r="AL83" s="9">
        <f t="shared" si="21"/>
        <v>1510.7989618430729</v>
      </c>
      <c r="AM83" s="9">
        <f t="shared" si="22"/>
        <v>1191.9950279589648</v>
      </c>
    </row>
    <row r="84" spans="4:39" ht="14.25" customHeight="1" x14ac:dyDescent="0.2">
      <c r="D84" s="1">
        <v>67</v>
      </c>
      <c r="E84" s="6">
        <f t="shared" ref="E84:E117" si="40">E83*E$16</f>
        <v>183.56723430568042</v>
      </c>
      <c r="F84" s="6">
        <f t="shared" ref="F84:F117" si="41">F83*F$16</f>
        <v>1543.6335612068567</v>
      </c>
      <c r="G84" s="6">
        <f t="shared" ref="G84:G117" si="42">G83*G$16</f>
        <v>141.84740832711651</v>
      </c>
      <c r="H84" s="6">
        <v>0.4</v>
      </c>
      <c r="I84" s="6">
        <v>1.5</v>
      </c>
      <c r="J84" s="6">
        <v>1</v>
      </c>
      <c r="K84" s="26">
        <f t="shared" si="35"/>
        <v>1.0408693843960137</v>
      </c>
      <c r="L84" s="6">
        <f t="shared" si="29"/>
        <v>16062.133001747035</v>
      </c>
      <c r="M84" s="6">
        <f t="shared" si="30"/>
        <v>190922.28681593775</v>
      </c>
      <c r="N84" s="6">
        <f t="shared" si="31"/>
        <v>21277.111249067475</v>
      </c>
      <c r="O84" s="6">
        <f t="shared" si="32"/>
        <v>0.4</v>
      </c>
      <c r="P84" s="6">
        <f t="shared" si="33"/>
        <v>1.5</v>
      </c>
      <c r="Q84" s="6">
        <f t="shared" si="34"/>
        <v>1</v>
      </c>
      <c r="R84" s="6"/>
      <c r="S84" s="38">
        <v>67</v>
      </c>
      <c r="T84" s="6">
        <f>VLOOKUP($S$13,角色设定!$AB$9:$AJ$21,MATCH(E$17,角色设定!$AB$9:$AJ$9,0),0)*Z84*$L$15*E84/Y84/(1+W84*(X84-1))</f>
        <v>12672.397140988734</v>
      </c>
      <c r="U84" s="6">
        <f>VLOOKUP($S$13,角色设定!$AB$9:$AJ$21,MATCH(F$17,角色设定!$AB$9:$AJ$9,0),0)*F84*$L$15/(1+V84/$N$16)</f>
        <v>215195.2867276922</v>
      </c>
      <c r="V84" s="6">
        <f>VLOOKUP($S$13,角色设定!$AB$9:$AJ$21,MATCH(V$17,角色设定!$AB$9:$AJ$9,0),0)*G84*$L$15</f>
        <v>93869.608451768276</v>
      </c>
      <c r="W84" s="6">
        <f>VLOOKUP($S$13,角色设定!$AB$9:$AJ$21,MATCH(W$17,角色设定!$AB$9:$AJ$9,0),0)*H84</f>
        <v>0.4</v>
      </c>
      <c r="X84" s="6">
        <f>VLOOKUP($S$13,角色设定!$AB$9:$AJ$21,MATCH(X$17,角色设定!$AB$9:$AJ$9,0),0)*I84</f>
        <v>1.5</v>
      </c>
      <c r="Y84" s="6">
        <f>VLOOKUP($S$13,角色设定!$AB$9:$AJ$21,MATCH(Y$17,角色设定!$AB$9:$AJ$9,0),0)*J84</f>
        <v>1</v>
      </c>
      <c r="Z84" s="6">
        <f>VLOOKUP($S$13,角色设定!$AB$9:$AJ$21,MATCH(Z$17,角色设定!$AB$9:$AJ$9,0),0)</f>
        <v>0.9</v>
      </c>
      <c r="AA84" s="6"/>
      <c r="AB84" s="6"/>
      <c r="AC84" s="6">
        <f>T84*战斗公式!$E$39*(1+W84*(X84-1))*Y84</f>
        <v>380171.91422966204</v>
      </c>
      <c r="AD84" s="6">
        <f>U84*战斗公式!$E$41*(1+V84*战斗公式!$E$40)</f>
        <v>417198.25978563697</v>
      </c>
      <c r="AE84" s="22">
        <f t="shared" si="36"/>
        <v>797370.17401529895</v>
      </c>
      <c r="AF84" s="22">
        <f t="shared" ref="AF84:AF117" si="43">AE84-AE83</f>
        <v>37970.008286442724</v>
      </c>
      <c r="AG84" s="22"/>
      <c r="AH84" s="9">
        <f t="shared" si="37"/>
        <v>3548.271199476846</v>
      </c>
      <c r="AI84" s="9">
        <f t="shared" si="38"/>
        <v>60254.68028375382</v>
      </c>
      <c r="AJ84" s="9">
        <f t="shared" si="39"/>
        <v>26283.49036649512</v>
      </c>
      <c r="AK84" s="9">
        <f t="shared" ref="AK84:AK118" si="44">AH84-AH83</f>
        <v>168.9652952131828</v>
      </c>
      <c r="AL84" s="9">
        <f t="shared" ref="AL84:AL118" si="45">AI84-AI83</f>
        <v>1514.9293236117301</v>
      </c>
      <c r="AM84" s="9">
        <f t="shared" ref="AM84:AM118" si="46">AJ84-AJ83</f>
        <v>1251.5947793569139</v>
      </c>
    </row>
    <row r="85" spans="4:39" ht="14.25" customHeight="1" x14ac:dyDescent="0.2">
      <c r="D85" s="1">
        <v>68</v>
      </c>
      <c r="E85" s="6">
        <f t="shared" si="40"/>
        <v>192.74559602096446</v>
      </c>
      <c r="F85" s="6">
        <f t="shared" si="41"/>
        <v>1620.8152392671996</v>
      </c>
      <c r="G85" s="6">
        <f t="shared" si="42"/>
        <v>148.93977874347235</v>
      </c>
      <c r="H85" s="6">
        <v>0.4</v>
      </c>
      <c r="I85" s="6">
        <v>1.5</v>
      </c>
      <c r="J85" s="6">
        <v>1</v>
      </c>
      <c r="K85" s="26">
        <f t="shared" si="35"/>
        <v>1.0404995981333423</v>
      </c>
      <c r="L85" s="6">
        <f t="shared" si="29"/>
        <v>16865.239651834392</v>
      </c>
      <c r="M85" s="6">
        <f t="shared" si="30"/>
        <v>198725.16314558429</v>
      </c>
      <c r="N85" s="6">
        <f t="shared" si="31"/>
        <v>22340.966811520851</v>
      </c>
      <c r="O85" s="6">
        <f t="shared" si="32"/>
        <v>0.4</v>
      </c>
      <c r="P85" s="6">
        <f t="shared" si="33"/>
        <v>1.5</v>
      </c>
      <c r="Q85" s="6">
        <f t="shared" si="34"/>
        <v>1</v>
      </c>
      <c r="R85" s="6"/>
      <c r="S85" s="38">
        <v>68</v>
      </c>
      <c r="T85" s="6">
        <f>VLOOKUP($S$13,角色设定!$AB$9:$AJ$21,MATCH(E$17,角色设定!$AB$9:$AJ$9,0),0)*Z85*$L$15*E85/Y85/(1+W85*(X85-1))</f>
        <v>13306.016998038172</v>
      </c>
      <c r="U85" s="6">
        <f>VLOOKUP($S$13,角色设定!$AB$9:$AJ$21,MATCH(F$17,角色设定!$AB$9:$AJ$9,0),0)*F85*$L$15/(1+V85/$N$16)</f>
        <v>220614.10066606372</v>
      </c>
      <c r="V85" s="6">
        <f>VLOOKUP($S$13,角色设定!$AB$9:$AJ$21,MATCH(V$17,角色设定!$AB$9:$AJ$9,0),0)*G85*$L$15</f>
        <v>98563.08887435669</v>
      </c>
      <c r="W85" s="6">
        <f>VLOOKUP($S$13,角色设定!$AB$9:$AJ$21,MATCH(W$17,角色设定!$AB$9:$AJ$9,0),0)*H85</f>
        <v>0.4</v>
      </c>
      <c r="X85" s="6">
        <f>VLOOKUP($S$13,角色设定!$AB$9:$AJ$21,MATCH(X$17,角色设定!$AB$9:$AJ$9,0),0)*I85</f>
        <v>1.5</v>
      </c>
      <c r="Y85" s="6">
        <f>VLOOKUP($S$13,角色设定!$AB$9:$AJ$21,MATCH(Y$17,角色设定!$AB$9:$AJ$9,0),0)*J85</f>
        <v>1</v>
      </c>
      <c r="Z85" s="6">
        <f>VLOOKUP($S$13,角色设定!$AB$9:$AJ$21,MATCH(Z$17,角色设定!$AB$9:$AJ$9,0),0)</f>
        <v>0.9</v>
      </c>
      <c r="AA85" s="6"/>
      <c r="AB85" s="6"/>
      <c r="AC85" s="6">
        <f>T85*战斗公式!$E$39*(1+W85*(X85-1))*Y85</f>
        <v>399180.5099411452</v>
      </c>
      <c r="AD85" s="6">
        <f>U85*战斗公式!$E$41*(1+V85*战斗公式!$E$40)</f>
        <v>438058.17277491884</v>
      </c>
      <c r="AE85" s="22">
        <f t="shared" si="36"/>
        <v>837238.68271606404</v>
      </c>
      <c r="AF85" s="22">
        <f t="shared" si="43"/>
        <v>39868.508700765087</v>
      </c>
      <c r="AG85" s="22"/>
      <c r="AH85" s="9">
        <f t="shared" si="37"/>
        <v>3725.6847594506885</v>
      </c>
      <c r="AI85" s="9">
        <f t="shared" si="38"/>
        <v>61771.948186497844</v>
      </c>
      <c r="AJ85" s="9">
        <f t="shared" si="39"/>
        <v>27597.664884819875</v>
      </c>
      <c r="AK85" s="9">
        <f t="shared" si="44"/>
        <v>177.41355997384244</v>
      </c>
      <c r="AL85" s="9">
        <f t="shared" si="45"/>
        <v>1517.2679027440245</v>
      </c>
      <c r="AM85" s="9">
        <f t="shared" si="46"/>
        <v>1314.1745183247549</v>
      </c>
    </row>
    <row r="86" spans="4:39" ht="14.25" customHeight="1" x14ac:dyDescent="0.2">
      <c r="D86" s="1">
        <v>69</v>
      </c>
      <c r="E86" s="6">
        <f t="shared" si="40"/>
        <v>202.38287582201269</v>
      </c>
      <c r="F86" s="6">
        <f t="shared" si="41"/>
        <v>1701.8560012305595</v>
      </c>
      <c r="G86" s="6">
        <f t="shared" si="42"/>
        <v>156.38676768064596</v>
      </c>
      <c r="H86" s="6">
        <v>0.4</v>
      </c>
      <c r="I86" s="6">
        <v>1.5</v>
      </c>
      <c r="J86" s="6">
        <v>1</v>
      </c>
      <c r="K86" s="26">
        <f t="shared" si="35"/>
        <v>1.0401184566726815</v>
      </c>
      <c r="L86" s="6">
        <f t="shared" si="29"/>
        <v>17708.501634426109</v>
      </c>
      <c r="M86" s="6">
        <f t="shared" si="30"/>
        <v>206773.45239196334</v>
      </c>
      <c r="N86" s="6">
        <f t="shared" si="31"/>
        <v>23458.015152096894</v>
      </c>
      <c r="O86" s="6">
        <f t="shared" si="32"/>
        <v>0.4</v>
      </c>
      <c r="P86" s="6">
        <f t="shared" si="33"/>
        <v>1.5</v>
      </c>
      <c r="Q86" s="6">
        <f t="shared" si="34"/>
        <v>1</v>
      </c>
      <c r="R86" s="6"/>
      <c r="S86" s="38">
        <v>69</v>
      </c>
      <c r="T86" s="6">
        <f>VLOOKUP($S$13,角色设定!$AB$9:$AJ$21,MATCH(E$17,角色设定!$AB$9:$AJ$9,0),0)*Z86*$L$15*E86/Y86/(1+W86*(X86-1))</f>
        <v>13971.317847940081</v>
      </c>
      <c r="U86" s="6">
        <f>VLOOKUP($S$13,角色设定!$AB$9:$AJ$21,MATCH(F$17,角色设定!$AB$9:$AJ$9,0),0)*F86*$L$15/(1+V86/$N$16)</f>
        <v>226034.82779586024</v>
      </c>
      <c r="V86" s="6">
        <f>VLOOKUP($S$13,角色设定!$AB$9:$AJ$21,MATCH(V$17,角色设定!$AB$9:$AJ$9,0),0)*G86*$L$15</f>
        <v>103491.24331807453</v>
      </c>
      <c r="W86" s="6">
        <f>VLOOKUP($S$13,角色设定!$AB$9:$AJ$21,MATCH(W$17,角色设定!$AB$9:$AJ$9,0),0)*H86</f>
        <v>0.4</v>
      </c>
      <c r="X86" s="6">
        <f>VLOOKUP($S$13,角色设定!$AB$9:$AJ$21,MATCH(X$17,角色设定!$AB$9:$AJ$9,0),0)*I86</f>
        <v>1.5</v>
      </c>
      <c r="Y86" s="6">
        <f>VLOOKUP($S$13,角色设定!$AB$9:$AJ$21,MATCH(Y$17,角色设定!$AB$9:$AJ$9,0),0)*J86</f>
        <v>1</v>
      </c>
      <c r="Z86" s="6">
        <f>VLOOKUP($S$13,角色设定!$AB$9:$AJ$21,MATCH(Z$17,角色设定!$AB$9:$AJ$9,0),0)</f>
        <v>0.9</v>
      </c>
      <c r="AA86" s="6"/>
      <c r="AB86" s="6"/>
      <c r="AC86" s="6">
        <f>T86*战斗公式!$E$39*(1+W86*(X86-1))*Y86</f>
        <v>419139.53543820244</v>
      </c>
      <c r="AD86" s="6">
        <f>U86*战斗公式!$E$41*(1+V86*战斗公式!$E$40)</f>
        <v>459961.08141366474</v>
      </c>
      <c r="AE86" s="22">
        <f t="shared" si="36"/>
        <v>879100.61685186718</v>
      </c>
      <c r="AF86" s="22">
        <f t="shared" si="43"/>
        <v>41861.934135803138</v>
      </c>
      <c r="AG86" s="22"/>
      <c r="AH86" s="9">
        <f t="shared" si="37"/>
        <v>3911.9689974232233</v>
      </c>
      <c r="AI86" s="9">
        <f t="shared" si="38"/>
        <v>63289.751782840875</v>
      </c>
      <c r="AJ86" s="9">
        <f t="shared" si="39"/>
        <v>28977.54812906087</v>
      </c>
      <c r="AK86" s="9">
        <f t="shared" si="44"/>
        <v>186.28423797253481</v>
      </c>
      <c r="AL86" s="9">
        <f t="shared" si="45"/>
        <v>1517.8035963430302</v>
      </c>
      <c r="AM86" s="9">
        <f t="shared" si="46"/>
        <v>1379.8832442409948</v>
      </c>
    </row>
    <row r="87" spans="4:39" ht="14.25" customHeight="1" x14ac:dyDescent="0.2">
      <c r="D87" s="1">
        <v>70</v>
      </c>
      <c r="E87" s="6">
        <f t="shared" si="40"/>
        <v>212.50201961311333</v>
      </c>
      <c r="F87" s="6">
        <f t="shared" si="41"/>
        <v>1786.9488012920876</v>
      </c>
      <c r="G87" s="6">
        <f t="shared" si="42"/>
        <v>164.20610606467827</v>
      </c>
      <c r="H87" s="6">
        <v>0.4</v>
      </c>
      <c r="I87" s="6">
        <v>1.5</v>
      </c>
      <c r="J87" s="6">
        <v>1</v>
      </c>
      <c r="K87" s="26">
        <f t="shared" si="35"/>
        <v>1.0397259034366555</v>
      </c>
      <c r="L87" s="6">
        <f t="shared" si="29"/>
        <v>18593.926716147416</v>
      </c>
      <c r="M87" s="6">
        <f t="shared" si="30"/>
        <v>215068.8841828111</v>
      </c>
      <c r="N87" s="6">
        <f t="shared" si="31"/>
        <v>24630.91590970174</v>
      </c>
      <c r="O87" s="6">
        <f t="shared" si="32"/>
        <v>0.4</v>
      </c>
      <c r="P87" s="6">
        <f t="shared" si="33"/>
        <v>1.5</v>
      </c>
      <c r="Q87" s="6">
        <f t="shared" si="34"/>
        <v>1</v>
      </c>
      <c r="R87" s="6"/>
      <c r="S87" s="38">
        <v>70</v>
      </c>
      <c r="T87" s="6">
        <f>VLOOKUP($S$13,角色设定!$AB$9:$AJ$21,MATCH(E$17,角色设定!$AB$9:$AJ$9,0),0)*Z87*$L$15*E87/Y87/(1+W87*(X87-1))</f>
        <v>14669.883740337085</v>
      </c>
      <c r="U87" s="6">
        <f>VLOOKUP($S$13,角色设定!$AB$9:$AJ$21,MATCH(F$17,角色设定!$AB$9:$AJ$9,0),0)*F87*$L$15/(1+V87/$N$16)</f>
        <v>231451.02014399314</v>
      </c>
      <c r="V87" s="6">
        <f>VLOOKUP($S$13,角色设定!$AB$9:$AJ$21,MATCH(V$17,角色设定!$AB$9:$AJ$9,0),0)*G87*$L$15</f>
        <v>108665.80548397824</v>
      </c>
      <c r="W87" s="6">
        <f>VLOOKUP($S$13,角色设定!$AB$9:$AJ$21,MATCH(W$17,角色设定!$AB$9:$AJ$9,0),0)*H87</f>
        <v>0.4</v>
      </c>
      <c r="X87" s="6">
        <f>VLOOKUP($S$13,角色设定!$AB$9:$AJ$21,MATCH(X$17,角色设定!$AB$9:$AJ$9,0),0)*I87</f>
        <v>1.5</v>
      </c>
      <c r="Y87" s="6">
        <f>VLOOKUP($S$13,角色设定!$AB$9:$AJ$21,MATCH(Y$17,角色设定!$AB$9:$AJ$9,0),0)*J87</f>
        <v>1</v>
      </c>
      <c r="Z87" s="6">
        <f>VLOOKUP($S$13,角色设定!$AB$9:$AJ$21,MATCH(Z$17,角色设定!$AB$9:$AJ$9,0),0)</f>
        <v>0.9</v>
      </c>
      <c r="AA87" s="6"/>
      <c r="AB87" s="6"/>
      <c r="AC87" s="6">
        <f>T87*战斗公式!$E$39*(1+W87*(X87-1))*Y87</f>
        <v>440096.51221011259</v>
      </c>
      <c r="AD87" s="6">
        <f>U87*战斗公式!$E$41*(1+V87*战斗公式!$E$40)</f>
        <v>482959.13548434799</v>
      </c>
      <c r="AE87" s="22">
        <f t="shared" si="36"/>
        <v>923055.64769446058</v>
      </c>
      <c r="AF87" s="22">
        <f t="shared" si="43"/>
        <v>43955.030842593405</v>
      </c>
      <c r="AG87" s="22"/>
      <c r="AH87" s="9">
        <f t="shared" si="37"/>
        <v>4107.5674472943847</v>
      </c>
      <c r="AI87" s="9">
        <f t="shared" si="38"/>
        <v>64806.285640318085</v>
      </c>
      <c r="AJ87" s="9">
        <f t="shared" si="39"/>
        <v>30426.42553551391</v>
      </c>
      <c r="AK87" s="9">
        <f t="shared" si="44"/>
        <v>195.59844987116139</v>
      </c>
      <c r="AL87" s="9">
        <f t="shared" si="45"/>
        <v>1516.5338574772104</v>
      </c>
      <c r="AM87" s="9">
        <f t="shared" si="46"/>
        <v>1448.8774064530407</v>
      </c>
    </row>
    <row r="88" spans="4:39" ht="14.25" customHeight="1" x14ac:dyDescent="0.2">
      <c r="D88" s="1">
        <v>71</v>
      </c>
      <c r="E88" s="6">
        <f t="shared" si="40"/>
        <v>223.12712059376901</v>
      </c>
      <c r="F88" s="6">
        <f t="shared" si="41"/>
        <v>1876.296241356692</v>
      </c>
      <c r="G88" s="6">
        <f t="shared" si="42"/>
        <v>172.41641136791219</v>
      </c>
      <c r="H88" s="6">
        <v>0.4</v>
      </c>
      <c r="I88" s="6">
        <v>1.5</v>
      </c>
      <c r="J88" s="6">
        <v>1</v>
      </c>
      <c r="K88" s="26">
        <f t="shared" si="35"/>
        <v>1.0393219063735193</v>
      </c>
      <c r="L88" s="6">
        <f t="shared" si="29"/>
        <v>19523.62305195479</v>
      </c>
      <c r="M88" s="6">
        <f t="shared" si="30"/>
        <v>223612.6899080867</v>
      </c>
      <c r="N88" s="6">
        <f t="shared" si="31"/>
        <v>25862.46170518683</v>
      </c>
      <c r="O88" s="6">
        <f t="shared" si="32"/>
        <v>0.4</v>
      </c>
      <c r="P88" s="6">
        <f t="shared" si="33"/>
        <v>1.5</v>
      </c>
      <c r="Q88" s="6">
        <f t="shared" si="34"/>
        <v>1</v>
      </c>
      <c r="R88" s="6"/>
      <c r="S88" s="38">
        <v>71</v>
      </c>
      <c r="T88" s="6">
        <f>VLOOKUP($S$13,角色设定!$AB$9:$AJ$21,MATCH(E$17,角色设定!$AB$9:$AJ$9,0),0)*Z88*$L$15*E88/Y88/(1+W88*(X88-1))</f>
        <v>15403.37792735394</v>
      </c>
      <c r="U88" s="6">
        <f>VLOOKUP($S$13,角色设定!$AB$9:$AJ$21,MATCH(F$17,角色设定!$AB$9:$AJ$9,0),0)*F88*$L$15/(1+V88/$N$16)</f>
        <v>236856.25128998113</v>
      </c>
      <c r="V88" s="6">
        <f>VLOOKUP($S$13,角色设定!$AB$9:$AJ$21,MATCH(V$17,角色设定!$AB$9:$AJ$9,0),0)*G88*$L$15</f>
        <v>114099.09575817718</v>
      </c>
      <c r="W88" s="6">
        <f>VLOOKUP($S$13,角色设定!$AB$9:$AJ$21,MATCH(W$17,角色设定!$AB$9:$AJ$9,0),0)*H88</f>
        <v>0.4</v>
      </c>
      <c r="X88" s="6">
        <f>VLOOKUP($S$13,角色设定!$AB$9:$AJ$21,MATCH(X$17,角色设定!$AB$9:$AJ$9,0),0)*I88</f>
        <v>1.5</v>
      </c>
      <c r="Y88" s="6">
        <f>VLOOKUP($S$13,角色设定!$AB$9:$AJ$21,MATCH(Y$17,角色设定!$AB$9:$AJ$9,0),0)*J88</f>
        <v>1</v>
      </c>
      <c r="Z88" s="6">
        <f>VLOOKUP($S$13,角色设定!$AB$9:$AJ$21,MATCH(Z$17,角色设定!$AB$9:$AJ$9,0),0)</f>
        <v>0.9</v>
      </c>
      <c r="AA88" s="6"/>
      <c r="AB88" s="6"/>
      <c r="AC88" s="6">
        <f>T88*战斗公式!$E$39*(1+W88*(X88-1))*Y88</f>
        <v>462101.33782061824</v>
      </c>
      <c r="AD88" s="6">
        <f>U88*战斗公式!$E$41*(1+V88*战斗公式!$E$40)</f>
        <v>507107.09225856542</v>
      </c>
      <c r="AE88" s="22">
        <f t="shared" si="36"/>
        <v>969208.43007918366</v>
      </c>
      <c r="AF88" s="22">
        <f t="shared" si="43"/>
        <v>46152.782384723076</v>
      </c>
      <c r="AG88" s="22"/>
      <c r="AH88" s="9">
        <f t="shared" si="37"/>
        <v>4312.945819659104</v>
      </c>
      <c r="AI88" s="9">
        <f t="shared" si="38"/>
        <v>66319.750361194718</v>
      </c>
      <c r="AJ88" s="9">
        <f t="shared" si="39"/>
        <v>31947.746812289613</v>
      </c>
      <c r="AK88" s="9">
        <f t="shared" si="44"/>
        <v>205.37837236471933</v>
      </c>
      <c r="AL88" s="9">
        <f t="shared" si="45"/>
        <v>1513.4647208766328</v>
      </c>
      <c r="AM88" s="9">
        <f t="shared" si="46"/>
        <v>1521.3212767757032</v>
      </c>
    </row>
    <row r="89" spans="4:39" ht="14.25" customHeight="1" x14ac:dyDescent="0.2">
      <c r="D89" s="1">
        <v>72</v>
      </c>
      <c r="E89" s="6">
        <f t="shared" si="40"/>
        <v>234.28347662345746</v>
      </c>
      <c r="F89" s="6">
        <f t="shared" si="41"/>
        <v>1970.1110534245267</v>
      </c>
      <c r="G89" s="6">
        <f t="shared" si="42"/>
        <v>181.03723193630782</v>
      </c>
      <c r="H89" s="6">
        <v>0.4</v>
      </c>
      <c r="I89" s="6">
        <v>1.5</v>
      </c>
      <c r="J89" s="6">
        <v>1</v>
      </c>
      <c r="K89" s="26">
        <f t="shared" si="35"/>
        <v>1.0389064595557083</v>
      </c>
      <c r="L89" s="6">
        <f t="shared" si="29"/>
        <v>20499.804204552525</v>
      </c>
      <c r="M89" s="6">
        <f t="shared" si="30"/>
        <v>232405.56716458328</v>
      </c>
      <c r="N89" s="6">
        <f t="shared" si="31"/>
        <v>27155.584790446173</v>
      </c>
      <c r="O89" s="6">
        <f t="shared" si="32"/>
        <v>0.4</v>
      </c>
      <c r="P89" s="6">
        <f t="shared" si="33"/>
        <v>1.5</v>
      </c>
      <c r="Q89" s="6">
        <f t="shared" si="34"/>
        <v>1</v>
      </c>
      <c r="R89" s="6"/>
      <c r="S89" s="38">
        <v>72</v>
      </c>
      <c r="T89" s="6">
        <f>VLOOKUP($S$13,角色设定!$AB$9:$AJ$21,MATCH(E$17,角色设定!$AB$9:$AJ$9,0),0)*Z89*$L$15*E89/Y89/(1+W89*(X89-1))</f>
        <v>16173.546823721639</v>
      </c>
      <c r="U89" s="6">
        <f>VLOOKUP($S$13,角色设定!$AB$9:$AJ$21,MATCH(F$17,角色设定!$AB$9:$AJ$9,0),0)*F89*$L$15/(1+V89/$N$16)</f>
        <v>242244.14679740078</v>
      </c>
      <c r="V89" s="6">
        <f>VLOOKUP($S$13,角色设定!$AB$9:$AJ$21,MATCH(V$17,角色设定!$AB$9:$AJ$9,0),0)*G89*$L$15</f>
        <v>119804.05054608604</v>
      </c>
      <c r="W89" s="6">
        <f>VLOOKUP($S$13,角色设定!$AB$9:$AJ$21,MATCH(W$17,角色设定!$AB$9:$AJ$9,0),0)*H89</f>
        <v>0.4</v>
      </c>
      <c r="X89" s="6">
        <f>VLOOKUP($S$13,角色设定!$AB$9:$AJ$21,MATCH(X$17,角色设定!$AB$9:$AJ$9,0),0)*I89</f>
        <v>1.5</v>
      </c>
      <c r="Y89" s="6">
        <f>VLOOKUP($S$13,角色设定!$AB$9:$AJ$21,MATCH(Y$17,角色设定!$AB$9:$AJ$9,0),0)*J89</f>
        <v>1</v>
      </c>
      <c r="Z89" s="6">
        <f>VLOOKUP($S$13,角色设定!$AB$9:$AJ$21,MATCH(Z$17,角色设定!$AB$9:$AJ$9,0),0)</f>
        <v>0.9</v>
      </c>
      <c r="AA89" s="6"/>
      <c r="AB89" s="6"/>
      <c r="AC89" s="6">
        <f>T89*战斗公式!$E$39*(1+W89*(X89-1))*Y89</f>
        <v>485206.40471164917</v>
      </c>
      <c r="AD89" s="6">
        <f>U89*战斗公式!$E$41*(1+V89*战斗公式!$E$40)</f>
        <v>532462.44687149371</v>
      </c>
      <c r="AE89" s="22">
        <f t="shared" si="36"/>
        <v>1017668.8515831429</v>
      </c>
      <c r="AF89" s="22">
        <f t="shared" si="43"/>
        <v>48460.421503959224</v>
      </c>
      <c r="AG89" s="22"/>
      <c r="AH89" s="9">
        <f t="shared" si="37"/>
        <v>4528.5931106420594</v>
      </c>
      <c r="AI89" s="9">
        <f t="shared" si="38"/>
        <v>67828.361103272226</v>
      </c>
      <c r="AJ89" s="9">
        <f t="shared" si="39"/>
        <v>33545.134152904095</v>
      </c>
      <c r="AK89" s="9">
        <f t="shared" si="44"/>
        <v>215.64729098295538</v>
      </c>
      <c r="AL89" s="9">
        <f t="shared" si="45"/>
        <v>1508.6107420775079</v>
      </c>
      <c r="AM89" s="9">
        <f t="shared" si="46"/>
        <v>1597.3873406144812</v>
      </c>
    </row>
    <row r="90" spans="4:39" ht="14.25" customHeight="1" x14ac:dyDescent="0.2">
      <c r="D90" s="1">
        <v>73</v>
      </c>
      <c r="E90" s="6">
        <f t="shared" si="40"/>
        <v>245.99765045463033</v>
      </c>
      <c r="F90" s="6">
        <f t="shared" si="41"/>
        <v>2068.616606095753</v>
      </c>
      <c r="G90" s="6">
        <f t="shared" si="42"/>
        <v>190.08909353312322</v>
      </c>
      <c r="H90" s="6">
        <v>0.4</v>
      </c>
      <c r="I90" s="6">
        <v>1.5</v>
      </c>
      <c r="J90" s="6">
        <v>1</v>
      </c>
      <c r="K90" s="26">
        <f t="shared" si="35"/>
        <v>1.0384795847262682</v>
      </c>
      <c r="L90" s="6">
        <f t="shared" si="29"/>
        <v>21524.794414780154</v>
      </c>
      <c r="M90" s="6">
        <f t="shared" si="30"/>
        <v>241447.64496399357</v>
      </c>
      <c r="N90" s="6">
        <f t="shared" si="31"/>
        <v>28513.364029968481</v>
      </c>
      <c r="O90" s="6">
        <f t="shared" si="32"/>
        <v>0.4</v>
      </c>
      <c r="P90" s="6">
        <f t="shared" si="33"/>
        <v>1.5</v>
      </c>
      <c r="Q90" s="6">
        <f t="shared" si="34"/>
        <v>1</v>
      </c>
      <c r="R90" s="6"/>
      <c r="S90" s="38">
        <v>73</v>
      </c>
      <c r="T90" s="6">
        <f>VLOOKUP($S$13,角色设定!$AB$9:$AJ$21,MATCH(E$17,角色设定!$AB$9:$AJ$9,0),0)*Z90*$L$15*E90/Y90/(1+W90*(X90-1))</f>
        <v>16982.224164907722</v>
      </c>
      <c r="U90" s="6">
        <f>VLOOKUP($S$13,角色设定!$AB$9:$AJ$21,MATCH(F$17,角色设定!$AB$9:$AJ$9,0),0)*F90*$L$15/(1+V90/$N$16)</f>
        <v>247608.41412263384</v>
      </c>
      <c r="V90" s="6">
        <f>VLOOKUP($S$13,角色设定!$AB$9:$AJ$21,MATCH(V$17,角色设定!$AB$9:$AJ$9,0),0)*G90*$L$15</f>
        <v>125794.25307339035</v>
      </c>
      <c r="W90" s="6">
        <f>VLOOKUP($S$13,角色设定!$AB$9:$AJ$21,MATCH(W$17,角色设定!$AB$9:$AJ$9,0),0)*H90</f>
        <v>0.4</v>
      </c>
      <c r="X90" s="6">
        <f>VLOOKUP($S$13,角色设定!$AB$9:$AJ$21,MATCH(X$17,角色设定!$AB$9:$AJ$9,0),0)*I90</f>
        <v>1.5</v>
      </c>
      <c r="Y90" s="6">
        <f>VLOOKUP($S$13,角色设定!$AB$9:$AJ$21,MATCH(Y$17,角色设定!$AB$9:$AJ$9,0),0)*J90</f>
        <v>1</v>
      </c>
      <c r="Z90" s="6">
        <f>VLOOKUP($S$13,角色设定!$AB$9:$AJ$21,MATCH(Z$17,角色设定!$AB$9:$AJ$9,0),0)</f>
        <v>0.9</v>
      </c>
      <c r="AA90" s="6"/>
      <c r="AB90" s="6"/>
      <c r="AC90" s="6">
        <f>T90*战斗公式!$E$39*(1+W90*(X90-1))*Y90</f>
        <v>509466.72494723165</v>
      </c>
      <c r="AD90" s="6">
        <f>U90*战斗公式!$E$41*(1+V90*战斗公式!$E$40)</f>
        <v>559085.56921506836</v>
      </c>
      <c r="AE90" s="22">
        <f t="shared" si="36"/>
        <v>1068552.2941622999</v>
      </c>
      <c r="AF90" s="22">
        <f t="shared" si="43"/>
        <v>50883.442579157068</v>
      </c>
      <c r="AG90" s="22"/>
      <c r="AH90" s="9">
        <f t="shared" si="37"/>
        <v>4755.0227661741628</v>
      </c>
      <c r="AI90" s="9">
        <f t="shared" si="38"/>
        <v>69330.355954337487</v>
      </c>
      <c r="AJ90" s="9">
        <f t="shared" si="39"/>
        <v>35222.390860549305</v>
      </c>
      <c r="AK90" s="9">
        <f t="shared" si="44"/>
        <v>226.42965553210342</v>
      </c>
      <c r="AL90" s="9">
        <f t="shared" si="45"/>
        <v>1501.9948510652612</v>
      </c>
      <c r="AM90" s="9">
        <f t="shared" si="46"/>
        <v>1677.2567076452106</v>
      </c>
    </row>
    <row r="91" spans="4:39" ht="14.25" customHeight="1" x14ac:dyDescent="0.2">
      <c r="D91" s="1">
        <v>74</v>
      </c>
      <c r="E91" s="6">
        <f t="shared" si="40"/>
        <v>258.29753297736187</v>
      </c>
      <c r="F91" s="6">
        <f t="shared" si="41"/>
        <v>2172.0474364005408</v>
      </c>
      <c r="G91" s="6">
        <f t="shared" si="42"/>
        <v>199.59354820977939</v>
      </c>
      <c r="H91" s="6">
        <v>0.4</v>
      </c>
      <c r="I91" s="6">
        <v>1.5</v>
      </c>
      <c r="J91" s="6">
        <v>1</v>
      </c>
      <c r="K91" s="26">
        <f t="shared" si="35"/>
        <v>1.0380413327751323</v>
      </c>
      <c r="L91" s="6">
        <f t="shared" si="29"/>
        <v>22601.034135519159</v>
      </c>
      <c r="M91" s="6">
        <f t="shared" si="30"/>
        <v>250738.45007534348</v>
      </c>
      <c r="N91" s="6">
        <f t="shared" si="31"/>
        <v>29939.032231466907</v>
      </c>
      <c r="O91" s="6">
        <f t="shared" si="32"/>
        <v>0.4</v>
      </c>
      <c r="P91" s="6">
        <f t="shared" si="33"/>
        <v>1.5</v>
      </c>
      <c r="Q91" s="6">
        <f t="shared" si="34"/>
        <v>1</v>
      </c>
      <c r="R91" s="6"/>
      <c r="S91" s="38">
        <v>74</v>
      </c>
      <c r="T91" s="6">
        <f>VLOOKUP($S$13,角色设定!$AB$9:$AJ$21,MATCH(E$17,角色设定!$AB$9:$AJ$9,0),0)*Z91*$L$15*E91/Y91/(1+W91*(X91-1))</f>
        <v>17831.335373153106</v>
      </c>
      <c r="U91" s="6">
        <f>VLOOKUP($S$13,角色设定!$AB$9:$AJ$21,MATCH(F$17,角色设定!$AB$9:$AJ$9,0),0)*F91*$L$15/(1+V91/$N$16)</f>
        <v>252942.871704547</v>
      </c>
      <c r="V91" s="6">
        <f>VLOOKUP($S$13,角色设定!$AB$9:$AJ$21,MATCH(V$17,角色设定!$AB$9:$AJ$9,0),0)*G91*$L$15</f>
        <v>132083.96572705987</v>
      </c>
      <c r="W91" s="6">
        <f>VLOOKUP($S$13,角色设定!$AB$9:$AJ$21,MATCH(W$17,角色设定!$AB$9:$AJ$9,0),0)*H91</f>
        <v>0.4</v>
      </c>
      <c r="X91" s="6">
        <f>VLOOKUP($S$13,角色设定!$AB$9:$AJ$21,MATCH(X$17,角色设定!$AB$9:$AJ$9,0),0)*I91</f>
        <v>1.5</v>
      </c>
      <c r="Y91" s="6">
        <f>VLOOKUP($S$13,角色设定!$AB$9:$AJ$21,MATCH(Y$17,角色设定!$AB$9:$AJ$9,0),0)*J91</f>
        <v>1</v>
      </c>
      <c r="Z91" s="6">
        <f>VLOOKUP($S$13,角色设定!$AB$9:$AJ$21,MATCH(Z$17,角色设定!$AB$9:$AJ$9,0),0)</f>
        <v>0.9</v>
      </c>
      <c r="AA91" s="6"/>
      <c r="AB91" s="6"/>
      <c r="AC91" s="6">
        <f>T91*战斗公式!$E$39*(1+W91*(X91-1))*Y91</f>
        <v>534940.0611945932</v>
      </c>
      <c r="AD91" s="6">
        <f>U91*战斗公式!$E$41*(1+V91*战斗公式!$E$40)</f>
        <v>587039.84767582186</v>
      </c>
      <c r="AE91" s="22">
        <f t="shared" si="36"/>
        <v>1121979.9088704151</v>
      </c>
      <c r="AF91" s="22">
        <f t="shared" si="43"/>
        <v>53427.614708115114</v>
      </c>
      <c r="AG91" s="22"/>
      <c r="AH91" s="9">
        <f t="shared" si="37"/>
        <v>4992.7739044828704</v>
      </c>
      <c r="AI91" s="9">
        <f t="shared" si="38"/>
        <v>70824.004077273159</v>
      </c>
      <c r="AJ91" s="9">
        <f t="shared" si="39"/>
        <v>36983.510403576765</v>
      </c>
      <c r="AK91" s="9">
        <f t="shared" si="44"/>
        <v>237.7511383087076</v>
      </c>
      <c r="AL91" s="9">
        <f t="shared" si="45"/>
        <v>1493.6481229356723</v>
      </c>
      <c r="AM91" s="9">
        <f t="shared" si="46"/>
        <v>1761.1195430274602</v>
      </c>
    </row>
    <row r="92" spans="4:39" ht="14.25" customHeight="1" x14ac:dyDescent="0.2">
      <c r="D92" s="1">
        <v>75</v>
      </c>
      <c r="E92" s="6">
        <f t="shared" si="40"/>
        <v>271.21240962623</v>
      </c>
      <c r="F92" s="6">
        <f t="shared" si="41"/>
        <v>2280.649808220568</v>
      </c>
      <c r="G92" s="6">
        <f t="shared" si="42"/>
        <v>209.57322562026837</v>
      </c>
      <c r="H92" s="6">
        <v>0.4</v>
      </c>
      <c r="I92" s="6">
        <v>1.5</v>
      </c>
      <c r="J92" s="6">
        <v>1</v>
      </c>
      <c r="K92" s="26">
        <f t="shared" si="35"/>
        <v>1.0375917851264167</v>
      </c>
      <c r="L92" s="6">
        <f t="shared" si="29"/>
        <v>23731.085842295124</v>
      </c>
      <c r="M92" s="6">
        <f t="shared" si="30"/>
        <v>260276.87489418054</v>
      </c>
      <c r="N92" s="6">
        <f t="shared" si="31"/>
        <v>31435.983843040256</v>
      </c>
      <c r="O92" s="6">
        <f t="shared" si="32"/>
        <v>0.4</v>
      </c>
      <c r="P92" s="6">
        <f t="shared" si="33"/>
        <v>1.5</v>
      </c>
      <c r="Q92" s="6">
        <f t="shared" si="34"/>
        <v>1</v>
      </c>
      <c r="R92" s="6"/>
      <c r="S92" s="38">
        <v>75</v>
      </c>
      <c r="T92" s="6">
        <f>VLOOKUP($S$13,角色设定!$AB$9:$AJ$21,MATCH(E$17,角色设定!$AB$9:$AJ$9,0),0)*Z92*$L$15*E92/Y92/(1+W92*(X92-1))</f>
        <v>18722.902141810766</v>
      </c>
      <c r="U92" s="6">
        <f>VLOOKUP($S$13,角色设定!$AB$9:$AJ$21,MATCH(F$17,角色设定!$AB$9:$AJ$9,0),0)*F92*$L$15/(1+V92/$N$16)</f>
        <v>258241.47695273883</v>
      </c>
      <c r="V92" s="6">
        <f>VLOOKUP($S$13,角色设定!$AB$9:$AJ$21,MATCH(V$17,角色设定!$AB$9:$AJ$9,0),0)*G92*$L$15</f>
        <v>138688.16401341287</v>
      </c>
      <c r="W92" s="6">
        <f>VLOOKUP($S$13,角色设定!$AB$9:$AJ$21,MATCH(W$17,角色设定!$AB$9:$AJ$9,0),0)*H92</f>
        <v>0.4</v>
      </c>
      <c r="X92" s="6">
        <f>VLOOKUP($S$13,角色设定!$AB$9:$AJ$21,MATCH(X$17,角色设定!$AB$9:$AJ$9,0),0)*I92</f>
        <v>1.5</v>
      </c>
      <c r="Y92" s="6">
        <f>VLOOKUP($S$13,角色设定!$AB$9:$AJ$21,MATCH(Y$17,角色设定!$AB$9:$AJ$9,0),0)*J92</f>
        <v>1</v>
      </c>
      <c r="Z92" s="6">
        <f>VLOOKUP($S$13,角色设定!$AB$9:$AJ$21,MATCH(Z$17,角色设定!$AB$9:$AJ$9,0),0)</f>
        <v>0.9</v>
      </c>
      <c r="AA92" s="6"/>
      <c r="AB92" s="6"/>
      <c r="AC92" s="6">
        <f>T92*战斗公式!$E$39*(1+W92*(X92-1))*Y92</f>
        <v>561687.0642543229</v>
      </c>
      <c r="AD92" s="6">
        <f>U92*战斗公式!$E$41*(1+V92*战斗公式!$E$40)</f>
        <v>616391.84005961299</v>
      </c>
      <c r="AE92" s="22">
        <f t="shared" si="36"/>
        <v>1178078.9043139359</v>
      </c>
      <c r="AF92" s="22">
        <f t="shared" si="43"/>
        <v>56098.995443520835</v>
      </c>
      <c r="AG92" s="22"/>
      <c r="AH92" s="9">
        <f t="shared" si="37"/>
        <v>5242.412599707015</v>
      </c>
      <c r="AI92" s="9">
        <f t="shared" si="38"/>
        <v>72307.613546766879</v>
      </c>
      <c r="AJ92" s="9">
        <f t="shared" si="39"/>
        <v>38832.685923755605</v>
      </c>
      <c r="AK92" s="9">
        <f t="shared" si="44"/>
        <v>249.63869522414461</v>
      </c>
      <c r="AL92" s="9">
        <f t="shared" si="45"/>
        <v>1483.6094694937201</v>
      </c>
      <c r="AM92" s="9">
        <f t="shared" si="46"/>
        <v>1849.1755201788401</v>
      </c>
    </row>
    <row r="93" spans="4:39" ht="14.25" customHeight="1" x14ac:dyDescent="0.2">
      <c r="D93" s="1">
        <v>76</v>
      </c>
      <c r="E93" s="6">
        <f t="shared" si="40"/>
        <v>284.7730301075415</v>
      </c>
      <c r="F93" s="6">
        <f t="shared" si="41"/>
        <v>2394.6822986315965</v>
      </c>
      <c r="G93" s="6">
        <f t="shared" si="42"/>
        <v>220.05188690128179</v>
      </c>
      <c r="H93" s="6">
        <v>0.4</v>
      </c>
      <c r="I93" s="6">
        <v>1.5</v>
      </c>
      <c r="J93" s="6">
        <v>1</v>
      </c>
      <c r="K93" s="26">
        <f t="shared" si="35"/>
        <v>1.0371310550172796</v>
      </c>
      <c r="L93" s="6">
        <f t="shared" si="29"/>
        <v>24917.640134409881</v>
      </c>
      <c r="M93" s="6">
        <f t="shared" si="30"/>
        <v>270061.14724857779</v>
      </c>
      <c r="N93" s="6">
        <f t="shared" si="31"/>
        <v>33007.783035192268</v>
      </c>
      <c r="O93" s="6">
        <f t="shared" si="32"/>
        <v>0.4</v>
      </c>
      <c r="P93" s="6">
        <f t="shared" si="33"/>
        <v>1.5</v>
      </c>
      <c r="Q93" s="6">
        <f t="shared" si="34"/>
        <v>1</v>
      </c>
      <c r="R93" s="6"/>
      <c r="S93" s="38">
        <v>76</v>
      </c>
      <c r="T93" s="6">
        <f>VLOOKUP($S$13,角色设定!$AB$9:$AJ$21,MATCH(E$17,角色设定!$AB$9:$AJ$9,0),0)*Z93*$L$15*E93/Y93/(1+W93*(X93-1))</f>
        <v>19659.047248901305</v>
      </c>
      <c r="U93" s="6">
        <f>VLOOKUP($S$13,角色设定!$AB$9:$AJ$21,MATCH(F$17,角色设定!$AB$9:$AJ$9,0),0)*F93*$L$15/(1+V93/$N$16)</f>
        <v>263498.35287063406</v>
      </c>
      <c r="V93" s="6">
        <f>VLOOKUP($S$13,角色设定!$AB$9:$AJ$21,MATCH(V$17,角色设定!$AB$9:$AJ$9,0),0)*G93*$L$15</f>
        <v>145622.57221408351</v>
      </c>
      <c r="W93" s="6">
        <f>VLOOKUP($S$13,角色设定!$AB$9:$AJ$21,MATCH(W$17,角色设定!$AB$9:$AJ$9,0),0)*H93</f>
        <v>0.4</v>
      </c>
      <c r="X93" s="6">
        <f>VLOOKUP($S$13,角色设定!$AB$9:$AJ$21,MATCH(X$17,角色设定!$AB$9:$AJ$9,0),0)*I93</f>
        <v>1.5</v>
      </c>
      <c r="Y93" s="6">
        <f>VLOOKUP($S$13,角色设定!$AB$9:$AJ$21,MATCH(Y$17,角色设定!$AB$9:$AJ$9,0),0)*J93</f>
        <v>1</v>
      </c>
      <c r="Z93" s="6">
        <f>VLOOKUP($S$13,角色设定!$AB$9:$AJ$21,MATCH(Z$17,角色设定!$AB$9:$AJ$9,0),0)</f>
        <v>0.9</v>
      </c>
      <c r="AA93" s="6"/>
      <c r="AB93" s="6"/>
      <c r="AC93" s="6">
        <f>T93*战斗公式!$E$39*(1+W93*(X93-1))*Y93</f>
        <v>589771.41746703919</v>
      </c>
      <c r="AD93" s="6">
        <f>U93*战斗公式!$E$41*(1+V93*战斗公式!$E$40)</f>
        <v>647211.43206259375</v>
      </c>
      <c r="AE93" s="22">
        <f t="shared" si="36"/>
        <v>1236982.8495296328</v>
      </c>
      <c r="AF93" s="22">
        <f t="shared" si="43"/>
        <v>58903.945215696935</v>
      </c>
      <c r="AG93" s="22"/>
      <c r="AH93" s="9">
        <f t="shared" si="37"/>
        <v>5504.5332296923661</v>
      </c>
      <c r="AI93" s="9">
        <f t="shared" si="38"/>
        <v>73779.538803777541</v>
      </c>
      <c r="AJ93" s="9">
        <f t="shared" si="39"/>
        <v>40774.320219943387</v>
      </c>
      <c r="AK93" s="9">
        <f t="shared" si="44"/>
        <v>262.12062998535112</v>
      </c>
      <c r="AL93" s="9">
        <f t="shared" si="45"/>
        <v>1471.9252570106619</v>
      </c>
      <c r="AM93" s="9">
        <f t="shared" si="46"/>
        <v>1941.6342961877817</v>
      </c>
    </row>
    <row r="94" spans="4:39" ht="14.25" customHeight="1" x14ac:dyDescent="0.2">
      <c r="D94" s="1">
        <v>77</v>
      </c>
      <c r="E94" s="6">
        <f t="shared" si="40"/>
        <v>299.01168161291861</v>
      </c>
      <c r="F94" s="6">
        <f t="shared" si="41"/>
        <v>2514.4164135631763</v>
      </c>
      <c r="G94" s="6">
        <f t="shared" si="42"/>
        <v>231.05448124634589</v>
      </c>
      <c r="H94" s="6">
        <v>0.4</v>
      </c>
      <c r="I94" s="6">
        <v>1.5</v>
      </c>
      <c r="J94" s="6">
        <v>1</v>
      </c>
      <c r="K94" s="26">
        <f t="shared" si="35"/>
        <v>1.0366592886485553</v>
      </c>
      <c r="L94" s="6">
        <f t="shared" si="29"/>
        <v>26163.522141130379</v>
      </c>
      <c r="M94" s="6">
        <f t="shared" si="30"/>
        <v>280088.80256509437</v>
      </c>
      <c r="N94" s="6">
        <f t="shared" si="31"/>
        <v>34658.172186951881</v>
      </c>
      <c r="O94" s="6">
        <f t="shared" si="32"/>
        <v>0.4</v>
      </c>
      <c r="P94" s="6">
        <f t="shared" si="33"/>
        <v>1.5</v>
      </c>
      <c r="Q94" s="6">
        <f t="shared" si="34"/>
        <v>1</v>
      </c>
      <c r="R94" s="6"/>
      <c r="S94" s="38">
        <v>77</v>
      </c>
      <c r="T94" s="6">
        <f>VLOOKUP($S$13,角色设定!$AB$9:$AJ$21,MATCH(E$17,角色设定!$AB$9:$AJ$9,0),0)*Z94*$L$15*E94/Y94/(1+W94*(X94-1))</f>
        <v>20641.999611346371</v>
      </c>
      <c r="U94" s="6">
        <f>VLOOKUP($S$13,角色设定!$AB$9:$AJ$21,MATCH(F$17,角色设定!$AB$9:$AJ$9,0),0)*F94*$L$15/(1+V94/$N$16)</f>
        <v>268707.81307250721</v>
      </c>
      <c r="V94" s="6">
        <f>VLOOKUP($S$13,角色设定!$AB$9:$AJ$21,MATCH(V$17,角色设定!$AB$9:$AJ$9,0),0)*G94*$L$15</f>
        <v>152903.70082478769</v>
      </c>
      <c r="W94" s="6">
        <f>VLOOKUP($S$13,角色设定!$AB$9:$AJ$21,MATCH(W$17,角色设定!$AB$9:$AJ$9,0),0)*H94</f>
        <v>0.4</v>
      </c>
      <c r="X94" s="6">
        <f>VLOOKUP($S$13,角色设定!$AB$9:$AJ$21,MATCH(X$17,角色设定!$AB$9:$AJ$9,0),0)*I94</f>
        <v>1.5</v>
      </c>
      <c r="Y94" s="6">
        <f>VLOOKUP($S$13,角色设定!$AB$9:$AJ$21,MATCH(Y$17,角色设定!$AB$9:$AJ$9,0),0)*J94</f>
        <v>1</v>
      </c>
      <c r="Z94" s="6">
        <f>VLOOKUP($S$13,角色设定!$AB$9:$AJ$21,MATCH(Z$17,角色设定!$AB$9:$AJ$9,0),0)</f>
        <v>0.9</v>
      </c>
      <c r="AA94" s="6"/>
      <c r="AB94" s="6"/>
      <c r="AC94" s="6">
        <f>T94*战斗公式!$E$39*(1+W94*(X94-1))*Y94</f>
        <v>619259.9883403912</v>
      </c>
      <c r="AD94" s="6">
        <f>U94*战斗公式!$E$41*(1+V94*战斗公式!$E$40)</f>
        <v>679572.00366572337</v>
      </c>
      <c r="AE94" s="22">
        <f t="shared" si="36"/>
        <v>1298831.9920061147</v>
      </c>
      <c r="AF94" s="22">
        <f t="shared" si="43"/>
        <v>61849.142476481851</v>
      </c>
      <c r="AG94" s="22"/>
      <c r="AH94" s="9">
        <f t="shared" si="37"/>
        <v>5779.7598911769846</v>
      </c>
      <c r="AI94" s="9">
        <f t="shared" si="38"/>
        <v>75238.187660302021</v>
      </c>
      <c r="AJ94" s="9">
        <f t="shared" si="39"/>
        <v>42813.036230940561</v>
      </c>
      <c r="AK94" s="9">
        <f t="shared" si="44"/>
        <v>275.22666148461849</v>
      </c>
      <c r="AL94" s="9">
        <f t="shared" si="45"/>
        <v>1458.6488565244799</v>
      </c>
      <c r="AM94" s="9">
        <f t="shared" si="46"/>
        <v>2038.7160109971737</v>
      </c>
    </row>
    <row r="95" spans="4:39" ht="14.25" customHeight="1" x14ac:dyDescent="0.2">
      <c r="D95" s="1">
        <v>78</v>
      </c>
      <c r="E95" s="6">
        <f t="shared" si="40"/>
        <v>313.96226569356458</v>
      </c>
      <c r="F95" s="6">
        <f t="shared" si="41"/>
        <v>2640.1372342413351</v>
      </c>
      <c r="G95" s="6">
        <f t="shared" si="42"/>
        <v>242.6072053086632</v>
      </c>
      <c r="H95" s="6">
        <v>0.4</v>
      </c>
      <c r="I95" s="6">
        <v>1.5</v>
      </c>
      <c r="J95" s="6">
        <v>1</v>
      </c>
      <c r="K95" s="26">
        <f t="shared" si="35"/>
        <v>1.0361766661872933</v>
      </c>
      <c r="L95" s="6">
        <f t="shared" si="29"/>
        <v>27471.698248186902</v>
      </c>
      <c r="M95" s="6">
        <f t="shared" si="30"/>
        <v>290356.6588255564</v>
      </c>
      <c r="N95" s="6">
        <f t="shared" si="31"/>
        <v>36391.08079629948</v>
      </c>
      <c r="O95" s="6">
        <f t="shared" ref="O95:O117" si="47">H95</f>
        <v>0.4</v>
      </c>
      <c r="P95" s="6">
        <f t="shared" ref="P95:P117" si="48">I95</f>
        <v>1.5</v>
      </c>
      <c r="Q95" s="6">
        <f t="shared" ref="Q95:Q117" si="49">J95</f>
        <v>1</v>
      </c>
      <c r="R95" s="6"/>
      <c r="S95" s="38">
        <v>78</v>
      </c>
      <c r="T95" s="6">
        <f>VLOOKUP($S$13,角色设定!$AB$9:$AJ$21,MATCH(E$17,角色设定!$AB$9:$AJ$9,0),0)*Z95*$L$15*E95/Y95/(1+W95*(X95-1))</f>
        <v>21674.099591913691</v>
      </c>
      <c r="U95" s="6">
        <f>VLOOKUP($S$13,角色设定!$AB$9:$AJ$21,MATCH(F$17,角色设定!$AB$9:$AJ$9,0),0)*F95*$L$15/(1+V95/$N$16)</f>
        <v>273864.38497991255</v>
      </c>
      <c r="V95" s="6">
        <f>VLOOKUP($S$13,角色设定!$AB$9:$AJ$21,MATCH(V$17,角色设定!$AB$9:$AJ$9,0),0)*G95*$L$15</f>
        <v>160548.88586602709</v>
      </c>
      <c r="W95" s="6">
        <f>VLOOKUP($S$13,角色设定!$AB$9:$AJ$21,MATCH(W$17,角色设定!$AB$9:$AJ$9,0),0)*H95</f>
        <v>0.4</v>
      </c>
      <c r="X95" s="6">
        <f>VLOOKUP($S$13,角色设定!$AB$9:$AJ$21,MATCH(X$17,角色设定!$AB$9:$AJ$9,0),0)*I95</f>
        <v>1.5</v>
      </c>
      <c r="Y95" s="6">
        <f>VLOOKUP($S$13,角色设定!$AB$9:$AJ$21,MATCH(Y$17,角色设定!$AB$9:$AJ$9,0),0)*J95</f>
        <v>1</v>
      </c>
      <c r="Z95" s="6">
        <f>VLOOKUP($S$13,角色设定!$AB$9:$AJ$21,MATCH(Z$17,角色设定!$AB$9:$AJ$9,0),0)</f>
        <v>0.9</v>
      </c>
      <c r="AA95" s="6"/>
      <c r="AB95" s="6"/>
      <c r="AC95" s="6">
        <f>T95*战斗公式!$E$39*(1+W95*(X95-1))*Y95</f>
        <v>650222.98775741062</v>
      </c>
      <c r="AD95" s="6">
        <f>U95*战斗公式!$E$41*(1+V95*战斗公式!$E$40)</f>
        <v>713550.60384900949</v>
      </c>
      <c r="AE95" s="22">
        <f t="shared" si="36"/>
        <v>1363773.59160642</v>
      </c>
      <c r="AF95" s="22">
        <f t="shared" si="43"/>
        <v>64941.599600305315</v>
      </c>
      <c r="AG95" s="22"/>
      <c r="AH95" s="9">
        <f t="shared" si="37"/>
        <v>6068.7478857358337</v>
      </c>
      <c r="AI95" s="9">
        <f t="shared" si="38"/>
        <v>76682.027794375521</v>
      </c>
      <c r="AJ95" s="9">
        <f t="shared" si="39"/>
        <v>44953.688042487593</v>
      </c>
      <c r="AK95" s="9">
        <f t="shared" si="44"/>
        <v>288.9879945588491</v>
      </c>
      <c r="AL95" s="9">
        <f t="shared" si="45"/>
        <v>1443.8401340734999</v>
      </c>
      <c r="AM95" s="9">
        <f t="shared" si="46"/>
        <v>2140.6518115470317</v>
      </c>
    </row>
    <row r="96" spans="4:39" ht="14.25" customHeight="1" x14ac:dyDescent="0.2">
      <c r="D96" s="1">
        <v>79</v>
      </c>
      <c r="E96" s="6">
        <f t="shared" si="40"/>
        <v>329.66037897824282</v>
      </c>
      <c r="F96" s="6">
        <f t="shared" si="41"/>
        <v>2772.144095953402</v>
      </c>
      <c r="G96" s="6">
        <f t="shared" si="42"/>
        <v>254.73756557409638</v>
      </c>
      <c r="H96" s="6">
        <v>0.4</v>
      </c>
      <c r="I96" s="6">
        <v>1.5</v>
      </c>
      <c r="J96" s="6">
        <v>1</v>
      </c>
      <c r="K96" s="26">
        <f t="shared" si="35"/>
        <v>1.0356834026015587</v>
      </c>
      <c r="L96" s="6">
        <f t="shared" si="29"/>
        <v>28845.283160596246</v>
      </c>
      <c r="M96" s="6">
        <f t="shared" si="30"/>
        <v>300860.79474714637</v>
      </c>
      <c r="N96" s="6">
        <f t="shared" si="31"/>
        <v>38210.634836114456</v>
      </c>
      <c r="O96" s="6">
        <f t="shared" si="47"/>
        <v>0.4</v>
      </c>
      <c r="P96" s="6">
        <f t="shared" si="48"/>
        <v>1.5</v>
      </c>
      <c r="Q96" s="6">
        <f t="shared" si="49"/>
        <v>1</v>
      </c>
      <c r="R96" s="6"/>
      <c r="S96" s="38">
        <v>79</v>
      </c>
      <c r="T96" s="6">
        <f>VLOOKUP($S$13,角色设定!$AB$9:$AJ$21,MATCH(E$17,角色设定!$AB$9:$AJ$9,0),0)*Z96*$L$15*E96/Y96/(1+W96*(X96-1))</f>
        <v>22757.804571509379</v>
      </c>
      <c r="U96" s="6">
        <f>VLOOKUP($S$13,角色设定!$AB$9:$AJ$21,MATCH(F$17,角色设定!$AB$9:$AJ$9,0),0)*F96*$L$15/(1+V96/$N$16)</f>
        <v>278962.8310123207</v>
      </c>
      <c r="V96" s="6">
        <f>VLOOKUP($S$13,角色设定!$AB$9:$AJ$21,MATCH(V$17,角色设定!$AB$9:$AJ$9,0),0)*G96*$L$15</f>
        <v>168576.33015932847</v>
      </c>
      <c r="W96" s="6">
        <f>VLOOKUP($S$13,角色设定!$AB$9:$AJ$21,MATCH(W$17,角色设定!$AB$9:$AJ$9,0),0)*H96</f>
        <v>0.4</v>
      </c>
      <c r="X96" s="6">
        <f>VLOOKUP($S$13,角色设定!$AB$9:$AJ$21,MATCH(X$17,角色设定!$AB$9:$AJ$9,0),0)*I96</f>
        <v>1.5</v>
      </c>
      <c r="Y96" s="6">
        <f>VLOOKUP($S$13,角色设定!$AB$9:$AJ$21,MATCH(Y$17,角色设定!$AB$9:$AJ$9,0),0)*J96</f>
        <v>1</v>
      </c>
      <c r="Z96" s="6">
        <f>VLOOKUP($S$13,角色设定!$AB$9:$AJ$21,MATCH(Z$17,角色设定!$AB$9:$AJ$9,0),0)</f>
        <v>0.9</v>
      </c>
      <c r="AA96" s="6"/>
      <c r="AB96" s="6"/>
      <c r="AC96" s="6">
        <f>T96*战斗公式!$E$39*(1+W96*(X96-1))*Y96</f>
        <v>682734.13714528142</v>
      </c>
      <c r="AD96" s="6">
        <f>U96*战斗公式!$E$41*(1+V96*战斗公式!$E$40)</f>
        <v>749228.13404146011</v>
      </c>
      <c r="AE96" s="22">
        <f t="shared" si="36"/>
        <v>1431962.2711867415</v>
      </c>
      <c r="AF96" s="22">
        <f t="shared" si="43"/>
        <v>68188.679580321535</v>
      </c>
      <c r="AG96" s="22"/>
      <c r="AH96" s="9">
        <f t="shared" si="37"/>
        <v>6372.185280022627</v>
      </c>
      <c r="AI96" s="9">
        <f t="shared" si="38"/>
        <v>78109.59268344981</v>
      </c>
      <c r="AJ96" s="9">
        <f t="shared" si="39"/>
        <v>47201.372444611974</v>
      </c>
      <c r="AK96" s="9">
        <f t="shared" si="44"/>
        <v>303.43739428679328</v>
      </c>
      <c r="AL96" s="9">
        <f t="shared" si="45"/>
        <v>1427.5648890742887</v>
      </c>
      <c r="AM96" s="9">
        <f t="shared" si="46"/>
        <v>2247.6844021243814</v>
      </c>
    </row>
    <row r="97" spans="4:39" ht="14.25" customHeight="1" x14ac:dyDescent="0.2">
      <c r="D97" s="1">
        <v>80</v>
      </c>
      <c r="E97" s="6">
        <f t="shared" si="40"/>
        <v>346.14339792715498</v>
      </c>
      <c r="F97" s="6">
        <f t="shared" si="41"/>
        <v>2910.7513007510724</v>
      </c>
      <c r="G97" s="6">
        <f t="shared" si="42"/>
        <v>267.47444385280119</v>
      </c>
      <c r="H97" s="6">
        <v>0.4</v>
      </c>
      <c r="I97" s="6">
        <v>1.5</v>
      </c>
      <c r="J97" s="6">
        <v>1</v>
      </c>
      <c r="K97" s="26">
        <f t="shared" si="35"/>
        <v>1.0351797483084484</v>
      </c>
      <c r="L97" s="6">
        <f t="shared" si="29"/>
        <v>30287.547318626061</v>
      </c>
      <c r="M97" s="6">
        <f t="shared" si="30"/>
        <v>311596.53161313373</v>
      </c>
      <c r="N97" s="6">
        <f t="shared" si="31"/>
        <v>40121.166577920179</v>
      </c>
      <c r="O97" s="6">
        <f t="shared" si="47"/>
        <v>0.4</v>
      </c>
      <c r="P97" s="6">
        <f t="shared" si="48"/>
        <v>1.5</v>
      </c>
      <c r="Q97" s="6">
        <f t="shared" si="49"/>
        <v>1</v>
      </c>
      <c r="R97" s="6"/>
      <c r="S97" s="38">
        <v>80</v>
      </c>
      <c r="T97" s="6">
        <f>VLOOKUP($S$13,角色设定!$AB$9:$AJ$21,MATCH(E$17,角色设定!$AB$9:$AJ$9,0),0)*Z97*$L$15*E97/Y97/(1+W97*(X97-1))</f>
        <v>23895.69480008485</v>
      </c>
      <c r="U97" s="6">
        <f>VLOOKUP($S$13,角色设定!$AB$9:$AJ$21,MATCH(F$17,角色设定!$AB$9:$AJ$9,0),0)*F97*$L$15/(1+V97/$N$16)</f>
        <v>283998.16761831124</v>
      </c>
      <c r="V97" s="6">
        <f>VLOOKUP($S$13,角色设定!$AB$9:$AJ$21,MATCH(V$17,角色设定!$AB$9:$AJ$9,0),0)*G97*$L$15</f>
        <v>177005.1466672949</v>
      </c>
      <c r="W97" s="6">
        <f>VLOOKUP($S$13,角色设定!$AB$9:$AJ$21,MATCH(W$17,角色设定!$AB$9:$AJ$9,0),0)*H97</f>
        <v>0.4</v>
      </c>
      <c r="X97" s="6">
        <f>VLOOKUP($S$13,角色设定!$AB$9:$AJ$21,MATCH(X$17,角色设定!$AB$9:$AJ$9,0),0)*I97</f>
        <v>1.5</v>
      </c>
      <c r="Y97" s="6">
        <f>VLOOKUP($S$13,角色设定!$AB$9:$AJ$21,MATCH(Y$17,角色设定!$AB$9:$AJ$9,0),0)*J97</f>
        <v>1</v>
      </c>
      <c r="Z97" s="6">
        <f>VLOOKUP($S$13,角色设定!$AB$9:$AJ$21,MATCH(Z$17,角色设定!$AB$9:$AJ$9,0),0)</f>
        <v>0.9</v>
      </c>
      <c r="AA97" s="6"/>
      <c r="AB97" s="6"/>
      <c r="AC97" s="6">
        <f>T97*战斗公式!$E$39*(1+W97*(X97-1))*Y97</f>
        <v>716870.84400254546</v>
      </c>
      <c r="AD97" s="6">
        <f>U97*战斗公式!$E$41*(1+V97*战斗公式!$E$40)</f>
        <v>786689.54074353317</v>
      </c>
      <c r="AE97" s="22">
        <f t="shared" si="36"/>
        <v>1503560.3847460786</v>
      </c>
      <c r="AF97" s="22">
        <f t="shared" si="43"/>
        <v>71598.1135593371</v>
      </c>
      <c r="AG97" s="22"/>
      <c r="AH97" s="9">
        <f t="shared" si="37"/>
        <v>6690.7945440237581</v>
      </c>
      <c r="AI97" s="9">
        <f t="shared" si="38"/>
        <v>79519.486933127162</v>
      </c>
      <c r="AJ97" s="9">
        <f t="shared" si="39"/>
        <v>49561.441066842577</v>
      </c>
      <c r="AK97" s="9">
        <f t="shared" si="44"/>
        <v>318.60926400113112</v>
      </c>
      <c r="AL97" s="9">
        <f t="shared" si="45"/>
        <v>1409.8942496773525</v>
      </c>
      <c r="AM97" s="9">
        <f t="shared" si="46"/>
        <v>2360.0686222306031</v>
      </c>
    </row>
    <row r="98" spans="4:39" ht="14.25" customHeight="1" x14ac:dyDescent="0.2">
      <c r="D98" s="1">
        <v>81</v>
      </c>
      <c r="E98" s="6">
        <f t="shared" si="40"/>
        <v>363.45056782351276</v>
      </c>
      <c r="F98" s="6">
        <f t="shared" si="41"/>
        <v>3056.288865788626</v>
      </c>
      <c r="G98" s="6">
        <f t="shared" si="42"/>
        <v>280.84816604544125</v>
      </c>
      <c r="H98" s="6">
        <v>0.4</v>
      </c>
      <c r="I98" s="6">
        <v>1.5</v>
      </c>
      <c r="J98" s="6">
        <v>1</v>
      </c>
      <c r="K98" s="26">
        <f t="shared" si="35"/>
        <v>1.0346659896171846</v>
      </c>
      <c r="L98" s="6">
        <f t="shared" si="29"/>
        <v>31801.924684557365</v>
      </c>
      <c r="M98" s="6">
        <f t="shared" si="30"/>
        <v>322558.41916906927</v>
      </c>
      <c r="N98" s="6">
        <f t="shared" si="31"/>
        <v>42127.224906816184</v>
      </c>
      <c r="O98" s="6">
        <f t="shared" si="47"/>
        <v>0.4</v>
      </c>
      <c r="P98" s="6">
        <f t="shared" si="48"/>
        <v>1.5</v>
      </c>
      <c r="Q98" s="6">
        <f t="shared" si="49"/>
        <v>1</v>
      </c>
      <c r="R98" s="6"/>
      <c r="S98" s="38">
        <v>81</v>
      </c>
      <c r="T98" s="6">
        <f>VLOOKUP($S$13,角色设定!$AB$9:$AJ$21,MATCH(E$17,角色设定!$AB$9:$AJ$9,0),0)*Z98*$L$15*E98/Y98/(1+W98*(X98-1))</f>
        <v>25090.479540089091</v>
      </c>
      <c r="U98" s="6">
        <f>VLOOKUP($S$13,角色设定!$AB$9:$AJ$21,MATCH(F$17,角色设定!$AB$9:$AJ$9,0),0)*F98*$L$15/(1+V98/$N$16)</f>
        <v>288965.68202670879</v>
      </c>
      <c r="V98" s="6">
        <f>VLOOKUP($S$13,角色设定!$AB$9:$AJ$21,MATCH(V$17,角色设定!$AB$9:$AJ$9,0),0)*G98*$L$15</f>
        <v>185855.40400065962</v>
      </c>
      <c r="W98" s="6">
        <f>VLOOKUP($S$13,角色设定!$AB$9:$AJ$21,MATCH(W$17,角色设定!$AB$9:$AJ$9,0),0)*H98</f>
        <v>0.4</v>
      </c>
      <c r="X98" s="6">
        <f>VLOOKUP($S$13,角色设定!$AB$9:$AJ$21,MATCH(X$17,角色设定!$AB$9:$AJ$9,0),0)*I98</f>
        <v>1.5</v>
      </c>
      <c r="Y98" s="6">
        <f>VLOOKUP($S$13,角色设定!$AB$9:$AJ$21,MATCH(Y$17,角色设定!$AB$9:$AJ$9,0),0)*J98</f>
        <v>1</v>
      </c>
      <c r="Z98" s="6">
        <f>VLOOKUP($S$13,角色设定!$AB$9:$AJ$21,MATCH(Z$17,角色设定!$AB$9:$AJ$9,0),0)</f>
        <v>0.9</v>
      </c>
      <c r="AA98" s="6"/>
      <c r="AB98" s="6"/>
      <c r="AC98" s="6">
        <f>T98*战斗公式!$E$39*(1+W98*(X98-1))*Y98</f>
        <v>752714.38620267261</v>
      </c>
      <c r="AD98" s="6">
        <f>U98*战斗公式!$E$41*(1+V98*战斗公式!$E$40)</f>
        <v>826024.0177807099</v>
      </c>
      <c r="AE98" s="22">
        <f t="shared" si="36"/>
        <v>1578738.4039833825</v>
      </c>
      <c r="AF98" s="22">
        <f t="shared" si="43"/>
        <v>75178.019237303874</v>
      </c>
      <c r="AG98" s="22"/>
      <c r="AH98" s="9">
        <f t="shared" si="37"/>
        <v>7025.334271224946</v>
      </c>
      <c r="AI98" s="9">
        <f t="shared" si="38"/>
        <v>80910.390967478466</v>
      </c>
      <c r="AJ98" s="9">
        <f t="shared" si="39"/>
        <v>52039.513120184696</v>
      </c>
      <c r="AK98" s="9">
        <f t="shared" si="44"/>
        <v>334.53972720118782</v>
      </c>
      <c r="AL98" s="9">
        <f t="shared" si="45"/>
        <v>1390.9040343513043</v>
      </c>
      <c r="AM98" s="9">
        <f t="shared" si="46"/>
        <v>2478.072053342119</v>
      </c>
    </row>
    <row r="99" spans="4:39" ht="14.25" customHeight="1" x14ac:dyDescent="0.2">
      <c r="D99" s="1">
        <v>82</v>
      </c>
      <c r="E99" s="6">
        <f t="shared" si="40"/>
        <v>381.62309621468842</v>
      </c>
      <c r="F99" s="6">
        <f t="shared" si="41"/>
        <v>3209.1033090780575</v>
      </c>
      <c r="G99" s="6">
        <f t="shared" si="42"/>
        <v>294.89057434771331</v>
      </c>
      <c r="H99" s="6">
        <v>0.4</v>
      </c>
      <c r="I99" s="6">
        <v>1.5</v>
      </c>
      <c r="J99" s="6">
        <v>1</v>
      </c>
      <c r="K99" s="26">
        <f t="shared" si="35"/>
        <v>1.0341424489504836</v>
      </c>
      <c r="L99" s="6">
        <f t="shared" si="29"/>
        <v>33392.020918785238</v>
      </c>
      <c r="M99" s="6">
        <f t="shared" si="30"/>
        <v>333740.22597891971</v>
      </c>
      <c r="N99" s="6">
        <f t="shared" si="31"/>
        <v>44233.586152156997</v>
      </c>
      <c r="O99" s="6">
        <f t="shared" si="47"/>
        <v>0.4</v>
      </c>
      <c r="P99" s="6">
        <f t="shared" si="48"/>
        <v>1.5</v>
      </c>
      <c r="Q99" s="6">
        <f t="shared" si="49"/>
        <v>1</v>
      </c>
      <c r="R99" s="6"/>
      <c r="S99" s="38">
        <v>82</v>
      </c>
      <c r="T99" s="6">
        <f>VLOOKUP($S$13,角色设定!$AB$9:$AJ$21,MATCH(E$17,角色设定!$AB$9:$AJ$9,0),0)*Z99*$L$15*E99/Y99/(1+W99*(X99-1))</f>
        <v>26345.003517093552</v>
      </c>
      <c r="U99" s="6">
        <f>VLOOKUP($S$13,角色设定!$AB$9:$AJ$21,MATCH(F$17,角色设定!$AB$9:$AJ$9,0),0)*F99*$L$15/(1+V99/$N$16)</f>
        <v>293860.94663082284</v>
      </c>
      <c r="V99" s="6">
        <f>VLOOKUP($S$13,角色设定!$AB$9:$AJ$21,MATCH(V$17,角色设定!$AB$9:$AJ$9,0),0)*G99*$L$15</f>
        <v>195148.17420069259</v>
      </c>
      <c r="W99" s="6">
        <f>VLOOKUP($S$13,角色设定!$AB$9:$AJ$21,MATCH(W$17,角色设定!$AB$9:$AJ$9,0),0)*H99</f>
        <v>0.4</v>
      </c>
      <c r="X99" s="6">
        <f>VLOOKUP($S$13,角色设定!$AB$9:$AJ$21,MATCH(X$17,角色设定!$AB$9:$AJ$9,0),0)*I99</f>
        <v>1.5</v>
      </c>
      <c r="Y99" s="6">
        <f>VLOOKUP($S$13,角色设定!$AB$9:$AJ$21,MATCH(Y$17,角色设定!$AB$9:$AJ$9,0),0)*J99</f>
        <v>1</v>
      </c>
      <c r="Z99" s="6">
        <f>VLOOKUP($S$13,角色设定!$AB$9:$AJ$21,MATCH(Z$17,角色设定!$AB$9:$AJ$9,0),0)</f>
        <v>0.9</v>
      </c>
      <c r="AA99" s="6"/>
      <c r="AB99" s="6"/>
      <c r="AC99" s="6">
        <f>T99*战斗公式!$E$39*(1+W99*(X99-1))*Y99</f>
        <v>790350.10551280656</v>
      </c>
      <c r="AD99" s="6">
        <f>U99*战斗公式!$E$41*(1+V99*战斗公式!$E$40)</f>
        <v>867325.21866974537</v>
      </c>
      <c r="AE99" s="22">
        <f t="shared" si="36"/>
        <v>1657675.3241825518</v>
      </c>
      <c r="AF99" s="22">
        <f t="shared" si="43"/>
        <v>78936.920199169312</v>
      </c>
      <c r="AG99" s="22"/>
      <c r="AH99" s="9">
        <f t="shared" si="37"/>
        <v>7376.6009847861951</v>
      </c>
      <c r="AI99" s="9">
        <f t="shared" si="38"/>
        <v>82281.06505663041</v>
      </c>
      <c r="AJ99" s="9">
        <f t="shared" si="39"/>
        <v>54641.488776193932</v>
      </c>
      <c r="AK99" s="9">
        <f t="shared" si="44"/>
        <v>351.26671356124916</v>
      </c>
      <c r="AL99" s="9">
        <f t="shared" si="45"/>
        <v>1370.6740891519439</v>
      </c>
      <c r="AM99" s="9">
        <f t="shared" si="46"/>
        <v>2601.9756560092355</v>
      </c>
    </row>
    <row r="100" spans="4:39" ht="14.25" customHeight="1" x14ac:dyDescent="0.2">
      <c r="D100" s="1">
        <v>83</v>
      </c>
      <c r="E100" s="6">
        <f t="shared" si="40"/>
        <v>400.70425102542288</v>
      </c>
      <c r="F100" s="6">
        <f t="shared" si="41"/>
        <v>3369.5584745319607</v>
      </c>
      <c r="G100" s="6">
        <f t="shared" si="42"/>
        <v>309.63510306509897</v>
      </c>
      <c r="H100" s="6">
        <v>0.4</v>
      </c>
      <c r="I100" s="6">
        <v>1.5</v>
      </c>
      <c r="J100" s="6">
        <v>1</v>
      </c>
      <c r="K100" s="26">
        <f t="shared" si="35"/>
        <v>1.0336094848290585</v>
      </c>
      <c r="L100" s="6">
        <f t="shared" si="29"/>
        <v>35061.621964724502</v>
      </c>
      <c r="M100" s="6">
        <f t="shared" si="30"/>
        <v>345134.9346071278</v>
      </c>
      <c r="N100" s="6">
        <f t="shared" si="31"/>
        <v>46445.265459764843</v>
      </c>
      <c r="O100" s="6">
        <f t="shared" si="47"/>
        <v>0.4</v>
      </c>
      <c r="P100" s="6">
        <f t="shared" si="48"/>
        <v>1.5</v>
      </c>
      <c r="Q100" s="6">
        <f t="shared" si="49"/>
        <v>1</v>
      </c>
      <c r="R100" s="6"/>
      <c r="S100" s="38">
        <v>83</v>
      </c>
      <c r="T100" s="6">
        <f>VLOOKUP($S$13,角色设定!$AB$9:$AJ$21,MATCH(E$17,角色设定!$AB$9:$AJ$9,0),0)*Z100*$L$15*E100/Y100/(1+W100*(X100-1))</f>
        <v>27662.25369294823</v>
      </c>
      <c r="U100" s="6">
        <f>VLOOKUP($S$13,角色设定!$AB$9:$AJ$21,MATCH(F$17,角色设定!$AB$9:$AJ$9,0),0)*F100*$L$15/(1+V100/$N$16)</f>
        <v>298679.83095274196</v>
      </c>
      <c r="V100" s="6">
        <f>VLOOKUP($S$13,角色设定!$AB$9:$AJ$21,MATCH(V$17,角色设定!$AB$9:$AJ$9,0),0)*G100*$L$15</f>
        <v>204905.58291072724</v>
      </c>
      <c r="W100" s="6">
        <f>VLOOKUP($S$13,角色设定!$AB$9:$AJ$21,MATCH(W$17,角色设定!$AB$9:$AJ$9,0),0)*H100</f>
        <v>0.4</v>
      </c>
      <c r="X100" s="6">
        <f>VLOOKUP($S$13,角色设定!$AB$9:$AJ$21,MATCH(X$17,角色设定!$AB$9:$AJ$9,0),0)*I100</f>
        <v>1.5</v>
      </c>
      <c r="Y100" s="6">
        <f>VLOOKUP($S$13,角色设定!$AB$9:$AJ$21,MATCH(Y$17,角色设定!$AB$9:$AJ$9,0),0)*J100</f>
        <v>1</v>
      </c>
      <c r="Z100" s="6">
        <f>VLOOKUP($S$13,角色设定!$AB$9:$AJ$21,MATCH(Z$17,角色设定!$AB$9:$AJ$9,0),0)</f>
        <v>0.9</v>
      </c>
      <c r="AA100" s="6"/>
      <c r="AB100" s="6"/>
      <c r="AC100" s="6">
        <f>T100*战斗公式!$E$39*(1+W100*(X100-1))*Y100</f>
        <v>829867.61078844697</v>
      </c>
      <c r="AD100" s="6">
        <f>U100*战斗公式!$E$41*(1+V100*战斗公式!$E$40)</f>
        <v>910691.4796032327</v>
      </c>
      <c r="AE100" s="22">
        <f t="shared" si="36"/>
        <v>1740559.0903916797</v>
      </c>
      <c r="AF100" s="22">
        <f t="shared" si="43"/>
        <v>82883.766209127847</v>
      </c>
      <c r="AG100" s="22"/>
      <c r="AH100" s="9">
        <f t="shared" si="37"/>
        <v>7745.4310340255051</v>
      </c>
      <c r="AI100" s="9">
        <f t="shared" si="38"/>
        <v>83630.352666767751</v>
      </c>
      <c r="AJ100" s="9">
        <f t="shared" si="39"/>
        <v>57373.563215003633</v>
      </c>
      <c r="AK100" s="9">
        <f t="shared" si="44"/>
        <v>368.83004923931003</v>
      </c>
      <c r="AL100" s="9">
        <f t="shared" si="45"/>
        <v>1349.2876101373404</v>
      </c>
      <c r="AM100" s="9">
        <f t="shared" si="46"/>
        <v>2732.074438809701</v>
      </c>
    </row>
    <row r="101" spans="4:39" ht="14.25" customHeight="1" x14ac:dyDescent="0.2">
      <c r="D101" s="1">
        <v>84</v>
      </c>
      <c r="E101" s="6">
        <f t="shared" si="40"/>
        <v>420.73946357669405</v>
      </c>
      <c r="F101" s="6">
        <f t="shared" si="41"/>
        <v>3538.0363982585586</v>
      </c>
      <c r="G101" s="6">
        <f t="shared" si="42"/>
        <v>325.11685821835391</v>
      </c>
      <c r="H101" s="6">
        <v>0.4</v>
      </c>
      <c r="I101" s="6">
        <v>1.5</v>
      </c>
      <c r="J101" s="6">
        <v>1</v>
      </c>
      <c r="K101" s="26">
        <f t="shared" si="35"/>
        <v>1.0330674916062219</v>
      </c>
      <c r="L101" s="6">
        <f t="shared" si="29"/>
        <v>36814.703062960725</v>
      </c>
      <c r="M101" s="6">
        <f t="shared" si="30"/>
        <v>356734.74195578415</v>
      </c>
      <c r="N101" s="6">
        <f t="shared" si="31"/>
        <v>48767.52873275309</v>
      </c>
      <c r="O101" s="6">
        <f t="shared" si="47"/>
        <v>0.4</v>
      </c>
      <c r="P101" s="6">
        <f t="shared" si="48"/>
        <v>1.5</v>
      </c>
      <c r="Q101" s="6">
        <f t="shared" si="49"/>
        <v>1</v>
      </c>
      <c r="R101" s="6"/>
      <c r="S101" s="38">
        <v>84</v>
      </c>
      <c r="T101" s="6">
        <f>VLOOKUP($S$13,角色设定!$AB$9:$AJ$21,MATCH(E$17,角色设定!$AB$9:$AJ$9,0),0)*Z101*$L$15*E101/Y101/(1+W101*(X101-1))</f>
        <v>29045.366377595645</v>
      </c>
      <c r="U101" s="6">
        <f>VLOOKUP($S$13,角色设定!$AB$9:$AJ$21,MATCH(F$17,角色设定!$AB$9:$AJ$9,0),0)*F101*$L$15/(1+V101/$N$16)</f>
        <v>303418.51116773405</v>
      </c>
      <c r="V101" s="6">
        <f>VLOOKUP($S$13,角色设定!$AB$9:$AJ$21,MATCH(V$17,角色设定!$AB$9:$AJ$9,0),0)*G101*$L$15</f>
        <v>215150.86205626358</v>
      </c>
      <c r="W101" s="6">
        <f>VLOOKUP($S$13,角色设定!$AB$9:$AJ$21,MATCH(W$17,角色设定!$AB$9:$AJ$9,0),0)*H101</f>
        <v>0.4</v>
      </c>
      <c r="X101" s="6">
        <f>VLOOKUP($S$13,角色设定!$AB$9:$AJ$21,MATCH(X$17,角色设定!$AB$9:$AJ$9,0),0)*I101</f>
        <v>1.5</v>
      </c>
      <c r="Y101" s="6">
        <f>VLOOKUP($S$13,角色设定!$AB$9:$AJ$21,MATCH(Y$17,角色设定!$AB$9:$AJ$9,0),0)*J101</f>
        <v>1</v>
      </c>
      <c r="Z101" s="6">
        <f>VLOOKUP($S$13,角色设定!$AB$9:$AJ$21,MATCH(Z$17,角色设定!$AB$9:$AJ$9,0),0)</f>
        <v>0.9</v>
      </c>
      <c r="AA101" s="6"/>
      <c r="AB101" s="6"/>
      <c r="AC101" s="6">
        <f>T101*战斗公式!$E$39*(1+W101*(X101-1))*Y101</f>
        <v>871360.99132786936</v>
      </c>
      <c r="AD101" s="6">
        <f>U101*战斗公式!$E$41*(1+V101*战斗公式!$E$40)</f>
        <v>956226.05358339439</v>
      </c>
      <c r="AE101" s="22">
        <f t="shared" si="36"/>
        <v>1827587.0449112637</v>
      </c>
      <c r="AF101" s="22">
        <f t="shared" si="43"/>
        <v>87027.954519584076</v>
      </c>
      <c r="AG101" s="22"/>
      <c r="AH101" s="9">
        <f t="shared" si="37"/>
        <v>8132.7025857267809</v>
      </c>
      <c r="AI101" s="9">
        <f t="shared" si="38"/>
        <v>84957.183126965538</v>
      </c>
      <c r="AJ101" s="9">
        <f t="shared" si="39"/>
        <v>60242.241375753809</v>
      </c>
      <c r="AK101" s="9">
        <f t="shared" si="44"/>
        <v>387.27155170127571</v>
      </c>
      <c r="AL101" s="9">
        <f t="shared" si="45"/>
        <v>1326.830460197787</v>
      </c>
      <c r="AM101" s="9">
        <f t="shared" si="46"/>
        <v>2868.6781607501762</v>
      </c>
    </row>
    <row r="102" spans="4:39" ht="14.25" customHeight="1" x14ac:dyDescent="0.2">
      <c r="D102" s="1">
        <v>85</v>
      </c>
      <c r="E102" s="6">
        <f t="shared" si="40"/>
        <v>441.77643675552878</v>
      </c>
      <c r="F102" s="6">
        <f t="shared" si="41"/>
        <v>3714.9382181714868</v>
      </c>
      <c r="G102" s="6">
        <f t="shared" si="42"/>
        <v>341.3727011292716</v>
      </c>
      <c r="H102" s="6">
        <v>0.4</v>
      </c>
      <c r="I102" s="6">
        <v>1.5</v>
      </c>
      <c r="J102" s="6">
        <v>1</v>
      </c>
      <c r="K102" s="26">
        <f t="shared" si="35"/>
        <v>1.0325168989419475</v>
      </c>
      <c r="L102" s="6">
        <f t="shared" si="29"/>
        <v>38655.438216108763</v>
      </c>
      <c r="M102" s="6">
        <f t="shared" si="30"/>
        <v>368531.0650410548</v>
      </c>
      <c r="N102" s="6">
        <f t="shared" si="31"/>
        <v>51205.905169390739</v>
      </c>
      <c r="O102" s="6">
        <f t="shared" si="47"/>
        <v>0.4</v>
      </c>
      <c r="P102" s="6">
        <f t="shared" si="48"/>
        <v>1.5</v>
      </c>
      <c r="Q102" s="6">
        <f t="shared" si="49"/>
        <v>1</v>
      </c>
      <c r="R102" s="6"/>
      <c r="S102" s="38">
        <v>85</v>
      </c>
      <c r="T102" s="6">
        <f>VLOOKUP($S$13,角色设定!$AB$9:$AJ$21,MATCH(E$17,角色设定!$AB$9:$AJ$9,0),0)*Z102*$L$15*E102/Y102/(1+W102*(X102-1))</f>
        <v>30497.63469647543</v>
      </c>
      <c r="U102" s="6">
        <f>VLOOKUP($S$13,角色设定!$AB$9:$AJ$21,MATCH(F$17,角色设定!$AB$9:$AJ$9,0),0)*F102*$L$15/(1+V102/$N$16)</f>
        <v>308073.47720059281</v>
      </c>
      <c r="V102" s="6">
        <f>VLOOKUP($S$13,角色设定!$AB$9:$AJ$21,MATCH(V$17,角色设定!$AB$9:$AJ$9,0),0)*G102*$L$15</f>
        <v>225908.40515907676</v>
      </c>
      <c r="W102" s="6">
        <f>VLOOKUP($S$13,角色设定!$AB$9:$AJ$21,MATCH(W$17,角色设定!$AB$9:$AJ$9,0),0)*H102</f>
        <v>0.4</v>
      </c>
      <c r="X102" s="6">
        <f>VLOOKUP($S$13,角色设定!$AB$9:$AJ$21,MATCH(X$17,角色设定!$AB$9:$AJ$9,0),0)*I102</f>
        <v>1.5</v>
      </c>
      <c r="Y102" s="6">
        <f>VLOOKUP($S$13,角色设定!$AB$9:$AJ$21,MATCH(Y$17,角色设定!$AB$9:$AJ$9,0),0)*J102</f>
        <v>1</v>
      </c>
      <c r="Z102" s="6">
        <f>VLOOKUP($S$13,角色设定!$AB$9:$AJ$21,MATCH(Z$17,角色设定!$AB$9:$AJ$9,0),0)</f>
        <v>0.9</v>
      </c>
      <c r="AA102" s="6"/>
      <c r="AB102" s="6"/>
      <c r="AC102" s="6">
        <f>T102*战斗公式!$E$39*(1+W102*(X102-1))*Y102</f>
        <v>914929.04089426284</v>
      </c>
      <c r="AD102" s="6">
        <f>U102*战斗公式!$E$41*(1+V102*战斗公式!$E$40)</f>
        <v>1004037.3562625641</v>
      </c>
      <c r="AE102" s="22">
        <f t="shared" si="36"/>
        <v>1918966.3971568269</v>
      </c>
      <c r="AF102" s="22">
        <f t="shared" si="43"/>
        <v>91379.352245563176</v>
      </c>
      <c r="AG102" s="22"/>
      <c r="AH102" s="9">
        <f t="shared" si="37"/>
        <v>8539.3377150131219</v>
      </c>
      <c r="AI102" s="9">
        <f t="shared" si="38"/>
        <v>86260.573616165988</v>
      </c>
      <c r="AJ102" s="9">
        <f t="shared" si="39"/>
        <v>63254.353444541499</v>
      </c>
      <c r="AK102" s="9">
        <f t="shared" si="44"/>
        <v>406.635129286341</v>
      </c>
      <c r="AL102" s="9">
        <f t="shared" si="45"/>
        <v>1303.3904892004502</v>
      </c>
      <c r="AM102" s="9">
        <f t="shared" si="46"/>
        <v>3012.1120687876901</v>
      </c>
    </row>
    <row r="103" spans="4:39" ht="14.25" customHeight="1" x14ac:dyDescent="0.2">
      <c r="D103" s="1">
        <v>86</v>
      </c>
      <c r="E103" s="6">
        <f t="shared" si="40"/>
        <v>463.86525859330521</v>
      </c>
      <c r="F103" s="6">
        <f t="shared" si="41"/>
        <v>3900.6851290800614</v>
      </c>
      <c r="G103" s="6">
        <f t="shared" si="42"/>
        <v>358.44133618573522</v>
      </c>
      <c r="H103" s="6">
        <v>0.4</v>
      </c>
      <c r="I103" s="6">
        <v>1.5</v>
      </c>
      <c r="J103" s="6">
        <v>1</v>
      </c>
      <c r="K103" s="26">
        <f t="shared" si="35"/>
        <v>1.0319581710085741</v>
      </c>
      <c r="L103" s="6">
        <f t="shared" si="29"/>
        <v>40588.210126914208</v>
      </c>
      <c r="M103" s="6">
        <f t="shared" si="30"/>
        <v>380514.5524399631</v>
      </c>
      <c r="N103" s="6">
        <f t="shared" si="31"/>
        <v>53766.200427860284</v>
      </c>
      <c r="O103" s="6">
        <f t="shared" si="47"/>
        <v>0.4</v>
      </c>
      <c r="P103" s="6">
        <f t="shared" si="48"/>
        <v>1.5</v>
      </c>
      <c r="Q103" s="6">
        <f t="shared" si="49"/>
        <v>1</v>
      </c>
      <c r="R103" s="6"/>
      <c r="S103" s="38">
        <v>86</v>
      </c>
      <c r="T103" s="6">
        <f>VLOOKUP($S$13,角色设定!$AB$9:$AJ$21,MATCH(E$17,角色设定!$AB$9:$AJ$9,0),0)*Z103*$L$15*E103/Y103/(1+W103*(X103-1))</f>
        <v>32022.516431299198</v>
      </c>
      <c r="U103" s="6">
        <f>VLOOKUP($S$13,角色设定!$AB$9:$AJ$21,MATCH(F$17,角色设定!$AB$9:$AJ$9,0),0)*F103*$L$15/(1+V103/$N$16)</f>
        <v>312641.53743566852</v>
      </c>
      <c r="V103" s="6">
        <f>VLOOKUP($S$13,角色设定!$AB$9:$AJ$21,MATCH(V$17,角色设定!$AB$9:$AJ$9,0),0)*G103*$L$15</f>
        <v>237203.82541703063</v>
      </c>
      <c r="W103" s="6">
        <f>VLOOKUP($S$13,角色设定!$AB$9:$AJ$21,MATCH(W$17,角色设定!$AB$9:$AJ$9,0),0)*H103</f>
        <v>0.4</v>
      </c>
      <c r="X103" s="6">
        <f>VLOOKUP($S$13,角色设定!$AB$9:$AJ$21,MATCH(X$17,角色设定!$AB$9:$AJ$9,0),0)*I103</f>
        <v>1.5</v>
      </c>
      <c r="Y103" s="6">
        <f>VLOOKUP($S$13,角色设定!$AB$9:$AJ$21,MATCH(Y$17,角色设定!$AB$9:$AJ$9,0),0)*J103</f>
        <v>1</v>
      </c>
      <c r="Z103" s="6">
        <f>VLOOKUP($S$13,角色设定!$AB$9:$AJ$21,MATCH(Z$17,角色设定!$AB$9:$AJ$9,0),0)</f>
        <v>0.9</v>
      </c>
      <c r="AA103" s="6"/>
      <c r="AB103" s="6"/>
      <c r="AC103" s="6">
        <f>T103*战斗公式!$E$39*(1+W103*(X103-1))*Y103</f>
        <v>960675.4929389758</v>
      </c>
      <c r="AD103" s="6">
        <f>U103*战斗公式!$E$41*(1+V103*战斗公式!$E$40)</f>
        <v>1054239.2240756922</v>
      </c>
      <c r="AE103" s="22">
        <f t="shared" si="36"/>
        <v>2014914.717014668</v>
      </c>
      <c r="AF103" s="22">
        <f t="shared" si="43"/>
        <v>95948.319857841125</v>
      </c>
      <c r="AG103" s="22"/>
      <c r="AH103" s="9">
        <f t="shared" si="37"/>
        <v>8966.3046007637768</v>
      </c>
      <c r="AI103" s="9">
        <f t="shared" si="38"/>
        <v>87539.630481987188</v>
      </c>
      <c r="AJ103" s="9">
        <f t="shared" si="39"/>
        <v>66417.07111676858</v>
      </c>
      <c r="AK103" s="9">
        <f t="shared" si="44"/>
        <v>426.96688575065491</v>
      </c>
      <c r="AL103" s="9">
        <f t="shared" si="45"/>
        <v>1279.0568658211996</v>
      </c>
      <c r="AM103" s="9">
        <f t="shared" si="46"/>
        <v>3162.7176722270815</v>
      </c>
    </row>
    <row r="104" spans="4:39" ht="14.25" customHeight="1" x14ac:dyDescent="0.2">
      <c r="D104" s="1">
        <v>87</v>
      </c>
      <c r="E104" s="6">
        <f t="shared" si="40"/>
        <v>487.05852152297052</v>
      </c>
      <c r="F104" s="6">
        <f t="shared" si="41"/>
        <v>4095.7193855340647</v>
      </c>
      <c r="G104" s="6">
        <f t="shared" si="42"/>
        <v>376.363402995022</v>
      </c>
      <c r="H104" s="6">
        <v>0.4</v>
      </c>
      <c r="I104" s="6">
        <v>1.5</v>
      </c>
      <c r="J104" s="6">
        <v>1</v>
      </c>
      <c r="K104" s="26">
        <f t="shared" si="35"/>
        <v>1.0313918054233933</v>
      </c>
      <c r="L104" s="6">
        <f t="shared" si="29"/>
        <v>42617.620633259918</v>
      </c>
      <c r="M104" s="6">
        <f t="shared" si="30"/>
        <v>392675.10157809051</v>
      </c>
      <c r="N104" s="6">
        <f t="shared" si="31"/>
        <v>56454.510449253299</v>
      </c>
      <c r="O104" s="6">
        <f t="shared" si="47"/>
        <v>0.4</v>
      </c>
      <c r="P104" s="6">
        <f t="shared" si="48"/>
        <v>1.5</v>
      </c>
      <c r="Q104" s="6">
        <f t="shared" si="49"/>
        <v>1</v>
      </c>
      <c r="R104" s="6"/>
      <c r="S104" s="38">
        <v>87</v>
      </c>
      <c r="T104" s="6">
        <f>VLOOKUP($S$13,角色设定!$AB$9:$AJ$21,MATCH(E$17,角色设定!$AB$9:$AJ$9,0),0)*Z104*$L$15*E104/Y104/(1+W104*(X104-1))</f>
        <v>33623.642252864163</v>
      </c>
      <c r="U104" s="6">
        <f>VLOOKUP($S$13,角色设定!$AB$9:$AJ$21,MATCH(F$17,角色设定!$AB$9:$AJ$9,0),0)*F104*$L$15/(1+V104/$N$16)</f>
        <v>317119.82110985229</v>
      </c>
      <c r="V104" s="6">
        <f>VLOOKUP($S$13,角色设定!$AB$9:$AJ$21,MATCH(V$17,角色设定!$AB$9:$AJ$9,0),0)*G104*$L$15</f>
        <v>249064.01668788219</v>
      </c>
      <c r="W104" s="6">
        <f>VLOOKUP($S$13,角色设定!$AB$9:$AJ$21,MATCH(W$17,角色设定!$AB$9:$AJ$9,0),0)*H104</f>
        <v>0.4</v>
      </c>
      <c r="X104" s="6">
        <f>VLOOKUP($S$13,角色设定!$AB$9:$AJ$21,MATCH(X$17,角色设定!$AB$9:$AJ$9,0),0)*I104</f>
        <v>1.5</v>
      </c>
      <c r="Y104" s="6">
        <f>VLOOKUP($S$13,角色设定!$AB$9:$AJ$21,MATCH(Y$17,角色设定!$AB$9:$AJ$9,0),0)*J104</f>
        <v>1</v>
      </c>
      <c r="Z104" s="6">
        <f>VLOOKUP($S$13,角色设定!$AB$9:$AJ$21,MATCH(Z$17,角色设定!$AB$9:$AJ$9,0),0)</f>
        <v>0.9</v>
      </c>
      <c r="AA104" s="6"/>
      <c r="AB104" s="6"/>
      <c r="AC104" s="6">
        <f>T104*战斗公式!$E$39*(1+W104*(X104-1))*Y104</f>
        <v>1008709.2675859248</v>
      </c>
      <c r="AD104" s="6">
        <f>U104*战斗公式!$E$41*(1+V104*战斗公式!$E$40)</f>
        <v>1106951.1852794772</v>
      </c>
      <c r="AE104" s="22">
        <f t="shared" si="36"/>
        <v>2115660.4528654022</v>
      </c>
      <c r="AF104" s="22">
        <f t="shared" si="43"/>
        <v>100745.73585073417</v>
      </c>
      <c r="AG104" s="22"/>
      <c r="AH104" s="9">
        <f t="shared" si="37"/>
        <v>9414.6198308019666</v>
      </c>
      <c r="AI104" s="9">
        <f t="shared" si="38"/>
        <v>88793.549910758651</v>
      </c>
      <c r="AJ104" s="9">
        <f t="shared" si="39"/>
        <v>69737.924672607027</v>
      </c>
      <c r="AK104" s="9">
        <f t="shared" si="44"/>
        <v>448.31523003818984</v>
      </c>
      <c r="AL104" s="9">
        <f t="shared" si="45"/>
        <v>1253.9194287714636</v>
      </c>
      <c r="AM104" s="9">
        <f t="shared" si="46"/>
        <v>3320.8535558384465</v>
      </c>
    </row>
    <row r="105" spans="4:39" ht="14.25" customHeight="1" x14ac:dyDescent="0.2">
      <c r="D105" s="1">
        <v>88</v>
      </c>
      <c r="E105" s="6">
        <f t="shared" si="40"/>
        <v>511.41144759911907</v>
      </c>
      <c r="F105" s="6">
        <f t="shared" si="41"/>
        <v>4300.505354810768</v>
      </c>
      <c r="G105" s="6">
        <f t="shared" si="42"/>
        <v>395.1815731447731</v>
      </c>
      <c r="H105" s="6">
        <v>0.4</v>
      </c>
      <c r="I105" s="6">
        <v>1.5</v>
      </c>
      <c r="J105" s="6">
        <v>1</v>
      </c>
      <c r="K105" s="26">
        <f t="shared" si="35"/>
        <v>1.0308183319067463</v>
      </c>
      <c r="L105" s="6">
        <f t="shared" si="29"/>
        <v>44748.501664922915</v>
      </c>
      <c r="M105" s="6">
        <f t="shared" si="30"/>
        <v>405001.88196144113</v>
      </c>
      <c r="N105" s="6">
        <f t="shared" si="31"/>
        <v>59277.235971715963</v>
      </c>
      <c r="O105" s="6">
        <f t="shared" si="47"/>
        <v>0.4</v>
      </c>
      <c r="P105" s="6">
        <f t="shared" si="48"/>
        <v>1.5</v>
      </c>
      <c r="Q105" s="6">
        <f t="shared" si="49"/>
        <v>1</v>
      </c>
      <c r="R105" s="6"/>
      <c r="S105" s="38">
        <v>88</v>
      </c>
      <c r="T105" s="6">
        <f>VLOOKUP($S$13,角色设定!$AB$9:$AJ$21,MATCH(E$17,角色设定!$AB$9:$AJ$9,0),0)*Z105*$L$15*E105/Y105/(1+W105*(X105-1))</f>
        <v>35304.824365507367</v>
      </c>
      <c r="U105" s="6">
        <f>VLOOKUP($S$13,角色设定!$AB$9:$AJ$21,MATCH(F$17,角色设定!$AB$9:$AJ$9,0),0)*F105*$L$15/(1+V105/$N$16)</f>
        <v>321505.77848255081</v>
      </c>
      <c r="V105" s="6">
        <f>VLOOKUP($S$13,角色设定!$AB$9:$AJ$21,MATCH(V$17,角色设定!$AB$9:$AJ$9,0),0)*G105*$L$15</f>
        <v>261517.21752227627</v>
      </c>
      <c r="W105" s="6">
        <f>VLOOKUP($S$13,角色设定!$AB$9:$AJ$21,MATCH(W$17,角色设定!$AB$9:$AJ$9,0),0)*H105</f>
        <v>0.4</v>
      </c>
      <c r="X105" s="6">
        <f>VLOOKUP($S$13,角色设定!$AB$9:$AJ$21,MATCH(X$17,角色设定!$AB$9:$AJ$9,0),0)*I105</f>
        <v>1.5</v>
      </c>
      <c r="Y105" s="6">
        <f>VLOOKUP($S$13,角色设定!$AB$9:$AJ$21,MATCH(Y$17,角色设定!$AB$9:$AJ$9,0),0)*J105</f>
        <v>1</v>
      </c>
      <c r="Z105" s="6">
        <f>VLOOKUP($S$13,角色设定!$AB$9:$AJ$21,MATCH(Z$17,角色设定!$AB$9:$AJ$9,0),0)</f>
        <v>0.9</v>
      </c>
      <c r="AA105" s="6"/>
      <c r="AB105" s="6"/>
      <c r="AC105" s="6">
        <f>T105*战斗公式!$E$39*(1+W105*(X105-1))*Y105</f>
        <v>1059144.7309652211</v>
      </c>
      <c r="AD105" s="6">
        <f>U105*战斗公式!$E$41*(1+V105*战斗公式!$E$40)</f>
        <v>1162298.7445434509</v>
      </c>
      <c r="AE105" s="22">
        <f t="shared" si="36"/>
        <v>2221443.4755086722</v>
      </c>
      <c r="AF105" s="22">
        <f t="shared" si="43"/>
        <v>105783.02264326997</v>
      </c>
      <c r="AG105" s="22"/>
      <c r="AH105" s="9">
        <f t="shared" si="37"/>
        <v>9885.3508223420631</v>
      </c>
      <c r="AI105" s="9">
        <f t="shared" si="38"/>
        <v>90021.617975114234</v>
      </c>
      <c r="AJ105" s="9">
        <f t="shared" si="39"/>
        <v>73224.820906237364</v>
      </c>
      <c r="AK105" s="9">
        <f t="shared" si="44"/>
        <v>470.73099154009651</v>
      </c>
      <c r="AL105" s="9">
        <f t="shared" si="45"/>
        <v>1228.0680643555825</v>
      </c>
      <c r="AM105" s="9">
        <f t="shared" si="46"/>
        <v>3486.8962336303375</v>
      </c>
    </row>
    <row r="106" spans="4:39" ht="14.25" customHeight="1" x14ac:dyDescent="0.2">
      <c r="D106" s="1">
        <v>89</v>
      </c>
      <c r="E106" s="6">
        <f t="shared" si="40"/>
        <v>536.98201997907506</v>
      </c>
      <c r="F106" s="6">
        <f t="shared" si="41"/>
        <v>4515.5306225513068</v>
      </c>
      <c r="G106" s="6">
        <f t="shared" si="42"/>
        <v>414.94065180201176</v>
      </c>
      <c r="H106" s="6">
        <v>0.4</v>
      </c>
      <c r="I106" s="6">
        <v>1.5</v>
      </c>
      <c r="J106" s="6">
        <v>1</v>
      </c>
      <c r="K106" s="26">
        <f t="shared" si="35"/>
        <v>1.030238310667815</v>
      </c>
      <c r="L106" s="6">
        <f t="shared" si="29"/>
        <v>46985.926748169069</v>
      </c>
      <c r="M106" s="6">
        <f t="shared" si="30"/>
        <v>417483.36438258574</v>
      </c>
      <c r="N106" s="6">
        <f t="shared" si="31"/>
        <v>62241.097770301763</v>
      </c>
      <c r="O106" s="6">
        <f t="shared" si="47"/>
        <v>0.4</v>
      </c>
      <c r="P106" s="6">
        <f t="shared" si="48"/>
        <v>1.5</v>
      </c>
      <c r="Q106" s="6">
        <f t="shared" si="49"/>
        <v>1</v>
      </c>
      <c r="R106" s="6"/>
      <c r="S106" s="38">
        <v>89</v>
      </c>
      <c r="T106" s="6">
        <f>VLOOKUP($S$13,角色设定!$AB$9:$AJ$21,MATCH(E$17,角色设定!$AB$9:$AJ$9,0),0)*Z106*$L$15*E106/Y106/(1+W106*(X106-1))</f>
        <v>37070.065583782736</v>
      </c>
      <c r="U106" s="6">
        <f>VLOOKUP($S$13,角色设定!$AB$9:$AJ$21,MATCH(F$17,角色设定!$AB$9:$AJ$9,0),0)*F106*$L$15/(1+V106/$N$16)</f>
        <v>325797.17889839911</v>
      </c>
      <c r="V106" s="6">
        <f>VLOOKUP($S$13,角色设定!$AB$9:$AJ$21,MATCH(V$17,角色设定!$AB$9:$AJ$9,0),0)*G106*$L$15</f>
        <v>274593.07839839009</v>
      </c>
      <c r="W106" s="6">
        <f>VLOOKUP($S$13,角色设定!$AB$9:$AJ$21,MATCH(W$17,角色设定!$AB$9:$AJ$9,0),0)*H106</f>
        <v>0.4</v>
      </c>
      <c r="X106" s="6">
        <f>VLOOKUP($S$13,角色设定!$AB$9:$AJ$21,MATCH(X$17,角色设定!$AB$9:$AJ$9,0),0)*I106</f>
        <v>1.5</v>
      </c>
      <c r="Y106" s="6">
        <f>VLOOKUP($S$13,角色设定!$AB$9:$AJ$21,MATCH(Y$17,角色设定!$AB$9:$AJ$9,0),0)*J106</f>
        <v>1</v>
      </c>
      <c r="Z106" s="6">
        <f>VLOOKUP($S$13,角色设定!$AB$9:$AJ$21,MATCH(Z$17,角色设定!$AB$9:$AJ$9,0),0)</f>
        <v>0.9</v>
      </c>
      <c r="AA106" s="6"/>
      <c r="AB106" s="6"/>
      <c r="AC106" s="6">
        <f>T106*战斗公式!$E$39*(1+W106*(X106-1))*Y106</f>
        <v>1112101.9675134821</v>
      </c>
      <c r="AD106" s="6">
        <f>U106*战斗公式!$E$41*(1+V106*战斗公式!$E$40)</f>
        <v>1220413.6817706237</v>
      </c>
      <c r="AE106" s="22">
        <f t="shared" si="36"/>
        <v>2332515.6492841057</v>
      </c>
      <c r="AF106" s="22">
        <f t="shared" si="43"/>
        <v>111072.17377543356</v>
      </c>
      <c r="AG106" s="22"/>
      <c r="AH106" s="9">
        <f t="shared" si="37"/>
        <v>10379.618363459167</v>
      </c>
      <c r="AI106" s="9">
        <f t="shared" si="38"/>
        <v>91223.210091551766</v>
      </c>
      <c r="AJ106" s="9">
        <f t="shared" si="39"/>
        <v>76886.061951549229</v>
      </c>
      <c r="AK106" s="9">
        <f t="shared" si="44"/>
        <v>494.26754111710397</v>
      </c>
      <c r="AL106" s="9">
        <f t="shared" si="45"/>
        <v>1201.5921164375322</v>
      </c>
      <c r="AM106" s="9">
        <f t="shared" si="46"/>
        <v>3661.2410453118646</v>
      </c>
    </row>
    <row r="107" spans="4:39" ht="14.25" customHeight="1" x14ac:dyDescent="0.2">
      <c r="D107" s="1">
        <v>90</v>
      </c>
      <c r="E107" s="6">
        <f t="shared" si="40"/>
        <v>563.83112097802882</v>
      </c>
      <c r="F107" s="6">
        <f t="shared" si="41"/>
        <v>4741.3071536788721</v>
      </c>
      <c r="G107" s="6">
        <f t="shared" si="42"/>
        <v>435.68768439211237</v>
      </c>
      <c r="H107" s="6">
        <v>0.4</v>
      </c>
      <c r="I107" s="6">
        <v>1.5</v>
      </c>
      <c r="J107" s="6">
        <v>1</v>
      </c>
      <c r="K107" s="26">
        <f t="shared" si="35"/>
        <v>1.0296523305240246</v>
      </c>
      <c r="L107" s="6">
        <f t="shared" si="29"/>
        <v>49335.22308557752</v>
      </c>
      <c r="M107" s="6">
        <f t="shared" si="30"/>
        <v>430107.35605343099</v>
      </c>
      <c r="N107" s="6">
        <f t="shared" si="31"/>
        <v>65353.152658816856</v>
      </c>
      <c r="O107" s="6">
        <f t="shared" si="47"/>
        <v>0.4</v>
      </c>
      <c r="P107" s="6">
        <f t="shared" si="48"/>
        <v>1.5</v>
      </c>
      <c r="Q107" s="6">
        <f t="shared" si="49"/>
        <v>1</v>
      </c>
      <c r="R107" s="6"/>
      <c r="S107" s="38">
        <v>90</v>
      </c>
      <c r="T107" s="6">
        <f>VLOOKUP($S$13,角色设定!$AB$9:$AJ$21,MATCH(E$17,角色设定!$AB$9:$AJ$9,0),0)*Z107*$L$15*E107/Y107/(1+W107*(X107-1))</f>
        <v>38923.568862971879</v>
      </c>
      <c r="U107" s="6">
        <f>VLOOKUP($S$13,角色设定!$AB$9:$AJ$21,MATCH(F$17,角色设定!$AB$9:$AJ$9,0),0)*F107*$L$15/(1+V107/$N$16)</f>
        <v>329992.10687690513</v>
      </c>
      <c r="V107" s="6">
        <f>VLOOKUP($S$13,角色设定!$AB$9:$AJ$21,MATCH(V$17,角色设定!$AB$9:$AJ$9,0),0)*G107*$L$15</f>
        <v>288322.73231830966</v>
      </c>
      <c r="W107" s="6">
        <f>VLOOKUP($S$13,角色设定!$AB$9:$AJ$21,MATCH(W$17,角色设定!$AB$9:$AJ$9,0),0)*H107</f>
        <v>0.4</v>
      </c>
      <c r="X107" s="6">
        <f>VLOOKUP($S$13,角色设定!$AB$9:$AJ$21,MATCH(X$17,角色设定!$AB$9:$AJ$9,0),0)*I107</f>
        <v>1.5</v>
      </c>
      <c r="Y107" s="6">
        <f>VLOOKUP($S$13,角色设定!$AB$9:$AJ$21,MATCH(Y$17,角色设定!$AB$9:$AJ$9,0),0)*J107</f>
        <v>1</v>
      </c>
      <c r="Z107" s="6">
        <f>VLOOKUP($S$13,角色设定!$AB$9:$AJ$21,MATCH(Z$17,角色设定!$AB$9:$AJ$9,0),0)</f>
        <v>0.9</v>
      </c>
      <c r="AA107" s="6"/>
      <c r="AB107" s="6"/>
      <c r="AC107" s="6">
        <f>T107*战斗公式!$E$39*(1+W107*(X107-1))*Y107</f>
        <v>1167707.0658891562</v>
      </c>
      <c r="AD107" s="6">
        <f>U107*战斗公式!$E$41*(1+V107*战斗公式!$E$40)</f>
        <v>1281434.3658591548</v>
      </c>
      <c r="AE107" s="22">
        <f t="shared" si="36"/>
        <v>2449141.431748311</v>
      </c>
      <c r="AF107" s="22">
        <f t="shared" si="43"/>
        <v>116625.78246420529</v>
      </c>
      <c r="AG107" s="22"/>
      <c r="AH107" s="9">
        <f t="shared" si="37"/>
        <v>10898.599281632127</v>
      </c>
      <c r="AI107" s="9">
        <f t="shared" si="38"/>
        <v>92397.789925533449</v>
      </c>
      <c r="AJ107" s="9">
        <f t="shared" si="39"/>
        <v>80730.365049126718</v>
      </c>
      <c r="AK107" s="9">
        <f t="shared" si="44"/>
        <v>518.98091817295972</v>
      </c>
      <c r="AL107" s="9">
        <f t="shared" si="45"/>
        <v>1174.5798339816829</v>
      </c>
      <c r="AM107" s="9">
        <f t="shared" si="46"/>
        <v>3844.3030975774891</v>
      </c>
    </row>
    <row r="108" spans="4:39" ht="14.25" customHeight="1" x14ac:dyDescent="0.2">
      <c r="D108" s="1">
        <v>91</v>
      </c>
      <c r="E108" s="6">
        <f t="shared" si="40"/>
        <v>592.0226770269303</v>
      </c>
      <c r="F108" s="6">
        <f t="shared" si="41"/>
        <v>4978.3725113628161</v>
      </c>
      <c r="G108" s="6">
        <f t="shared" si="42"/>
        <v>457.47206861171799</v>
      </c>
      <c r="H108" s="6">
        <v>0.4</v>
      </c>
      <c r="I108" s="6">
        <v>1.5</v>
      </c>
      <c r="J108" s="6">
        <v>1</v>
      </c>
      <c r="K108" s="26">
        <f t="shared" si="35"/>
        <v>1.0290610067637562</v>
      </c>
      <c r="L108" s="6">
        <f t="shared" si="29"/>
        <v>51801.9842398564</v>
      </c>
      <c r="M108" s="6">
        <f t="shared" si="30"/>
        <v>442861.04153594165</v>
      </c>
      <c r="N108" s="6">
        <f t="shared" si="31"/>
        <v>68620.810291757691</v>
      </c>
      <c r="O108" s="6">
        <f t="shared" si="47"/>
        <v>0.4</v>
      </c>
      <c r="P108" s="6">
        <f t="shared" si="48"/>
        <v>1.5</v>
      </c>
      <c r="Q108" s="6">
        <f t="shared" si="49"/>
        <v>1</v>
      </c>
      <c r="R108" s="6"/>
      <c r="S108" s="38">
        <v>91</v>
      </c>
      <c r="T108" s="6">
        <f>VLOOKUP($S$13,角色设定!$AB$9:$AJ$21,MATCH(E$17,角色设定!$AB$9:$AJ$9,0),0)*Z108*$L$15*E108/Y108/(1+W108*(X108-1))</f>
        <v>40869.747306120473</v>
      </c>
      <c r="U108" s="6">
        <f>VLOOKUP($S$13,角色设定!$AB$9:$AJ$21,MATCH(F$17,角色设定!$AB$9:$AJ$9,0),0)*F108*$L$15/(1+V108/$N$16)</f>
        <v>334088.95637829753</v>
      </c>
      <c r="V108" s="6">
        <f>VLOOKUP($S$13,角色设定!$AB$9:$AJ$21,MATCH(V$17,角色设定!$AB$9:$AJ$9,0),0)*G108*$L$15</f>
        <v>302738.86893422512</v>
      </c>
      <c r="W108" s="6">
        <f>VLOOKUP($S$13,角色设定!$AB$9:$AJ$21,MATCH(W$17,角色设定!$AB$9:$AJ$9,0),0)*H108</f>
        <v>0.4</v>
      </c>
      <c r="X108" s="6">
        <f>VLOOKUP($S$13,角色设定!$AB$9:$AJ$21,MATCH(X$17,角色设定!$AB$9:$AJ$9,0),0)*I108</f>
        <v>1.5</v>
      </c>
      <c r="Y108" s="6">
        <f>VLOOKUP($S$13,角色设定!$AB$9:$AJ$21,MATCH(Y$17,角色设定!$AB$9:$AJ$9,0),0)*J108</f>
        <v>1</v>
      </c>
      <c r="Z108" s="6">
        <f>VLOOKUP($S$13,角色设定!$AB$9:$AJ$21,MATCH(Z$17,角色设定!$AB$9:$AJ$9,0),0)</f>
        <v>0.9</v>
      </c>
      <c r="AA108" s="6"/>
      <c r="AB108" s="6"/>
      <c r="AC108" s="6">
        <f>T108*战斗公式!$E$39*(1+W108*(X108-1))*Y108</f>
        <v>1226092.4191836142</v>
      </c>
      <c r="AD108" s="6">
        <f>U108*战斗公式!$E$41*(1+V108*战斗公式!$E$40)</f>
        <v>1345506.0841521122</v>
      </c>
      <c r="AE108" s="22">
        <f t="shared" si="36"/>
        <v>2571598.5033357264</v>
      </c>
      <c r="AF108" s="22">
        <f t="shared" si="43"/>
        <v>122457.07158741541</v>
      </c>
      <c r="AG108" s="22"/>
      <c r="AH108" s="9">
        <f t="shared" si="37"/>
        <v>11443.529245713733</v>
      </c>
      <c r="AI108" s="9">
        <f t="shared" si="38"/>
        <v>93544.907785923322</v>
      </c>
      <c r="AJ108" s="9">
        <f t="shared" si="39"/>
        <v>84766.883301583046</v>
      </c>
      <c r="AK108" s="9">
        <f t="shared" si="44"/>
        <v>544.92996408160616</v>
      </c>
      <c r="AL108" s="9">
        <f t="shared" si="45"/>
        <v>1147.1178603898734</v>
      </c>
      <c r="AM108" s="9">
        <f t="shared" si="46"/>
        <v>4036.5182524563279</v>
      </c>
    </row>
    <row r="109" spans="4:39" ht="14.25" customHeight="1" x14ac:dyDescent="0.2">
      <c r="D109" s="1">
        <v>92</v>
      </c>
      <c r="E109" s="6">
        <f t="shared" si="40"/>
        <v>621.6238108782768</v>
      </c>
      <c r="F109" s="6">
        <f t="shared" si="41"/>
        <v>5227.2911369309568</v>
      </c>
      <c r="G109" s="6">
        <f t="shared" si="42"/>
        <v>480.34567204230393</v>
      </c>
      <c r="H109" s="6">
        <v>0.4</v>
      </c>
      <c r="I109" s="6">
        <v>1.5</v>
      </c>
      <c r="J109" s="6">
        <v>1</v>
      </c>
      <c r="K109" s="26">
        <f t="shared" si="35"/>
        <v>1.028464978765907</v>
      </c>
      <c r="L109" s="6">
        <f t="shared" si="29"/>
        <v>54392.083451849219</v>
      </c>
      <c r="M109" s="6">
        <f t="shared" si="30"/>
        <v>455731.0292594218</v>
      </c>
      <c r="N109" s="6">
        <f t="shared" si="31"/>
        <v>72051.850806345596</v>
      </c>
      <c r="O109" s="6">
        <f t="shared" si="47"/>
        <v>0.4</v>
      </c>
      <c r="P109" s="6">
        <f t="shared" si="48"/>
        <v>1.5</v>
      </c>
      <c r="Q109" s="6">
        <f t="shared" si="49"/>
        <v>1</v>
      </c>
      <c r="R109" s="6"/>
      <c r="S109" s="38">
        <v>92</v>
      </c>
      <c r="T109" s="6">
        <f>VLOOKUP($S$13,角色设定!$AB$9:$AJ$21,MATCH(E$17,角色设定!$AB$9:$AJ$9,0),0)*Z109*$L$15*E109/Y109/(1+W109*(X109-1))</f>
        <v>42913.2346714265</v>
      </c>
      <c r="U109" s="6">
        <f>VLOOKUP($S$13,角色设定!$AB$9:$AJ$21,MATCH(F$17,角色设定!$AB$9:$AJ$9,0),0)*F109*$L$15/(1+V109/$N$16)</f>
        <v>338086.42340653681</v>
      </c>
      <c r="V109" s="6">
        <f>VLOOKUP($S$13,角色设定!$AB$9:$AJ$21,MATCH(V$17,角色设定!$AB$9:$AJ$9,0),0)*G109*$L$15</f>
        <v>317875.8123809364</v>
      </c>
      <c r="W109" s="6">
        <f>VLOOKUP($S$13,角色设定!$AB$9:$AJ$21,MATCH(W$17,角色设定!$AB$9:$AJ$9,0),0)*H109</f>
        <v>0.4</v>
      </c>
      <c r="X109" s="6">
        <f>VLOOKUP($S$13,角色设定!$AB$9:$AJ$21,MATCH(X$17,角色设定!$AB$9:$AJ$9,0),0)*I109</f>
        <v>1.5</v>
      </c>
      <c r="Y109" s="6">
        <f>VLOOKUP($S$13,角色设定!$AB$9:$AJ$21,MATCH(Y$17,角色设定!$AB$9:$AJ$9,0),0)*J109</f>
        <v>1</v>
      </c>
      <c r="Z109" s="6">
        <f>VLOOKUP($S$13,角色设定!$AB$9:$AJ$21,MATCH(Z$17,角色设定!$AB$9:$AJ$9,0),0)</f>
        <v>0.9</v>
      </c>
      <c r="AA109" s="6"/>
      <c r="AB109" s="6"/>
      <c r="AC109" s="6">
        <f>T109*战斗公式!$E$39*(1+W109*(X109-1))*Y109</f>
        <v>1287397.0401427948</v>
      </c>
      <c r="AD109" s="6">
        <f>U109*战斗公式!$E$41*(1+V109*战斗公式!$E$40)</f>
        <v>1412781.3883597183</v>
      </c>
      <c r="AE109" s="22">
        <f t="shared" si="36"/>
        <v>2700178.4285025131</v>
      </c>
      <c r="AF109" s="22">
        <f t="shared" si="43"/>
        <v>128579.92516678665</v>
      </c>
      <c r="AG109" s="22"/>
      <c r="AH109" s="9">
        <f t="shared" si="37"/>
        <v>12015.705707999421</v>
      </c>
      <c r="AI109" s="9">
        <f t="shared" si="38"/>
        <v>94664.198553830312</v>
      </c>
      <c r="AJ109" s="9">
        <f t="shared" si="39"/>
        <v>89005.227466662196</v>
      </c>
      <c r="AK109" s="9">
        <f t="shared" si="44"/>
        <v>572.1764622856881</v>
      </c>
      <c r="AL109" s="9">
        <f t="shared" si="45"/>
        <v>1119.2907679069904</v>
      </c>
      <c r="AM109" s="9">
        <f t="shared" si="46"/>
        <v>4238.3441650791501</v>
      </c>
    </row>
    <row r="110" spans="4:39" ht="14.25" customHeight="1" x14ac:dyDescent="0.2">
      <c r="D110" s="1">
        <v>93</v>
      </c>
      <c r="E110" s="6">
        <f t="shared" si="40"/>
        <v>652.70500142219066</v>
      </c>
      <c r="F110" s="6">
        <f t="shared" si="41"/>
        <v>5488.6556937775049</v>
      </c>
      <c r="G110" s="6">
        <f t="shared" si="42"/>
        <v>504.36295564441917</v>
      </c>
      <c r="H110" s="6">
        <v>0.4</v>
      </c>
      <c r="I110" s="6">
        <v>1.5</v>
      </c>
      <c r="J110" s="6">
        <v>1</v>
      </c>
      <c r="K110" s="26">
        <f t="shared" si="35"/>
        <v>1.027864907393502</v>
      </c>
      <c r="L110" s="6">
        <f t="shared" si="29"/>
        <v>57111.687624441678</v>
      </c>
      <c r="M110" s="6">
        <f t="shared" si="30"/>
        <v>468703.40333025623</v>
      </c>
      <c r="N110" s="6">
        <f t="shared" si="31"/>
        <v>75654.443346662869</v>
      </c>
      <c r="O110" s="6">
        <f t="shared" si="47"/>
        <v>0.4</v>
      </c>
      <c r="P110" s="6">
        <f t="shared" si="48"/>
        <v>1.5</v>
      </c>
      <c r="Q110" s="6">
        <f t="shared" si="49"/>
        <v>1</v>
      </c>
      <c r="R110" s="6"/>
      <c r="S110" s="38">
        <v>93</v>
      </c>
      <c r="T110" s="6">
        <f>VLOOKUP($S$13,角色设定!$AB$9:$AJ$21,MATCH(E$17,角色设定!$AB$9:$AJ$9,0),0)*Z110*$L$15*E110/Y110/(1+W110*(X110-1))</f>
        <v>45058.896404997824</v>
      </c>
      <c r="U110" s="6">
        <f>VLOOKUP($S$13,角色设定!$AB$9:$AJ$21,MATCH(F$17,角色设定!$AB$9:$AJ$9,0),0)*F110*$L$15/(1+V110/$N$16)</f>
        <v>341983.49711880606</v>
      </c>
      <c r="V110" s="6">
        <f>VLOOKUP($S$13,角色设定!$AB$9:$AJ$21,MATCH(V$17,角色设定!$AB$9:$AJ$9,0),0)*G110*$L$15</f>
        <v>333769.60299998324</v>
      </c>
      <c r="W110" s="6">
        <f>VLOOKUP($S$13,角色设定!$AB$9:$AJ$21,MATCH(W$17,角色设定!$AB$9:$AJ$9,0),0)*H110</f>
        <v>0.4</v>
      </c>
      <c r="X110" s="6">
        <f>VLOOKUP($S$13,角色设定!$AB$9:$AJ$21,MATCH(X$17,角色设定!$AB$9:$AJ$9,0),0)*I110</f>
        <v>1.5</v>
      </c>
      <c r="Y110" s="6">
        <f>VLOOKUP($S$13,角色设定!$AB$9:$AJ$21,MATCH(Y$17,角色设定!$AB$9:$AJ$9,0),0)*J110</f>
        <v>1</v>
      </c>
      <c r="Z110" s="6">
        <f>VLOOKUP($S$13,角色设定!$AB$9:$AJ$21,MATCH(Z$17,角色设定!$AB$9:$AJ$9,0),0)</f>
        <v>0.9</v>
      </c>
      <c r="AA110" s="6"/>
      <c r="AB110" s="6"/>
      <c r="AC110" s="6">
        <f>T110*战斗公式!$E$39*(1+W110*(X110-1))*Y110</f>
        <v>1351766.8921499348</v>
      </c>
      <c r="AD110" s="6">
        <f>U110*战斗公式!$E$41*(1+V110*战斗公式!$E$40)</f>
        <v>1483420.4577777043</v>
      </c>
      <c r="AE110" s="22">
        <f t="shared" si="36"/>
        <v>2835187.3499276391</v>
      </c>
      <c r="AF110" s="22">
        <f t="shared" si="43"/>
        <v>135008.92142512603</v>
      </c>
      <c r="AG110" s="22"/>
      <c r="AH110" s="9">
        <f t="shared" si="37"/>
        <v>12616.490993399391</v>
      </c>
      <c r="AI110" s="9">
        <f t="shared" si="38"/>
        <v>95755.379193265704</v>
      </c>
      <c r="AJ110" s="9">
        <f t="shared" si="39"/>
        <v>93455.48883999532</v>
      </c>
      <c r="AK110" s="9">
        <f t="shared" si="44"/>
        <v>600.78528539997023</v>
      </c>
      <c r="AL110" s="9">
        <f t="shared" si="45"/>
        <v>1091.1806394353916</v>
      </c>
      <c r="AM110" s="9">
        <f t="shared" si="46"/>
        <v>4450.2613733331236</v>
      </c>
    </row>
    <row r="111" spans="4:39" ht="14.25" customHeight="1" x14ac:dyDescent="0.2">
      <c r="D111" s="1">
        <v>94</v>
      </c>
      <c r="E111" s="6">
        <f t="shared" si="40"/>
        <v>685.34025149330023</v>
      </c>
      <c r="F111" s="6">
        <f t="shared" si="41"/>
        <v>5763.0884784663804</v>
      </c>
      <c r="G111" s="6">
        <f t="shared" si="42"/>
        <v>529.5811034266402</v>
      </c>
      <c r="H111" s="6">
        <v>0.4</v>
      </c>
      <c r="I111" s="6">
        <v>1.5</v>
      </c>
      <c r="J111" s="6">
        <v>1</v>
      </c>
      <c r="K111" s="26">
        <f t="shared" si="35"/>
        <v>1.0272614721821605</v>
      </c>
      <c r="L111" s="6">
        <f t="shared" si="29"/>
        <v>59967.27200566377</v>
      </c>
      <c r="M111" s="6">
        <f t="shared" si="30"/>
        <v>481763.78025907301</v>
      </c>
      <c r="N111" s="6">
        <f t="shared" si="31"/>
        <v>79437.165513996035</v>
      </c>
      <c r="O111" s="6">
        <f t="shared" si="47"/>
        <v>0.4</v>
      </c>
      <c r="P111" s="6">
        <f t="shared" si="48"/>
        <v>1.5</v>
      </c>
      <c r="Q111" s="6">
        <f t="shared" si="49"/>
        <v>1</v>
      </c>
      <c r="R111" s="6"/>
      <c r="S111" s="38">
        <v>94</v>
      </c>
      <c r="T111" s="6">
        <f>VLOOKUP($S$13,角色设定!$AB$9:$AJ$21,MATCH(E$17,角色设定!$AB$9:$AJ$9,0),0)*Z111*$L$15*E111/Y111/(1+W111*(X111-1))</f>
        <v>47311.841225247721</v>
      </c>
      <c r="U111" s="6">
        <f>VLOOKUP($S$13,角色设定!$AB$9:$AJ$21,MATCH(F$17,角色设定!$AB$9:$AJ$9,0),0)*F111*$L$15/(1+V111/$N$16)</f>
        <v>345779.44961595483</v>
      </c>
      <c r="V111" s="6">
        <f>VLOOKUP($S$13,角色设定!$AB$9:$AJ$21,MATCH(V$17,角色设定!$AB$9:$AJ$9,0),0)*G111*$L$15</f>
        <v>350458.08314998244</v>
      </c>
      <c r="W111" s="6">
        <f>VLOOKUP($S$13,角色设定!$AB$9:$AJ$21,MATCH(W$17,角色设定!$AB$9:$AJ$9,0),0)*H111</f>
        <v>0.4</v>
      </c>
      <c r="X111" s="6">
        <f>VLOOKUP($S$13,角色设定!$AB$9:$AJ$21,MATCH(X$17,角色设定!$AB$9:$AJ$9,0),0)*I111</f>
        <v>1.5</v>
      </c>
      <c r="Y111" s="6">
        <f>VLOOKUP($S$13,角色设定!$AB$9:$AJ$21,MATCH(Y$17,角色设定!$AB$9:$AJ$9,0),0)*J111</f>
        <v>1</v>
      </c>
      <c r="Z111" s="6">
        <f>VLOOKUP($S$13,角色设定!$AB$9:$AJ$21,MATCH(Z$17,角色设定!$AB$9:$AJ$9,0),0)</f>
        <v>0.9</v>
      </c>
      <c r="AA111" s="6"/>
      <c r="AB111" s="6"/>
      <c r="AC111" s="6">
        <f>T111*战斗公式!$E$39*(1+W111*(X111-1))*Y111</f>
        <v>1419355.2367574314</v>
      </c>
      <c r="AD111" s="6">
        <f>U111*战斗公式!$E$41*(1+V111*战斗公式!$E$40)</f>
        <v>1557591.4806665895</v>
      </c>
      <c r="AE111" s="22">
        <f t="shared" si="36"/>
        <v>2976946.7174240211</v>
      </c>
      <c r="AF111" s="22">
        <f t="shared" si="43"/>
        <v>141759.36749638198</v>
      </c>
      <c r="AG111" s="22"/>
      <c r="AH111" s="9">
        <f t="shared" si="37"/>
        <v>13247.315543069362</v>
      </c>
      <c r="AI111" s="9">
        <f t="shared" si="38"/>
        <v>96818.245892467356</v>
      </c>
      <c r="AJ111" s="9">
        <f t="shared" si="39"/>
        <v>98128.263281995096</v>
      </c>
      <c r="AK111" s="9">
        <f t="shared" si="44"/>
        <v>630.82454966997102</v>
      </c>
      <c r="AL111" s="9">
        <f t="shared" si="45"/>
        <v>1062.8666992016515</v>
      </c>
      <c r="AM111" s="9">
        <f t="shared" si="46"/>
        <v>4672.7744419997762</v>
      </c>
    </row>
    <row r="112" spans="4:39" ht="14.25" customHeight="1" x14ac:dyDescent="0.2">
      <c r="D112" s="1">
        <v>95</v>
      </c>
      <c r="E112" s="6">
        <f t="shared" si="40"/>
        <v>719.60726406796527</v>
      </c>
      <c r="F112" s="6">
        <f t="shared" si="41"/>
        <v>6051.2429023896993</v>
      </c>
      <c r="G112" s="6">
        <f t="shared" si="42"/>
        <v>556.06015859797219</v>
      </c>
      <c r="H112" s="6">
        <v>0.4</v>
      </c>
      <c r="I112" s="6">
        <v>1.5</v>
      </c>
      <c r="J112" s="6">
        <v>1</v>
      </c>
      <c r="K112" s="26">
        <f t="shared" si="35"/>
        <v>1.0266553683474962</v>
      </c>
      <c r="L112" s="6">
        <f t="shared" si="29"/>
        <v>62965.635605946954</v>
      </c>
      <c r="M112" s="6">
        <f t="shared" si="30"/>
        <v>494897.37015297823</v>
      </c>
      <c r="N112" s="6">
        <f t="shared" si="31"/>
        <v>83409.023789695828</v>
      </c>
      <c r="O112" s="6">
        <f t="shared" si="47"/>
        <v>0.4</v>
      </c>
      <c r="P112" s="6">
        <f t="shared" si="48"/>
        <v>1.5</v>
      </c>
      <c r="Q112" s="6">
        <f t="shared" si="49"/>
        <v>1</v>
      </c>
      <c r="R112" s="6"/>
      <c r="S112" s="38">
        <v>95</v>
      </c>
      <c r="T112" s="6">
        <f>VLOOKUP($S$13,角色设定!$AB$9:$AJ$21,MATCH(E$17,角色设定!$AB$9:$AJ$9,0),0)*Z112*$L$15*E112/Y112/(1+W112*(X112-1))</f>
        <v>49677.43328651011</v>
      </c>
      <c r="U112" s="6">
        <f>VLOOKUP($S$13,角色设定!$AB$9:$AJ$21,MATCH(F$17,角色设定!$AB$9:$AJ$9,0),0)*F112*$L$15/(1+V112/$N$16)</f>
        <v>349473.82459051732</v>
      </c>
      <c r="V112" s="6">
        <f>VLOOKUP($S$13,角色设定!$AB$9:$AJ$21,MATCH(V$17,角色设定!$AB$9:$AJ$9,0),0)*G112*$L$15</f>
        <v>367980.98730748153</v>
      </c>
      <c r="W112" s="6">
        <f>VLOOKUP($S$13,角色设定!$AB$9:$AJ$21,MATCH(W$17,角色设定!$AB$9:$AJ$9,0),0)*H112</f>
        <v>0.4</v>
      </c>
      <c r="X112" s="6">
        <f>VLOOKUP($S$13,角色设定!$AB$9:$AJ$21,MATCH(X$17,角色设定!$AB$9:$AJ$9,0),0)*I112</f>
        <v>1.5</v>
      </c>
      <c r="Y112" s="6">
        <f>VLOOKUP($S$13,角色设定!$AB$9:$AJ$21,MATCH(Y$17,角色设定!$AB$9:$AJ$9,0),0)*J112</f>
        <v>1</v>
      </c>
      <c r="Z112" s="6">
        <f>VLOOKUP($S$13,角色设定!$AB$9:$AJ$21,MATCH(Z$17,角色设定!$AB$9:$AJ$9,0),0)</f>
        <v>0.9</v>
      </c>
      <c r="AA112" s="6"/>
      <c r="AB112" s="6"/>
      <c r="AC112" s="6">
        <f>T112*战斗公式!$E$39*(1+W112*(X112-1))*Y112</f>
        <v>1490322.9985953032</v>
      </c>
      <c r="AD112" s="6">
        <f>U112*战斗公式!$E$41*(1+V112*战斗公式!$E$40)</f>
        <v>1635471.0546999192</v>
      </c>
      <c r="AE112" s="22">
        <f t="shared" si="36"/>
        <v>3125794.0532952221</v>
      </c>
      <c r="AF112" s="22">
        <f t="shared" si="43"/>
        <v>148847.33587120101</v>
      </c>
      <c r="AG112" s="22"/>
      <c r="AH112" s="9">
        <f t="shared" si="37"/>
        <v>13909.681320222831</v>
      </c>
      <c r="AI112" s="9">
        <f t="shared" si="38"/>
        <v>97852.670885344865</v>
      </c>
      <c r="AJ112" s="9">
        <f t="shared" si="39"/>
        <v>103034.67644609483</v>
      </c>
      <c r="AK112" s="9">
        <f t="shared" si="44"/>
        <v>662.36577715346903</v>
      </c>
      <c r="AL112" s="9">
        <f t="shared" si="45"/>
        <v>1034.4249928775098</v>
      </c>
      <c r="AM112" s="9">
        <f t="shared" si="46"/>
        <v>4906.4131640997366</v>
      </c>
    </row>
    <row r="113" spans="4:39" ht="14.25" customHeight="1" x14ac:dyDescent="0.2">
      <c r="D113" s="1">
        <v>96</v>
      </c>
      <c r="E113" s="6">
        <f t="shared" si="40"/>
        <v>755.58762727136354</v>
      </c>
      <c r="F113" s="6">
        <f t="shared" si="41"/>
        <v>6353.805047509185</v>
      </c>
      <c r="G113" s="6">
        <f t="shared" si="42"/>
        <v>583.86316652787082</v>
      </c>
      <c r="H113" s="6">
        <v>0.4</v>
      </c>
      <c r="I113" s="6">
        <v>1.5</v>
      </c>
      <c r="J113" s="6">
        <v>1</v>
      </c>
      <c r="K113" s="26">
        <f t="shared" si="35"/>
        <v>1.0260473036385143</v>
      </c>
      <c r="L113" s="6">
        <f t="shared" si="29"/>
        <v>66113.917386244313</v>
      </c>
      <c r="M113" s="6">
        <f t="shared" si="30"/>
        <v>508089.04184861307</v>
      </c>
      <c r="N113" s="6">
        <f t="shared" si="31"/>
        <v>87579.474979180624</v>
      </c>
      <c r="O113" s="6">
        <f t="shared" si="47"/>
        <v>0.4</v>
      </c>
      <c r="P113" s="6">
        <f t="shared" si="48"/>
        <v>1.5</v>
      </c>
      <c r="Q113" s="6">
        <f t="shared" si="49"/>
        <v>1</v>
      </c>
      <c r="R113" s="6"/>
      <c r="S113" s="38">
        <v>96</v>
      </c>
      <c r="T113" s="6">
        <f>VLOOKUP($S$13,角色设定!$AB$9:$AJ$21,MATCH(E$17,角色设定!$AB$9:$AJ$9,0),0)*Z113*$L$15*E113/Y113/(1+W113*(X113-1))</f>
        <v>52161.304950835613</v>
      </c>
      <c r="U113" s="6">
        <f>VLOOKUP($S$13,角色设定!$AB$9:$AJ$21,MATCH(F$17,角色设定!$AB$9:$AJ$9,0),0)*F113*$L$15/(1+V113/$N$16)</f>
        <v>353066.42500830104</v>
      </c>
      <c r="V113" s="6">
        <f>VLOOKUP($S$13,角色设定!$AB$9:$AJ$21,MATCH(V$17,角色设定!$AB$9:$AJ$9,0),0)*G113*$L$15</f>
        <v>386380.03667285561</v>
      </c>
      <c r="W113" s="6">
        <f>VLOOKUP($S$13,角色设定!$AB$9:$AJ$21,MATCH(W$17,角色设定!$AB$9:$AJ$9,0),0)*H113</f>
        <v>0.4</v>
      </c>
      <c r="X113" s="6">
        <f>VLOOKUP($S$13,角色设定!$AB$9:$AJ$21,MATCH(X$17,角色设定!$AB$9:$AJ$9,0),0)*I113</f>
        <v>1.5</v>
      </c>
      <c r="Y113" s="6">
        <f>VLOOKUP($S$13,角色设定!$AB$9:$AJ$21,MATCH(Y$17,角色设定!$AB$9:$AJ$9,0),0)*J113</f>
        <v>1</v>
      </c>
      <c r="Z113" s="6">
        <f>VLOOKUP($S$13,角色设定!$AB$9:$AJ$21,MATCH(Z$17,角色设定!$AB$9:$AJ$9,0),0)</f>
        <v>0.9</v>
      </c>
      <c r="AA113" s="6"/>
      <c r="AB113" s="6"/>
      <c r="AC113" s="6">
        <f>T113*战斗公式!$E$39*(1+W113*(X113-1))*Y113</f>
        <v>1564839.1485250683</v>
      </c>
      <c r="AD113" s="6">
        <f>U113*战斗公式!$E$41*(1+V113*战斗公式!$E$40)</f>
        <v>1717244.6074349149</v>
      </c>
      <c r="AE113" s="22">
        <f t="shared" si="36"/>
        <v>3282083.755959983</v>
      </c>
      <c r="AF113" s="22">
        <f t="shared" si="43"/>
        <v>156289.70266476087</v>
      </c>
      <c r="AG113" s="22"/>
      <c r="AH113" s="9">
        <f t="shared" si="37"/>
        <v>14605.165386233974</v>
      </c>
      <c r="AI113" s="9">
        <f t="shared" si="38"/>
        <v>98858.599002324307</v>
      </c>
      <c r="AJ113" s="9">
        <f t="shared" si="39"/>
        <v>108186.41026839959</v>
      </c>
      <c r="AK113" s="9">
        <f t="shared" si="44"/>
        <v>695.4840660111422</v>
      </c>
      <c r="AL113" s="9">
        <f t="shared" si="45"/>
        <v>1005.9281169794413</v>
      </c>
      <c r="AM113" s="9">
        <f t="shared" si="46"/>
        <v>5151.7338223047554</v>
      </c>
    </row>
    <row r="114" spans="4:39" ht="14.25" customHeight="1" x14ac:dyDescent="0.2">
      <c r="D114" s="1">
        <v>97</v>
      </c>
      <c r="E114" s="6">
        <f t="shared" si="40"/>
        <v>793.36700863493172</v>
      </c>
      <c r="F114" s="6">
        <f t="shared" si="41"/>
        <v>6671.4952998846447</v>
      </c>
      <c r="G114" s="6">
        <f t="shared" si="42"/>
        <v>613.0563248542644</v>
      </c>
      <c r="H114" s="6">
        <v>0.4</v>
      </c>
      <c r="I114" s="6">
        <v>1.5</v>
      </c>
      <c r="J114" s="6">
        <v>1</v>
      </c>
      <c r="K114" s="26">
        <f t="shared" si="35"/>
        <v>1.0254379950666379</v>
      </c>
      <c r="L114" s="6">
        <f t="shared" si="29"/>
        <v>69419.613255556527</v>
      </c>
      <c r="M114" s="6">
        <f t="shared" ref="M114:M117" si="50">F114/(1+N114/$N$16)*$L$15</f>
        <v>521323.39139704563</v>
      </c>
      <c r="N114" s="6">
        <f t="shared" si="31"/>
        <v>91958.448728139658</v>
      </c>
      <c r="O114" s="6">
        <f t="shared" si="47"/>
        <v>0.4</v>
      </c>
      <c r="P114" s="6">
        <f t="shared" si="48"/>
        <v>1.5</v>
      </c>
      <c r="Q114" s="6">
        <f t="shared" si="49"/>
        <v>1</v>
      </c>
      <c r="R114" s="6"/>
      <c r="S114" s="38">
        <v>97</v>
      </c>
      <c r="T114" s="6">
        <f>VLOOKUP($S$13,角色设定!$AB$9:$AJ$21,MATCH(E$17,角色设定!$AB$9:$AJ$9,0),0)*Z114*$L$15*E114/Y114/(1+W114*(X114-1))</f>
        <v>54769.370198377394</v>
      </c>
      <c r="U114" s="6">
        <f>VLOOKUP($S$13,角色设定!$AB$9:$AJ$21,MATCH(F$17,角色设定!$AB$9:$AJ$9,0),0)*F114*$L$15/(1+V114/$N$16)</f>
        <v>356557.29999642656</v>
      </c>
      <c r="V114" s="6">
        <f>VLOOKUP($S$13,角色设定!$AB$9:$AJ$21,MATCH(V$17,角色设定!$AB$9:$AJ$9,0),0)*G114*$L$15</f>
        <v>405699.0385064985</v>
      </c>
      <c r="W114" s="6">
        <f>VLOOKUP($S$13,角色设定!$AB$9:$AJ$21,MATCH(W$17,角色设定!$AB$9:$AJ$9,0),0)*H114</f>
        <v>0.4</v>
      </c>
      <c r="X114" s="6">
        <f>VLOOKUP($S$13,角色设定!$AB$9:$AJ$21,MATCH(X$17,角色设定!$AB$9:$AJ$9,0),0)*I114</f>
        <v>1.5</v>
      </c>
      <c r="Y114" s="6">
        <f>VLOOKUP($S$13,角色设定!$AB$9:$AJ$21,MATCH(Y$17,角色设定!$AB$9:$AJ$9,0),0)*J114</f>
        <v>1</v>
      </c>
      <c r="Z114" s="6">
        <f>VLOOKUP($S$13,角色设定!$AB$9:$AJ$21,MATCH(Z$17,角色设定!$AB$9:$AJ$9,0),0)</f>
        <v>0.9</v>
      </c>
      <c r="AA114" s="6"/>
      <c r="AB114" s="6"/>
      <c r="AC114" s="6">
        <f>T114*战斗公式!$E$39*(1+W114*(X114-1))*Y114</f>
        <v>1643081.1059513215</v>
      </c>
      <c r="AD114" s="6">
        <f>U114*战斗公式!$E$41*(1+V114*战斗公式!$E$40)</f>
        <v>1803106.8378066607</v>
      </c>
      <c r="AE114" s="22">
        <f t="shared" si="36"/>
        <v>3446187.943757982</v>
      </c>
      <c r="AF114" s="22">
        <f t="shared" si="43"/>
        <v>164104.18779799901</v>
      </c>
      <c r="AG114" s="22"/>
      <c r="AH114" s="9">
        <f t="shared" si="37"/>
        <v>15335.423655545672</v>
      </c>
      <c r="AI114" s="9">
        <f t="shared" si="38"/>
        <v>99836.043998999448</v>
      </c>
      <c r="AJ114" s="9">
        <f t="shared" si="39"/>
        <v>113595.7307818196</v>
      </c>
      <c r="AK114" s="9">
        <f t="shared" si="44"/>
        <v>730.25826931169831</v>
      </c>
      <c r="AL114" s="9">
        <f t="shared" si="45"/>
        <v>977.44499667514174</v>
      </c>
      <c r="AM114" s="9">
        <f t="shared" si="46"/>
        <v>5409.3205134200107</v>
      </c>
    </row>
    <row r="115" spans="4:39" ht="14.25" customHeight="1" x14ac:dyDescent="0.2">
      <c r="D115" s="1">
        <v>98</v>
      </c>
      <c r="E115" s="6">
        <f t="shared" si="40"/>
        <v>833.03535906667832</v>
      </c>
      <c r="F115" s="6">
        <f t="shared" si="41"/>
        <v>7005.070064878877</v>
      </c>
      <c r="G115" s="6">
        <f t="shared" si="42"/>
        <v>643.70914109697765</v>
      </c>
      <c r="H115" s="6">
        <v>0.4</v>
      </c>
      <c r="I115" s="6">
        <v>1.5</v>
      </c>
      <c r="J115" s="6">
        <v>1</v>
      </c>
      <c r="K115" s="26">
        <f t="shared" si="35"/>
        <v>1.0248281655421068</v>
      </c>
      <c r="L115" s="6">
        <f t="shared" si="29"/>
        <v>72890.593918334343</v>
      </c>
      <c r="M115" s="6">
        <f t="shared" si="50"/>
        <v>534584.81325552659</v>
      </c>
      <c r="N115" s="6">
        <f t="shared" si="31"/>
        <v>96556.371164546654</v>
      </c>
      <c r="O115" s="6">
        <f t="shared" si="47"/>
        <v>0.4</v>
      </c>
      <c r="P115" s="6">
        <f t="shared" si="48"/>
        <v>1.5</v>
      </c>
      <c r="Q115" s="6">
        <f t="shared" si="49"/>
        <v>1</v>
      </c>
      <c r="R115" s="6"/>
      <c r="S115" s="38">
        <v>98</v>
      </c>
      <c r="T115" s="6">
        <f>VLOOKUP($S$13,角色设定!$AB$9:$AJ$21,MATCH(E$17,角色设定!$AB$9:$AJ$9,0),0)*Z115*$L$15*E115/Y115/(1+W115*(X115-1))</f>
        <v>57507.838708296258</v>
      </c>
      <c r="U115" s="6">
        <f>VLOOKUP($S$13,角色设定!$AB$9:$AJ$21,MATCH(F$17,角色设定!$AB$9:$AJ$9,0),0)*F115*$L$15/(1+V115/$N$16)</f>
        <v>359946.73110538209</v>
      </c>
      <c r="V115" s="6">
        <f>VLOOKUP($S$13,角色设定!$AB$9:$AJ$21,MATCH(V$17,角色设定!$AB$9:$AJ$9,0),0)*G115*$L$15</f>
        <v>425983.99043182336</v>
      </c>
      <c r="W115" s="6">
        <f>VLOOKUP($S$13,角色设定!$AB$9:$AJ$21,MATCH(W$17,角色设定!$AB$9:$AJ$9,0),0)*H115</f>
        <v>0.4</v>
      </c>
      <c r="X115" s="6">
        <f>VLOOKUP($S$13,角色设定!$AB$9:$AJ$21,MATCH(X$17,角色设定!$AB$9:$AJ$9,0),0)*I115</f>
        <v>1.5</v>
      </c>
      <c r="Y115" s="6">
        <f>VLOOKUP($S$13,角色设定!$AB$9:$AJ$21,MATCH(Y$17,角色设定!$AB$9:$AJ$9,0),0)*J115</f>
        <v>1</v>
      </c>
      <c r="Z115" s="6">
        <f>VLOOKUP($S$13,角色设定!$AB$9:$AJ$21,MATCH(Z$17,角色设定!$AB$9:$AJ$9,0),0)</f>
        <v>0.9</v>
      </c>
      <c r="AA115" s="6"/>
      <c r="AB115" s="6"/>
      <c r="AC115" s="6">
        <f>T115*战斗公式!$E$39*(1+W115*(X115-1))*Y115</f>
        <v>1725235.1612488877</v>
      </c>
      <c r="AD115" s="6">
        <f>U115*战斗公式!$E$41*(1+V115*战斗公式!$E$40)</f>
        <v>1893262.1796969941</v>
      </c>
      <c r="AE115" s="22">
        <f t="shared" si="36"/>
        <v>3618497.3409458818</v>
      </c>
      <c r="AF115" s="22">
        <f t="shared" si="43"/>
        <v>172309.3971878998</v>
      </c>
      <c r="AG115" s="22"/>
      <c r="AH115" s="9">
        <f t="shared" si="37"/>
        <v>16102.194838322954</v>
      </c>
      <c r="AI115" s="9">
        <f t="shared" si="38"/>
        <v>100785.08470950699</v>
      </c>
      <c r="AJ115" s="9">
        <f t="shared" si="39"/>
        <v>119275.51732091056</v>
      </c>
      <c r="AK115" s="9">
        <f t="shared" si="44"/>
        <v>766.77118277728187</v>
      </c>
      <c r="AL115" s="9">
        <f t="shared" si="45"/>
        <v>949.04071050754283</v>
      </c>
      <c r="AM115" s="9">
        <f t="shared" si="46"/>
        <v>5679.7865390909574</v>
      </c>
    </row>
    <row r="116" spans="4:39" ht="14.25" customHeight="1" x14ac:dyDescent="0.2">
      <c r="D116" s="1">
        <v>99</v>
      </c>
      <c r="E116" s="6">
        <f t="shared" si="40"/>
        <v>874.68712702001233</v>
      </c>
      <c r="F116" s="6">
        <f t="shared" si="41"/>
        <v>7355.3235681228216</v>
      </c>
      <c r="G116" s="6">
        <f t="shared" si="42"/>
        <v>675.89459815182659</v>
      </c>
      <c r="H116" s="6">
        <v>0.4</v>
      </c>
      <c r="I116" s="6">
        <v>1.5</v>
      </c>
      <c r="J116" s="6">
        <v>1</v>
      </c>
      <c r="K116" s="26">
        <f>M117/M116</f>
        <v>1.0242185404510606</v>
      </c>
      <c r="L116" s="6">
        <f t="shared" si="29"/>
        <v>76535.12361425109</v>
      </c>
      <c r="M116" s="6">
        <f t="shared" si="50"/>
        <v>547857.57349533099</v>
      </c>
      <c r="N116" s="6">
        <f t="shared" si="31"/>
        <v>101384.18972277398</v>
      </c>
      <c r="O116" s="6">
        <f t="shared" si="47"/>
        <v>0.4</v>
      </c>
      <c r="P116" s="6">
        <f t="shared" si="48"/>
        <v>1.5</v>
      </c>
      <c r="Q116" s="6">
        <f t="shared" si="49"/>
        <v>1</v>
      </c>
      <c r="R116" s="6"/>
      <c r="S116" s="38">
        <v>99</v>
      </c>
      <c r="T116" s="6">
        <f>VLOOKUP($S$13,角色设定!$AB$9:$AJ$21,MATCH(E$17,角色设定!$AB$9:$AJ$9,0),0)*Z116*$L$15*E116/Y116/(1+W116*(X116-1))</f>
        <v>60383.230643711082</v>
      </c>
      <c r="U116" s="6">
        <f>VLOOKUP($S$13,角色设定!$AB$9:$AJ$21,MATCH(F$17,角色设定!$AB$9:$AJ$9,0),0)*F116*$L$15/(1+V116/$N$16)</f>
        <v>363235.21810546715</v>
      </c>
      <c r="V116" s="6">
        <f>VLOOKUP($S$13,角色设定!$AB$9:$AJ$21,MATCH(V$17,角色设定!$AB$9:$AJ$9,0),0)*G116*$L$15</f>
        <v>447283.18995341461</v>
      </c>
      <c r="W116" s="6">
        <f>VLOOKUP($S$13,角色设定!$AB$9:$AJ$21,MATCH(W$17,角色设定!$AB$9:$AJ$9,0),0)*H116</f>
        <v>0.4</v>
      </c>
      <c r="X116" s="6">
        <f>VLOOKUP($S$13,角色设定!$AB$9:$AJ$21,MATCH(X$17,角色设定!$AB$9:$AJ$9,0),0)*I116</f>
        <v>1.5</v>
      </c>
      <c r="Y116" s="6">
        <f>VLOOKUP($S$13,角色设定!$AB$9:$AJ$21,MATCH(Y$17,角色设定!$AB$9:$AJ$9,0),0)*J116</f>
        <v>1</v>
      </c>
      <c r="Z116" s="6">
        <f>VLOOKUP($S$13,角色设定!$AB$9:$AJ$21,MATCH(Z$17,角色设定!$AB$9:$AJ$9,0),0)</f>
        <v>0.9</v>
      </c>
      <c r="AA116" s="6"/>
      <c r="AB116" s="6"/>
      <c r="AC116" s="6">
        <f>T116*战斗公式!$E$39*(1+W116*(X116-1))*Y116</f>
        <v>1811496.9193113323</v>
      </c>
      <c r="AD116" s="6">
        <f>U116*战斗公式!$E$41*(1+V116*战斗公式!$E$40)</f>
        <v>1987925.2886818436</v>
      </c>
      <c r="AE116" s="22">
        <f t="shared" si="36"/>
        <v>3799422.2079931758</v>
      </c>
      <c r="AF116" s="22">
        <f t="shared" si="43"/>
        <v>180924.86704729404</v>
      </c>
      <c r="AG116" s="22"/>
      <c r="AH116" s="9">
        <f t="shared" si="37"/>
        <v>16907.304580239106</v>
      </c>
      <c r="AI116" s="9">
        <f t="shared" si="38"/>
        <v>101705.86106953082</v>
      </c>
      <c r="AJ116" s="9">
        <f t="shared" si="39"/>
        <v>125239.2931869561</v>
      </c>
      <c r="AK116" s="9">
        <f t="shared" si="44"/>
        <v>805.10974191615242</v>
      </c>
      <c r="AL116" s="9">
        <f t="shared" si="45"/>
        <v>920.77636002382496</v>
      </c>
      <c r="AM116" s="9">
        <f t="shared" si="46"/>
        <v>5963.7758660455438</v>
      </c>
    </row>
    <row r="117" spans="4:39" ht="14.25" customHeight="1" x14ac:dyDescent="0.2">
      <c r="D117" s="1">
        <v>100</v>
      </c>
      <c r="E117" s="6">
        <f t="shared" si="40"/>
        <v>918.42148337101298</v>
      </c>
      <c r="F117" s="6">
        <f t="shared" si="41"/>
        <v>7723.0897465289627</v>
      </c>
      <c r="G117" s="6">
        <f t="shared" si="42"/>
        <v>709.6893280594179</v>
      </c>
      <c r="H117" s="6">
        <v>0.4</v>
      </c>
      <c r="I117" s="6">
        <v>1.5</v>
      </c>
      <c r="J117" s="6">
        <v>1</v>
      </c>
      <c r="K117" s="26"/>
      <c r="L117" s="6">
        <f t="shared" si="29"/>
        <v>80361.879794963621</v>
      </c>
      <c r="M117" s="6">
        <f t="shared" si="50"/>
        <v>561125.88430044753</v>
      </c>
      <c r="N117" s="6">
        <f t="shared" si="31"/>
        <v>106453.39920891268</v>
      </c>
      <c r="O117" s="6">
        <f t="shared" si="47"/>
        <v>0.4</v>
      </c>
      <c r="P117" s="6">
        <f t="shared" si="48"/>
        <v>1.5</v>
      </c>
      <c r="Q117" s="6">
        <f t="shared" si="49"/>
        <v>1</v>
      </c>
      <c r="R117" s="6"/>
      <c r="S117" s="38">
        <v>100</v>
      </c>
      <c r="T117" s="6">
        <f>VLOOKUP($S$13,角色设定!$AB$9:$AJ$21,MATCH(E$17,角色设定!$AB$9:$AJ$9,0),0)*Z117*$L$15*E117/Y117/(1+W117*(X117-1))</f>
        <v>63402.392175896639</v>
      </c>
      <c r="U117" s="6">
        <f>VLOOKUP($S$13,角色设定!$AB$9:$AJ$21,MATCH(F$17,角色设定!$AB$9:$AJ$9,0),0)*F117*$L$15/(1+V117/$N$16)</f>
        <v>366423.46446925245</v>
      </c>
      <c r="V117" s="6">
        <f>VLOOKUP($S$13,角色设定!$AB$9:$AJ$21,MATCH(V$17,角色设定!$AB$9:$AJ$9,0),0)*G117*$L$15</f>
        <v>469647.34945108532</v>
      </c>
      <c r="W117" s="6">
        <f>VLOOKUP($S$13,角色设定!$AB$9:$AJ$21,MATCH(W$17,角色设定!$AB$9:$AJ$9,0),0)*H117</f>
        <v>0.4</v>
      </c>
      <c r="X117" s="6">
        <f>VLOOKUP($S$13,角色设定!$AB$9:$AJ$21,MATCH(X$17,角色设定!$AB$9:$AJ$9,0),0)*I117</f>
        <v>1.5</v>
      </c>
      <c r="Y117" s="6">
        <f>VLOOKUP($S$13,角色设定!$AB$9:$AJ$21,MATCH(Y$17,角色设定!$AB$9:$AJ$9,0),0)*J117</f>
        <v>1</v>
      </c>
      <c r="Z117" s="6">
        <f>VLOOKUP($S$13,角色设定!$AB$9:$AJ$21,MATCH(Z$17,角色设定!$AB$9:$AJ$9,0),0)</f>
        <v>0.9</v>
      </c>
      <c r="AA117" s="6"/>
      <c r="AB117" s="6"/>
      <c r="AC117" s="6">
        <f>T117*战斗公式!$E$39*(1+W117*(X117-1))*Y117</f>
        <v>1902071.7652768991</v>
      </c>
      <c r="AD117" s="6">
        <f>U117*战斗公式!$E$41*(1+V117*战斗公式!$E$40)</f>
        <v>2087321.5531159362</v>
      </c>
      <c r="AE117" s="22">
        <f t="shared" si="36"/>
        <v>3989393.3183928356</v>
      </c>
      <c r="AF117" s="22">
        <f t="shared" si="43"/>
        <v>189971.11039965972</v>
      </c>
      <c r="AG117" s="22"/>
      <c r="AH117" s="9">
        <f t="shared" si="37"/>
        <v>17752.66980925106</v>
      </c>
      <c r="AI117" s="9">
        <f t="shared" si="38"/>
        <v>102598.57005139069</v>
      </c>
      <c r="AJ117" s="9">
        <f t="shared" si="39"/>
        <v>131501.2578463039</v>
      </c>
      <c r="AK117" s="9">
        <f t="shared" si="44"/>
        <v>845.36522901195349</v>
      </c>
      <c r="AL117" s="9">
        <f t="shared" si="45"/>
        <v>892.70898185987608</v>
      </c>
      <c r="AM117" s="9">
        <f t="shared" si="46"/>
        <v>6261.9646593477955</v>
      </c>
    </row>
    <row r="118" spans="4:39" ht="14.25" customHeight="1" x14ac:dyDescent="0.2">
      <c r="M118" s="6">
        <f>M117/L117</f>
        <v>6.9824882858901711</v>
      </c>
      <c r="N118" s="6">
        <f>M117/N117</f>
        <v>5.271094098172</v>
      </c>
      <c r="U118" s="6">
        <f>U117/T117</f>
        <v>5.7793318500142297</v>
      </c>
      <c r="V118" s="6">
        <f>U117/V117</f>
        <v>0.78020979975192251</v>
      </c>
      <c r="AI118" s="1">
        <f t="shared" ref="AI118" si="51">M118*$F$5*2</f>
        <v>3.9101934400984963</v>
      </c>
      <c r="AJ118" s="1">
        <f t="shared" ref="AJ118" si="52">N118*$F$5*2</f>
        <v>2.9518126949763204</v>
      </c>
      <c r="AK118" s="9">
        <f t="shared" si="44"/>
        <v>-17752.66980925106</v>
      </c>
      <c r="AL118" s="9">
        <f t="shared" si="45"/>
        <v>-102594.6598579506</v>
      </c>
      <c r="AM118" s="9">
        <f t="shared" si="46"/>
        <v>-131498.30603360891</v>
      </c>
    </row>
    <row r="119" spans="4:39" ht="14.25" customHeight="1" x14ac:dyDescent="0.2">
      <c r="L119" s="6">
        <f>L117/100</f>
        <v>803.61879794963625</v>
      </c>
      <c r="M119" s="6">
        <f>M117/100</f>
        <v>5611.2588430044752</v>
      </c>
      <c r="N119" s="6">
        <f t="shared" ref="N119" si="53">N117/100</f>
        <v>1064.5339920891267</v>
      </c>
    </row>
    <row r="121" spans="4:39" ht="14.25" customHeight="1" x14ac:dyDescent="0.2">
      <c r="L121" s="8">
        <f>L119*0.4</f>
        <v>321.44751917985451</v>
      </c>
      <c r="M121" s="8">
        <f>M119*0.4</f>
        <v>2244.5035372017901</v>
      </c>
      <c r="N121" s="8">
        <f>N119*4</f>
        <v>4258.135968356507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011D5-9AD7-4695-94D9-52154B25E213}">
  <sheetPr codeName="Sheet6"/>
  <dimension ref="A1:AK122"/>
  <sheetViews>
    <sheetView workbookViewId="0">
      <selection activeCell="F6" sqref="F6"/>
    </sheetView>
  </sheetViews>
  <sheetFormatPr defaultRowHeight="14.25" x14ac:dyDescent="0.2"/>
  <cols>
    <col min="1" max="16384" width="9" style="1"/>
  </cols>
  <sheetData>
    <row r="1" spans="1:33" ht="14.25" customHeight="1" x14ac:dyDescent="0.2">
      <c r="A1" s="79" t="s">
        <v>185</v>
      </c>
      <c r="B1" s="80"/>
      <c r="AB1" s="9"/>
    </row>
    <row r="2" spans="1:33" ht="14.25" customHeight="1" x14ac:dyDescent="0.2">
      <c r="A2" s="81"/>
      <c r="B2" s="82"/>
      <c r="E2" s="24"/>
      <c r="AB2" s="9"/>
    </row>
    <row r="3" spans="1:33" ht="14.25" customHeight="1" x14ac:dyDescent="0.2">
      <c r="C3" s="3" t="s">
        <v>184</v>
      </c>
      <c r="D3" s="25" t="s">
        <v>119</v>
      </c>
      <c r="E3" s="3" t="s">
        <v>123</v>
      </c>
      <c r="AB3" s="9"/>
    </row>
    <row r="4" spans="1:33" ht="14.25" customHeight="1" x14ac:dyDescent="0.2">
      <c r="C4" s="1">
        <v>0</v>
      </c>
      <c r="D4" s="1">
        <v>10</v>
      </c>
      <c r="E4" s="4">
        <f>D4/$D$14</f>
        <v>0.5</v>
      </c>
      <c r="AB4" s="9"/>
    </row>
    <row r="5" spans="1:33" s="3" customFormat="1" ht="14.25" customHeight="1" x14ac:dyDescent="0.2">
      <c r="C5" s="1">
        <v>1</v>
      </c>
      <c r="D5" s="1">
        <v>11</v>
      </c>
      <c r="E5" s="4">
        <f t="shared" ref="E5:E14" si="0">D5/$D$14</f>
        <v>0.55000000000000004</v>
      </c>
      <c r="G5" s="1"/>
      <c r="H5" s="1"/>
      <c r="I5" s="1"/>
      <c r="J5" s="1"/>
      <c r="K5" s="1"/>
      <c r="L5" s="1"/>
      <c r="M5" s="1"/>
      <c r="Z5" s="1"/>
      <c r="AA5" s="1"/>
      <c r="AB5" s="9"/>
    </row>
    <row r="6" spans="1:33" ht="14.25" customHeight="1" x14ac:dyDescent="0.2">
      <c r="C6" s="1">
        <v>2</v>
      </c>
      <c r="D6" s="1">
        <v>12</v>
      </c>
      <c r="E6" s="4">
        <f t="shared" si="0"/>
        <v>0.6</v>
      </c>
      <c r="F6" s="20"/>
      <c r="G6" s="20"/>
      <c r="H6" s="20"/>
      <c r="I6" s="20"/>
      <c r="J6" s="20"/>
      <c r="Z6" s="9"/>
    </row>
    <row r="7" spans="1:33" ht="14.25" customHeight="1" x14ac:dyDescent="0.2">
      <c r="C7" s="1">
        <v>3</v>
      </c>
      <c r="D7" s="1">
        <v>13</v>
      </c>
      <c r="E7" s="4">
        <f t="shared" si="0"/>
        <v>0.65</v>
      </c>
      <c r="F7" s="36"/>
      <c r="G7" s="36"/>
      <c r="Z7" s="9"/>
    </row>
    <row r="8" spans="1:33" ht="14.25" customHeight="1" x14ac:dyDescent="0.2">
      <c r="C8" s="1">
        <v>4</v>
      </c>
      <c r="D8" s="1">
        <v>14</v>
      </c>
      <c r="E8" s="4">
        <f t="shared" si="0"/>
        <v>0.7</v>
      </c>
      <c r="F8" s="36"/>
      <c r="G8" s="36"/>
      <c r="Z8" s="9"/>
    </row>
    <row r="9" spans="1:33" ht="14.25" customHeight="1" x14ac:dyDescent="0.2">
      <c r="C9" s="1">
        <v>5</v>
      </c>
      <c r="D9" s="1">
        <v>15</v>
      </c>
      <c r="E9" s="4">
        <f t="shared" si="0"/>
        <v>0.75</v>
      </c>
      <c r="F9" s="36"/>
      <c r="G9" s="36"/>
      <c r="K9" s="6"/>
      <c r="Z9" s="9"/>
    </row>
    <row r="10" spans="1:33" ht="14.25" customHeight="1" x14ac:dyDescent="0.2">
      <c r="C10" s="1">
        <v>6</v>
      </c>
      <c r="D10" s="1">
        <v>16</v>
      </c>
      <c r="E10" s="4">
        <f t="shared" si="0"/>
        <v>0.8</v>
      </c>
      <c r="Z10" s="9"/>
    </row>
    <row r="11" spans="1:33" ht="14.25" customHeight="1" x14ac:dyDescent="0.2">
      <c r="C11" s="1">
        <v>7</v>
      </c>
      <c r="D11" s="1">
        <v>17</v>
      </c>
      <c r="E11" s="4">
        <f t="shared" si="0"/>
        <v>0.85</v>
      </c>
      <c r="L11" s="26"/>
      <c r="Z11" s="9"/>
    </row>
    <row r="12" spans="1:33" ht="14.25" customHeight="1" x14ac:dyDescent="0.2">
      <c r="C12" s="1">
        <v>8</v>
      </c>
      <c r="D12" s="1">
        <v>18</v>
      </c>
      <c r="E12" s="4">
        <f t="shared" si="0"/>
        <v>0.9</v>
      </c>
      <c r="AB12" s="9"/>
    </row>
    <row r="13" spans="1:33" ht="14.25" customHeight="1" x14ac:dyDescent="0.2">
      <c r="C13" s="1">
        <v>9</v>
      </c>
      <c r="D13" s="1">
        <v>19</v>
      </c>
      <c r="E13" s="4">
        <f t="shared" si="0"/>
        <v>0.95</v>
      </c>
      <c r="I13" s="2"/>
      <c r="AB13" s="9"/>
    </row>
    <row r="14" spans="1:33" ht="14.25" customHeight="1" x14ac:dyDescent="0.2">
      <c r="C14" s="1">
        <v>10</v>
      </c>
      <c r="D14" s="32">
        <v>20</v>
      </c>
      <c r="E14" s="4">
        <f t="shared" si="0"/>
        <v>1</v>
      </c>
      <c r="J14" s="2"/>
      <c r="P14" s="3"/>
      <c r="AB14" s="4"/>
    </row>
    <row r="15" spans="1:33" ht="14.25" customHeight="1" x14ac:dyDescent="0.2">
      <c r="E15" s="6"/>
      <c r="L15" s="8"/>
      <c r="M15" s="8"/>
      <c r="AF15" s="9"/>
      <c r="AG15" s="9"/>
    </row>
    <row r="16" spans="1:33" ht="14.25" customHeight="1" x14ac:dyDescent="0.2">
      <c r="C16" s="40" t="s">
        <v>187</v>
      </c>
      <c r="D16" s="41" t="s">
        <v>186</v>
      </c>
      <c r="N16" s="6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6"/>
    </row>
    <row r="17" spans="2:37" ht="14.25" customHeight="1" x14ac:dyDescent="0.2">
      <c r="C17" s="6" t="s">
        <v>167</v>
      </c>
      <c r="D17" s="1">
        <v>0.6</v>
      </c>
      <c r="E17" s="26"/>
      <c r="AC17" s="22"/>
    </row>
    <row r="18" spans="2:37" ht="14.25" customHeight="1" x14ac:dyDescent="0.2">
      <c r="C18" s="6" t="s">
        <v>188</v>
      </c>
      <c r="D18" s="1">
        <v>0.8</v>
      </c>
    </row>
    <row r="19" spans="2:37" ht="14.25" customHeight="1" x14ac:dyDescent="0.2">
      <c r="C19" s="6" t="s">
        <v>189</v>
      </c>
      <c r="D19" s="1">
        <v>1</v>
      </c>
      <c r="E19" s="6"/>
      <c r="F19" s="6"/>
      <c r="G19" s="6"/>
      <c r="H19" s="6"/>
      <c r="I19" s="26"/>
      <c r="J19" s="6"/>
      <c r="K19" s="6"/>
      <c r="L19" s="6"/>
      <c r="M19" s="6"/>
      <c r="N19" s="6"/>
      <c r="O19" s="6"/>
      <c r="P19" s="6"/>
      <c r="Q19" s="38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22"/>
      <c r="AF19" s="9"/>
      <c r="AG19" s="9"/>
      <c r="AH19" s="9"/>
    </row>
    <row r="20" spans="2:37" ht="14.25" customHeight="1" x14ac:dyDescent="0.2">
      <c r="C20" s="6" t="s">
        <v>190</v>
      </c>
      <c r="D20" s="1">
        <v>1.2</v>
      </c>
      <c r="E20" s="6"/>
      <c r="F20" s="6"/>
      <c r="G20" s="6"/>
      <c r="H20" s="6"/>
      <c r="I20" s="26"/>
      <c r="J20" s="6"/>
      <c r="K20" s="6"/>
      <c r="L20" s="6"/>
      <c r="M20" s="6"/>
      <c r="N20" s="6"/>
      <c r="O20" s="6"/>
      <c r="P20" s="6"/>
      <c r="Q20" s="38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22"/>
      <c r="AD20" s="22"/>
      <c r="AE20" s="22"/>
      <c r="AF20" s="9"/>
      <c r="AG20" s="9"/>
      <c r="AH20" s="9"/>
      <c r="AI20" s="9"/>
      <c r="AJ20" s="9"/>
      <c r="AK20" s="9"/>
    </row>
    <row r="21" spans="2:37" ht="14.25" customHeight="1" x14ac:dyDescent="0.2">
      <c r="C21" s="6"/>
      <c r="E21" s="6"/>
      <c r="F21" s="6"/>
      <c r="G21" s="6"/>
      <c r="H21" s="6"/>
      <c r="I21" s="26"/>
      <c r="J21" s="6"/>
      <c r="K21" s="6"/>
      <c r="L21" s="6"/>
      <c r="M21" s="6"/>
      <c r="N21" s="6"/>
      <c r="O21" s="6"/>
      <c r="P21" s="6"/>
      <c r="Q21" s="38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22"/>
      <c r="AD21" s="22"/>
      <c r="AE21" s="22"/>
      <c r="AF21" s="9"/>
      <c r="AG21" s="9"/>
      <c r="AH21" s="9"/>
      <c r="AI21" s="9"/>
      <c r="AJ21" s="9"/>
      <c r="AK21" s="9"/>
    </row>
    <row r="22" spans="2:37" ht="14.25" customHeight="1" x14ac:dyDescent="0.2">
      <c r="B22" s="6"/>
      <c r="E22" s="6"/>
      <c r="F22" s="6"/>
      <c r="G22" s="6"/>
      <c r="H22" s="6"/>
      <c r="I22" s="26"/>
      <c r="J22" s="6"/>
      <c r="K22" s="6"/>
      <c r="L22" s="6"/>
      <c r="M22" s="6"/>
      <c r="N22" s="6"/>
      <c r="O22" s="6"/>
      <c r="P22" s="6"/>
      <c r="Q22" s="38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22"/>
      <c r="AD22" s="22"/>
      <c r="AE22" s="22"/>
      <c r="AF22" s="9"/>
      <c r="AG22" s="9"/>
      <c r="AH22" s="9"/>
      <c r="AI22" s="9"/>
      <c r="AJ22" s="9"/>
      <c r="AK22" s="9"/>
    </row>
    <row r="23" spans="2:37" ht="14.25" customHeight="1" x14ac:dyDescent="0.2">
      <c r="B23" s="6"/>
      <c r="C23" s="6"/>
      <c r="E23" s="6"/>
      <c r="F23" s="6"/>
      <c r="G23" s="6"/>
      <c r="H23" s="6"/>
      <c r="I23" s="26"/>
      <c r="J23" s="6"/>
      <c r="K23" s="6"/>
      <c r="L23" s="6"/>
      <c r="M23" s="6"/>
      <c r="N23" s="6"/>
      <c r="O23" s="6"/>
      <c r="P23" s="6"/>
      <c r="Q23" s="38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22"/>
      <c r="AD23" s="22"/>
      <c r="AE23" s="22"/>
      <c r="AF23" s="9"/>
      <c r="AG23" s="9"/>
      <c r="AH23" s="9"/>
      <c r="AI23" s="9"/>
      <c r="AJ23" s="9"/>
      <c r="AK23" s="9"/>
    </row>
    <row r="24" spans="2:37" ht="14.25" customHeight="1" x14ac:dyDescent="0.2">
      <c r="C24" s="6"/>
      <c r="E24" s="6"/>
      <c r="F24" s="6"/>
      <c r="G24" s="6"/>
      <c r="H24" s="6"/>
      <c r="I24" s="26"/>
      <c r="J24" s="6"/>
      <c r="K24" s="6"/>
      <c r="L24" s="6"/>
      <c r="M24" s="6"/>
      <c r="N24" s="6"/>
      <c r="O24" s="6"/>
      <c r="P24" s="6"/>
      <c r="Q24" s="38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22"/>
      <c r="AD24" s="22"/>
      <c r="AE24" s="22"/>
      <c r="AF24" s="9"/>
      <c r="AG24" s="9"/>
      <c r="AH24" s="9"/>
      <c r="AI24" s="9"/>
      <c r="AJ24" s="9"/>
      <c r="AK24" s="9"/>
    </row>
    <row r="25" spans="2:37" ht="14.25" customHeight="1" x14ac:dyDescent="0.2">
      <c r="E25" s="6"/>
      <c r="F25" s="6"/>
      <c r="G25" s="6"/>
      <c r="H25" s="6"/>
      <c r="I25" s="26"/>
      <c r="J25" s="6"/>
      <c r="K25" s="6"/>
      <c r="L25" s="6"/>
      <c r="M25" s="6"/>
      <c r="N25" s="6"/>
      <c r="O25" s="6"/>
      <c r="P25" s="6"/>
      <c r="Q25" s="38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22"/>
      <c r="AD25" s="22"/>
      <c r="AE25" s="22"/>
      <c r="AF25" s="9"/>
      <c r="AG25" s="9"/>
      <c r="AH25" s="9"/>
      <c r="AI25" s="9"/>
      <c r="AJ25" s="9"/>
      <c r="AK25" s="9"/>
    </row>
    <row r="26" spans="2:37" ht="14.25" customHeight="1" x14ac:dyDescent="0.2">
      <c r="B26" s="33"/>
      <c r="C26" s="6"/>
      <c r="E26" s="6"/>
      <c r="F26" s="6"/>
      <c r="G26" s="6"/>
      <c r="H26" s="6"/>
      <c r="I26" s="26"/>
      <c r="J26" s="6"/>
      <c r="K26" s="6"/>
      <c r="L26" s="6"/>
      <c r="M26" s="6"/>
      <c r="N26" s="6"/>
      <c r="O26" s="6"/>
      <c r="P26" s="6"/>
      <c r="Q26" s="38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22"/>
      <c r="AD26" s="22"/>
      <c r="AE26" s="22"/>
      <c r="AF26" s="9"/>
      <c r="AG26" s="9"/>
      <c r="AH26" s="9"/>
      <c r="AI26" s="9"/>
      <c r="AJ26" s="9"/>
      <c r="AK26" s="9"/>
    </row>
    <row r="27" spans="2:37" ht="14.25" customHeight="1" x14ac:dyDescent="0.2">
      <c r="B27" s="33"/>
      <c r="C27" s="6"/>
      <c r="E27" s="6"/>
      <c r="F27" s="6"/>
      <c r="G27" s="6"/>
      <c r="H27" s="6"/>
      <c r="I27" s="26"/>
      <c r="J27" s="6"/>
      <c r="K27" s="6"/>
      <c r="L27" s="6"/>
      <c r="M27" s="6"/>
      <c r="N27" s="6"/>
      <c r="O27" s="6"/>
      <c r="P27" s="6"/>
      <c r="Q27" s="38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22"/>
      <c r="AD27" s="22"/>
      <c r="AE27" s="22"/>
      <c r="AF27" s="9"/>
      <c r="AG27" s="9"/>
      <c r="AH27" s="9"/>
      <c r="AI27" s="9"/>
      <c r="AJ27" s="9"/>
      <c r="AK27" s="9"/>
    </row>
    <row r="28" spans="2:37" ht="14.25" customHeight="1" x14ac:dyDescent="0.2">
      <c r="B28" s="33"/>
      <c r="C28" s="6"/>
      <c r="E28" s="6"/>
      <c r="F28" s="6"/>
      <c r="G28" s="6"/>
      <c r="H28" s="6"/>
      <c r="I28" s="26"/>
      <c r="J28" s="6"/>
      <c r="K28" s="6"/>
      <c r="L28" s="6"/>
      <c r="M28" s="6"/>
      <c r="N28" s="6"/>
      <c r="O28" s="6"/>
      <c r="P28" s="6"/>
      <c r="Q28" s="38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22"/>
      <c r="AD28" s="22"/>
      <c r="AE28" s="22"/>
      <c r="AF28" s="9"/>
      <c r="AG28" s="9"/>
      <c r="AH28" s="9"/>
      <c r="AI28" s="9"/>
      <c r="AJ28" s="9"/>
      <c r="AK28" s="9"/>
    </row>
    <row r="29" spans="2:37" ht="14.25" customHeight="1" x14ac:dyDescent="0.2">
      <c r="B29" s="33"/>
      <c r="C29" s="6"/>
      <c r="E29" s="6"/>
      <c r="F29" s="6"/>
      <c r="G29" s="6"/>
      <c r="H29" s="6"/>
      <c r="I29" s="26"/>
      <c r="J29" s="6"/>
      <c r="K29" s="6"/>
      <c r="L29" s="6"/>
      <c r="M29" s="6"/>
      <c r="N29" s="6"/>
      <c r="O29" s="6"/>
      <c r="P29" s="6"/>
      <c r="Q29" s="38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22"/>
      <c r="AD29" s="22"/>
      <c r="AE29" s="22"/>
      <c r="AF29" s="9"/>
      <c r="AG29" s="9"/>
      <c r="AH29" s="9"/>
      <c r="AI29" s="9"/>
      <c r="AJ29" s="9"/>
      <c r="AK29" s="9"/>
    </row>
    <row r="30" spans="2:37" ht="14.25" customHeight="1" x14ac:dyDescent="0.2">
      <c r="B30" s="33"/>
      <c r="C30" s="6"/>
      <c r="E30" s="6"/>
      <c r="F30" s="6"/>
      <c r="G30" s="6"/>
      <c r="H30" s="6"/>
      <c r="I30" s="26"/>
      <c r="J30" s="6"/>
      <c r="K30" s="6"/>
      <c r="L30" s="6"/>
      <c r="M30" s="6"/>
      <c r="N30" s="6"/>
      <c r="O30" s="6"/>
      <c r="P30" s="6"/>
      <c r="Q30" s="38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22"/>
      <c r="AD30" s="22"/>
      <c r="AE30" s="22"/>
      <c r="AF30" s="9"/>
      <c r="AG30" s="9"/>
      <c r="AH30" s="9"/>
      <c r="AI30" s="9"/>
      <c r="AJ30" s="9"/>
      <c r="AK30" s="9"/>
    </row>
    <row r="31" spans="2:37" ht="14.25" customHeight="1" x14ac:dyDescent="0.2">
      <c r="B31" s="33"/>
      <c r="C31" s="6"/>
      <c r="E31" s="6"/>
      <c r="F31" s="6"/>
      <c r="G31" s="6"/>
      <c r="H31" s="6"/>
      <c r="I31" s="26"/>
      <c r="J31" s="6"/>
      <c r="K31" s="6"/>
      <c r="L31" s="6"/>
      <c r="M31" s="6"/>
      <c r="N31" s="6"/>
      <c r="O31" s="6"/>
      <c r="P31" s="6"/>
      <c r="Q31" s="38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22"/>
      <c r="AD31" s="22"/>
      <c r="AE31" s="22"/>
      <c r="AF31" s="9"/>
      <c r="AG31" s="9"/>
      <c r="AH31" s="9"/>
      <c r="AI31" s="9"/>
      <c r="AJ31" s="9"/>
      <c r="AK31" s="9"/>
    </row>
    <row r="32" spans="2:37" ht="14.25" customHeight="1" x14ac:dyDescent="0.2">
      <c r="B32" s="6"/>
      <c r="E32" s="6"/>
      <c r="F32" s="6"/>
      <c r="G32" s="6"/>
      <c r="H32" s="6"/>
      <c r="I32" s="26"/>
      <c r="J32" s="6"/>
      <c r="K32" s="6"/>
      <c r="L32" s="6"/>
      <c r="M32" s="6"/>
      <c r="N32" s="6"/>
      <c r="O32" s="6"/>
      <c r="P32" s="6"/>
      <c r="Q32" s="38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22"/>
      <c r="AD32" s="22"/>
      <c r="AE32" s="22"/>
      <c r="AF32" s="9"/>
      <c r="AG32" s="9"/>
      <c r="AH32" s="9"/>
      <c r="AI32" s="9"/>
      <c r="AJ32" s="9"/>
      <c r="AK32" s="9"/>
    </row>
    <row r="33" spans="2:37" ht="14.25" customHeight="1" x14ac:dyDescent="0.2">
      <c r="B33" s="6"/>
      <c r="E33" s="6"/>
      <c r="F33" s="6"/>
      <c r="G33" s="6"/>
      <c r="H33" s="6"/>
      <c r="I33" s="26"/>
      <c r="J33" s="6"/>
      <c r="K33" s="6"/>
      <c r="L33" s="6"/>
      <c r="M33" s="6"/>
      <c r="N33" s="6"/>
      <c r="O33" s="6"/>
      <c r="P33" s="6"/>
      <c r="Q33" s="38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22"/>
      <c r="AD33" s="22"/>
      <c r="AE33" s="22"/>
      <c r="AF33" s="9"/>
      <c r="AG33" s="9"/>
      <c r="AH33" s="9"/>
      <c r="AI33" s="9"/>
      <c r="AJ33" s="9"/>
      <c r="AK33" s="9"/>
    </row>
    <row r="34" spans="2:37" ht="14.25" customHeight="1" x14ac:dyDescent="0.2">
      <c r="E34" s="6"/>
      <c r="F34" s="6"/>
      <c r="G34" s="6"/>
      <c r="H34" s="6"/>
      <c r="I34" s="26"/>
      <c r="J34" s="6"/>
      <c r="K34" s="6"/>
      <c r="L34" s="6"/>
      <c r="M34" s="6"/>
      <c r="N34" s="6"/>
      <c r="O34" s="6"/>
      <c r="P34" s="6"/>
      <c r="Q34" s="38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22"/>
      <c r="AD34" s="22"/>
      <c r="AE34" s="22"/>
      <c r="AF34" s="9"/>
      <c r="AG34" s="9"/>
      <c r="AH34" s="9"/>
      <c r="AI34" s="9"/>
      <c r="AJ34" s="9"/>
      <c r="AK34" s="9"/>
    </row>
    <row r="35" spans="2:37" ht="14.25" customHeight="1" x14ac:dyDescent="0.2">
      <c r="E35" s="6"/>
      <c r="F35" s="6"/>
      <c r="G35" s="6"/>
      <c r="H35" s="6"/>
      <c r="I35" s="26"/>
      <c r="J35" s="6"/>
      <c r="K35" s="6"/>
      <c r="L35" s="6"/>
      <c r="M35" s="6"/>
      <c r="N35" s="6"/>
      <c r="O35" s="6"/>
      <c r="P35" s="6"/>
      <c r="Q35" s="38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22"/>
      <c r="AD35" s="22"/>
      <c r="AE35" s="22"/>
      <c r="AF35" s="9"/>
      <c r="AG35" s="9"/>
      <c r="AH35" s="9"/>
      <c r="AI35" s="9"/>
      <c r="AJ35" s="9"/>
      <c r="AK35" s="9"/>
    </row>
    <row r="36" spans="2:37" ht="14.25" customHeight="1" x14ac:dyDescent="0.2">
      <c r="E36" s="6"/>
      <c r="F36" s="6"/>
      <c r="G36" s="6"/>
      <c r="H36" s="6"/>
      <c r="I36" s="26"/>
      <c r="J36" s="6"/>
      <c r="K36" s="6"/>
      <c r="L36" s="6"/>
      <c r="M36" s="6"/>
      <c r="N36" s="6"/>
      <c r="O36" s="6"/>
      <c r="P36" s="6"/>
      <c r="Q36" s="38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22"/>
      <c r="AD36" s="22"/>
      <c r="AE36" s="22"/>
      <c r="AF36" s="9"/>
      <c r="AG36" s="9"/>
      <c r="AH36" s="9"/>
      <c r="AI36" s="9"/>
      <c r="AJ36" s="9"/>
      <c r="AK36" s="9"/>
    </row>
    <row r="37" spans="2:37" ht="14.25" customHeight="1" x14ac:dyDescent="0.2">
      <c r="E37" s="6"/>
      <c r="F37" s="6"/>
      <c r="G37" s="6"/>
      <c r="H37" s="6"/>
      <c r="I37" s="26"/>
      <c r="J37" s="6"/>
      <c r="K37" s="6"/>
      <c r="L37" s="6"/>
      <c r="M37" s="6"/>
      <c r="N37" s="6"/>
      <c r="O37" s="6"/>
      <c r="P37" s="6"/>
      <c r="Q37" s="38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22"/>
      <c r="AD37" s="22"/>
      <c r="AE37" s="22"/>
      <c r="AF37" s="9"/>
      <c r="AG37" s="9"/>
      <c r="AH37" s="9"/>
      <c r="AI37" s="9"/>
      <c r="AJ37" s="9"/>
      <c r="AK37" s="9"/>
    </row>
    <row r="38" spans="2:37" ht="14.25" customHeight="1" x14ac:dyDescent="0.2">
      <c r="E38" s="6"/>
      <c r="F38" s="6"/>
      <c r="G38" s="6"/>
      <c r="H38" s="6"/>
      <c r="I38" s="26"/>
      <c r="J38" s="6"/>
      <c r="K38" s="6"/>
      <c r="L38" s="6"/>
      <c r="M38" s="6"/>
      <c r="N38" s="6"/>
      <c r="O38" s="6"/>
      <c r="P38" s="6"/>
      <c r="Q38" s="38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22"/>
      <c r="AD38" s="22"/>
      <c r="AE38" s="22"/>
      <c r="AF38" s="9"/>
      <c r="AG38" s="9"/>
      <c r="AH38" s="9"/>
      <c r="AI38" s="9"/>
      <c r="AJ38" s="9"/>
      <c r="AK38" s="9"/>
    </row>
    <row r="39" spans="2:37" ht="14.25" customHeight="1" x14ac:dyDescent="0.2">
      <c r="E39" s="6"/>
      <c r="F39" s="6"/>
      <c r="G39" s="6"/>
      <c r="H39" s="6"/>
      <c r="I39" s="26"/>
      <c r="J39" s="6"/>
      <c r="K39" s="6"/>
      <c r="L39" s="6"/>
      <c r="M39" s="6"/>
      <c r="N39" s="6"/>
      <c r="O39" s="6"/>
      <c r="P39" s="6"/>
      <c r="Q39" s="38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22"/>
      <c r="AD39" s="22"/>
      <c r="AE39" s="22"/>
      <c r="AF39" s="9"/>
      <c r="AG39" s="9"/>
      <c r="AH39" s="9"/>
      <c r="AI39" s="9"/>
      <c r="AJ39" s="9"/>
      <c r="AK39" s="9"/>
    </row>
    <row r="40" spans="2:37" ht="14.25" customHeight="1" x14ac:dyDescent="0.2">
      <c r="E40" s="6"/>
      <c r="F40" s="6"/>
      <c r="G40" s="6"/>
      <c r="H40" s="6"/>
      <c r="I40" s="26"/>
      <c r="J40" s="6"/>
      <c r="K40" s="6"/>
      <c r="L40" s="6"/>
      <c r="M40" s="6"/>
      <c r="N40" s="6"/>
      <c r="O40" s="6"/>
      <c r="P40" s="6"/>
      <c r="Q40" s="38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22"/>
      <c r="AD40" s="22"/>
      <c r="AE40" s="22"/>
      <c r="AF40" s="9"/>
      <c r="AG40" s="9"/>
      <c r="AH40" s="9"/>
      <c r="AI40" s="9"/>
      <c r="AJ40" s="9"/>
      <c r="AK40" s="9"/>
    </row>
    <row r="41" spans="2:37" ht="14.25" customHeight="1" x14ac:dyDescent="0.2">
      <c r="E41" s="6"/>
      <c r="F41" s="6"/>
      <c r="G41" s="6"/>
      <c r="H41" s="6"/>
      <c r="I41" s="26"/>
      <c r="J41" s="6"/>
      <c r="K41" s="6"/>
      <c r="L41" s="6"/>
      <c r="M41" s="6"/>
      <c r="N41" s="6"/>
      <c r="O41" s="6"/>
      <c r="P41" s="6"/>
      <c r="Q41" s="38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22"/>
      <c r="AD41" s="22"/>
      <c r="AE41" s="22"/>
      <c r="AF41" s="9"/>
      <c r="AG41" s="9"/>
      <c r="AH41" s="9"/>
      <c r="AI41" s="9"/>
      <c r="AJ41" s="9"/>
      <c r="AK41" s="9"/>
    </row>
    <row r="42" spans="2:37" ht="14.25" customHeight="1" x14ac:dyDescent="0.2">
      <c r="E42" s="6"/>
      <c r="F42" s="6"/>
      <c r="G42" s="6"/>
      <c r="H42" s="6"/>
      <c r="I42" s="26"/>
      <c r="J42" s="6"/>
      <c r="K42" s="6"/>
      <c r="L42" s="6"/>
      <c r="M42" s="6"/>
      <c r="N42" s="6"/>
      <c r="O42" s="6"/>
      <c r="P42" s="6"/>
      <c r="Q42" s="38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22"/>
      <c r="AD42" s="22"/>
      <c r="AE42" s="22"/>
      <c r="AF42" s="9"/>
      <c r="AG42" s="9"/>
      <c r="AH42" s="9"/>
      <c r="AI42" s="9"/>
      <c r="AJ42" s="9"/>
      <c r="AK42" s="9"/>
    </row>
    <row r="43" spans="2:37" ht="14.25" customHeight="1" x14ac:dyDescent="0.2">
      <c r="E43" s="6"/>
      <c r="F43" s="6"/>
      <c r="G43" s="6"/>
      <c r="H43" s="6"/>
      <c r="I43" s="26"/>
      <c r="J43" s="6"/>
      <c r="K43" s="6"/>
      <c r="L43" s="6"/>
      <c r="M43" s="6"/>
      <c r="N43" s="6"/>
      <c r="O43" s="6"/>
      <c r="P43" s="6"/>
      <c r="Q43" s="38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22"/>
      <c r="AD43" s="22"/>
      <c r="AE43" s="22"/>
      <c r="AF43" s="9"/>
      <c r="AG43" s="9"/>
      <c r="AH43" s="9"/>
      <c r="AI43" s="9"/>
      <c r="AJ43" s="9"/>
      <c r="AK43" s="9"/>
    </row>
    <row r="44" spans="2:37" ht="14.25" customHeight="1" x14ac:dyDescent="0.2">
      <c r="E44" s="6"/>
      <c r="F44" s="6"/>
      <c r="G44" s="6"/>
      <c r="H44" s="6"/>
      <c r="I44" s="26"/>
      <c r="J44" s="6"/>
      <c r="K44" s="6"/>
      <c r="L44" s="6"/>
      <c r="M44" s="6"/>
      <c r="N44" s="6"/>
      <c r="O44" s="6"/>
      <c r="P44" s="6"/>
      <c r="Q44" s="38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22"/>
      <c r="AD44" s="22"/>
      <c r="AE44" s="22"/>
      <c r="AF44" s="9"/>
      <c r="AG44" s="9"/>
      <c r="AH44" s="9"/>
      <c r="AI44" s="9"/>
      <c r="AJ44" s="9"/>
      <c r="AK44" s="9"/>
    </row>
    <row r="45" spans="2:37" ht="14.25" customHeight="1" x14ac:dyDescent="0.2">
      <c r="E45" s="6"/>
      <c r="F45" s="6"/>
      <c r="G45" s="6"/>
      <c r="H45" s="6"/>
      <c r="I45" s="26"/>
      <c r="J45" s="6"/>
      <c r="K45" s="6"/>
      <c r="L45" s="6"/>
      <c r="M45" s="6"/>
      <c r="N45" s="6"/>
      <c r="O45" s="6"/>
      <c r="P45" s="6"/>
      <c r="Q45" s="38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22"/>
      <c r="AD45" s="22"/>
      <c r="AE45" s="22"/>
      <c r="AF45" s="9"/>
      <c r="AG45" s="9"/>
      <c r="AH45" s="9"/>
      <c r="AI45" s="9"/>
      <c r="AJ45" s="9"/>
      <c r="AK45" s="9"/>
    </row>
    <row r="46" spans="2:37" ht="14.25" customHeight="1" x14ac:dyDescent="0.2">
      <c r="E46" s="6"/>
      <c r="F46" s="6"/>
      <c r="G46" s="6"/>
      <c r="H46" s="6"/>
      <c r="I46" s="26"/>
      <c r="J46" s="6"/>
      <c r="K46" s="6"/>
      <c r="L46" s="6"/>
      <c r="M46" s="6"/>
      <c r="N46" s="6"/>
      <c r="O46" s="6"/>
      <c r="P46" s="6"/>
      <c r="Q46" s="38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22"/>
      <c r="AD46" s="22"/>
      <c r="AE46" s="22"/>
      <c r="AF46" s="9"/>
      <c r="AG46" s="9"/>
      <c r="AH46" s="9"/>
      <c r="AI46" s="9"/>
      <c r="AJ46" s="9"/>
      <c r="AK46" s="9"/>
    </row>
    <row r="47" spans="2:37" ht="14.25" customHeight="1" x14ac:dyDescent="0.2">
      <c r="E47" s="6"/>
      <c r="F47" s="6"/>
      <c r="G47" s="6"/>
      <c r="H47" s="6"/>
      <c r="I47" s="26"/>
      <c r="J47" s="6"/>
      <c r="K47" s="6"/>
      <c r="L47" s="6"/>
      <c r="M47" s="6"/>
      <c r="N47" s="6"/>
      <c r="O47" s="6"/>
      <c r="P47" s="6"/>
      <c r="Q47" s="38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22"/>
      <c r="AD47" s="22"/>
      <c r="AE47" s="22"/>
      <c r="AF47" s="9"/>
      <c r="AG47" s="9"/>
      <c r="AH47" s="9"/>
      <c r="AI47" s="9"/>
      <c r="AJ47" s="9"/>
      <c r="AK47" s="9"/>
    </row>
    <row r="48" spans="2:37" ht="14.25" customHeight="1" x14ac:dyDescent="0.2">
      <c r="E48" s="6"/>
      <c r="F48" s="6"/>
      <c r="G48" s="6"/>
      <c r="H48" s="6"/>
      <c r="I48" s="26"/>
      <c r="J48" s="6"/>
      <c r="K48" s="6"/>
      <c r="L48" s="6"/>
      <c r="M48" s="6"/>
      <c r="N48" s="6"/>
      <c r="O48" s="6"/>
      <c r="P48" s="6"/>
      <c r="Q48" s="38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22"/>
      <c r="AD48" s="22"/>
      <c r="AE48" s="22"/>
      <c r="AF48" s="9"/>
      <c r="AG48" s="9"/>
      <c r="AH48" s="9"/>
      <c r="AI48" s="9"/>
      <c r="AJ48" s="9"/>
      <c r="AK48" s="9"/>
    </row>
    <row r="49" spans="5:37" ht="14.25" customHeight="1" x14ac:dyDescent="0.2">
      <c r="E49" s="6"/>
      <c r="F49" s="6"/>
      <c r="G49" s="6"/>
      <c r="H49" s="6"/>
      <c r="I49" s="26"/>
      <c r="J49" s="6"/>
      <c r="K49" s="6"/>
      <c r="L49" s="6"/>
      <c r="M49" s="6"/>
      <c r="N49" s="6"/>
      <c r="O49" s="6"/>
      <c r="P49" s="6"/>
      <c r="Q49" s="38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22"/>
      <c r="AD49" s="22"/>
      <c r="AE49" s="22"/>
      <c r="AF49" s="9"/>
      <c r="AG49" s="9"/>
      <c r="AH49" s="9"/>
      <c r="AI49" s="9"/>
      <c r="AJ49" s="9"/>
      <c r="AK49" s="9"/>
    </row>
    <row r="50" spans="5:37" ht="14.25" customHeight="1" x14ac:dyDescent="0.2">
      <c r="E50" s="6"/>
      <c r="F50" s="6"/>
      <c r="G50" s="6"/>
      <c r="H50" s="6"/>
      <c r="I50" s="26"/>
      <c r="J50" s="6"/>
      <c r="K50" s="6"/>
      <c r="L50" s="6"/>
      <c r="M50" s="6"/>
      <c r="N50" s="6"/>
      <c r="O50" s="6"/>
      <c r="P50" s="6"/>
      <c r="Q50" s="38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22"/>
      <c r="AD50" s="22"/>
      <c r="AE50" s="22"/>
      <c r="AF50" s="9"/>
      <c r="AG50" s="9"/>
      <c r="AH50" s="9"/>
      <c r="AI50" s="9"/>
      <c r="AJ50" s="9"/>
      <c r="AK50" s="9"/>
    </row>
    <row r="51" spans="5:37" ht="14.25" customHeight="1" x14ac:dyDescent="0.2">
      <c r="E51" s="6"/>
      <c r="F51" s="6"/>
      <c r="G51" s="6"/>
      <c r="H51" s="6"/>
      <c r="I51" s="26"/>
      <c r="J51" s="6"/>
      <c r="K51" s="6"/>
      <c r="L51" s="6"/>
      <c r="M51" s="6"/>
      <c r="N51" s="6"/>
      <c r="O51" s="6"/>
      <c r="P51" s="6"/>
      <c r="Q51" s="38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22"/>
      <c r="AD51" s="22"/>
      <c r="AE51" s="22"/>
      <c r="AF51" s="9"/>
      <c r="AG51" s="9"/>
      <c r="AH51" s="9"/>
      <c r="AI51" s="9"/>
      <c r="AJ51" s="9"/>
      <c r="AK51" s="9"/>
    </row>
    <row r="52" spans="5:37" ht="14.25" customHeight="1" x14ac:dyDescent="0.2">
      <c r="E52" s="6"/>
      <c r="F52" s="6"/>
      <c r="G52" s="6"/>
      <c r="H52" s="6"/>
      <c r="I52" s="26"/>
      <c r="J52" s="6"/>
      <c r="K52" s="6"/>
      <c r="L52" s="6"/>
      <c r="M52" s="6"/>
      <c r="N52" s="6"/>
      <c r="O52" s="6"/>
      <c r="P52" s="6"/>
      <c r="Q52" s="38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22"/>
      <c r="AD52" s="22"/>
      <c r="AE52" s="22"/>
      <c r="AF52" s="9"/>
      <c r="AG52" s="9"/>
      <c r="AH52" s="9"/>
      <c r="AI52" s="9"/>
      <c r="AJ52" s="9"/>
      <c r="AK52" s="9"/>
    </row>
    <row r="53" spans="5:37" ht="14.25" customHeight="1" x14ac:dyDescent="0.2">
      <c r="E53" s="6"/>
      <c r="F53" s="6"/>
      <c r="G53" s="6"/>
      <c r="H53" s="6"/>
      <c r="I53" s="26"/>
      <c r="J53" s="6"/>
      <c r="K53" s="6"/>
      <c r="L53" s="6"/>
      <c r="M53" s="6"/>
      <c r="N53" s="6"/>
      <c r="O53" s="6"/>
      <c r="P53" s="6"/>
      <c r="Q53" s="38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22"/>
      <c r="AD53" s="22"/>
      <c r="AE53" s="22"/>
      <c r="AF53" s="9"/>
      <c r="AG53" s="9"/>
      <c r="AH53" s="9"/>
      <c r="AI53" s="9"/>
      <c r="AJ53" s="9"/>
      <c r="AK53" s="9"/>
    </row>
    <row r="54" spans="5:37" ht="14.25" customHeight="1" x14ac:dyDescent="0.2">
      <c r="E54" s="6"/>
      <c r="F54" s="6"/>
      <c r="G54" s="6"/>
      <c r="H54" s="6"/>
      <c r="I54" s="26"/>
      <c r="J54" s="6"/>
      <c r="K54" s="6"/>
      <c r="L54" s="6"/>
      <c r="M54" s="6"/>
      <c r="N54" s="6"/>
      <c r="O54" s="6"/>
      <c r="P54" s="6"/>
      <c r="Q54" s="38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22"/>
      <c r="AD54" s="22"/>
      <c r="AE54" s="22"/>
      <c r="AF54" s="9"/>
      <c r="AG54" s="9"/>
      <c r="AH54" s="9"/>
      <c r="AI54" s="9"/>
      <c r="AJ54" s="9"/>
      <c r="AK54" s="9"/>
    </row>
    <row r="55" spans="5:37" ht="14.25" customHeight="1" x14ac:dyDescent="0.2">
      <c r="E55" s="6"/>
      <c r="F55" s="6"/>
      <c r="G55" s="6"/>
      <c r="H55" s="6"/>
      <c r="I55" s="26"/>
      <c r="J55" s="6"/>
      <c r="K55" s="6"/>
      <c r="L55" s="6"/>
      <c r="M55" s="6"/>
      <c r="N55" s="6"/>
      <c r="O55" s="6"/>
      <c r="P55" s="6"/>
      <c r="Q55" s="38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2"/>
      <c r="AD55" s="22"/>
      <c r="AE55" s="22"/>
      <c r="AF55" s="9"/>
      <c r="AG55" s="9"/>
      <c r="AH55" s="9"/>
      <c r="AI55" s="9"/>
      <c r="AJ55" s="9"/>
      <c r="AK55" s="9"/>
    </row>
    <row r="56" spans="5:37" ht="14.25" customHeight="1" x14ac:dyDescent="0.2">
      <c r="E56" s="6"/>
      <c r="F56" s="6"/>
      <c r="G56" s="6"/>
      <c r="H56" s="6"/>
      <c r="I56" s="26"/>
      <c r="J56" s="6"/>
      <c r="K56" s="6"/>
      <c r="L56" s="6"/>
      <c r="M56" s="6"/>
      <c r="N56" s="6"/>
      <c r="O56" s="6"/>
      <c r="P56" s="6"/>
      <c r="Q56" s="38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22"/>
      <c r="AD56" s="22"/>
      <c r="AE56" s="22"/>
      <c r="AF56" s="9"/>
      <c r="AG56" s="9"/>
      <c r="AH56" s="9"/>
      <c r="AI56" s="9"/>
      <c r="AJ56" s="9"/>
      <c r="AK56" s="9"/>
    </row>
    <row r="57" spans="5:37" ht="14.25" customHeight="1" x14ac:dyDescent="0.2">
      <c r="E57" s="6"/>
      <c r="F57" s="6"/>
      <c r="G57" s="6"/>
      <c r="H57" s="6"/>
      <c r="I57" s="26"/>
      <c r="J57" s="6"/>
      <c r="K57" s="6"/>
      <c r="L57" s="6"/>
      <c r="M57" s="6"/>
      <c r="N57" s="6"/>
      <c r="O57" s="6"/>
      <c r="P57" s="6"/>
      <c r="Q57" s="38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22"/>
      <c r="AD57" s="22"/>
      <c r="AE57" s="22"/>
      <c r="AF57" s="9"/>
      <c r="AG57" s="9"/>
      <c r="AH57" s="9"/>
      <c r="AI57" s="9"/>
      <c r="AJ57" s="9"/>
      <c r="AK57" s="9"/>
    </row>
    <row r="58" spans="5:37" ht="14.25" customHeight="1" x14ac:dyDescent="0.2">
      <c r="E58" s="6"/>
      <c r="F58" s="6"/>
      <c r="G58" s="6"/>
      <c r="H58" s="6"/>
      <c r="I58" s="26"/>
      <c r="J58" s="6"/>
      <c r="K58" s="6"/>
      <c r="L58" s="6"/>
      <c r="M58" s="6"/>
      <c r="N58" s="6"/>
      <c r="O58" s="6"/>
      <c r="P58" s="6"/>
      <c r="Q58" s="38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22"/>
      <c r="AD58" s="22"/>
      <c r="AE58" s="22"/>
      <c r="AF58" s="9"/>
      <c r="AG58" s="9"/>
      <c r="AH58" s="9"/>
      <c r="AI58" s="9"/>
      <c r="AJ58" s="9"/>
      <c r="AK58" s="9"/>
    </row>
    <row r="59" spans="5:37" ht="14.25" customHeight="1" x14ac:dyDescent="0.2">
      <c r="E59" s="6"/>
      <c r="F59" s="6"/>
      <c r="G59" s="6"/>
      <c r="H59" s="6"/>
      <c r="I59" s="26"/>
      <c r="J59" s="6"/>
      <c r="K59" s="6"/>
      <c r="L59" s="6"/>
      <c r="M59" s="6"/>
      <c r="N59" s="6"/>
      <c r="O59" s="6"/>
      <c r="P59" s="6"/>
      <c r="Q59" s="38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22"/>
      <c r="AD59" s="22"/>
      <c r="AE59" s="22"/>
      <c r="AF59" s="9"/>
      <c r="AG59" s="9"/>
      <c r="AH59" s="9"/>
      <c r="AI59" s="9"/>
      <c r="AJ59" s="9"/>
      <c r="AK59" s="9"/>
    </row>
    <row r="60" spans="5:37" ht="14.25" customHeight="1" x14ac:dyDescent="0.2">
      <c r="E60" s="6"/>
      <c r="F60" s="6"/>
      <c r="G60" s="6"/>
      <c r="H60" s="6"/>
      <c r="I60" s="26"/>
      <c r="J60" s="6"/>
      <c r="K60" s="6"/>
      <c r="L60" s="6"/>
      <c r="M60" s="6"/>
      <c r="N60" s="6"/>
      <c r="O60" s="6"/>
      <c r="P60" s="6"/>
      <c r="Q60" s="38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22"/>
      <c r="AD60" s="22"/>
      <c r="AE60" s="22"/>
      <c r="AF60" s="9"/>
      <c r="AG60" s="9"/>
      <c r="AH60" s="9"/>
      <c r="AI60" s="9"/>
      <c r="AJ60" s="9"/>
      <c r="AK60" s="9"/>
    </row>
    <row r="61" spans="5:37" ht="14.25" customHeight="1" x14ac:dyDescent="0.2">
      <c r="E61" s="6"/>
      <c r="F61" s="6"/>
      <c r="G61" s="6"/>
      <c r="H61" s="6"/>
      <c r="I61" s="26"/>
      <c r="J61" s="6"/>
      <c r="K61" s="6"/>
      <c r="L61" s="6"/>
      <c r="M61" s="6"/>
      <c r="N61" s="6"/>
      <c r="O61" s="6"/>
      <c r="P61" s="6"/>
      <c r="Q61" s="38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22"/>
      <c r="AD61" s="22"/>
      <c r="AE61" s="22"/>
      <c r="AF61" s="9"/>
      <c r="AG61" s="9"/>
      <c r="AH61" s="9"/>
      <c r="AI61" s="9"/>
      <c r="AJ61" s="9"/>
      <c r="AK61" s="9"/>
    </row>
    <row r="62" spans="5:37" ht="14.25" customHeight="1" x14ac:dyDescent="0.2">
      <c r="E62" s="6"/>
      <c r="F62" s="6"/>
      <c r="G62" s="6"/>
      <c r="H62" s="6"/>
      <c r="I62" s="26"/>
      <c r="J62" s="6"/>
      <c r="K62" s="6"/>
      <c r="L62" s="6"/>
      <c r="M62" s="6"/>
      <c r="N62" s="6"/>
      <c r="O62" s="6"/>
      <c r="P62" s="6"/>
      <c r="Q62" s="38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22"/>
      <c r="AD62" s="22"/>
      <c r="AE62" s="22"/>
      <c r="AF62" s="9"/>
      <c r="AG62" s="9"/>
      <c r="AH62" s="9"/>
      <c r="AI62" s="9"/>
      <c r="AJ62" s="9"/>
      <c r="AK62" s="9"/>
    </row>
    <row r="63" spans="5:37" ht="14.25" customHeight="1" x14ac:dyDescent="0.2">
      <c r="E63" s="6"/>
      <c r="F63" s="6"/>
      <c r="G63" s="6"/>
      <c r="H63" s="6"/>
      <c r="I63" s="26"/>
      <c r="J63" s="6"/>
      <c r="K63" s="6"/>
      <c r="L63" s="6"/>
      <c r="M63" s="6"/>
      <c r="N63" s="6"/>
      <c r="O63" s="6"/>
      <c r="P63" s="6"/>
      <c r="Q63" s="38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22"/>
      <c r="AD63" s="22"/>
      <c r="AE63" s="22"/>
      <c r="AF63" s="9"/>
      <c r="AG63" s="9"/>
      <c r="AH63" s="9"/>
      <c r="AI63" s="9"/>
      <c r="AJ63" s="9"/>
      <c r="AK63" s="9"/>
    </row>
    <row r="64" spans="5:37" ht="14.25" customHeight="1" x14ac:dyDescent="0.2">
      <c r="E64" s="6"/>
      <c r="F64" s="6"/>
      <c r="G64" s="6"/>
      <c r="H64" s="6"/>
      <c r="I64" s="26"/>
      <c r="J64" s="6"/>
      <c r="K64" s="6"/>
      <c r="L64" s="6"/>
      <c r="M64" s="6"/>
      <c r="N64" s="6"/>
      <c r="O64" s="6"/>
      <c r="P64" s="6"/>
      <c r="Q64" s="38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22"/>
      <c r="AD64" s="22"/>
      <c r="AE64" s="22"/>
      <c r="AF64" s="9"/>
      <c r="AG64" s="9"/>
      <c r="AH64" s="9"/>
      <c r="AI64" s="9"/>
      <c r="AJ64" s="9"/>
      <c r="AK64" s="9"/>
    </row>
    <row r="65" spans="5:37" ht="14.25" customHeight="1" x14ac:dyDescent="0.2">
      <c r="E65" s="6"/>
      <c r="F65" s="6"/>
      <c r="G65" s="6"/>
      <c r="H65" s="6"/>
      <c r="I65" s="26"/>
      <c r="J65" s="6"/>
      <c r="K65" s="6"/>
      <c r="L65" s="6"/>
      <c r="M65" s="6"/>
      <c r="N65" s="6"/>
      <c r="O65" s="6"/>
      <c r="P65" s="6"/>
      <c r="Q65" s="38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22"/>
      <c r="AD65" s="22"/>
      <c r="AE65" s="22"/>
      <c r="AF65" s="9"/>
      <c r="AG65" s="9"/>
      <c r="AH65" s="9"/>
      <c r="AI65" s="9"/>
      <c r="AJ65" s="9"/>
      <c r="AK65" s="9"/>
    </row>
    <row r="66" spans="5:37" ht="14.25" customHeight="1" x14ac:dyDescent="0.2">
      <c r="E66" s="6"/>
      <c r="F66" s="6"/>
      <c r="G66" s="6"/>
      <c r="H66" s="6"/>
      <c r="I66" s="26"/>
      <c r="J66" s="6"/>
      <c r="K66" s="6"/>
      <c r="L66" s="6"/>
      <c r="M66" s="6"/>
      <c r="N66" s="6"/>
      <c r="O66" s="6"/>
      <c r="P66" s="6"/>
      <c r="Q66" s="38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22"/>
      <c r="AD66" s="22"/>
      <c r="AE66" s="22"/>
      <c r="AF66" s="9"/>
      <c r="AG66" s="9"/>
      <c r="AH66" s="9"/>
      <c r="AI66" s="9"/>
      <c r="AJ66" s="9"/>
      <c r="AK66" s="9"/>
    </row>
    <row r="67" spans="5:37" ht="14.25" customHeight="1" x14ac:dyDescent="0.2">
      <c r="E67" s="6"/>
      <c r="F67" s="6"/>
      <c r="G67" s="6"/>
      <c r="H67" s="6"/>
      <c r="I67" s="26"/>
      <c r="J67" s="6"/>
      <c r="K67" s="6"/>
      <c r="L67" s="6"/>
      <c r="M67" s="6"/>
      <c r="N67" s="6"/>
      <c r="O67" s="6"/>
      <c r="P67" s="6"/>
      <c r="Q67" s="38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22"/>
      <c r="AD67" s="22"/>
      <c r="AE67" s="22"/>
      <c r="AF67" s="9"/>
      <c r="AG67" s="9"/>
      <c r="AH67" s="9"/>
      <c r="AI67" s="9"/>
      <c r="AJ67" s="9"/>
      <c r="AK67" s="9"/>
    </row>
    <row r="68" spans="5:37" ht="14.25" customHeight="1" x14ac:dyDescent="0.2">
      <c r="E68" s="6"/>
      <c r="F68" s="6"/>
      <c r="G68" s="6"/>
      <c r="H68" s="6"/>
      <c r="I68" s="26"/>
      <c r="J68" s="6"/>
      <c r="K68" s="6"/>
      <c r="L68" s="6"/>
      <c r="M68" s="6"/>
      <c r="N68" s="6"/>
      <c r="O68" s="6"/>
      <c r="P68" s="6"/>
      <c r="Q68" s="38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22"/>
      <c r="AD68" s="22"/>
      <c r="AE68" s="22"/>
      <c r="AF68" s="9"/>
      <c r="AG68" s="9"/>
      <c r="AH68" s="9"/>
      <c r="AI68" s="9"/>
      <c r="AJ68" s="9"/>
      <c r="AK68" s="9"/>
    </row>
    <row r="69" spans="5:37" ht="14.25" customHeight="1" x14ac:dyDescent="0.2">
      <c r="E69" s="6"/>
      <c r="F69" s="6"/>
      <c r="G69" s="6"/>
      <c r="H69" s="6"/>
      <c r="I69" s="26"/>
      <c r="J69" s="6"/>
      <c r="K69" s="6"/>
      <c r="L69" s="6"/>
      <c r="M69" s="6"/>
      <c r="N69" s="6"/>
      <c r="O69" s="6"/>
      <c r="P69" s="6"/>
      <c r="Q69" s="38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22"/>
      <c r="AD69" s="22"/>
      <c r="AE69" s="22"/>
      <c r="AF69" s="9"/>
      <c r="AG69" s="9"/>
      <c r="AH69" s="9"/>
      <c r="AI69" s="9"/>
      <c r="AJ69" s="9"/>
      <c r="AK69" s="9"/>
    </row>
    <row r="70" spans="5:37" ht="14.25" customHeight="1" x14ac:dyDescent="0.2">
      <c r="E70" s="6"/>
      <c r="F70" s="6"/>
      <c r="G70" s="6"/>
      <c r="H70" s="6"/>
      <c r="I70" s="26"/>
      <c r="J70" s="6"/>
      <c r="K70" s="6"/>
      <c r="L70" s="6"/>
      <c r="M70" s="6"/>
      <c r="N70" s="6"/>
      <c r="O70" s="6"/>
      <c r="P70" s="6"/>
      <c r="Q70" s="38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22"/>
      <c r="AD70" s="22"/>
      <c r="AE70" s="22"/>
      <c r="AF70" s="9"/>
      <c r="AG70" s="9"/>
      <c r="AH70" s="9"/>
      <c r="AI70" s="9"/>
      <c r="AJ70" s="9"/>
      <c r="AK70" s="9"/>
    </row>
    <row r="71" spans="5:37" ht="14.25" customHeight="1" x14ac:dyDescent="0.2">
      <c r="E71" s="6"/>
      <c r="F71" s="6"/>
      <c r="G71" s="6"/>
      <c r="H71" s="6"/>
      <c r="I71" s="26"/>
      <c r="J71" s="6"/>
      <c r="K71" s="6"/>
      <c r="L71" s="6"/>
      <c r="M71" s="6"/>
      <c r="N71" s="6"/>
      <c r="O71" s="6"/>
      <c r="P71" s="6"/>
      <c r="Q71" s="38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22"/>
      <c r="AD71" s="22"/>
      <c r="AE71" s="22"/>
      <c r="AF71" s="9"/>
      <c r="AG71" s="9"/>
      <c r="AH71" s="9"/>
      <c r="AI71" s="9"/>
      <c r="AJ71" s="9"/>
      <c r="AK71" s="9"/>
    </row>
    <row r="72" spans="5:37" ht="14.25" customHeight="1" x14ac:dyDescent="0.2">
      <c r="E72" s="6"/>
      <c r="F72" s="6"/>
      <c r="G72" s="6"/>
      <c r="H72" s="6"/>
      <c r="I72" s="26"/>
      <c r="J72" s="6"/>
      <c r="K72" s="6"/>
      <c r="L72" s="6"/>
      <c r="M72" s="6"/>
      <c r="N72" s="6"/>
      <c r="O72" s="6"/>
      <c r="P72" s="6"/>
      <c r="Q72" s="38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22"/>
      <c r="AD72" s="22"/>
      <c r="AE72" s="22"/>
      <c r="AF72" s="9"/>
      <c r="AG72" s="9"/>
      <c r="AH72" s="9"/>
      <c r="AI72" s="9"/>
      <c r="AJ72" s="9"/>
      <c r="AK72" s="9"/>
    </row>
    <row r="73" spans="5:37" ht="14.25" customHeight="1" x14ac:dyDescent="0.2">
      <c r="E73" s="6"/>
      <c r="F73" s="6"/>
      <c r="G73" s="6"/>
      <c r="H73" s="6"/>
      <c r="I73" s="26"/>
      <c r="J73" s="6"/>
      <c r="K73" s="6"/>
      <c r="L73" s="6"/>
      <c r="M73" s="6"/>
      <c r="N73" s="6"/>
      <c r="O73" s="6"/>
      <c r="P73" s="6"/>
      <c r="Q73" s="38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22"/>
      <c r="AD73" s="22"/>
      <c r="AE73" s="22"/>
      <c r="AF73" s="9"/>
      <c r="AG73" s="9"/>
      <c r="AH73" s="9"/>
      <c r="AI73" s="9"/>
      <c r="AJ73" s="9"/>
      <c r="AK73" s="9"/>
    </row>
    <row r="74" spans="5:37" ht="14.25" customHeight="1" x14ac:dyDescent="0.2">
      <c r="E74" s="6"/>
      <c r="F74" s="6"/>
      <c r="G74" s="6"/>
      <c r="H74" s="6"/>
      <c r="I74" s="26"/>
      <c r="J74" s="6"/>
      <c r="K74" s="6"/>
      <c r="L74" s="6"/>
      <c r="M74" s="6"/>
      <c r="N74" s="6"/>
      <c r="O74" s="6"/>
      <c r="P74" s="6"/>
      <c r="Q74" s="38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22"/>
      <c r="AD74" s="22"/>
      <c r="AE74" s="22"/>
      <c r="AF74" s="9"/>
      <c r="AG74" s="9"/>
      <c r="AH74" s="9"/>
      <c r="AI74" s="9"/>
      <c r="AJ74" s="9"/>
      <c r="AK74" s="9"/>
    </row>
    <row r="75" spans="5:37" ht="14.25" customHeight="1" x14ac:dyDescent="0.2">
      <c r="E75" s="6"/>
      <c r="F75" s="6"/>
      <c r="G75" s="6"/>
      <c r="H75" s="6"/>
      <c r="I75" s="26"/>
      <c r="J75" s="6"/>
      <c r="K75" s="6"/>
      <c r="L75" s="6"/>
      <c r="M75" s="6"/>
      <c r="N75" s="6"/>
      <c r="O75" s="6"/>
      <c r="P75" s="6"/>
      <c r="Q75" s="38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22"/>
      <c r="AD75" s="22"/>
      <c r="AE75" s="22"/>
      <c r="AF75" s="9"/>
      <c r="AG75" s="9"/>
      <c r="AH75" s="9"/>
      <c r="AI75" s="9"/>
      <c r="AJ75" s="9"/>
      <c r="AK75" s="9"/>
    </row>
    <row r="76" spans="5:37" ht="14.25" customHeight="1" x14ac:dyDescent="0.2">
      <c r="E76" s="6"/>
      <c r="F76" s="6"/>
      <c r="G76" s="6"/>
      <c r="H76" s="6"/>
      <c r="I76" s="26"/>
      <c r="J76" s="6"/>
      <c r="K76" s="6"/>
      <c r="L76" s="6"/>
      <c r="M76" s="6"/>
      <c r="N76" s="6"/>
      <c r="O76" s="6"/>
      <c r="P76" s="6"/>
      <c r="Q76" s="38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22"/>
      <c r="AD76" s="22"/>
      <c r="AE76" s="22"/>
      <c r="AF76" s="9"/>
      <c r="AG76" s="9"/>
      <c r="AH76" s="9"/>
      <c r="AI76" s="9"/>
      <c r="AJ76" s="9"/>
      <c r="AK76" s="9"/>
    </row>
    <row r="77" spans="5:37" ht="14.25" customHeight="1" x14ac:dyDescent="0.2">
      <c r="E77" s="6"/>
      <c r="F77" s="6"/>
      <c r="G77" s="6"/>
      <c r="H77" s="6"/>
      <c r="I77" s="26"/>
      <c r="J77" s="6"/>
      <c r="K77" s="6"/>
      <c r="L77" s="6"/>
      <c r="M77" s="6"/>
      <c r="N77" s="6"/>
      <c r="O77" s="6"/>
      <c r="P77" s="6"/>
      <c r="Q77" s="38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22"/>
      <c r="AD77" s="22"/>
      <c r="AE77" s="22"/>
      <c r="AF77" s="9"/>
      <c r="AG77" s="9"/>
      <c r="AH77" s="9"/>
      <c r="AI77" s="9"/>
      <c r="AJ77" s="9"/>
      <c r="AK77" s="9"/>
    </row>
    <row r="78" spans="5:37" ht="14.25" customHeight="1" x14ac:dyDescent="0.2">
      <c r="E78" s="6"/>
      <c r="F78" s="6"/>
      <c r="G78" s="6"/>
      <c r="H78" s="6"/>
      <c r="I78" s="26"/>
      <c r="J78" s="6"/>
      <c r="K78" s="6"/>
      <c r="L78" s="6"/>
      <c r="M78" s="6"/>
      <c r="N78" s="6"/>
      <c r="O78" s="6"/>
      <c r="P78" s="6"/>
      <c r="Q78" s="38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22"/>
      <c r="AD78" s="22"/>
      <c r="AE78" s="22"/>
      <c r="AF78" s="9"/>
      <c r="AG78" s="9"/>
      <c r="AH78" s="9"/>
      <c r="AI78" s="9"/>
      <c r="AJ78" s="9"/>
      <c r="AK78" s="9"/>
    </row>
    <row r="79" spans="5:37" ht="14.25" customHeight="1" x14ac:dyDescent="0.2">
      <c r="E79" s="6"/>
      <c r="F79" s="6"/>
      <c r="G79" s="6"/>
      <c r="H79" s="6"/>
      <c r="I79" s="26"/>
      <c r="J79" s="6"/>
      <c r="K79" s="6"/>
      <c r="L79" s="6"/>
      <c r="M79" s="6"/>
      <c r="N79" s="6"/>
      <c r="O79" s="6"/>
      <c r="P79" s="6"/>
      <c r="Q79" s="38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22"/>
      <c r="AD79" s="22"/>
      <c r="AE79" s="22"/>
      <c r="AF79" s="9"/>
      <c r="AG79" s="9"/>
      <c r="AH79" s="9"/>
      <c r="AI79" s="9"/>
      <c r="AJ79" s="9"/>
      <c r="AK79" s="9"/>
    </row>
    <row r="80" spans="5:37" ht="14.25" customHeight="1" x14ac:dyDescent="0.2">
      <c r="E80" s="6"/>
      <c r="F80" s="6"/>
      <c r="G80" s="6"/>
      <c r="H80" s="6"/>
      <c r="I80" s="26"/>
      <c r="J80" s="6"/>
      <c r="K80" s="6"/>
      <c r="L80" s="6"/>
      <c r="M80" s="6"/>
      <c r="N80" s="6"/>
      <c r="O80" s="6"/>
      <c r="P80" s="6"/>
      <c r="Q80" s="38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22"/>
      <c r="AD80" s="22"/>
      <c r="AE80" s="22"/>
      <c r="AF80" s="9"/>
      <c r="AG80" s="9"/>
      <c r="AH80" s="9"/>
      <c r="AI80" s="9"/>
      <c r="AJ80" s="9"/>
      <c r="AK80" s="9"/>
    </row>
    <row r="81" spans="5:37" ht="14.25" customHeight="1" x14ac:dyDescent="0.2">
      <c r="E81" s="6"/>
      <c r="F81" s="6"/>
      <c r="G81" s="6"/>
      <c r="H81" s="6"/>
      <c r="I81" s="26"/>
      <c r="J81" s="6"/>
      <c r="K81" s="6"/>
      <c r="L81" s="6"/>
      <c r="M81" s="6"/>
      <c r="N81" s="6"/>
      <c r="O81" s="6"/>
      <c r="P81" s="6"/>
      <c r="Q81" s="38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22"/>
      <c r="AD81" s="22"/>
      <c r="AE81" s="22"/>
      <c r="AF81" s="9"/>
      <c r="AG81" s="9"/>
      <c r="AH81" s="9"/>
      <c r="AI81" s="9"/>
      <c r="AJ81" s="9"/>
      <c r="AK81" s="9"/>
    </row>
    <row r="82" spans="5:37" ht="14.25" customHeight="1" x14ac:dyDescent="0.2">
      <c r="E82" s="6"/>
      <c r="F82" s="6"/>
      <c r="G82" s="6"/>
      <c r="H82" s="6"/>
      <c r="I82" s="26"/>
      <c r="J82" s="6"/>
      <c r="K82" s="6"/>
      <c r="L82" s="6"/>
      <c r="M82" s="6"/>
      <c r="N82" s="6"/>
      <c r="O82" s="6"/>
      <c r="P82" s="6"/>
      <c r="Q82" s="38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22"/>
      <c r="AD82" s="22"/>
      <c r="AE82" s="22"/>
      <c r="AF82" s="9"/>
      <c r="AG82" s="9"/>
      <c r="AH82" s="9"/>
      <c r="AI82" s="9"/>
      <c r="AJ82" s="9"/>
      <c r="AK82" s="9"/>
    </row>
    <row r="83" spans="5:37" ht="14.25" customHeight="1" x14ac:dyDescent="0.2">
      <c r="E83" s="6"/>
      <c r="F83" s="6"/>
      <c r="G83" s="6"/>
      <c r="H83" s="6"/>
      <c r="I83" s="26"/>
      <c r="J83" s="6"/>
      <c r="K83" s="6"/>
      <c r="L83" s="6"/>
      <c r="M83" s="6"/>
      <c r="N83" s="6"/>
      <c r="O83" s="6"/>
      <c r="P83" s="6"/>
      <c r="Q83" s="38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22"/>
      <c r="AD83" s="22"/>
      <c r="AE83" s="22"/>
      <c r="AF83" s="9"/>
      <c r="AG83" s="9"/>
      <c r="AH83" s="9"/>
      <c r="AI83" s="9"/>
      <c r="AJ83" s="9"/>
      <c r="AK83" s="9"/>
    </row>
    <row r="84" spans="5:37" ht="14.25" customHeight="1" x14ac:dyDescent="0.2">
      <c r="E84" s="6"/>
      <c r="F84" s="6"/>
      <c r="G84" s="6"/>
      <c r="H84" s="6"/>
      <c r="I84" s="26"/>
      <c r="J84" s="6"/>
      <c r="K84" s="6"/>
      <c r="L84" s="6"/>
      <c r="M84" s="6"/>
      <c r="N84" s="6"/>
      <c r="O84" s="6"/>
      <c r="P84" s="6"/>
      <c r="Q84" s="38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22"/>
      <c r="AD84" s="22"/>
      <c r="AE84" s="22"/>
      <c r="AF84" s="9"/>
      <c r="AG84" s="9"/>
      <c r="AH84" s="9"/>
      <c r="AI84" s="9"/>
      <c r="AJ84" s="9"/>
      <c r="AK84" s="9"/>
    </row>
    <row r="85" spans="5:37" ht="14.25" customHeight="1" x14ac:dyDescent="0.2">
      <c r="E85" s="6"/>
      <c r="F85" s="6"/>
      <c r="G85" s="6"/>
      <c r="H85" s="6"/>
      <c r="I85" s="26"/>
      <c r="J85" s="6"/>
      <c r="K85" s="6"/>
      <c r="L85" s="6"/>
      <c r="M85" s="6"/>
      <c r="N85" s="6"/>
      <c r="O85" s="6"/>
      <c r="P85" s="6"/>
      <c r="Q85" s="38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22"/>
      <c r="AD85" s="22"/>
      <c r="AE85" s="22"/>
      <c r="AF85" s="9"/>
      <c r="AG85" s="9"/>
      <c r="AH85" s="9"/>
      <c r="AI85" s="9"/>
      <c r="AJ85" s="9"/>
      <c r="AK85" s="9"/>
    </row>
    <row r="86" spans="5:37" ht="14.25" customHeight="1" x14ac:dyDescent="0.2">
      <c r="E86" s="6"/>
      <c r="F86" s="6"/>
      <c r="G86" s="6"/>
      <c r="H86" s="6"/>
      <c r="I86" s="26"/>
      <c r="J86" s="6"/>
      <c r="K86" s="6"/>
      <c r="L86" s="6"/>
      <c r="M86" s="6"/>
      <c r="N86" s="6"/>
      <c r="O86" s="6"/>
      <c r="P86" s="6"/>
      <c r="Q86" s="38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22"/>
      <c r="AD86" s="22"/>
      <c r="AE86" s="22"/>
      <c r="AF86" s="9"/>
      <c r="AG86" s="9"/>
      <c r="AH86" s="9"/>
      <c r="AI86" s="9"/>
      <c r="AJ86" s="9"/>
      <c r="AK86" s="9"/>
    </row>
    <row r="87" spans="5:37" ht="14.25" customHeight="1" x14ac:dyDescent="0.2">
      <c r="E87" s="6"/>
      <c r="F87" s="6"/>
      <c r="G87" s="6"/>
      <c r="H87" s="6"/>
      <c r="I87" s="26"/>
      <c r="J87" s="6"/>
      <c r="K87" s="6"/>
      <c r="L87" s="6"/>
      <c r="M87" s="6"/>
      <c r="N87" s="6"/>
      <c r="O87" s="6"/>
      <c r="P87" s="6"/>
      <c r="Q87" s="38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22"/>
      <c r="AD87" s="22"/>
      <c r="AE87" s="22"/>
      <c r="AF87" s="9"/>
      <c r="AG87" s="9"/>
      <c r="AH87" s="9"/>
      <c r="AI87" s="9"/>
      <c r="AJ87" s="9"/>
      <c r="AK87" s="9"/>
    </row>
    <row r="88" spans="5:37" ht="14.25" customHeight="1" x14ac:dyDescent="0.2">
      <c r="E88" s="6"/>
      <c r="F88" s="6"/>
      <c r="G88" s="6"/>
      <c r="H88" s="6"/>
      <c r="I88" s="26"/>
      <c r="J88" s="6"/>
      <c r="K88" s="6"/>
      <c r="L88" s="6"/>
      <c r="M88" s="6"/>
      <c r="N88" s="6"/>
      <c r="O88" s="6"/>
      <c r="P88" s="6"/>
      <c r="Q88" s="38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22"/>
      <c r="AD88" s="22"/>
      <c r="AE88" s="22"/>
      <c r="AF88" s="9"/>
      <c r="AG88" s="9"/>
      <c r="AH88" s="9"/>
      <c r="AI88" s="9"/>
      <c r="AJ88" s="9"/>
      <c r="AK88" s="9"/>
    </row>
    <row r="89" spans="5:37" ht="14.25" customHeight="1" x14ac:dyDescent="0.2">
      <c r="E89" s="6"/>
      <c r="F89" s="6"/>
      <c r="G89" s="6"/>
      <c r="H89" s="6"/>
      <c r="I89" s="26"/>
      <c r="J89" s="6"/>
      <c r="K89" s="6"/>
      <c r="L89" s="6"/>
      <c r="M89" s="6"/>
      <c r="N89" s="6"/>
      <c r="O89" s="6"/>
      <c r="P89" s="6"/>
      <c r="Q89" s="38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22"/>
      <c r="AD89" s="22"/>
      <c r="AE89" s="22"/>
      <c r="AF89" s="9"/>
      <c r="AG89" s="9"/>
      <c r="AH89" s="9"/>
      <c r="AI89" s="9"/>
      <c r="AJ89" s="9"/>
      <c r="AK89" s="9"/>
    </row>
    <row r="90" spans="5:37" ht="14.25" customHeight="1" x14ac:dyDescent="0.2">
      <c r="E90" s="6"/>
      <c r="F90" s="6"/>
      <c r="G90" s="6"/>
      <c r="H90" s="6"/>
      <c r="I90" s="26"/>
      <c r="J90" s="6"/>
      <c r="K90" s="6"/>
      <c r="L90" s="6"/>
      <c r="M90" s="6"/>
      <c r="N90" s="6"/>
      <c r="O90" s="6"/>
      <c r="P90" s="6"/>
      <c r="Q90" s="38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22"/>
      <c r="AD90" s="22"/>
      <c r="AE90" s="22"/>
      <c r="AF90" s="9"/>
      <c r="AG90" s="9"/>
      <c r="AH90" s="9"/>
      <c r="AI90" s="9"/>
      <c r="AJ90" s="9"/>
      <c r="AK90" s="9"/>
    </row>
    <row r="91" spans="5:37" ht="14.25" customHeight="1" x14ac:dyDescent="0.2">
      <c r="E91" s="6"/>
      <c r="F91" s="6"/>
      <c r="G91" s="6"/>
      <c r="H91" s="6"/>
      <c r="I91" s="26"/>
      <c r="J91" s="6"/>
      <c r="K91" s="6"/>
      <c r="L91" s="6"/>
      <c r="M91" s="6"/>
      <c r="N91" s="6"/>
      <c r="O91" s="6"/>
      <c r="P91" s="6"/>
      <c r="Q91" s="38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22"/>
      <c r="AD91" s="22"/>
      <c r="AE91" s="22"/>
      <c r="AF91" s="9"/>
      <c r="AG91" s="9"/>
      <c r="AH91" s="9"/>
      <c r="AI91" s="9"/>
      <c r="AJ91" s="9"/>
      <c r="AK91" s="9"/>
    </row>
    <row r="92" spans="5:37" ht="14.25" customHeight="1" x14ac:dyDescent="0.2">
      <c r="E92" s="6"/>
      <c r="F92" s="6"/>
      <c r="G92" s="6"/>
      <c r="H92" s="6"/>
      <c r="I92" s="26"/>
      <c r="J92" s="6"/>
      <c r="K92" s="6"/>
      <c r="L92" s="6"/>
      <c r="M92" s="6"/>
      <c r="N92" s="6"/>
      <c r="O92" s="6"/>
      <c r="P92" s="6"/>
      <c r="Q92" s="38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22"/>
      <c r="AD92" s="22"/>
      <c r="AE92" s="22"/>
      <c r="AF92" s="9"/>
      <c r="AG92" s="9"/>
      <c r="AH92" s="9"/>
      <c r="AI92" s="9"/>
      <c r="AJ92" s="9"/>
      <c r="AK92" s="9"/>
    </row>
    <row r="93" spans="5:37" ht="14.25" customHeight="1" x14ac:dyDescent="0.2">
      <c r="E93" s="6"/>
      <c r="F93" s="6"/>
      <c r="G93" s="6"/>
      <c r="H93" s="6"/>
      <c r="I93" s="26"/>
      <c r="J93" s="6"/>
      <c r="K93" s="6"/>
      <c r="L93" s="6"/>
      <c r="M93" s="6"/>
      <c r="N93" s="6"/>
      <c r="O93" s="6"/>
      <c r="P93" s="6"/>
      <c r="Q93" s="38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22"/>
      <c r="AD93" s="22"/>
      <c r="AE93" s="22"/>
      <c r="AF93" s="9"/>
      <c r="AG93" s="9"/>
      <c r="AH93" s="9"/>
      <c r="AI93" s="9"/>
      <c r="AJ93" s="9"/>
      <c r="AK93" s="9"/>
    </row>
    <row r="94" spans="5:37" ht="14.25" customHeight="1" x14ac:dyDescent="0.2">
      <c r="E94" s="6"/>
      <c r="F94" s="6"/>
      <c r="G94" s="6"/>
      <c r="H94" s="6"/>
      <c r="I94" s="26"/>
      <c r="J94" s="6"/>
      <c r="K94" s="6"/>
      <c r="L94" s="6"/>
      <c r="M94" s="6"/>
      <c r="N94" s="6"/>
      <c r="O94" s="6"/>
      <c r="P94" s="6"/>
      <c r="Q94" s="38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22"/>
      <c r="AD94" s="22"/>
      <c r="AE94" s="22"/>
      <c r="AF94" s="9"/>
      <c r="AG94" s="9"/>
      <c r="AH94" s="9"/>
      <c r="AI94" s="9"/>
      <c r="AJ94" s="9"/>
      <c r="AK94" s="9"/>
    </row>
    <row r="95" spans="5:37" ht="14.25" customHeight="1" x14ac:dyDescent="0.2">
      <c r="E95" s="6"/>
      <c r="F95" s="6"/>
      <c r="G95" s="6"/>
      <c r="H95" s="6"/>
      <c r="I95" s="26"/>
      <c r="J95" s="6"/>
      <c r="K95" s="6"/>
      <c r="L95" s="6"/>
      <c r="M95" s="6"/>
      <c r="N95" s="6"/>
      <c r="O95" s="6"/>
      <c r="P95" s="6"/>
      <c r="Q95" s="38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22"/>
      <c r="AD95" s="22"/>
      <c r="AE95" s="22"/>
      <c r="AF95" s="9"/>
      <c r="AG95" s="9"/>
      <c r="AH95" s="9"/>
      <c r="AI95" s="9"/>
      <c r="AJ95" s="9"/>
      <c r="AK95" s="9"/>
    </row>
    <row r="96" spans="5:37" ht="14.25" customHeight="1" x14ac:dyDescent="0.2">
      <c r="E96" s="6"/>
      <c r="F96" s="6"/>
      <c r="G96" s="6"/>
      <c r="H96" s="6"/>
      <c r="I96" s="26"/>
      <c r="J96" s="6"/>
      <c r="K96" s="6"/>
      <c r="L96" s="6"/>
      <c r="M96" s="6"/>
      <c r="N96" s="6"/>
      <c r="O96" s="6"/>
      <c r="P96" s="6"/>
      <c r="Q96" s="38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22"/>
      <c r="AD96" s="22"/>
      <c r="AE96" s="22"/>
      <c r="AF96" s="9"/>
      <c r="AG96" s="9"/>
      <c r="AH96" s="9"/>
      <c r="AI96" s="9"/>
      <c r="AJ96" s="9"/>
      <c r="AK96" s="9"/>
    </row>
    <row r="97" spans="5:37" ht="14.25" customHeight="1" x14ac:dyDescent="0.2">
      <c r="E97" s="6"/>
      <c r="F97" s="6"/>
      <c r="G97" s="6"/>
      <c r="H97" s="6"/>
      <c r="I97" s="26"/>
      <c r="J97" s="6"/>
      <c r="K97" s="6"/>
      <c r="L97" s="6"/>
      <c r="M97" s="6"/>
      <c r="N97" s="6"/>
      <c r="O97" s="6"/>
      <c r="P97" s="6"/>
      <c r="Q97" s="38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22"/>
      <c r="AD97" s="22"/>
      <c r="AE97" s="22"/>
      <c r="AF97" s="9"/>
      <c r="AG97" s="9"/>
      <c r="AH97" s="9"/>
      <c r="AI97" s="9"/>
      <c r="AJ97" s="9"/>
      <c r="AK97" s="9"/>
    </row>
    <row r="98" spans="5:37" ht="14.25" customHeight="1" x14ac:dyDescent="0.2">
      <c r="E98" s="6"/>
      <c r="F98" s="6"/>
      <c r="G98" s="6"/>
      <c r="H98" s="6"/>
      <c r="I98" s="26"/>
      <c r="J98" s="6"/>
      <c r="K98" s="6"/>
      <c r="L98" s="6"/>
      <c r="M98" s="6"/>
      <c r="N98" s="6"/>
      <c r="O98" s="6"/>
      <c r="P98" s="6"/>
      <c r="Q98" s="38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22"/>
      <c r="AD98" s="22"/>
      <c r="AE98" s="22"/>
      <c r="AF98" s="9"/>
      <c r="AG98" s="9"/>
      <c r="AH98" s="9"/>
      <c r="AI98" s="9"/>
      <c r="AJ98" s="9"/>
      <c r="AK98" s="9"/>
    </row>
    <row r="99" spans="5:37" ht="14.25" customHeight="1" x14ac:dyDescent="0.2">
      <c r="E99" s="6"/>
      <c r="F99" s="6"/>
      <c r="G99" s="6"/>
      <c r="H99" s="6"/>
      <c r="I99" s="26"/>
      <c r="J99" s="6"/>
      <c r="K99" s="6"/>
      <c r="L99" s="6"/>
      <c r="M99" s="6"/>
      <c r="N99" s="6"/>
      <c r="O99" s="6"/>
      <c r="P99" s="6"/>
      <c r="Q99" s="38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22"/>
      <c r="AD99" s="22"/>
      <c r="AE99" s="22"/>
      <c r="AF99" s="9"/>
      <c r="AG99" s="9"/>
      <c r="AH99" s="9"/>
      <c r="AI99" s="9"/>
      <c r="AJ99" s="9"/>
      <c r="AK99" s="9"/>
    </row>
    <row r="100" spans="5:37" ht="14.25" customHeight="1" x14ac:dyDescent="0.2">
      <c r="E100" s="6"/>
      <c r="F100" s="6"/>
      <c r="G100" s="6"/>
      <c r="H100" s="6"/>
      <c r="I100" s="26"/>
      <c r="J100" s="6"/>
      <c r="K100" s="6"/>
      <c r="L100" s="6"/>
      <c r="M100" s="6"/>
      <c r="N100" s="6"/>
      <c r="O100" s="6"/>
      <c r="P100" s="6"/>
      <c r="Q100" s="38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22"/>
      <c r="AD100" s="22"/>
      <c r="AE100" s="22"/>
      <c r="AF100" s="9"/>
      <c r="AG100" s="9"/>
      <c r="AH100" s="9"/>
      <c r="AI100" s="9"/>
      <c r="AJ100" s="9"/>
      <c r="AK100" s="9"/>
    </row>
    <row r="101" spans="5:37" ht="14.25" customHeight="1" x14ac:dyDescent="0.2">
      <c r="E101" s="6"/>
      <c r="F101" s="6"/>
      <c r="G101" s="6"/>
      <c r="H101" s="6"/>
      <c r="I101" s="26"/>
      <c r="J101" s="6"/>
      <c r="K101" s="6"/>
      <c r="L101" s="6"/>
      <c r="M101" s="6"/>
      <c r="N101" s="6"/>
      <c r="O101" s="6"/>
      <c r="P101" s="6"/>
      <c r="Q101" s="38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22"/>
      <c r="AD101" s="22"/>
      <c r="AE101" s="22"/>
      <c r="AF101" s="9"/>
      <c r="AG101" s="9"/>
      <c r="AH101" s="9"/>
      <c r="AI101" s="9"/>
      <c r="AJ101" s="9"/>
      <c r="AK101" s="9"/>
    </row>
    <row r="102" spans="5:37" ht="14.25" customHeight="1" x14ac:dyDescent="0.2">
      <c r="E102" s="6"/>
      <c r="F102" s="6"/>
      <c r="G102" s="6"/>
      <c r="H102" s="6"/>
      <c r="I102" s="26"/>
      <c r="J102" s="6"/>
      <c r="K102" s="6"/>
      <c r="L102" s="6"/>
      <c r="M102" s="6"/>
      <c r="N102" s="6"/>
      <c r="O102" s="6"/>
      <c r="P102" s="6"/>
      <c r="Q102" s="38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22"/>
      <c r="AD102" s="22"/>
      <c r="AE102" s="22"/>
      <c r="AF102" s="9"/>
      <c r="AG102" s="9"/>
      <c r="AH102" s="9"/>
      <c r="AI102" s="9"/>
      <c r="AJ102" s="9"/>
      <c r="AK102" s="9"/>
    </row>
    <row r="103" spans="5:37" ht="14.25" customHeight="1" x14ac:dyDescent="0.2">
      <c r="E103" s="6"/>
      <c r="F103" s="6"/>
      <c r="G103" s="6"/>
      <c r="H103" s="6"/>
      <c r="I103" s="26"/>
      <c r="J103" s="6"/>
      <c r="K103" s="6"/>
      <c r="L103" s="6"/>
      <c r="M103" s="6"/>
      <c r="N103" s="6"/>
      <c r="O103" s="6"/>
      <c r="P103" s="6"/>
      <c r="Q103" s="38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22"/>
      <c r="AD103" s="22"/>
      <c r="AE103" s="22"/>
      <c r="AF103" s="9"/>
      <c r="AG103" s="9"/>
      <c r="AH103" s="9"/>
      <c r="AI103" s="9"/>
      <c r="AJ103" s="9"/>
      <c r="AK103" s="9"/>
    </row>
    <row r="104" spans="5:37" ht="14.25" customHeight="1" x14ac:dyDescent="0.2">
      <c r="E104" s="6"/>
      <c r="F104" s="6"/>
      <c r="G104" s="6"/>
      <c r="H104" s="6"/>
      <c r="I104" s="26"/>
      <c r="J104" s="6"/>
      <c r="K104" s="6"/>
      <c r="L104" s="6"/>
      <c r="M104" s="6"/>
      <c r="N104" s="6"/>
      <c r="O104" s="6"/>
      <c r="P104" s="6"/>
      <c r="Q104" s="38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22"/>
      <c r="AD104" s="22"/>
      <c r="AE104" s="22"/>
      <c r="AF104" s="9"/>
      <c r="AG104" s="9"/>
      <c r="AH104" s="9"/>
      <c r="AI104" s="9"/>
      <c r="AJ104" s="9"/>
      <c r="AK104" s="9"/>
    </row>
    <row r="105" spans="5:37" ht="14.25" customHeight="1" x14ac:dyDescent="0.2">
      <c r="E105" s="6"/>
      <c r="F105" s="6"/>
      <c r="G105" s="6"/>
      <c r="H105" s="6"/>
      <c r="I105" s="26"/>
      <c r="J105" s="6"/>
      <c r="K105" s="6"/>
      <c r="L105" s="6"/>
      <c r="M105" s="6"/>
      <c r="N105" s="6"/>
      <c r="O105" s="6"/>
      <c r="P105" s="6"/>
      <c r="Q105" s="38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22"/>
      <c r="AD105" s="22"/>
      <c r="AE105" s="22"/>
      <c r="AF105" s="9"/>
      <c r="AG105" s="9"/>
      <c r="AH105" s="9"/>
      <c r="AI105" s="9"/>
      <c r="AJ105" s="9"/>
      <c r="AK105" s="9"/>
    </row>
    <row r="106" spans="5:37" ht="14.25" customHeight="1" x14ac:dyDescent="0.2">
      <c r="E106" s="6"/>
      <c r="F106" s="6"/>
      <c r="G106" s="6"/>
      <c r="H106" s="6"/>
      <c r="I106" s="26"/>
      <c r="J106" s="6"/>
      <c r="K106" s="6"/>
      <c r="L106" s="6"/>
      <c r="M106" s="6"/>
      <c r="N106" s="6"/>
      <c r="O106" s="6"/>
      <c r="P106" s="6"/>
      <c r="Q106" s="38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22"/>
      <c r="AD106" s="22"/>
      <c r="AE106" s="22"/>
      <c r="AF106" s="9"/>
      <c r="AG106" s="9"/>
      <c r="AH106" s="9"/>
      <c r="AI106" s="9"/>
      <c r="AJ106" s="9"/>
      <c r="AK106" s="9"/>
    </row>
    <row r="107" spans="5:37" ht="14.25" customHeight="1" x14ac:dyDescent="0.2">
      <c r="E107" s="6"/>
      <c r="F107" s="6"/>
      <c r="G107" s="6"/>
      <c r="H107" s="6"/>
      <c r="I107" s="26"/>
      <c r="J107" s="6"/>
      <c r="K107" s="6"/>
      <c r="L107" s="6"/>
      <c r="M107" s="6"/>
      <c r="N107" s="6"/>
      <c r="O107" s="6"/>
      <c r="P107" s="6"/>
      <c r="Q107" s="38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22"/>
      <c r="AD107" s="22"/>
      <c r="AE107" s="22"/>
      <c r="AF107" s="9"/>
      <c r="AG107" s="9"/>
      <c r="AH107" s="9"/>
      <c r="AI107" s="9"/>
      <c r="AJ107" s="9"/>
      <c r="AK107" s="9"/>
    </row>
    <row r="108" spans="5:37" ht="14.25" customHeight="1" x14ac:dyDescent="0.2">
      <c r="E108" s="6"/>
      <c r="F108" s="6"/>
      <c r="G108" s="6"/>
      <c r="H108" s="6"/>
      <c r="I108" s="26"/>
      <c r="J108" s="6"/>
      <c r="K108" s="6"/>
      <c r="L108" s="6"/>
      <c r="M108" s="6"/>
      <c r="N108" s="6"/>
      <c r="O108" s="6"/>
      <c r="P108" s="6"/>
      <c r="Q108" s="38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22"/>
      <c r="AD108" s="22"/>
      <c r="AE108" s="22"/>
      <c r="AF108" s="9"/>
      <c r="AG108" s="9"/>
      <c r="AH108" s="9"/>
      <c r="AI108" s="9"/>
      <c r="AJ108" s="9"/>
      <c r="AK108" s="9"/>
    </row>
    <row r="109" spans="5:37" ht="14.25" customHeight="1" x14ac:dyDescent="0.2">
      <c r="E109" s="6"/>
      <c r="F109" s="6"/>
      <c r="G109" s="6"/>
      <c r="H109" s="6"/>
      <c r="I109" s="26"/>
      <c r="J109" s="6"/>
      <c r="K109" s="6"/>
      <c r="L109" s="6"/>
      <c r="M109" s="6"/>
      <c r="N109" s="6"/>
      <c r="O109" s="6"/>
      <c r="P109" s="6"/>
      <c r="Q109" s="38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22"/>
      <c r="AD109" s="22"/>
      <c r="AE109" s="22"/>
      <c r="AF109" s="9"/>
      <c r="AG109" s="9"/>
      <c r="AH109" s="9"/>
      <c r="AI109" s="9"/>
      <c r="AJ109" s="9"/>
      <c r="AK109" s="9"/>
    </row>
    <row r="110" spans="5:37" ht="14.25" customHeight="1" x14ac:dyDescent="0.2">
      <c r="E110" s="6"/>
      <c r="F110" s="6"/>
      <c r="G110" s="6"/>
      <c r="H110" s="6"/>
      <c r="I110" s="26"/>
      <c r="J110" s="6"/>
      <c r="K110" s="6"/>
      <c r="L110" s="6"/>
      <c r="M110" s="6"/>
      <c r="N110" s="6"/>
      <c r="O110" s="6"/>
      <c r="P110" s="6"/>
      <c r="Q110" s="38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22"/>
      <c r="AD110" s="22"/>
      <c r="AE110" s="22"/>
      <c r="AF110" s="9"/>
      <c r="AG110" s="9"/>
      <c r="AH110" s="9"/>
      <c r="AI110" s="9"/>
      <c r="AJ110" s="9"/>
      <c r="AK110" s="9"/>
    </row>
    <row r="111" spans="5:37" ht="14.25" customHeight="1" x14ac:dyDescent="0.2">
      <c r="E111" s="6"/>
      <c r="F111" s="6"/>
      <c r="G111" s="6"/>
      <c r="H111" s="6"/>
      <c r="I111" s="26"/>
      <c r="J111" s="6"/>
      <c r="K111" s="6"/>
      <c r="L111" s="6"/>
      <c r="M111" s="6"/>
      <c r="N111" s="6"/>
      <c r="O111" s="6"/>
      <c r="P111" s="6"/>
      <c r="Q111" s="38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22"/>
      <c r="AD111" s="22"/>
      <c r="AE111" s="22"/>
      <c r="AF111" s="9"/>
      <c r="AG111" s="9"/>
      <c r="AH111" s="9"/>
      <c r="AI111" s="9"/>
      <c r="AJ111" s="9"/>
      <c r="AK111" s="9"/>
    </row>
    <row r="112" spans="5:37" ht="14.25" customHeight="1" x14ac:dyDescent="0.2">
      <c r="E112" s="6"/>
      <c r="F112" s="6"/>
      <c r="G112" s="6"/>
      <c r="H112" s="6"/>
      <c r="I112" s="26"/>
      <c r="J112" s="6"/>
      <c r="K112" s="6"/>
      <c r="L112" s="6"/>
      <c r="M112" s="6"/>
      <c r="N112" s="6"/>
      <c r="O112" s="6"/>
      <c r="P112" s="6"/>
      <c r="Q112" s="38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22"/>
      <c r="AD112" s="22"/>
      <c r="AE112" s="22"/>
      <c r="AF112" s="9"/>
      <c r="AG112" s="9"/>
      <c r="AH112" s="9"/>
      <c r="AI112" s="9"/>
      <c r="AJ112" s="9"/>
      <c r="AK112" s="9"/>
    </row>
    <row r="113" spans="5:37" ht="14.25" customHeight="1" x14ac:dyDescent="0.2">
      <c r="E113" s="6"/>
      <c r="F113" s="6"/>
      <c r="G113" s="6"/>
      <c r="H113" s="6"/>
      <c r="I113" s="26"/>
      <c r="J113" s="6"/>
      <c r="K113" s="6"/>
      <c r="L113" s="6"/>
      <c r="M113" s="6"/>
      <c r="N113" s="6"/>
      <c r="O113" s="6"/>
      <c r="P113" s="6"/>
      <c r="Q113" s="38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22"/>
      <c r="AD113" s="22"/>
      <c r="AE113" s="22"/>
      <c r="AF113" s="9"/>
      <c r="AG113" s="9"/>
      <c r="AH113" s="9"/>
      <c r="AI113" s="9"/>
      <c r="AJ113" s="9"/>
      <c r="AK113" s="9"/>
    </row>
    <row r="114" spans="5:37" ht="14.25" customHeight="1" x14ac:dyDescent="0.2">
      <c r="E114" s="6"/>
      <c r="F114" s="6"/>
      <c r="G114" s="6"/>
      <c r="H114" s="6"/>
      <c r="I114" s="26"/>
      <c r="J114" s="6"/>
      <c r="K114" s="6"/>
      <c r="L114" s="6"/>
      <c r="M114" s="6"/>
      <c r="N114" s="6"/>
      <c r="O114" s="6"/>
      <c r="P114" s="6"/>
      <c r="Q114" s="38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22"/>
      <c r="AD114" s="22"/>
      <c r="AE114" s="22"/>
      <c r="AF114" s="9"/>
      <c r="AG114" s="9"/>
      <c r="AH114" s="9"/>
      <c r="AI114" s="9"/>
      <c r="AJ114" s="9"/>
      <c r="AK114" s="9"/>
    </row>
    <row r="115" spans="5:37" ht="14.25" customHeight="1" x14ac:dyDescent="0.2">
      <c r="E115" s="6"/>
      <c r="F115" s="6"/>
      <c r="G115" s="6"/>
      <c r="H115" s="6"/>
      <c r="I115" s="26"/>
      <c r="J115" s="6"/>
      <c r="K115" s="6"/>
      <c r="L115" s="6"/>
      <c r="M115" s="6"/>
      <c r="N115" s="6"/>
      <c r="O115" s="6"/>
      <c r="P115" s="6"/>
      <c r="Q115" s="38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22"/>
      <c r="AD115" s="22"/>
      <c r="AE115" s="22"/>
      <c r="AF115" s="9"/>
      <c r="AG115" s="9"/>
      <c r="AH115" s="9"/>
      <c r="AI115" s="9"/>
      <c r="AJ115" s="9"/>
      <c r="AK115" s="9"/>
    </row>
    <row r="116" spans="5:37" ht="14.25" customHeight="1" x14ac:dyDescent="0.2">
      <c r="E116" s="6"/>
      <c r="F116" s="6"/>
      <c r="G116" s="6"/>
      <c r="H116" s="6"/>
      <c r="I116" s="26"/>
      <c r="J116" s="6"/>
      <c r="K116" s="6"/>
      <c r="L116" s="6"/>
      <c r="M116" s="6"/>
      <c r="N116" s="6"/>
      <c r="O116" s="6"/>
      <c r="P116" s="6"/>
      <c r="Q116" s="38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22"/>
      <c r="AD116" s="22"/>
      <c r="AE116" s="22"/>
      <c r="AF116" s="9"/>
      <c r="AG116" s="9"/>
      <c r="AH116" s="9"/>
      <c r="AI116" s="9"/>
      <c r="AJ116" s="9"/>
      <c r="AK116" s="9"/>
    </row>
    <row r="117" spans="5:37" ht="14.25" customHeight="1" x14ac:dyDescent="0.2">
      <c r="E117" s="6"/>
      <c r="F117" s="6"/>
      <c r="G117" s="6"/>
      <c r="H117" s="6"/>
      <c r="I117" s="26"/>
      <c r="J117" s="6"/>
      <c r="K117" s="6"/>
      <c r="L117" s="6"/>
      <c r="M117" s="6"/>
      <c r="N117" s="6"/>
      <c r="O117" s="6"/>
      <c r="P117" s="6"/>
      <c r="Q117" s="38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22"/>
      <c r="AD117" s="22"/>
      <c r="AE117" s="22"/>
      <c r="AF117" s="9"/>
      <c r="AG117" s="9"/>
      <c r="AH117" s="9"/>
      <c r="AI117" s="9"/>
      <c r="AJ117" s="9"/>
      <c r="AK117" s="9"/>
    </row>
    <row r="118" spans="5:37" ht="14.25" customHeight="1" x14ac:dyDescent="0.2">
      <c r="E118" s="6"/>
      <c r="F118" s="6"/>
      <c r="G118" s="6"/>
      <c r="H118" s="6"/>
      <c r="I118" s="26"/>
      <c r="J118" s="6"/>
      <c r="K118" s="6"/>
      <c r="L118" s="6"/>
      <c r="M118" s="6"/>
      <c r="N118" s="6"/>
      <c r="O118" s="6"/>
      <c r="P118" s="6"/>
      <c r="Q118" s="38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22"/>
      <c r="AD118" s="22"/>
      <c r="AE118" s="22"/>
      <c r="AF118" s="9"/>
      <c r="AG118" s="9"/>
      <c r="AH118" s="9"/>
      <c r="AI118" s="9"/>
      <c r="AJ118" s="9"/>
      <c r="AK118" s="9"/>
    </row>
    <row r="119" spans="5:37" ht="14.25" customHeight="1" x14ac:dyDescent="0.2">
      <c r="K119" s="6"/>
      <c r="L119" s="6"/>
      <c r="S119" s="6"/>
      <c r="T119" s="6"/>
      <c r="AI119" s="9"/>
      <c r="AJ119" s="9"/>
      <c r="AK119" s="9"/>
    </row>
    <row r="120" spans="5:37" ht="14.25" customHeight="1" x14ac:dyDescent="0.2">
      <c r="J120" s="6"/>
      <c r="K120" s="6"/>
      <c r="L120" s="6"/>
    </row>
    <row r="122" spans="5:37" ht="14.25" customHeight="1" x14ac:dyDescent="0.2">
      <c r="J122" s="8"/>
      <c r="K122" s="8"/>
      <c r="L122" s="8"/>
    </row>
  </sheetData>
  <mergeCells count="1">
    <mergeCell ref="A1:B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F3326-E073-4513-9274-014D6B3A96E0}">
  <sheetPr codeName="Sheet7"/>
  <dimension ref="A1:AL121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I5" sqref="I5"/>
    </sheetView>
  </sheetViews>
  <sheetFormatPr defaultRowHeight="14.25" x14ac:dyDescent="0.2"/>
  <cols>
    <col min="1" max="20" width="9" style="1"/>
    <col min="21" max="21" width="5.625" style="1" customWidth="1"/>
    <col min="22" max="16384" width="9" style="1"/>
  </cols>
  <sheetData>
    <row r="1" spans="1:34" ht="14.25" customHeight="1" x14ac:dyDescent="0.2">
      <c r="A1" s="79" t="s">
        <v>182</v>
      </c>
      <c r="B1" s="80"/>
      <c r="M1" s="3" t="s">
        <v>157</v>
      </c>
      <c r="N1" s="1" t="s">
        <v>259</v>
      </c>
      <c r="AC1" s="9"/>
    </row>
    <row r="2" spans="1:34" ht="14.25" customHeight="1" x14ac:dyDescent="0.2">
      <c r="A2" s="81"/>
      <c r="B2" s="82"/>
      <c r="M2" s="3" t="s">
        <v>187</v>
      </c>
      <c r="N2" s="1" t="s">
        <v>195</v>
      </c>
      <c r="O2" s="2" t="s">
        <v>200</v>
      </c>
      <c r="Y2" s="20">
        <f>角色设定!J26</f>
        <v>0.4</v>
      </c>
      <c r="Z2" s="20">
        <f>角色设定!K26</f>
        <v>1.5</v>
      </c>
      <c r="AC2" s="9"/>
    </row>
    <row r="3" spans="1:34" ht="14.25" customHeight="1" x14ac:dyDescent="0.2">
      <c r="C3" s="3" t="s">
        <v>192</v>
      </c>
      <c r="D3" s="2" t="s">
        <v>198</v>
      </c>
      <c r="L3" s="3" t="s">
        <v>193</v>
      </c>
      <c r="M3" s="3" t="s">
        <v>184</v>
      </c>
      <c r="N3" s="1">
        <v>10</v>
      </c>
      <c r="O3" s="98" t="str">
        <f>N2</f>
        <v>SSR</v>
      </c>
      <c r="P3" s="99"/>
      <c r="Q3" s="99"/>
      <c r="R3" s="99"/>
      <c r="S3" s="99"/>
      <c r="T3" s="37"/>
      <c r="U3" s="37"/>
      <c r="V3" s="98" t="s">
        <v>196</v>
      </c>
      <c r="W3" s="99"/>
      <c r="X3" s="99"/>
      <c r="Y3" s="99"/>
      <c r="Z3" s="99"/>
      <c r="AA3" s="99"/>
      <c r="AB3" s="100"/>
      <c r="AC3" s="9"/>
    </row>
    <row r="4" spans="1:34" s="3" customFormat="1" ht="14.25" customHeight="1" x14ac:dyDescent="0.2">
      <c r="D4" s="3" t="s">
        <v>157</v>
      </c>
      <c r="E4" s="3" t="s">
        <v>151</v>
      </c>
      <c r="F4" s="3" t="s">
        <v>153</v>
      </c>
      <c r="G4" s="3" t="s">
        <v>154</v>
      </c>
      <c r="H4" s="3" t="s">
        <v>145</v>
      </c>
      <c r="I4" s="3" t="s">
        <v>148</v>
      </c>
      <c r="J4" s="3" t="s">
        <v>175</v>
      </c>
      <c r="K4" s="1"/>
      <c r="L4" s="6">
        <f>MIN(L5:L104)</f>
        <v>0.21845874393053835</v>
      </c>
      <c r="M4" s="3" t="s">
        <v>194</v>
      </c>
      <c r="N4" s="3" t="s">
        <v>173</v>
      </c>
      <c r="O4" s="3" t="s">
        <v>174</v>
      </c>
      <c r="P4" s="3" t="s">
        <v>145</v>
      </c>
      <c r="Q4" s="3" t="s">
        <v>146</v>
      </c>
      <c r="R4" s="3" t="s">
        <v>147</v>
      </c>
      <c r="S4" s="3" t="s">
        <v>148</v>
      </c>
      <c r="T4" s="3" t="s">
        <v>88</v>
      </c>
      <c r="U4" s="3" t="s">
        <v>197</v>
      </c>
      <c r="V4" s="3" t="s">
        <v>173</v>
      </c>
      <c r="W4" s="3" t="s">
        <v>174</v>
      </c>
      <c r="X4" s="3" t="s">
        <v>145</v>
      </c>
      <c r="Y4" s="25" t="s">
        <v>146</v>
      </c>
      <c r="Z4" s="25" t="s">
        <v>147</v>
      </c>
      <c r="AA4" s="3" t="s">
        <v>148</v>
      </c>
      <c r="AB4" s="3" t="s">
        <v>175</v>
      </c>
      <c r="AC4" s="9"/>
    </row>
    <row r="5" spans="1:34" ht="14.25" customHeight="1" x14ac:dyDescent="0.2">
      <c r="D5" s="32" t="s">
        <v>259</v>
      </c>
      <c r="E5" s="1" t="str">
        <f>VLOOKUP($D5,角色设定!$AB:$AJ,MATCH(E$4,角色设定!$AB$9:$AJ$9,0),0)</f>
        <v>承伤</v>
      </c>
      <c r="F5" s="6">
        <f>VLOOKUP($D5,角色设定!$AB:$AJ,MATCH(F$4,角色设定!$AB$9:$AJ$9,0),0)*IF($E5=F$4,角色成长!$F$5,角色成长!$H$5)</f>
        <v>0.24545454545454548</v>
      </c>
      <c r="G5" s="6">
        <f>VLOOKUP($D5,角色设定!$AB:$AJ,MATCH(G$4,角色设定!$AB$9:$AJ$9,0),0)*IF($E5=G$4,角色成长!$F$5,角色成长!$H$5)</f>
        <v>0.50450450450450457</v>
      </c>
      <c r="H5" s="6">
        <f>VLOOKUP($D5,角色设定!$AB:$AJ,MATCH(H$4,角色设定!$AB$9:$AJ$9,0),0)</f>
        <v>4.4117647058823524</v>
      </c>
      <c r="I5" s="1">
        <f>VLOOKUP($D5,角色设定!$AB:$AJ,MATCH(I$4,角色设定!$AB$9:$AJ$9,0),0)</f>
        <v>1</v>
      </c>
      <c r="J5" s="1">
        <f>VLOOKUP($D5,角色设定!$AB:$AJ,MATCH(J$4,角色设定!$AB$9:$AJ$9,0),0)</f>
        <v>0.9</v>
      </c>
      <c r="L5" s="6">
        <f>O5/P5</f>
        <v>1.1994645247657296</v>
      </c>
      <c r="M5" s="1">
        <v>1</v>
      </c>
      <c r="N5" s="6">
        <f>VLOOKUP($N$2,角色品星!$C$16:$D$20,2,0)*VLOOKUP($N$3,角色品星!$C$3:$E$14,3,0)*V5</f>
        <v>202.5</v>
      </c>
      <c r="O5" s="6">
        <f>VLOOKUP($N$2,角色品星!$C$16:$D$20,2,0)*VLOOKUP($N$3,角色品星!$C$3:$E$14,3,0)*W5</f>
        <v>4497.9919678714859</v>
      </c>
      <c r="P5" s="6">
        <f>VLOOKUP($N$2,角色品星!$C$16:$D$20,2,0)*VLOOKUP($N$3,角色品星!$C$3:$E$14,3,0)*X5</f>
        <v>3749.9999999999995</v>
      </c>
      <c r="Q5" s="24">
        <f>Y5</f>
        <v>0.05</v>
      </c>
      <c r="R5" s="24">
        <f t="shared" ref="R5:S5" si="0">Z5</f>
        <v>1.5</v>
      </c>
      <c r="S5" s="24">
        <f t="shared" si="0"/>
        <v>1</v>
      </c>
      <c r="T5" s="42">
        <f>N5*(1+Q5*(R5-1))*S5*战斗公式!$E$39+(P5*战斗公式!$E$40+1)*O5*战斗公式!$E$41</f>
        <v>9855.7291666666661</v>
      </c>
      <c r="U5" s="42">
        <f>T6-T5</f>
        <v>492.78645833333576</v>
      </c>
      <c r="V5" s="6">
        <f>VLOOKUP($N$1,$D$4:$J$15,MATCH(F$4,$D$4:$J$4,0),0)*角色成长!E18*角色成长!$L$15*AB5/AA5/(1+$Y$2*($Z$2-1))</f>
        <v>202.5</v>
      </c>
      <c r="W5" s="6">
        <f>VLOOKUP($N$1,$D$4:$J$15,MATCH(G$4,$D$4:$J$4,0),0)*角色成长!F18*角色成长!$L$15/(1+X5/角色成长!$N$16)</f>
        <v>4497.9919678714859</v>
      </c>
      <c r="X5" s="6">
        <f>VLOOKUP($N$1,$D$4:$J$15,MATCH(H$4,$D$4:$J$4,0),0)*角色成长!G18*角色成长!$L$15</f>
        <v>3749.9999999999995</v>
      </c>
      <c r="Y5" s="1">
        <v>0.05</v>
      </c>
      <c r="Z5" s="1">
        <v>1.5</v>
      </c>
      <c r="AA5" s="1">
        <f>VLOOKUP($N$1,$D$4:$J$15,MATCH(I$4,$D$4:$J$4,0),0)*角色成长!J18</f>
        <v>1</v>
      </c>
      <c r="AB5" s="1">
        <f t="shared" ref="AB5:AB36" si="1">VLOOKUP($N$1,$D$4:$J$15,MATCH(J$4,$D$4:$J$4,0),0)</f>
        <v>0.9</v>
      </c>
    </row>
    <row r="6" spans="1:34" ht="14.25" customHeight="1" x14ac:dyDescent="0.2">
      <c r="D6" s="32" t="s">
        <v>260</v>
      </c>
      <c r="E6" s="1" t="str">
        <f>VLOOKUP($D6,角色设定!$AB:$AJ,MATCH(E$4,角色设定!$AB$9:$AJ$9,0),0)</f>
        <v>承伤</v>
      </c>
      <c r="F6" s="6">
        <f>VLOOKUP($D6,角色设定!$AB:$AJ,MATCH(F$4,角色设定!$AB$9:$AJ$9,0),0)*IF($E6=F$4,角色成长!$F$5,角色成长!$H$5)</f>
        <v>0.27272727272727276</v>
      </c>
      <c r="G6" s="6">
        <f>VLOOKUP($D6,角色设定!$AB:$AJ,MATCH(G$4,角色设定!$AB$9:$AJ$9,0),0)*IF($E6=G$4,角色成长!$F$5,角色成长!$H$5)</f>
        <v>0.45405405405405413</v>
      </c>
      <c r="H6" s="6">
        <f>VLOOKUP($D6,角色设定!$AB:$AJ,MATCH(H$4,角色设定!$AB$9:$AJ$9,0),0)</f>
        <v>3.5294117647058822</v>
      </c>
      <c r="I6" s="1">
        <f>VLOOKUP($D6,角色设定!$AB:$AJ,MATCH(I$4,角色设定!$AB$9:$AJ$9,0),0)</f>
        <v>1</v>
      </c>
      <c r="J6" s="1">
        <f>VLOOKUP($D6,角色设定!$AB:$AJ,MATCH(J$4,角色设定!$AB$9:$AJ$9,0),0)</f>
        <v>0.9</v>
      </c>
      <c r="L6" s="6">
        <f t="shared" ref="L6:L69" si="2">O6/P6</f>
        <v>1.1973007282688586</v>
      </c>
      <c r="M6" s="1">
        <v>2</v>
      </c>
      <c r="N6" s="6">
        <f>VLOOKUP($N$2,角色品星!$C$16:$D$20,2,0)*VLOOKUP($N$3,角色品星!$C$3:$E$14,3,0)*V6</f>
        <v>212.62500000000006</v>
      </c>
      <c r="O6" s="6">
        <f>VLOOKUP($N$2,角色品星!$C$16:$D$20,2,0)*VLOOKUP($N$3,角色品星!$C$3:$E$14,3,0)*W6</f>
        <v>4714.3716175586305</v>
      </c>
      <c r="P6" s="6">
        <f>VLOOKUP($N$2,角色品星!$C$16:$D$20,2,0)*VLOOKUP($N$3,角色品星!$C$3:$E$14,3,0)*X6</f>
        <v>3937.4999999999995</v>
      </c>
      <c r="Q6" s="24">
        <f t="shared" ref="Q6:Q69" si="3">Y6</f>
        <v>0.05</v>
      </c>
      <c r="R6" s="24">
        <f t="shared" ref="R6:R69" si="4">Z6</f>
        <v>1.5</v>
      </c>
      <c r="S6" s="24">
        <f t="shared" ref="S6:S69" si="5">AA6</f>
        <v>1</v>
      </c>
      <c r="T6" s="42">
        <f>N6*(1+Q6*(R6-1))*S6*战斗公式!$E$39+(P6*战斗公式!$E$40+1)*O6*战斗公式!$E$41</f>
        <v>10348.515625000002</v>
      </c>
      <c r="U6" s="42">
        <f t="shared" ref="U6:U69" si="6">T7-T6</f>
        <v>517.42578125000182</v>
      </c>
      <c r="V6" s="6">
        <f>VLOOKUP($N$1,$D$4:$J$15,MATCH(F$4,$D$4:$J$4,0),0)*角色成长!E19*角色成长!$L$15*AB6/AA6/(1+$Y$2*($Z$2-1))</f>
        <v>212.62500000000006</v>
      </c>
      <c r="W6" s="6">
        <f>VLOOKUP($N$1,$D$4:$J$15,MATCH(G$4,$D$4:$J$4,0),0)*角色成长!F19*角色成长!$L$15/(1+X6/角色成长!$N$16)</f>
        <v>4714.3716175586305</v>
      </c>
      <c r="X6" s="6">
        <f>VLOOKUP($N$1,$D$4:$J$15,MATCH(H$4,$D$4:$J$4,0),0)*角色成长!G19*角色成长!$L$15</f>
        <v>3937.4999999999995</v>
      </c>
      <c r="Y6" s="1">
        <v>0.05</v>
      </c>
      <c r="Z6" s="1">
        <v>1.5</v>
      </c>
      <c r="AA6" s="1">
        <f>VLOOKUP($N$1,$D$4:$J$15,MATCH(I$4,$D$4:$J$4,0),0)*角色成长!J19</f>
        <v>1</v>
      </c>
      <c r="AB6" s="1">
        <f t="shared" si="1"/>
        <v>0.9</v>
      </c>
    </row>
    <row r="7" spans="1:34" ht="14.25" customHeight="1" x14ac:dyDescent="0.2">
      <c r="D7" s="32" t="s">
        <v>261</v>
      </c>
      <c r="E7" s="1" t="str">
        <f>VLOOKUP($D7,角色设定!$AB:$AJ,MATCH(E$4,角色设定!$AB$9:$AJ$9,0),0)</f>
        <v>伤害</v>
      </c>
      <c r="F7" s="6">
        <f>VLOOKUP($D7,角色设定!$AB:$AJ,MATCH(F$4,角色设定!$AB$9:$AJ$9,0),0)*IF($E7=F$4,角色成长!$F$5,角色成长!$H$5)</f>
        <v>0.21000000000000002</v>
      </c>
      <c r="G7" s="6">
        <f>VLOOKUP($D7,角色设定!$AB:$AJ,MATCH(G$4,角色设定!$AB$9:$AJ$9,0),0)*IF($E7=G$4,角色成长!$F$5,角色成长!$H$5)</f>
        <v>0.58968058968058967</v>
      </c>
      <c r="H7" s="6">
        <f>VLOOKUP($D7,角色设定!$AB:$AJ,MATCH(H$4,角色设定!$AB$9:$AJ$9,0),0)</f>
        <v>4.0588235294117645</v>
      </c>
      <c r="I7" s="1">
        <f>VLOOKUP($D7,角色设定!$AB:$AJ,MATCH(I$4,角色设定!$AB$9:$AJ$9,0),0)</f>
        <v>1.1000000000000001</v>
      </c>
      <c r="J7" s="1">
        <f>VLOOKUP($D7,角色设定!$AB:$AJ,MATCH(J$4,角色设定!$AB$9:$AJ$9,0),0)</f>
        <v>0.9</v>
      </c>
      <c r="L7" s="6">
        <f t="shared" si="2"/>
        <v>1.1950371281764016</v>
      </c>
      <c r="M7" s="1">
        <v>3</v>
      </c>
      <c r="N7" s="6">
        <f>VLOOKUP($N$2,角色品星!$C$16:$D$20,2,0)*VLOOKUP($N$3,角色品星!$C$3:$E$14,3,0)*V7</f>
        <v>223.25625000000008</v>
      </c>
      <c r="O7" s="6">
        <f>VLOOKUP($N$2,角色品星!$C$16:$D$20,2,0)*VLOOKUP($N$3,角色品星!$C$3:$E$14,3,0)*W7</f>
        <v>4940.7316268043105</v>
      </c>
      <c r="P7" s="6">
        <f>VLOOKUP($N$2,角色品星!$C$16:$D$20,2,0)*VLOOKUP($N$3,角色品星!$C$3:$E$14,3,0)*X7</f>
        <v>4134.375</v>
      </c>
      <c r="Q7" s="24">
        <f t="shared" si="3"/>
        <v>0.05</v>
      </c>
      <c r="R7" s="24">
        <f t="shared" si="4"/>
        <v>1.5</v>
      </c>
      <c r="S7" s="24">
        <f t="shared" si="5"/>
        <v>1</v>
      </c>
      <c r="T7" s="42">
        <f>N7*(1+Q7*(R7-1))*S7*战斗公式!$E$39+(P7*战斗公式!$E$40+1)*O7*战斗公式!$E$41</f>
        <v>10865.941406250004</v>
      </c>
      <c r="U7" s="42">
        <f t="shared" si="6"/>
        <v>543.29707031249927</v>
      </c>
      <c r="V7" s="6">
        <f>VLOOKUP($N$1,$D$4:$J$15,MATCH(F$4,$D$4:$J$4,0),0)*角色成长!E20*角色成长!$L$15*AB7/AA7/(1+$Y$2*($Z$2-1))</f>
        <v>223.25625000000008</v>
      </c>
      <c r="W7" s="6">
        <f>VLOOKUP($N$1,$D$4:$J$15,MATCH(G$4,$D$4:$J$4,0),0)*角色成长!F20*角色成长!$L$15/(1+X7/角色成长!$N$16)</f>
        <v>4940.7316268043105</v>
      </c>
      <c r="X7" s="6">
        <f>VLOOKUP($N$1,$D$4:$J$15,MATCH(H$4,$D$4:$J$4,0),0)*角色成长!G20*角色成长!$L$15</f>
        <v>4134.375</v>
      </c>
      <c r="Y7" s="1">
        <v>0.05</v>
      </c>
      <c r="Z7" s="1">
        <v>1.5</v>
      </c>
      <c r="AA7" s="1">
        <f>VLOOKUP($N$1,$D$4:$J$15,MATCH(I$4,$D$4:$J$4,0),0)*角色成长!J20</f>
        <v>1</v>
      </c>
      <c r="AB7" s="1">
        <f t="shared" si="1"/>
        <v>0.9</v>
      </c>
    </row>
    <row r="8" spans="1:34" ht="14.25" customHeight="1" x14ac:dyDescent="0.2">
      <c r="D8" s="32" t="s">
        <v>262</v>
      </c>
      <c r="E8" s="1" t="str">
        <f>VLOOKUP($D8,角色设定!$AB:$AJ,MATCH(E$4,角色设定!$AB$9:$AJ$9,0),0)</f>
        <v>伤害</v>
      </c>
      <c r="F8" s="6">
        <f>VLOOKUP($D8,角色设定!$AB:$AJ,MATCH(F$4,角色设定!$AB$9:$AJ$9,0),0)*IF($E8=F$4,角色成长!$F$5,角色成长!$H$5)</f>
        <v>0.22909090909090912</v>
      </c>
      <c r="G8" s="6">
        <f>VLOOKUP($D8,角色设定!$AB:$AJ,MATCH(G$4,角色设定!$AB$9:$AJ$9,0),0)*IF($E8=G$4,角色成长!$F$5,角色成长!$H$5)</f>
        <v>0.54054054054054057</v>
      </c>
      <c r="H8" s="6">
        <f>VLOOKUP($D8,角色设定!$AB:$AJ,MATCH(H$4,角色设定!$AB$9:$AJ$9,0),0)</f>
        <v>3.9705882352941173</v>
      </c>
      <c r="I8" s="1">
        <f>VLOOKUP($D8,角色设定!$AB:$AJ,MATCH(I$4,角色设定!$AB$9:$AJ$9,0),0)</f>
        <v>1.1000000000000001</v>
      </c>
      <c r="J8" s="1">
        <f>VLOOKUP($D8,角色设定!$AB:$AJ,MATCH(J$4,角色设定!$AB$9:$AJ$9,0),0)</f>
        <v>0.9</v>
      </c>
      <c r="K8" s="6"/>
      <c r="L8" s="6">
        <f t="shared" si="2"/>
        <v>1.1926695415193926</v>
      </c>
      <c r="M8" s="1">
        <v>4</v>
      </c>
      <c r="N8" s="6">
        <f>VLOOKUP($N$2,角色品星!$C$16:$D$20,2,0)*VLOOKUP($N$3,角色品星!$C$3:$E$14,3,0)*V8</f>
        <v>234.41906250000008</v>
      </c>
      <c r="O8" s="6">
        <f>VLOOKUP($N$2,角色品星!$C$16:$D$20,2,0)*VLOOKUP($N$3,角色品星!$C$3:$E$14,3,0)*W8</f>
        <v>5177.4902925052011</v>
      </c>
      <c r="P8" s="6">
        <f>VLOOKUP($N$2,角色品星!$C$16:$D$20,2,0)*VLOOKUP($N$3,角色品星!$C$3:$E$14,3,0)*X8</f>
        <v>4341.09375</v>
      </c>
      <c r="Q8" s="24">
        <f t="shared" si="3"/>
        <v>0.05</v>
      </c>
      <c r="R8" s="24">
        <f t="shared" si="4"/>
        <v>1.5</v>
      </c>
      <c r="S8" s="24">
        <f t="shared" si="5"/>
        <v>1</v>
      </c>
      <c r="T8" s="42">
        <f>N8*(1+Q8*(R8-1))*S8*战斗公式!$E$39+(P8*战斗公式!$E$40+1)*O8*战斗公式!$E$41</f>
        <v>11409.238476562503</v>
      </c>
      <c r="U8" s="42">
        <f t="shared" si="6"/>
        <v>570.46192382812296</v>
      </c>
      <c r="V8" s="6">
        <f>VLOOKUP($N$1,$D$4:$J$15,MATCH(F$4,$D$4:$J$4,0),0)*角色成长!E21*角色成长!$L$15*AB8/AA8/(1+$Y$2*($Z$2-1))</f>
        <v>234.41906250000008</v>
      </c>
      <c r="W8" s="6">
        <f>VLOOKUP($N$1,$D$4:$J$15,MATCH(G$4,$D$4:$J$4,0),0)*角色成长!F21*角色成长!$L$15/(1+X8/角色成长!$N$16)</f>
        <v>5177.4902925052011</v>
      </c>
      <c r="X8" s="6">
        <f>VLOOKUP($N$1,$D$4:$J$15,MATCH(H$4,$D$4:$J$4,0),0)*角色成长!G21*角色成长!$L$15</f>
        <v>4341.09375</v>
      </c>
      <c r="Y8" s="1">
        <v>0.05</v>
      </c>
      <c r="Z8" s="1">
        <v>1.5</v>
      </c>
      <c r="AA8" s="1">
        <f>VLOOKUP($N$1,$D$4:$J$15,MATCH(I$4,$D$4:$J$4,0),0)*角色成长!J21</f>
        <v>1</v>
      </c>
      <c r="AB8" s="1">
        <f t="shared" si="1"/>
        <v>0.9</v>
      </c>
    </row>
    <row r="9" spans="1:34" ht="14.25" customHeight="1" x14ac:dyDescent="0.2">
      <c r="D9" s="32" t="s">
        <v>263</v>
      </c>
      <c r="E9" s="1" t="str">
        <f>VLOOKUP($D9,角色设定!$AB:$AJ,MATCH(E$4,角色设定!$AB$9:$AJ$9,0),0)</f>
        <v>伤害</v>
      </c>
      <c r="F9" s="6">
        <f>VLOOKUP($D9,角色设定!$AB:$AJ,MATCH(F$4,角色设定!$AB$9:$AJ$9,0),0)*IF($E9=F$4,角色成长!$F$5,角色成长!$H$5)</f>
        <v>0.40090909090909094</v>
      </c>
      <c r="G9" s="6">
        <f>VLOOKUP($D9,角色设定!$AB:$AJ,MATCH(G$4,角色设定!$AB$9:$AJ$9,0),0)*IF($E9=G$4,角色成长!$F$5,角色成长!$H$5)</f>
        <v>0.24710424710424711</v>
      </c>
      <c r="H9" s="6">
        <f>VLOOKUP($D9,角色设定!$AB:$AJ,MATCH(H$4,角色设定!$AB$9:$AJ$9,0),0)</f>
        <v>0.88235294117647056</v>
      </c>
      <c r="I9" s="1">
        <f>VLOOKUP($D9,角色设定!$AB:$AJ,MATCH(I$4,角色设定!$AB$9:$AJ$9,0),0)</f>
        <v>0.8</v>
      </c>
      <c r="J9" s="1">
        <f>VLOOKUP($D9,角色设定!$AB:$AJ,MATCH(J$4,角色设定!$AB$9:$AJ$9,0),0)</f>
        <v>0.8</v>
      </c>
      <c r="L9" s="6">
        <f t="shared" si="2"/>
        <v>1.1901936511321407</v>
      </c>
      <c r="M9" s="1">
        <v>5</v>
      </c>
      <c r="N9" s="6">
        <f>VLOOKUP($N$2,角色品星!$C$16:$D$20,2,0)*VLOOKUP($N$3,角色品星!$C$3:$E$14,3,0)*V9</f>
        <v>246.14001562500007</v>
      </c>
      <c r="O9" s="6">
        <f>VLOOKUP($N$2,角色品星!$C$16:$D$20,2,0)*VLOOKUP($N$3,角色品星!$C$3:$E$14,3,0)*W9</f>
        <v>5425.0793312303877</v>
      </c>
      <c r="P9" s="6">
        <f>VLOOKUP($N$2,角色品星!$C$16:$D$20,2,0)*VLOOKUP($N$3,角色品星!$C$3:$E$14,3,0)*X9</f>
        <v>4558.1484375</v>
      </c>
      <c r="Q9" s="24">
        <f t="shared" si="3"/>
        <v>0.05</v>
      </c>
      <c r="R9" s="24">
        <f t="shared" si="4"/>
        <v>1.5</v>
      </c>
      <c r="S9" s="24">
        <f t="shared" si="5"/>
        <v>1</v>
      </c>
      <c r="T9" s="42">
        <f>N9*(1+Q9*(R9-1))*S9*战斗公式!$E$39+(P9*战斗公式!$E$40+1)*O9*战斗公式!$E$41</f>
        <v>11979.700400390626</v>
      </c>
      <c r="U9" s="42">
        <f t="shared" si="6"/>
        <v>598.98502001953602</v>
      </c>
      <c r="V9" s="6">
        <f>VLOOKUP($N$1,$D$4:$J$15,MATCH(F$4,$D$4:$J$4,0),0)*角色成长!E22*角色成长!$L$15*AB9/AA9/(1+$Y$2*($Z$2-1))</f>
        <v>246.14001562500007</v>
      </c>
      <c r="W9" s="6">
        <f>VLOOKUP($N$1,$D$4:$J$15,MATCH(G$4,$D$4:$J$4,0),0)*角色成长!F22*角色成长!$L$15/(1+X9/角色成长!$N$16)</f>
        <v>5425.0793312303877</v>
      </c>
      <c r="X9" s="6">
        <f>VLOOKUP($N$1,$D$4:$J$15,MATCH(H$4,$D$4:$J$4,0),0)*角色成长!G22*角色成长!$L$15</f>
        <v>4558.1484375</v>
      </c>
      <c r="Y9" s="1">
        <v>0.05</v>
      </c>
      <c r="Z9" s="1">
        <v>1.5</v>
      </c>
      <c r="AA9" s="1">
        <f>VLOOKUP($N$1,$D$4:$J$15,MATCH(I$4,$D$4:$J$4,0),0)*角色成长!J22</f>
        <v>1</v>
      </c>
      <c r="AB9" s="1">
        <f t="shared" si="1"/>
        <v>0.9</v>
      </c>
    </row>
    <row r="10" spans="1:34" ht="14.25" customHeight="1" x14ac:dyDescent="0.2">
      <c r="D10" s="32" t="s">
        <v>264</v>
      </c>
      <c r="E10" s="1" t="str">
        <f>VLOOKUP($D10,角色设定!$AB:$AJ,MATCH(E$4,角色设定!$AB$9:$AJ$9,0),0)</f>
        <v>伤害</v>
      </c>
      <c r="F10" s="6">
        <f>VLOOKUP($D10,角色设定!$AB:$AJ,MATCH(F$4,角色设定!$AB$9:$AJ$9,0),0)*IF($E10=F$4,角色成长!$F$5,角色成长!$H$5)</f>
        <v>0.38181818181818189</v>
      </c>
      <c r="G10" s="6">
        <f>VLOOKUP($D10,角色设定!$AB:$AJ,MATCH(G$4,角色设定!$AB$9:$AJ$9,0),0)*IF($E10=G$4,角色成长!$F$5,角色成长!$H$5)</f>
        <v>0.25945945945945947</v>
      </c>
      <c r="H10" s="6">
        <f>VLOOKUP($D10,角色设定!$AB:$AJ,MATCH(H$4,角色设定!$AB$9:$AJ$9,0),0)</f>
        <v>1.3235294117647058</v>
      </c>
      <c r="I10" s="1">
        <f>VLOOKUP($D10,角色设定!$AB:$AJ,MATCH(I$4,角色设定!$AB$9:$AJ$9,0),0)</f>
        <v>0.8</v>
      </c>
      <c r="J10" s="1">
        <f>VLOOKUP($D10,角色设定!$AB:$AJ,MATCH(J$4,角色设定!$AB$9:$AJ$9,0),0)</f>
        <v>0.8</v>
      </c>
      <c r="L10" s="6">
        <f t="shared" si="2"/>
        <v>1.1876050054928247</v>
      </c>
      <c r="M10" s="1">
        <v>6</v>
      </c>
      <c r="N10" s="6">
        <f>VLOOKUP($N$2,角色品星!$C$16:$D$20,2,0)*VLOOKUP($N$3,角色品星!$C$3:$E$14,3,0)*V10</f>
        <v>258.44701640625016</v>
      </c>
      <c r="O10" s="6">
        <f>VLOOKUP($N$2,角色品星!$C$16:$D$20,2,0)*VLOOKUP($N$3,角色品星!$C$3:$E$14,3,0)*W10</f>
        <v>5683.9438951620132</v>
      </c>
      <c r="P10" s="6">
        <f>VLOOKUP($N$2,角色品星!$C$16:$D$20,2,0)*VLOOKUP($N$3,角色品星!$C$3:$E$14,3,0)*X10</f>
        <v>4786.0558593750002</v>
      </c>
      <c r="Q10" s="24">
        <f t="shared" si="3"/>
        <v>0.05</v>
      </c>
      <c r="R10" s="24">
        <f t="shared" si="4"/>
        <v>1.5</v>
      </c>
      <c r="S10" s="24">
        <f t="shared" si="5"/>
        <v>1</v>
      </c>
      <c r="T10" s="42">
        <f>N10*(1+Q10*(R10-1))*S10*战斗公式!$E$39+(P10*战斗公式!$E$40+1)*O10*战斗公式!$E$41</f>
        <v>12578.685420410162</v>
      </c>
      <c r="U10" s="42">
        <f t="shared" si="6"/>
        <v>628.93427102050919</v>
      </c>
      <c r="V10" s="6">
        <f>VLOOKUP($N$1,$D$4:$J$15,MATCH(F$4,$D$4:$J$4,0),0)*角色成长!E23*角色成长!$L$15*AB10/AA10/(1+$Y$2*($Z$2-1))</f>
        <v>258.44701640625016</v>
      </c>
      <c r="W10" s="6">
        <f>VLOOKUP($N$1,$D$4:$J$15,MATCH(G$4,$D$4:$J$4,0),0)*角色成长!F23*角色成长!$L$15/(1+X10/角色成长!$N$16)</f>
        <v>5683.9438951620132</v>
      </c>
      <c r="X10" s="6">
        <f>VLOOKUP($N$1,$D$4:$J$15,MATCH(H$4,$D$4:$J$4,0),0)*角色成长!G23*角色成长!$L$15</f>
        <v>4786.0558593750002</v>
      </c>
      <c r="Y10" s="1">
        <v>0.05</v>
      </c>
      <c r="Z10" s="1">
        <v>1.5</v>
      </c>
      <c r="AA10" s="1">
        <f>VLOOKUP($N$1,$D$4:$J$15,MATCH(I$4,$D$4:$J$4,0),0)*角色成长!J23</f>
        <v>1</v>
      </c>
      <c r="AB10" s="1">
        <f t="shared" si="1"/>
        <v>0.9</v>
      </c>
    </row>
    <row r="11" spans="1:34" ht="14.25" customHeight="1" x14ac:dyDescent="0.2">
      <c r="D11" s="32" t="s">
        <v>265</v>
      </c>
      <c r="E11" s="1" t="str">
        <f>VLOOKUP($D11,角色设定!$AB:$AJ,MATCH(E$4,角色设定!$AB$9:$AJ$9,0),0)</f>
        <v>伤害</v>
      </c>
      <c r="F11" s="6">
        <f>VLOOKUP($D11,角色设定!$AB:$AJ,MATCH(F$4,角色设定!$AB$9:$AJ$9,0),0)*IF($E11=F$4,角色成长!$F$5,角色成长!$H$5)</f>
        <v>0.36654545454545456</v>
      </c>
      <c r="G11" s="6">
        <f>VLOOKUP($D11,角色设定!$AB:$AJ,MATCH(G$4,角色设定!$AB$9:$AJ$9,0),0)*IF($E11=G$4,角色成长!$F$5,角色成长!$H$5)</f>
        <v>0.27027027027027034</v>
      </c>
      <c r="H11" s="6">
        <f>VLOOKUP($D11,角色设定!$AB:$AJ,MATCH(H$4,角色设定!$AB$9:$AJ$9,0),0)</f>
        <v>0.88235294117647056</v>
      </c>
      <c r="I11" s="1">
        <f>VLOOKUP($D11,角色设定!$AB:$AJ,MATCH(I$4,角色设定!$AB$9:$AJ$9,0),0)</f>
        <v>1</v>
      </c>
      <c r="J11" s="1">
        <f>VLOOKUP($D11,角色设定!$AB:$AJ,MATCH(J$4,角色设定!$AB$9:$AJ$9,0),0)</f>
        <v>0.8</v>
      </c>
      <c r="L11" s="6">
        <f t="shared" si="2"/>
        <v>1.1848990190681665</v>
      </c>
      <c r="M11" s="1">
        <v>7</v>
      </c>
      <c r="N11" s="6">
        <f>VLOOKUP($N$2,角色品星!$C$16:$D$20,2,0)*VLOOKUP($N$3,角色品星!$C$3:$E$14,3,0)*V11</f>
        <v>271.3693672265627</v>
      </c>
      <c r="O11" s="6">
        <f>VLOOKUP($N$2,角色品星!$C$16:$D$20,2,0)*VLOOKUP($N$3,角色品星!$C$3:$E$14,3,0)*W11</f>
        <v>5954.5425376278326</v>
      </c>
      <c r="P11" s="6">
        <f>VLOOKUP($N$2,角色品星!$C$16:$D$20,2,0)*VLOOKUP($N$3,角色品星!$C$3:$E$14,3,0)*X11</f>
        <v>5025.3586523437498</v>
      </c>
      <c r="Q11" s="24">
        <f t="shared" si="3"/>
        <v>0.05</v>
      </c>
      <c r="R11" s="24">
        <f t="shared" si="4"/>
        <v>1.5</v>
      </c>
      <c r="S11" s="24">
        <f t="shared" si="5"/>
        <v>1</v>
      </c>
      <c r="T11" s="42">
        <f>N11*(1+Q11*(R11-1))*S11*战斗公式!$E$39+(P11*战斗公式!$E$40+1)*O11*战斗公式!$E$41</f>
        <v>13207.619691430671</v>
      </c>
      <c r="U11" s="42">
        <f t="shared" si="6"/>
        <v>660.38098457153319</v>
      </c>
      <c r="V11" s="6">
        <f>VLOOKUP($N$1,$D$4:$J$15,MATCH(F$4,$D$4:$J$4,0),0)*角色成长!E24*角色成长!$L$15*AB11/AA11/(1+$Y$2*($Z$2-1))</f>
        <v>271.3693672265627</v>
      </c>
      <c r="W11" s="6">
        <f>VLOOKUP($N$1,$D$4:$J$15,MATCH(G$4,$D$4:$J$4,0),0)*角色成长!F24*角色成长!$L$15/(1+X11/角色成长!$N$16)</f>
        <v>5954.5425376278326</v>
      </c>
      <c r="X11" s="6">
        <f>VLOOKUP($N$1,$D$4:$J$15,MATCH(H$4,$D$4:$J$4,0),0)*角色成长!G24*角色成长!$L$15</f>
        <v>5025.3586523437498</v>
      </c>
      <c r="Y11" s="1">
        <v>0.05</v>
      </c>
      <c r="Z11" s="1">
        <v>1.5</v>
      </c>
      <c r="AA11" s="1">
        <f>VLOOKUP($N$1,$D$4:$J$15,MATCH(I$4,$D$4:$J$4,0),0)*角色成长!J24</f>
        <v>1</v>
      </c>
      <c r="AB11" s="1">
        <f t="shared" si="1"/>
        <v>0.9</v>
      </c>
      <c r="AC11" s="9"/>
    </row>
    <row r="12" spans="1:34" ht="14.25" customHeight="1" x14ac:dyDescent="0.2">
      <c r="D12" s="32" t="s">
        <v>266</v>
      </c>
      <c r="E12" s="1" t="str">
        <f>VLOOKUP($D12,角色设定!$AB:$AJ,MATCH(E$4,角色设定!$AB$9:$AJ$9,0),0)</f>
        <v>伤害</v>
      </c>
      <c r="F12" s="6">
        <f>VLOOKUP($D12,角色设定!$AB:$AJ,MATCH(F$4,角色设定!$AB$9:$AJ$9,0),0)*IF($E12=F$4,角色成长!$F$5,角色成长!$H$5)</f>
        <v>0.37418181818181823</v>
      </c>
      <c r="G12" s="6">
        <f>VLOOKUP($D12,角色设定!$AB:$AJ,MATCH(G$4,角色设定!$AB$9:$AJ$9,0),0)*IF($E12=G$4,角色成长!$F$5,角色成长!$H$5)</f>
        <v>0.26475455046883617</v>
      </c>
      <c r="H12" s="6">
        <f>VLOOKUP($D12,角色设定!$AB:$AJ,MATCH(H$4,角色设定!$AB$9:$AJ$9,0),0)</f>
        <v>1.0588235294117647</v>
      </c>
      <c r="I12" s="1">
        <f>VLOOKUP($D12,角色设定!$AB:$AJ,MATCH(I$4,角色设定!$AB$9:$AJ$9,0),0)</f>
        <v>1</v>
      </c>
      <c r="J12" s="1">
        <f>VLOOKUP($D12,角色设定!$AB:$AJ,MATCH(J$4,角色设定!$AB$9:$AJ$9,0),0)</f>
        <v>0.8</v>
      </c>
      <c r="L12" s="6">
        <f t="shared" si="2"/>
        <v>1.1820709732184915</v>
      </c>
      <c r="M12" s="1">
        <v>8</v>
      </c>
      <c r="N12" s="6">
        <f>VLOOKUP($N$2,角色品星!$C$16:$D$20,2,0)*VLOOKUP($N$3,角色品星!$C$3:$E$14,3,0)*V12</f>
        <v>284.93783558789085</v>
      </c>
      <c r="O12" s="6">
        <f>VLOOKUP($N$2,角色品星!$C$16:$D$20,2,0)*VLOOKUP($N$3,角色品星!$C$3:$E$14,3,0)*W12</f>
        <v>6237.3471225953417</v>
      </c>
      <c r="P12" s="6">
        <f>VLOOKUP($N$2,角色品星!$C$16:$D$20,2,0)*VLOOKUP($N$3,角色品星!$C$3:$E$14,3,0)*X12</f>
        <v>5276.6265849609381</v>
      </c>
      <c r="Q12" s="24">
        <f t="shared" si="3"/>
        <v>0.05</v>
      </c>
      <c r="R12" s="24">
        <f t="shared" si="4"/>
        <v>1.5</v>
      </c>
      <c r="S12" s="24">
        <f t="shared" si="5"/>
        <v>1</v>
      </c>
      <c r="T12" s="42">
        <f>N12*(1+Q12*(R12-1))*S12*战斗公式!$E$39+(P12*战斗公式!$E$40+1)*O12*战斗公式!$E$41</f>
        <v>13868.000676002204</v>
      </c>
      <c r="U12" s="42">
        <f t="shared" si="6"/>
        <v>693.40003380010967</v>
      </c>
      <c r="V12" s="6">
        <f>VLOOKUP($N$1,$D$4:$J$15,MATCH(F$4,$D$4:$J$4,0),0)*角色成长!E25*角色成长!$L$15*AB12/AA12/(1+$Y$2*($Z$2-1))</f>
        <v>284.93783558789085</v>
      </c>
      <c r="W12" s="6">
        <f>VLOOKUP($N$1,$D$4:$J$15,MATCH(G$4,$D$4:$J$4,0),0)*角色成长!F25*角色成长!$L$15/(1+X12/角色成长!$N$16)</f>
        <v>6237.3471225953417</v>
      </c>
      <c r="X12" s="6">
        <f>VLOOKUP($N$1,$D$4:$J$15,MATCH(H$4,$D$4:$J$4,0),0)*角色成长!G25*角色成长!$L$15</f>
        <v>5276.6265849609381</v>
      </c>
      <c r="Y12" s="1">
        <v>0.05</v>
      </c>
      <c r="Z12" s="1">
        <v>1.5</v>
      </c>
      <c r="AA12" s="1">
        <f>VLOOKUP($N$1,$D$4:$J$15,MATCH(I$4,$D$4:$J$4,0),0)*角色成长!J25</f>
        <v>1</v>
      </c>
      <c r="AB12" s="1">
        <f t="shared" si="1"/>
        <v>0.9</v>
      </c>
      <c r="AC12" s="9"/>
    </row>
    <row r="13" spans="1:34" ht="14.25" customHeight="1" x14ac:dyDescent="0.2">
      <c r="C13" s="3"/>
      <c r="D13" s="32" t="s">
        <v>267</v>
      </c>
      <c r="E13" s="1" t="str">
        <f>VLOOKUP($D13,角色设定!$AB:$AJ,MATCH(E$4,角色设定!$AB$9:$AJ$9,0),0)</f>
        <v>伤害</v>
      </c>
      <c r="F13" s="6">
        <f>VLOOKUP($D13,角色设定!$AB:$AJ,MATCH(F$4,角色设定!$AB$9:$AJ$9,0),0)*IF($E13=F$4,角色成长!$F$5,角色成长!$H$5)</f>
        <v>0.3589090909090909</v>
      </c>
      <c r="G13" s="6">
        <f>VLOOKUP($D13,角色设定!$AB:$AJ,MATCH(G$4,角色设定!$AB$9:$AJ$9,0),0)*IF($E13=G$4,角色成长!$F$5,角色成长!$H$5)</f>
        <v>0.27602070155261654</v>
      </c>
      <c r="H13" s="6">
        <f>VLOOKUP($D13,角色设定!$AB:$AJ,MATCH(H$4,角色设定!$AB$9:$AJ$9,0),0)</f>
        <v>1.2352941176470587</v>
      </c>
      <c r="I13" s="1">
        <f>VLOOKUP($D13,角色设定!$AB:$AJ,MATCH(I$4,角色设定!$AB$9:$AJ$9,0),0)</f>
        <v>0.9</v>
      </c>
      <c r="J13" s="1">
        <f>VLOOKUP($D13,角色设定!$AB:$AJ,MATCH(J$4,角色设定!$AB$9:$AJ$9,0),0)</f>
        <v>0.8</v>
      </c>
      <c r="L13" s="6">
        <f t="shared" si="2"/>
        <v>1.1791160177228153</v>
      </c>
      <c r="M13" s="1">
        <v>9</v>
      </c>
      <c r="N13" s="6">
        <f>VLOOKUP($N$2,角色品星!$C$16:$D$20,2,0)*VLOOKUP($N$3,角色品星!$C$3:$E$14,3,0)*V13</f>
        <v>299.18472736728535</v>
      </c>
      <c r="O13" s="6">
        <f>VLOOKUP($N$2,角色品星!$C$16:$D$20,2,0)*VLOOKUP($N$3,角色品星!$C$3:$E$14,3,0)*W13</f>
        <v>6532.8426721629539</v>
      </c>
      <c r="P13" s="6">
        <f>VLOOKUP($N$2,角色品星!$C$16:$D$20,2,0)*VLOOKUP($N$3,角色品星!$C$3:$E$14,3,0)*X13</f>
        <v>5540.4579142089851</v>
      </c>
      <c r="Q13" s="24">
        <f t="shared" si="3"/>
        <v>0.05</v>
      </c>
      <c r="R13" s="24">
        <f t="shared" si="4"/>
        <v>1.5</v>
      </c>
      <c r="S13" s="24">
        <f t="shared" si="5"/>
        <v>1</v>
      </c>
      <c r="T13" s="42">
        <f>N13*(1+Q13*(R13-1))*S13*战斗公式!$E$39+(P13*战斗公式!$E$40+1)*O13*战斗公式!$E$41</f>
        <v>14561.400709802314</v>
      </c>
      <c r="U13" s="42">
        <f t="shared" si="6"/>
        <v>728.07003549011642</v>
      </c>
      <c r="V13" s="6">
        <f>VLOOKUP($N$1,$D$4:$J$15,MATCH(F$4,$D$4:$J$4,0),0)*角色成长!E26*角色成长!$L$15*AB13/AA13/(1+$Y$2*($Z$2-1))</f>
        <v>299.18472736728535</v>
      </c>
      <c r="W13" s="6">
        <f>VLOOKUP($N$1,$D$4:$J$15,MATCH(G$4,$D$4:$J$4,0),0)*角色成长!F26*角色成长!$L$15/(1+X13/角色成长!$N$16)</f>
        <v>6532.8426721629539</v>
      </c>
      <c r="X13" s="6">
        <f>VLOOKUP($N$1,$D$4:$J$15,MATCH(H$4,$D$4:$J$4,0),0)*角色成长!G26*角色成长!$L$15</f>
        <v>5540.4579142089851</v>
      </c>
      <c r="Y13" s="1">
        <v>0.05</v>
      </c>
      <c r="Z13" s="1">
        <v>1.5</v>
      </c>
      <c r="AA13" s="1">
        <f>VLOOKUP($N$1,$D$4:$J$15,MATCH(I$4,$D$4:$J$4,0),0)*角色成长!J26</f>
        <v>1</v>
      </c>
      <c r="AB13" s="1">
        <f t="shared" si="1"/>
        <v>0.9</v>
      </c>
      <c r="AC13" s="4"/>
    </row>
    <row r="14" spans="1:34" ht="14.25" customHeight="1" x14ac:dyDescent="0.2">
      <c r="D14" s="32" t="s">
        <v>268</v>
      </c>
      <c r="E14" s="1" t="str">
        <f>VLOOKUP($D14,角色设定!$AB:$AJ,MATCH(E$4,角色设定!$AB$9:$AJ$9,0),0)</f>
        <v>伤害</v>
      </c>
      <c r="F14" s="6">
        <f>VLOOKUP($D14,角色设定!$AB:$AJ,MATCH(F$4,角色设定!$AB$9:$AJ$9,0),0)*IF($E14=F$4,角色成长!$F$5,角色成长!$H$5)</f>
        <v>0.34363636363636368</v>
      </c>
      <c r="G14" s="6">
        <f>VLOOKUP($D14,角色设定!$AB:$AJ,MATCH(G$4,角色设定!$AB$9:$AJ$9,0),0)*IF($E14=G$4,角色成长!$F$5,角色成长!$H$5)</f>
        <v>0.28828828828828829</v>
      </c>
      <c r="H14" s="6">
        <f>VLOOKUP($D14,角色设定!$AB:$AJ,MATCH(H$4,角色设定!$AB$9:$AJ$9,0),0)</f>
        <v>1.7647058823529411</v>
      </c>
      <c r="I14" s="1">
        <f>VLOOKUP($D14,角色设定!$AB:$AJ,MATCH(I$4,角色设定!$AB$9:$AJ$9,0),0)</f>
        <v>0.9</v>
      </c>
      <c r="J14" s="1">
        <f>VLOOKUP($D14,角色设定!$AB:$AJ,MATCH(J$4,角色设定!$AB$9:$AJ$9,0),0)</f>
        <v>0.8</v>
      </c>
      <c r="L14" s="6">
        <f t="shared" si="2"/>
        <v>1.1760291729868788</v>
      </c>
      <c r="M14" s="1">
        <v>10</v>
      </c>
      <c r="N14" s="6">
        <f>VLOOKUP($N$2,角色品星!$C$16:$D$20,2,0)*VLOOKUP($N$3,角色品星!$C$3:$E$14,3,0)*V14</f>
        <v>314.14396373564966</v>
      </c>
      <c r="O14" s="6">
        <f>VLOOKUP($N$2,角色品星!$C$16:$D$20,2,0)*VLOOKUP($N$3,角色品星!$C$3:$E$14,3,0)*W14</f>
        <v>6841.5271457565896</v>
      </c>
      <c r="P14" s="6">
        <f>VLOOKUP($N$2,角色品星!$C$16:$D$20,2,0)*VLOOKUP($N$3,角色品星!$C$3:$E$14,3,0)*X14</f>
        <v>5817.4808099194343</v>
      </c>
      <c r="Q14" s="24">
        <f t="shared" si="3"/>
        <v>0.05</v>
      </c>
      <c r="R14" s="24">
        <f t="shared" si="4"/>
        <v>1.5</v>
      </c>
      <c r="S14" s="24">
        <f t="shared" si="5"/>
        <v>1</v>
      </c>
      <c r="T14" s="42">
        <f>N14*(1+Q14*(R14-1))*S14*战斗公式!$E$39+(P14*战斗公式!$E$40+1)*O14*战斗公式!$E$41</f>
        <v>15289.47074529243</v>
      </c>
      <c r="U14" s="42">
        <f t="shared" si="6"/>
        <v>764.47353726462097</v>
      </c>
      <c r="V14" s="6">
        <f>VLOOKUP($N$1,$D$4:$J$15,MATCH(F$4,$D$4:$J$4,0),0)*角色成长!E27*角色成长!$L$15*AB14/AA14/(1+$Y$2*($Z$2-1))</f>
        <v>314.14396373564966</v>
      </c>
      <c r="W14" s="6">
        <f>VLOOKUP($N$1,$D$4:$J$15,MATCH(G$4,$D$4:$J$4,0),0)*角色成长!F27*角色成长!$L$15/(1+X14/角色成长!$N$16)</f>
        <v>6841.5271457565896</v>
      </c>
      <c r="X14" s="6">
        <f>VLOOKUP($N$1,$D$4:$J$15,MATCH(H$4,$D$4:$J$4,0),0)*角色成长!G27*角色成长!$L$15</f>
        <v>5817.4808099194343</v>
      </c>
      <c r="Y14" s="1">
        <v>0.05</v>
      </c>
      <c r="Z14" s="1">
        <v>1.5</v>
      </c>
      <c r="AA14" s="1">
        <f>VLOOKUP($N$1,$D$4:$J$15,MATCH(I$4,$D$4:$J$4,0),0)*角色成长!J27</f>
        <v>1</v>
      </c>
      <c r="AB14" s="1">
        <f t="shared" si="1"/>
        <v>0.9</v>
      </c>
      <c r="AG14" s="9"/>
      <c r="AH14" s="9"/>
    </row>
    <row r="15" spans="1:34" ht="14.25" customHeight="1" x14ac:dyDescent="0.2">
      <c r="C15" s="6"/>
      <c r="D15" s="32" t="s">
        <v>269</v>
      </c>
      <c r="E15" s="1" t="str">
        <f>VLOOKUP($D15,角色设定!$AB:$AJ,MATCH(E$4,角色设定!$AB$9:$AJ$9,0),0)</f>
        <v>无</v>
      </c>
      <c r="F15" s="6">
        <f>VLOOKUP($D15,角色设定!$AB:$AJ,MATCH(F$4,角色设定!$AB$9:$AJ$9,0),0)*IF($E15=F$4,角色成长!$F$5,角色成长!$H$5)</f>
        <v>0.19636363636363641</v>
      </c>
      <c r="G15" s="6">
        <f>VLOOKUP($D15,角色设定!$AB:$AJ,MATCH(G$4,角色设定!$AB$9:$AJ$9,0),0)*IF($E15=G$4,角色成长!$F$5,角色成长!$H$5)</f>
        <v>0.3603603603603604</v>
      </c>
      <c r="H15" s="6">
        <f>VLOOKUP($D15,角色设定!$AB:$AJ,MATCH(H$4,角色设定!$AB$9:$AJ$9,0),0)</f>
        <v>1.4117647058823528</v>
      </c>
      <c r="I15" s="1">
        <f>VLOOKUP($D15,角色设定!$AB:$AJ,MATCH(I$4,角色设定!$AB$9:$AJ$9,0),0)</f>
        <v>1</v>
      </c>
      <c r="J15" s="1">
        <f>VLOOKUP($D15,角色设定!$AB:$AJ,MATCH(J$4,角色设定!$AB$9:$AJ$9,0),0)</f>
        <v>0.9</v>
      </c>
      <c r="L15" s="6">
        <f t="shared" si="2"/>
        <v>1.1728053330001968</v>
      </c>
      <c r="M15" s="1">
        <v>11</v>
      </c>
      <c r="N15" s="6">
        <f>VLOOKUP($N$2,角色品星!$C$16:$D$20,2,0)*VLOOKUP($N$3,角色品星!$C$3:$E$14,3,0)*V15</f>
        <v>329.85116192243214</v>
      </c>
      <c r="O15" s="6">
        <f>VLOOKUP($N$2,角色品星!$C$16:$D$20,2,0)*VLOOKUP($N$3,角色品星!$C$3:$E$14,3,0)*W15</f>
        <v>7163.9111444248074</v>
      </c>
      <c r="P15" s="6">
        <f>VLOOKUP($N$2,角色品星!$C$16:$D$20,2,0)*VLOOKUP($N$3,角色品星!$C$3:$E$14,3,0)*X15</f>
        <v>6108.354850415406</v>
      </c>
      <c r="Q15" s="24">
        <f t="shared" si="3"/>
        <v>0.05</v>
      </c>
      <c r="R15" s="24">
        <f t="shared" si="4"/>
        <v>1.5</v>
      </c>
      <c r="S15" s="24">
        <f t="shared" si="5"/>
        <v>1</v>
      </c>
      <c r="T15" s="42">
        <f>N15*(1+Q15*(R15-1))*S15*战斗公式!$E$39+(P15*战斗公式!$E$40+1)*O15*战斗公式!$E$41</f>
        <v>16053.944282557051</v>
      </c>
      <c r="U15" s="42">
        <f t="shared" si="6"/>
        <v>802.69721412785657</v>
      </c>
      <c r="V15" s="6">
        <f>VLOOKUP($N$1,$D$4:$J$15,MATCH(F$4,$D$4:$J$4,0),0)*角色成长!E28*角色成长!$L$15*AB15/AA15/(1+$Y$2*($Z$2-1))</f>
        <v>329.85116192243214</v>
      </c>
      <c r="W15" s="6">
        <f>VLOOKUP($N$1,$D$4:$J$15,MATCH(G$4,$D$4:$J$4,0),0)*角色成长!F28*角色成长!$L$15/(1+X15/角色成长!$N$16)</f>
        <v>7163.9111444248074</v>
      </c>
      <c r="X15" s="6">
        <f>VLOOKUP($N$1,$D$4:$J$15,MATCH(H$4,$D$4:$J$4,0),0)*角色成长!G28*角色成长!$L$15</f>
        <v>6108.354850415406</v>
      </c>
      <c r="Y15" s="1">
        <v>0.05</v>
      </c>
      <c r="Z15" s="1">
        <v>1.5</v>
      </c>
      <c r="AA15" s="1">
        <f>VLOOKUP($N$1,$D$4:$J$15,MATCH(I$4,$D$4:$J$4,0),0)*角色成长!J28</f>
        <v>1</v>
      </c>
      <c r="AB15" s="1">
        <f t="shared" si="1"/>
        <v>0.9</v>
      </c>
    </row>
    <row r="16" spans="1:34" ht="14.25" customHeight="1" x14ac:dyDescent="0.2">
      <c r="C16" s="6"/>
      <c r="E16" s="26"/>
      <c r="F16" s="26"/>
      <c r="G16" s="26"/>
      <c r="L16" s="6">
        <f t="shared" si="2"/>
        <v>1.1694392691111601</v>
      </c>
      <c r="M16" s="1">
        <v>12</v>
      </c>
      <c r="N16" s="6">
        <f>VLOOKUP($N$2,角色品星!$C$16:$D$20,2,0)*VLOOKUP($N$3,角色品星!$C$3:$E$14,3,0)*V16</f>
        <v>346.34372001855377</v>
      </c>
      <c r="O16" s="6">
        <f>VLOOKUP($N$2,角色品星!$C$16:$D$20,2,0)*VLOOKUP($N$3,角色品星!$C$3:$E$14,3,0)*W16</f>
        <v>7500.5175333284724</v>
      </c>
      <c r="P16" s="6">
        <f>VLOOKUP($N$2,角色品星!$C$16:$D$20,2,0)*VLOOKUP($N$3,角色品星!$C$3:$E$14,3,0)*X16</f>
        <v>6413.7725929361759</v>
      </c>
      <c r="Q16" s="24">
        <f t="shared" si="3"/>
        <v>0.05</v>
      </c>
      <c r="R16" s="24">
        <f t="shared" si="4"/>
        <v>1.5</v>
      </c>
      <c r="S16" s="24">
        <f t="shared" si="5"/>
        <v>1</v>
      </c>
      <c r="T16" s="42">
        <f>N16*(1+Q16*(R16-1))*S16*战斗公式!$E$39+(P16*战斗公式!$E$40+1)*O16*战斗公式!$E$41</f>
        <v>16856.641496684908</v>
      </c>
      <c r="U16" s="42">
        <f t="shared" si="6"/>
        <v>842.83207483424849</v>
      </c>
      <c r="V16" s="6">
        <f>VLOOKUP($N$1,$D$4:$J$15,MATCH(F$4,$D$4:$J$4,0),0)*角色成长!E29*角色成长!$L$15*AB16/AA16/(1+$Y$2*($Z$2-1))</f>
        <v>346.34372001855377</v>
      </c>
      <c r="W16" s="6">
        <f>VLOOKUP($N$1,$D$4:$J$15,MATCH(G$4,$D$4:$J$4,0),0)*角色成长!F29*角色成长!$L$15/(1+X16/角色成长!$N$16)</f>
        <v>7500.5175333284724</v>
      </c>
      <c r="X16" s="6">
        <f>VLOOKUP($N$1,$D$4:$J$15,MATCH(H$4,$D$4:$J$4,0),0)*角色成长!G29*角色成长!$L$15</f>
        <v>6413.7725929361759</v>
      </c>
      <c r="Y16" s="1">
        <v>0.05</v>
      </c>
      <c r="Z16" s="1">
        <v>1.5</v>
      </c>
      <c r="AA16" s="1">
        <f>VLOOKUP($N$1,$D$4:$J$15,MATCH(I$4,$D$4:$J$4,0),0)*角色成长!J29</f>
        <v>1</v>
      </c>
      <c r="AB16" s="1">
        <f t="shared" si="1"/>
        <v>0.9</v>
      </c>
      <c r="AD16" s="22"/>
    </row>
    <row r="17" spans="2:38" ht="14.25" customHeight="1" x14ac:dyDescent="0.2">
      <c r="C17" s="6"/>
      <c r="L17" s="6">
        <f t="shared" si="2"/>
        <v>1.1659256346919604</v>
      </c>
      <c r="M17" s="1">
        <v>13</v>
      </c>
      <c r="N17" s="6">
        <f>VLOOKUP($N$2,角色品星!$C$16:$D$20,2,0)*VLOOKUP($N$3,角色品星!$C$3:$E$14,3,0)*V17</f>
        <v>363.6609060194815</v>
      </c>
      <c r="O17" s="6">
        <f>VLOOKUP($N$2,角色品星!$C$16:$D$20,2,0)*VLOOKUP($N$3,角色品星!$C$3:$E$14,3,0)*W17</f>
        <v>7851.8809752484631</v>
      </c>
      <c r="P17" s="6">
        <f>VLOOKUP($N$2,角色品星!$C$16:$D$20,2,0)*VLOOKUP($N$3,角色品星!$C$3:$E$14,3,0)*X17</f>
        <v>6734.4612225829851</v>
      </c>
      <c r="Q17" s="24">
        <f t="shared" si="3"/>
        <v>0.05</v>
      </c>
      <c r="R17" s="24">
        <f t="shared" si="4"/>
        <v>1.5</v>
      </c>
      <c r="S17" s="24">
        <f t="shared" si="5"/>
        <v>1</v>
      </c>
      <c r="T17" s="42">
        <f>N17*(1+Q17*(R17-1))*S17*战斗公式!$E$39+(P17*战斗公式!$E$40+1)*O17*战斗公式!$E$41</f>
        <v>17699.473571519156</v>
      </c>
      <c r="U17" s="42">
        <f t="shared" si="6"/>
        <v>884.97367857595236</v>
      </c>
      <c r="V17" s="6">
        <f>VLOOKUP($N$1,$D$4:$J$15,MATCH(F$4,$D$4:$J$4,0),0)*角色成长!E30*角色成长!$L$15*AB17/AA17/(1+$Y$2*($Z$2-1))</f>
        <v>363.6609060194815</v>
      </c>
      <c r="W17" s="6">
        <f>VLOOKUP($N$1,$D$4:$J$15,MATCH(G$4,$D$4:$J$4,0),0)*角色成长!F30*角色成长!$L$15/(1+X17/角色成长!$N$16)</f>
        <v>7851.8809752484631</v>
      </c>
      <c r="X17" s="6">
        <f>VLOOKUP($N$1,$D$4:$J$15,MATCH(H$4,$D$4:$J$4,0),0)*角色成长!G30*角色成长!$L$15</f>
        <v>6734.4612225829851</v>
      </c>
      <c r="Y17" s="1">
        <v>0.05</v>
      </c>
      <c r="Z17" s="1">
        <v>1.5</v>
      </c>
      <c r="AA17" s="1">
        <f>VLOOKUP($N$1,$D$4:$J$15,MATCH(I$4,$D$4:$J$4,0),0)*角色成长!J30</f>
        <v>1</v>
      </c>
      <c r="AB17" s="1">
        <f t="shared" si="1"/>
        <v>0.9</v>
      </c>
    </row>
    <row r="18" spans="2:38" ht="14.25" customHeight="1" x14ac:dyDescent="0.2">
      <c r="C18" s="6"/>
      <c r="E18" s="6"/>
      <c r="F18" s="6"/>
      <c r="G18" s="6"/>
      <c r="H18" s="6"/>
      <c r="I18" s="26"/>
      <c r="J18" s="6"/>
      <c r="K18" s="6"/>
      <c r="L18" s="6">
        <f t="shared" si="2"/>
        <v>1.1622589707674993</v>
      </c>
      <c r="M18" s="1">
        <v>14</v>
      </c>
      <c r="N18" s="6">
        <f>VLOOKUP($N$2,角色品星!$C$16:$D$20,2,0)*VLOOKUP($N$3,角色品星!$C$3:$E$14,3,0)*V18</f>
        <v>381.84395132045546</v>
      </c>
      <c r="O18" s="6">
        <f>VLOOKUP($N$2,角色品星!$C$16:$D$20,2,0)*VLOOKUP($N$3,角色品星!$C$3:$E$14,3,0)*W18</f>
        <v>8218.5473676945821</v>
      </c>
      <c r="P18" s="6">
        <f>VLOOKUP($N$2,角色品星!$C$16:$D$20,2,0)*VLOOKUP($N$3,角色品星!$C$3:$E$14,3,0)*X18</f>
        <v>7071.1842837121349</v>
      </c>
      <c r="Q18" s="24">
        <f t="shared" si="3"/>
        <v>0.05</v>
      </c>
      <c r="R18" s="24">
        <f t="shared" si="4"/>
        <v>1.5</v>
      </c>
      <c r="S18" s="24">
        <f t="shared" si="5"/>
        <v>1</v>
      </c>
      <c r="T18" s="42">
        <f>N18*(1+Q18*(R18-1))*S18*战斗公式!$E$39+(P18*战斗公式!$E$40+1)*O18*战斗公式!$E$41</f>
        <v>18584.447250095109</v>
      </c>
      <c r="U18" s="42">
        <f t="shared" si="6"/>
        <v>929.22236250475544</v>
      </c>
      <c r="V18" s="6">
        <f>VLOOKUP($N$1,$D$4:$J$15,MATCH(F$4,$D$4:$J$4,0),0)*角色成长!E31*角色成长!$L$15*AB18/AA18/(1+$Y$2*($Z$2-1))</f>
        <v>381.84395132045546</v>
      </c>
      <c r="W18" s="6">
        <f>VLOOKUP($N$1,$D$4:$J$15,MATCH(G$4,$D$4:$J$4,0),0)*角色成长!F31*角色成长!$L$15/(1+X18/角色成长!$N$16)</f>
        <v>8218.5473676945821</v>
      </c>
      <c r="X18" s="6">
        <f>VLOOKUP($N$1,$D$4:$J$15,MATCH(H$4,$D$4:$J$4,0),0)*角色成长!G31*角色成长!$L$15</f>
        <v>7071.1842837121349</v>
      </c>
      <c r="Y18" s="1">
        <v>0.05</v>
      </c>
      <c r="Z18" s="1">
        <v>1.5</v>
      </c>
      <c r="AA18" s="1">
        <f>VLOOKUP($N$1,$D$4:$J$15,MATCH(I$4,$D$4:$J$4,0),0)*角色成长!J31</f>
        <v>1</v>
      </c>
      <c r="AB18" s="1">
        <f t="shared" si="1"/>
        <v>0.9</v>
      </c>
      <c r="AC18" s="6"/>
      <c r="AD18" s="22"/>
      <c r="AG18" s="9"/>
      <c r="AH18" s="9"/>
      <c r="AI18" s="9"/>
    </row>
    <row r="19" spans="2:38" ht="14.25" customHeight="1" x14ac:dyDescent="0.2">
      <c r="C19" s="6"/>
      <c r="E19" s="6"/>
      <c r="F19" s="6"/>
      <c r="G19" s="6"/>
      <c r="H19" s="6"/>
      <c r="I19" s="26"/>
      <c r="J19" s="6"/>
      <c r="K19" s="6"/>
      <c r="L19" s="6">
        <f t="shared" si="2"/>
        <v>1.1584337126844508</v>
      </c>
      <c r="M19" s="1">
        <v>15</v>
      </c>
      <c r="N19" s="6">
        <f>VLOOKUP($N$2,角色品星!$C$16:$D$20,2,0)*VLOOKUP($N$3,角色品星!$C$3:$E$14,3,0)*V19</f>
        <v>400.93614888647829</v>
      </c>
      <c r="O19" s="6">
        <f>VLOOKUP($N$2,角色品星!$C$16:$D$20,2,0)*VLOOKUP($N$3,角色品星!$C$3:$E$14,3,0)*W19</f>
        <v>8601.073175999416</v>
      </c>
      <c r="P19" s="6">
        <f>VLOOKUP($N$2,角色品星!$C$16:$D$20,2,0)*VLOOKUP($N$3,角色品星!$C$3:$E$14,3,0)*X19</f>
        <v>7424.7434978977408</v>
      </c>
      <c r="Q19" s="24">
        <f t="shared" si="3"/>
        <v>0.05</v>
      </c>
      <c r="R19" s="24">
        <f t="shared" si="4"/>
        <v>1.5</v>
      </c>
      <c r="S19" s="24">
        <f t="shared" si="5"/>
        <v>1</v>
      </c>
      <c r="T19" s="42">
        <f>N19*(1+Q19*(R19-1))*S19*战斗公式!$E$39+(P19*战斗公式!$E$40+1)*O19*战斗公式!$E$41</f>
        <v>19513.669612599864</v>
      </c>
      <c r="U19" s="42">
        <f t="shared" si="6"/>
        <v>975.68348062999576</v>
      </c>
      <c r="V19" s="6">
        <f>VLOOKUP($N$1,$D$4:$J$15,MATCH(F$4,$D$4:$J$4,0),0)*角色成长!E32*角色成长!$L$15*AB19/AA19/(1+$Y$2*($Z$2-1))</f>
        <v>400.93614888647829</v>
      </c>
      <c r="W19" s="6">
        <f>VLOOKUP($N$1,$D$4:$J$15,MATCH(G$4,$D$4:$J$4,0),0)*角色成长!F32*角色成长!$L$15/(1+X19/角色成长!$N$16)</f>
        <v>8601.073175999416</v>
      </c>
      <c r="X19" s="6">
        <f>VLOOKUP($N$1,$D$4:$J$15,MATCH(H$4,$D$4:$J$4,0),0)*角色成长!G32*角色成长!$L$15</f>
        <v>7424.7434978977408</v>
      </c>
      <c r="Y19" s="1">
        <v>0.05</v>
      </c>
      <c r="Z19" s="1">
        <v>1.5</v>
      </c>
      <c r="AA19" s="1">
        <f>VLOOKUP($N$1,$D$4:$J$15,MATCH(I$4,$D$4:$J$4,0),0)*角色成长!J32</f>
        <v>1</v>
      </c>
      <c r="AB19" s="1">
        <f t="shared" si="1"/>
        <v>0.9</v>
      </c>
      <c r="AC19" s="6"/>
      <c r="AD19" s="22"/>
      <c r="AE19" s="22"/>
      <c r="AF19" s="22"/>
      <c r="AG19" s="9"/>
      <c r="AH19" s="9"/>
      <c r="AI19" s="9"/>
      <c r="AJ19" s="9"/>
      <c r="AK19" s="9"/>
      <c r="AL19" s="9"/>
    </row>
    <row r="20" spans="2:38" ht="14.25" customHeight="1" x14ac:dyDescent="0.2">
      <c r="C20" s="6"/>
      <c r="E20" s="6"/>
      <c r="F20" s="6"/>
      <c r="G20" s="6"/>
      <c r="H20" s="6"/>
      <c r="I20" s="26"/>
      <c r="J20" s="6"/>
      <c r="K20" s="6"/>
      <c r="L20" s="6">
        <f t="shared" si="2"/>
        <v>1.154444197898131</v>
      </c>
      <c r="M20" s="1">
        <v>16</v>
      </c>
      <c r="N20" s="6">
        <f>VLOOKUP($N$2,角色品星!$C$16:$D$20,2,0)*VLOOKUP($N$3,角色品星!$C$3:$E$14,3,0)*V20</f>
        <v>420.98295633080227</v>
      </c>
      <c r="O20" s="6">
        <f>VLOOKUP($N$2,角色品星!$C$16:$D$20,2,0)*VLOOKUP($N$3,角色品星!$C$3:$E$14,3,0)*W20</f>
        <v>9000.0246546314174</v>
      </c>
      <c r="P20" s="6">
        <f>VLOOKUP($N$2,角色品星!$C$16:$D$20,2,0)*VLOOKUP($N$3,角色品星!$C$3:$E$14,3,0)*X20</f>
        <v>7795.9806727926289</v>
      </c>
      <c r="Q20" s="24">
        <f t="shared" si="3"/>
        <v>0.05</v>
      </c>
      <c r="R20" s="24">
        <f t="shared" si="4"/>
        <v>1.5</v>
      </c>
      <c r="S20" s="24">
        <f t="shared" si="5"/>
        <v>1</v>
      </c>
      <c r="T20" s="42">
        <f>N20*(1+Q20*(R20-1))*S20*战斗公式!$E$39+(P20*战斗公式!$E$40+1)*O20*战斗公式!$E$41</f>
        <v>20489.35309322986</v>
      </c>
      <c r="U20" s="42">
        <f t="shared" si="6"/>
        <v>1024.4676546614974</v>
      </c>
      <c r="V20" s="6">
        <f>VLOOKUP($N$1,$D$4:$J$15,MATCH(F$4,$D$4:$J$4,0),0)*角色成长!E33*角色成长!$L$15*AB20/AA20/(1+$Y$2*($Z$2-1))</f>
        <v>420.98295633080227</v>
      </c>
      <c r="W20" s="6">
        <f>VLOOKUP($N$1,$D$4:$J$15,MATCH(G$4,$D$4:$J$4,0),0)*角色成长!F33*角色成长!$L$15/(1+X20/角色成长!$N$16)</f>
        <v>9000.0246546314174</v>
      </c>
      <c r="X20" s="6">
        <f>VLOOKUP($N$1,$D$4:$J$15,MATCH(H$4,$D$4:$J$4,0),0)*角色成长!G33*角色成长!$L$15</f>
        <v>7795.9806727926289</v>
      </c>
      <c r="Y20" s="1">
        <v>0.05</v>
      </c>
      <c r="Z20" s="1">
        <v>1.5</v>
      </c>
      <c r="AA20" s="1">
        <f>VLOOKUP($N$1,$D$4:$J$15,MATCH(I$4,$D$4:$J$4,0),0)*角色成长!J33</f>
        <v>1</v>
      </c>
      <c r="AB20" s="1">
        <f t="shared" si="1"/>
        <v>0.9</v>
      </c>
      <c r="AC20" s="6"/>
      <c r="AD20" s="22"/>
      <c r="AE20" s="22"/>
      <c r="AF20" s="22"/>
      <c r="AG20" s="9"/>
      <c r="AH20" s="9"/>
      <c r="AI20" s="9"/>
      <c r="AJ20" s="9"/>
      <c r="AK20" s="9"/>
      <c r="AL20" s="9"/>
    </row>
    <row r="21" spans="2:38" ht="14.25" customHeight="1" x14ac:dyDescent="0.2">
      <c r="B21" s="6"/>
      <c r="E21" s="6"/>
      <c r="F21" s="6"/>
      <c r="G21" s="6"/>
      <c r="H21" s="6"/>
      <c r="I21" s="26"/>
      <c r="J21" s="6"/>
      <c r="K21" s="6"/>
      <c r="L21" s="6">
        <f t="shared" si="2"/>
        <v>1.1502846749557196</v>
      </c>
      <c r="M21" s="1">
        <v>17</v>
      </c>
      <c r="N21" s="6">
        <f>VLOOKUP($N$2,角色品星!$C$16:$D$20,2,0)*VLOOKUP($N$3,角色品星!$C$3:$E$14,3,0)*V21</f>
        <v>442.03210414734241</v>
      </c>
      <c r="O21" s="6">
        <f>VLOOKUP($N$2,角色品星!$C$16:$D$20,2,0)*VLOOKUP($N$3,角色品星!$C$3:$E$14,3,0)*W21</f>
        <v>9415.9769488725597</v>
      </c>
      <c r="P21" s="6">
        <f>VLOOKUP($N$2,角色品星!$C$16:$D$20,2,0)*VLOOKUP($N$3,角色品星!$C$3:$E$14,3,0)*X21</f>
        <v>8185.7797064322613</v>
      </c>
      <c r="Q21" s="24">
        <f t="shared" si="3"/>
        <v>0.05</v>
      </c>
      <c r="R21" s="24">
        <f t="shared" si="4"/>
        <v>1.5</v>
      </c>
      <c r="S21" s="24">
        <f t="shared" si="5"/>
        <v>1</v>
      </c>
      <c r="T21" s="42">
        <f>N21*(1+Q21*(R21-1))*S21*战斗公式!$E$39+(P21*战斗公式!$E$40+1)*O21*战斗公式!$E$41</f>
        <v>21513.820747891357</v>
      </c>
      <c r="U21" s="42">
        <f t="shared" si="6"/>
        <v>1075.6910373945684</v>
      </c>
      <c r="V21" s="6">
        <f>VLOOKUP($N$1,$D$4:$J$15,MATCH(F$4,$D$4:$J$4,0),0)*角色成长!E34*角色成长!$L$15*AB21/AA21/(1+$Y$2*($Z$2-1))</f>
        <v>442.03210414734241</v>
      </c>
      <c r="W21" s="6">
        <f>VLOOKUP($N$1,$D$4:$J$15,MATCH(G$4,$D$4:$J$4,0),0)*角色成长!F34*角色成长!$L$15/(1+X21/角色成长!$N$16)</f>
        <v>9415.9769488725597</v>
      </c>
      <c r="X21" s="6">
        <f>VLOOKUP($N$1,$D$4:$J$15,MATCH(H$4,$D$4:$J$4,0),0)*角色成长!G34*角色成长!$L$15</f>
        <v>8185.7797064322613</v>
      </c>
      <c r="Y21" s="1">
        <v>0.05</v>
      </c>
      <c r="Z21" s="1">
        <v>1.5</v>
      </c>
      <c r="AA21" s="1">
        <f>VLOOKUP($N$1,$D$4:$J$15,MATCH(I$4,$D$4:$J$4,0),0)*角色成长!J34</f>
        <v>1</v>
      </c>
      <c r="AB21" s="1">
        <f t="shared" si="1"/>
        <v>0.9</v>
      </c>
      <c r="AC21" s="6"/>
      <c r="AD21" s="22"/>
      <c r="AE21" s="22"/>
      <c r="AF21" s="22"/>
      <c r="AG21" s="9"/>
      <c r="AH21" s="9"/>
      <c r="AI21" s="9"/>
      <c r="AJ21" s="9"/>
      <c r="AK21" s="9"/>
      <c r="AL21" s="9"/>
    </row>
    <row r="22" spans="2:38" ht="14.25" customHeight="1" x14ac:dyDescent="0.2">
      <c r="B22" s="6"/>
      <c r="C22" s="6"/>
      <c r="E22" s="6"/>
      <c r="F22" s="6"/>
      <c r="G22" s="6"/>
      <c r="H22" s="6"/>
      <c r="I22" s="26"/>
      <c r="J22" s="6"/>
      <c r="K22" s="6"/>
      <c r="L22" s="6">
        <f t="shared" si="2"/>
        <v>1.1459493137545591</v>
      </c>
      <c r="M22" s="1">
        <v>18</v>
      </c>
      <c r="N22" s="6">
        <f>VLOOKUP($N$2,角色品星!$C$16:$D$20,2,0)*VLOOKUP($N$3,角色品星!$C$3:$E$14,3,0)*V22</f>
        <v>464.13370935470959</v>
      </c>
      <c r="O22" s="6">
        <f>VLOOKUP($N$2,角色品星!$C$16:$D$20,2,0)*VLOOKUP($N$3,角色品星!$C$3:$E$14,3,0)*W22</f>
        <v>9849.5130689886464</v>
      </c>
      <c r="P22" s="6">
        <f>VLOOKUP($N$2,角色品星!$C$16:$D$20,2,0)*VLOOKUP($N$3,角色品星!$C$3:$E$14,3,0)*X22</f>
        <v>8595.0686917538733</v>
      </c>
      <c r="Q22" s="24">
        <f t="shared" si="3"/>
        <v>0.05</v>
      </c>
      <c r="R22" s="24">
        <f t="shared" si="4"/>
        <v>1.5</v>
      </c>
      <c r="S22" s="24">
        <f t="shared" si="5"/>
        <v>1</v>
      </c>
      <c r="T22" s="42">
        <f>N22*(1+Q22*(R22-1))*S22*战斗公式!$E$39+(P22*战斗公式!$E$40+1)*O22*战斗公式!$E$41</f>
        <v>22589.511785285926</v>
      </c>
      <c r="U22" s="42">
        <f t="shared" si="6"/>
        <v>1129.4755892642934</v>
      </c>
      <c r="V22" s="6">
        <f>VLOOKUP($N$1,$D$4:$J$15,MATCH(F$4,$D$4:$J$4,0),0)*角色成长!E35*角色成长!$L$15*AB22/AA22/(1+$Y$2*($Z$2-1))</f>
        <v>464.13370935470959</v>
      </c>
      <c r="W22" s="6">
        <f>VLOOKUP($N$1,$D$4:$J$15,MATCH(G$4,$D$4:$J$4,0),0)*角色成长!F35*角色成长!$L$15/(1+X22/角色成长!$N$16)</f>
        <v>9849.5130689886464</v>
      </c>
      <c r="X22" s="6">
        <f>VLOOKUP($N$1,$D$4:$J$15,MATCH(H$4,$D$4:$J$4,0),0)*角色成长!G35*角色成长!$L$15</f>
        <v>8595.0686917538733</v>
      </c>
      <c r="Y22" s="1">
        <v>0.05</v>
      </c>
      <c r="Z22" s="1">
        <v>1.5</v>
      </c>
      <c r="AA22" s="1">
        <f>VLOOKUP($N$1,$D$4:$J$15,MATCH(I$4,$D$4:$J$4,0),0)*角色成长!J35</f>
        <v>1</v>
      </c>
      <c r="AB22" s="1">
        <f t="shared" si="1"/>
        <v>0.9</v>
      </c>
      <c r="AC22" s="6"/>
      <c r="AD22" s="22"/>
      <c r="AE22" s="22"/>
      <c r="AF22" s="22"/>
      <c r="AG22" s="9"/>
      <c r="AH22" s="9"/>
      <c r="AI22" s="9"/>
      <c r="AJ22" s="9"/>
      <c r="AK22" s="9"/>
      <c r="AL22" s="9"/>
    </row>
    <row r="23" spans="2:38" ht="14.25" customHeight="1" x14ac:dyDescent="0.2">
      <c r="C23" s="6"/>
      <c r="E23" s="6"/>
      <c r="F23" s="6"/>
      <c r="G23" s="6"/>
      <c r="H23" s="6"/>
      <c r="I23" s="26"/>
      <c r="J23" s="6"/>
      <c r="K23" s="6"/>
      <c r="L23" s="6">
        <f t="shared" si="2"/>
        <v>1.1414322171535782</v>
      </c>
      <c r="M23" s="1">
        <v>19</v>
      </c>
      <c r="N23" s="6">
        <f>VLOOKUP($N$2,角色品星!$C$16:$D$20,2,0)*VLOOKUP($N$3,角色品星!$C$3:$E$14,3,0)*V23</f>
        <v>487.34039482244498</v>
      </c>
      <c r="O23" s="6">
        <f>VLOOKUP($N$2,角色品星!$C$16:$D$20,2,0)*VLOOKUP($N$3,角色品星!$C$3:$E$14,3,0)*W23</f>
        <v>10301.222729086725</v>
      </c>
      <c r="P23" s="6">
        <f>VLOOKUP($N$2,角色品星!$C$16:$D$20,2,0)*VLOOKUP($N$3,角色品星!$C$3:$E$14,3,0)*X23</f>
        <v>9024.8221263415671</v>
      </c>
      <c r="Q23" s="24">
        <f t="shared" si="3"/>
        <v>0.05</v>
      </c>
      <c r="R23" s="24">
        <f t="shared" si="4"/>
        <v>1.5</v>
      </c>
      <c r="S23" s="24">
        <f t="shared" si="5"/>
        <v>1</v>
      </c>
      <c r="T23" s="42">
        <f>N23*(1+Q23*(R23-1))*S23*战斗公式!$E$39+(P23*战斗公式!$E$40+1)*O23*战斗公式!$E$41</f>
        <v>23718.987374550219</v>
      </c>
      <c r="U23" s="42">
        <f t="shared" si="6"/>
        <v>1185.9493687275171</v>
      </c>
      <c r="V23" s="6">
        <f>VLOOKUP($N$1,$D$4:$J$15,MATCH(F$4,$D$4:$J$4,0),0)*角色成长!E36*角色成长!$L$15*AB23/AA23/(1+$Y$2*($Z$2-1))</f>
        <v>487.34039482244498</v>
      </c>
      <c r="W23" s="6">
        <f>VLOOKUP($N$1,$D$4:$J$15,MATCH(G$4,$D$4:$J$4,0),0)*角色成长!F36*角色成长!$L$15/(1+X23/角色成长!$N$16)</f>
        <v>10301.222729086725</v>
      </c>
      <c r="X23" s="6">
        <f>VLOOKUP($N$1,$D$4:$J$15,MATCH(H$4,$D$4:$J$4,0),0)*角色成长!G36*角色成长!$L$15</f>
        <v>9024.8221263415671</v>
      </c>
      <c r="Y23" s="1">
        <v>0.05</v>
      </c>
      <c r="Z23" s="1">
        <v>1.5</v>
      </c>
      <c r="AA23" s="1">
        <f>VLOOKUP($N$1,$D$4:$J$15,MATCH(I$4,$D$4:$J$4,0),0)*角色成长!J36</f>
        <v>1</v>
      </c>
      <c r="AB23" s="1">
        <f t="shared" si="1"/>
        <v>0.9</v>
      </c>
      <c r="AC23" s="6"/>
      <c r="AD23" s="22"/>
      <c r="AE23" s="22"/>
      <c r="AF23" s="22"/>
      <c r="AG23" s="9"/>
      <c r="AH23" s="9"/>
      <c r="AI23" s="9"/>
      <c r="AJ23" s="9"/>
      <c r="AK23" s="9"/>
      <c r="AL23" s="9"/>
    </row>
    <row r="24" spans="2:38" ht="14.25" customHeight="1" x14ac:dyDescent="0.2">
      <c r="E24" s="6"/>
      <c r="F24" s="6"/>
      <c r="G24" s="6"/>
      <c r="H24" s="6"/>
      <c r="I24" s="26"/>
      <c r="J24" s="6"/>
      <c r="K24" s="6"/>
      <c r="L24" s="6">
        <f t="shared" si="2"/>
        <v>1.1367274340142746</v>
      </c>
      <c r="M24" s="1">
        <v>20</v>
      </c>
      <c r="N24" s="6">
        <f>VLOOKUP($N$2,角色品星!$C$16:$D$20,2,0)*VLOOKUP($N$3,角色品星!$C$3:$E$14,3,0)*V24</f>
        <v>511.70741456356723</v>
      </c>
      <c r="O24" s="6">
        <f>VLOOKUP($N$2,角色品星!$C$16:$D$20,2,0)*VLOOKUP($N$3,角色品星!$C$3:$E$14,3,0)*W24</f>
        <v>10771.701043017076</v>
      </c>
      <c r="P24" s="6">
        <f>VLOOKUP($N$2,角色品星!$C$16:$D$20,2,0)*VLOOKUP($N$3,角色品星!$C$3:$E$14,3,0)*X24</f>
        <v>9476.0632326586474</v>
      </c>
      <c r="Q24" s="24">
        <f t="shared" si="3"/>
        <v>0.05</v>
      </c>
      <c r="R24" s="24">
        <f t="shared" si="4"/>
        <v>1.5</v>
      </c>
      <c r="S24" s="24">
        <f t="shared" si="5"/>
        <v>1</v>
      </c>
      <c r="T24" s="42">
        <f>N24*(1+Q24*(R24-1))*S24*战斗公式!$E$39+(P24*战斗公式!$E$40+1)*O24*战斗公式!$E$41</f>
        <v>24904.936743277736</v>
      </c>
      <c r="U24" s="42">
        <f t="shared" si="6"/>
        <v>1245.2468371638861</v>
      </c>
      <c r="V24" s="6">
        <f>VLOOKUP($N$1,$D$4:$J$15,MATCH(F$4,$D$4:$J$4,0),0)*角色成长!E37*角色成长!$L$15*AB24/AA24/(1+$Y$2*($Z$2-1))</f>
        <v>511.70741456356723</v>
      </c>
      <c r="W24" s="6">
        <f>VLOOKUP($N$1,$D$4:$J$15,MATCH(G$4,$D$4:$J$4,0),0)*角色成长!F37*角色成长!$L$15/(1+X24/角色成长!$N$16)</f>
        <v>10771.701043017076</v>
      </c>
      <c r="X24" s="6">
        <f>VLOOKUP($N$1,$D$4:$J$15,MATCH(H$4,$D$4:$J$4,0),0)*角色成长!G37*角色成长!$L$15</f>
        <v>9476.0632326586474</v>
      </c>
      <c r="Y24" s="1">
        <v>0.05</v>
      </c>
      <c r="Z24" s="1">
        <v>1.5</v>
      </c>
      <c r="AA24" s="1">
        <f>VLOOKUP($N$1,$D$4:$J$15,MATCH(I$4,$D$4:$J$4,0),0)*角色成长!J37</f>
        <v>1</v>
      </c>
      <c r="AB24" s="1">
        <f t="shared" si="1"/>
        <v>0.9</v>
      </c>
      <c r="AC24" s="6"/>
      <c r="AD24" s="22"/>
      <c r="AE24" s="22"/>
      <c r="AF24" s="22"/>
      <c r="AG24" s="9"/>
      <c r="AH24" s="9"/>
      <c r="AI24" s="9"/>
      <c r="AJ24" s="9"/>
      <c r="AK24" s="9"/>
      <c r="AL24" s="9"/>
    </row>
    <row r="25" spans="2:38" ht="14.25" customHeight="1" x14ac:dyDescent="0.2">
      <c r="B25" s="33"/>
      <c r="C25" s="6"/>
      <c r="E25" s="6"/>
      <c r="F25" s="6"/>
      <c r="G25" s="6"/>
      <c r="H25" s="6"/>
      <c r="I25" s="26"/>
      <c r="J25" s="6"/>
      <c r="K25" s="6"/>
      <c r="L25" s="6">
        <f t="shared" si="2"/>
        <v>1.1318289737449418</v>
      </c>
      <c r="M25" s="1">
        <v>21</v>
      </c>
      <c r="N25" s="6">
        <f>VLOOKUP($N$2,角色品星!$C$16:$D$20,2,0)*VLOOKUP($N$3,角色品星!$C$3:$E$14,3,0)*V25</f>
        <v>537.29278529174564</v>
      </c>
      <c r="O25" s="6">
        <f>VLOOKUP($N$2,角色品星!$C$16:$D$20,2,0)*VLOOKUP($N$3,角色品星!$C$3:$E$14,3,0)*W25</f>
        <v>11261.547069950326</v>
      </c>
      <c r="P25" s="6">
        <f>VLOOKUP($N$2,角色品星!$C$16:$D$20,2,0)*VLOOKUP($N$3,角色品星!$C$3:$E$14,3,0)*X25</f>
        <v>9949.8663942915809</v>
      </c>
      <c r="Q25" s="24">
        <f t="shared" si="3"/>
        <v>0.05</v>
      </c>
      <c r="R25" s="24">
        <f t="shared" si="4"/>
        <v>1.5</v>
      </c>
      <c r="S25" s="24">
        <f t="shared" si="5"/>
        <v>1</v>
      </c>
      <c r="T25" s="42">
        <f>N25*(1+Q25*(R25-1))*S25*战斗公式!$E$39+(P25*战斗公式!$E$40+1)*O25*战斗公式!$E$41</f>
        <v>26150.183580441622</v>
      </c>
      <c r="U25" s="42">
        <f t="shared" si="6"/>
        <v>1307.5091790220831</v>
      </c>
      <c r="V25" s="6">
        <f>VLOOKUP($N$1,$D$4:$J$15,MATCH(F$4,$D$4:$J$4,0),0)*角色成长!E38*角色成长!$L$15*AB25/AA25/(1+$Y$2*($Z$2-1))</f>
        <v>537.29278529174564</v>
      </c>
      <c r="W25" s="6">
        <f>VLOOKUP($N$1,$D$4:$J$15,MATCH(G$4,$D$4:$J$4,0),0)*角色成长!F38*角色成长!$L$15/(1+X25/角色成长!$N$16)</f>
        <v>11261.547069950326</v>
      </c>
      <c r="X25" s="6">
        <f>VLOOKUP($N$1,$D$4:$J$15,MATCH(H$4,$D$4:$J$4,0),0)*角色成长!G38*角色成长!$L$15</f>
        <v>9949.8663942915809</v>
      </c>
      <c r="Y25" s="1">
        <v>0.05</v>
      </c>
      <c r="Z25" s="1">
        <v>1.5</v>
      </c>
      <c r="AA25" s="1">
        <f>VLOOKUP($N$1,$D$4:$J$15,MATCH(I$4,$D$4:$J$4,0),0)*角色成长!J38</f>
        <v>1</v>
      </c>
      <c r="AB25" s="1">
        <f t="shared" si="1"/>
        <v>0.9</v>
      </c>
      <c r="AC25" s="6"/>
      <c r="AD25" s="22"/>
      <c r="AE25" s="22"/>
      <c r="AF25" s="22"/>
      <c r="AG25" s="9"/>
      <c r="AH25" s="9"/>
      <c r="AI25" s="9"/>
      <c r="AJ25" s="9"/>
      <c r="AK25" s="9"/>
      <c r="AL25" s="9"/>
    </row>
    <row r="26" spans="2:38" ht="14.25" customHeight="1" x14ac:dyDescent="0.2">
      <c r="B26" s="33"/>
      <c r="C26" s="6"/>
      <c r="E26" s="6"/>
      <c r="F26" s="6"/>
      <c r="G26" s="6"/>
      <c r="H26" s="6"/>
      <c r="I26" s="26"/>
      <c r="J26" s="6"/>
      <c r="K26" s="6"/>
      <c r="L26" s="6">
        <f t="shared" si="2"/>
        <v>1.1267308224178703</v>
      </c>
      <c r="M26" s="1">
        <v>22</v>
      </c>
      <c r="N26" s="6">
        <f>VLOOKUP($N$2,角色品星!$C$16:$D$20,2,0)*VLOOKUP($N$3,角色品星!$C$3:$E$14,3,0)*V26</f>
        <v>564.15742455633301</v>
      </c>
      <c r="O26" s="6">
        <f>VLOOKUP($N$2,角色品星!$C$16:$D$20,2,0)*VLOOKUP($N$3,角色品星!$C$3:$E$14,3,0)*W26</f>
        <v>11771.362202657487</v>
      </c>
      <c r="P26" s="6">
        <f>VLOOKUP($N$2,角色品星!$C$16:$D$20,2,0)*VLOOKUP($N$3,角色品星!$C$3:$E$14,3,0)*X26</f>
        <v>10447.359714006159</v>
      </c>
      <c r="Q26" s="24">
        <f t="shared" si="3"/>
        <v>0.05</v>
      </c>
      <c r="R26" s="24">
        <f t="shared" si="4"/>
        <v>1.5</v>
      </c>
      <c r="S26" s="24">
        <f t="shared" si="5"/>
        <v>1</v>
      </c>
      <c r="T26" s="42">
        <f>N26*(1+Q26*(R26-1))*S26*战斗公式!$E$39+(P26*战斗公式!$E$40+1)*O26*战斗公式!$E$41</f>
        <v>27457.692759463705</v>
      </c>
      <c r="U26" s="42">
        <f t="shared" si="6"/>
        <v>1372.8846379731876</v>
      </c>
      <c r="V26" s="6">
        <f>VLOOKUP($N$1,$D$4:$J$15,MATCH(F$4,$D$4:$J$4,0),0)*角色成长!E39*角色成长!$L$15*AB26/AA26/(1+$Y$2*($Z$2-1))</f>
        <v>564.15742455633301</v>
      </c>
      <c r="W26" s="6">
        <f>VLOOKUP($N$1,$D$4:$J$15,MATCH(G$4,$D$4:$J$4,0),0)*角色成长!F39*角色成长!$L$15/(1+X26/角色成长!$N$16)</f>
        <v>11771.362202657487</v>
      </c>
      <c r="X26" s="6">
        <f>VLOOKUP($N$1,$D$4:$J$15,MATCH(H$4,$D$4:$J$4,0),0)*角色成长!G39*角色成长!$L$15</f>
        <v>10447.359714006159</v>
      </c>
      <c r="Y26" s="1">
        <v>0.05</v>
      </c>
      <c r="Z26" s="1">
        <v>1.5</v>
      </c>
      <c r="AA26" s="1">
        <f>VLOOKUP($N$1,$D$4:$J$15,MATCH(I$4,$D$4:$J$4,0),0)*角色成长!J39</f>
        <v>1</v>
      </c>
      <c r="AB26" s="1">
        <f t="shared" si="1"/>
        <v>0.9</v>
      </c>
      <c r="AC26" s="6"/>
      <c r="AD26" s="22"/>
      <c r="AE26" s="22"/>
      <c r="AF26" s="22"/>
      <c r="AG26" s="9"/>
      <c r="AH26" s="9"/>
      <c r="AI26" s="9"/>
      <c r="AJ26" s="9"/>
      <c r="AK26" s="9"/>
      <c r="AL26" s="9"/>
    </row>
    <row r="27" spans="2:38" ht="14.25" customHeight="1" x14ac:dyDescent="0.2">
      <c r="B27" s="33"/>
      <c r="C27" s="6"/>
      <c r="E27" s="6"/>
      <c r="F27" s="6"/>
      <c r="G27" s="6"/>
      <c r="H27" s="6"/>
      <c r="I27" s="26"/>
      <c r="J27" s="6"/>
      <c r="K27" s="6"/>
      <c r="L27" s="6">
        <f t="shared" si="2"/>
        <v>1.1214269605238807</v>
      </c>
      <c r="M27" s="1">
        <v>23</v>
      </c>
      <c r="N27" s="6">
        <f>VLOOKUP($N$2,角色品星!$C$16:$D$20,2,0)*VLOOKUP($N$3,角色品星!$C$3:$E$14,3,0)*V27</f>
        <v>592.36529578414968</v>
      </c>
      <c r="O27" s="6">
        <f>VLOOKUP($N$2,角色品星!$C$16:$D$20,2,0)*VLOOKUP($N$3,角色品星!$C$3:$E$14,3,0)*W27</f>
        <v>12301.748392056446</v>
      </c>
      <c r="P27" s="6">
        <f>VLOOKUP($N$2,角色品星!$C$16:$D$20,2,0)*VLOOKUP($N$3,角色品星!$C$3:$E$14,3,0)*X27</f>
        <v>10969.727699706469</v>
      </c>
      <c r="Q27" s="24">
        <f t="shared" si="3"/>
        <v>0.05</v>
      </c>
      <c r="R27" s="24">
        <f t="shared" si="4"/>
        <v>1.5</v>
      </c>
      <c r="S27" s="24">
        <f t="shared" si="5"/>
        <v>1</v>
      </c>
      <c r="T27" s="42">
        <f>N27*(1+Q27*(R27-1))*S27*战斗公式!$E$39+(P27*战斗公式!$E$40+1)*O27*战斗公式!$E$41</f>
        <v>28830.577397436893</v>
      </c>
      <c r="U27" s="42">
        <f t="shared" si="6"/>
        <v>1441.5288698718468</v>
      </c>
      <c r="V27" s="6">
        <f>VLOOKUP($N$1,$D$4:$J$15,MATCH(F$4,$D$4:$J$4,0),0)*角色成长!E40*角色成长!$L$15*AB27/AA27/(1+$Y$2*($Z$2-1))</f>
        <v>592.36529578414968</v>
      </c>
      <c r="W27" s="6">
        <f>VLOOKUP($N$1,$D$4:$J$15,MATCH(G$4,$D$4:$J$4,0),0)*角色成长!F40*角色成长!$L$15/(1+X27/角色成长!$N$16)</f>
        <v>12301.748392056446</v>
      </c>
      <c r="X27" s="6">
        <f>VLOOKUP($N$1,$D$4:$J$15,MATCH(H$4,$D$4:$J$4,0),0)*角色成长!G40*角色成长!$L$15</f>
        <v>10969.727699706469</v>
      </c>
      <c r="Y27" s="1">
        <v>0.05</v>
      </c>
      <c r="Z27" s="1">
        <v>1.5</v>
      </c>
      <c r="AA27" s="1">
        <f>VLOOKUP($N$1,$D$4:$J$15,MATCH(I$4,$D$4:$J$4,0),0)*角色成长!J40</f>
        <v>1</v>
      </c>
      <c r="AB27" s="1">
        <f t="shared" si="1"/>
        <v>0.9</v>
      </c>
      <c r="AC27" s="6"/>
      <c r="AD27" s="22"/>
      <c r="AE27" s="22"/>
      <c r="AF27" s="22"/>
      <c r="AG27" s="9"/>
      <c r="AH27" s="9"/>
      <c r="AI27" s="9"/>
      <c r="AJ27" s="9"/>
      <c r="AK27" s="9"/>
      <c r="AL27" s="9"/>
    </row>
    <row r="28" spans="2:38" ht="14.25" customHeight="1" x14ac:dyDescent="0.2">
      <c r="B28" s="33"/>
      <c r="C28" s="6"/>
      <c r="E28" s="6"/>
      <c r="F28" s="6"/>
      <c r="G28" s="6"/>
      <c r="H28" s="6"/>
      <c r="I28" s="26"/>
      <c r="J28" s="6"/>
      <c r="K28" s="6"/>
      <c r="L28" s="6">
        <f t="shared" si="2"/>
        <v>1.1159113824216733</v>
      </c>
      <c r="M28" s="1">
        <v>24</v>
      </c>
      <c r="N28" s="6">
        <f>VLOOKUP($N$2,角色品星!$C$16:$D$20,2,0)*VLOOKUP($N$3,角色品星!$C$3:$E$14,3,0)*V28</f>
        <v>621.98356057335718</v>
      </c>
      <c r="O28" s="6">
        <f>VLOOKUP($N$2,角色品星!$C$16:$D$20,2,0)*VLOOKUP($N$3,角色品星!$C$3:$E$14,3,0)*W28</f>
        <v>12853.306202277206</v>
      </c>
      <c r="P28" s="6">
        <f>VLOOKUP($N$2,角色品星!$C$16:$D$20,2,0)*VLOOKUP($N$3,角色品星!$C$3:$E$14,3,0)*X28</f>
        <v>11518.214084691792</v>
      </c>
      <c r="Q28" s="24">
        <f t="shared" si="3"/>
        <v>0.05</v>
      </c>
      <c r="R28" s="24">
        <f t="shared" si="4"/>
        <v>1.5</v>
      </c>
      <c r="S28" s="24">
        <f t="shared" si="5"/>
        <v>1</v>
      </c>
      <c r="T28" s="42">
        <f>N28*(1+Q28*(R28-1))*S28*战斗公式!$E$39+(P28*战斗公式!$E$40+1)*O28*战斗公式!$E$41</f>
        <v>30272.10626730874</v>
      </c>
      <c r="U28" s="42">
        <f t="shared" si="6"/>
        <v>1513.6053133654386</v>
      </c>
      <c r="V28" s="6">
        <f>VLOOKUP($N$1,$D$4:$J$15,MATCH(F$4,$D$4:$J$4,0),0)*角色成长!E41*角色成长!$L$15*AB28/AA28/(1+$Y$2*($Z$2-1))</f>
        <v>621.98356057335718</v>
      </c>
      <c r="W28" s="6">
        <f>VLOOKUP($N$1,$D$4:$J$15,MATCH(G$4,$D$4:$J$4,0),0)*角色成长!F41*角色成长!$L$15/(1+X28/角色成长!$N$16)</f>
        <v>12853.306202277206</v>
      </c>
      <c r="X28" s="6">
        <f>VLOOKUP($N$1,$D$4:$J$15,MATCH(H$4,$D$4:$J$4,0),0)*角色成长!G41*角色成长!$L$15</f>
        <v>11518.214084691792</v>
      </c>
      <c r="Y28" s="1">
        <v>0.05</v>
      </c>
      <c r="Z28" s="1">
        <v>1.5</v>
      </c>
      <c r="AA28" s="1">
        <f>VLOOKUP($N$1,$D$4:$J$15,MATCH(I$4,$D$4:$J$4,0),0)*角色成长!J41</f>
        <v>1</v>
      </c>
      <c r="AB28" s="1">
        <f t="shared" si="1"/>
        <v>0.9</v>
      </c>
      <c r="AC28" s="6"/>
      <c r="AD28" s="22"/>
      <c r="AE28" s="22"/>
      <c r="AF28" s="22"/>
      <c r="AG28" s="9"/>
      <c r="AH28" s="9"/>
      <c r="AI28" s="9"/>
      <c r="AJ28" s="9"/>
      <c r="AK28" s="9"/>
      <c r="AL28" s="9"/>
    </row>
    <row r="29" spans="2:38" ht="14.25" customHeight="1" x14ac:dyDescent="0.2">
      <c r="B29" s="33"/>
      <c r="C29" s="6"/>
      <c r="E29" s="6"/>
      <c r="F29" s="6"/>
      <c r="G29" s="6"/>
      <c r="H29" s="6"/>
      <c r="I29" s="26"/>
      <c r="J29" s="6"/>
      <c r="K29" s="6"/>
      <c r="L29" s="6">
        <f t="shared" si="2"/>
        <v>1.1101781175309042</v>
      </c>
      <c r="M29" s="1">
        <v>25</v>
      </c>
      <c r="N29" s="6">
        <f>VLOOKUP($N$2,角色品星!$C$16:$D$20,2,0)*VLOOKUP($N$3,角色品星!$C$3:$E$14,3,0)*V29</f>
        <v>653.08273860202507</v>
      </c>
      <c r="O29" s="6">
        <f>VLOOKUP($N$2,角色品星!$C$16:$D$20,2,0)*VLOOKUP($N$3,角色品星!$C$3:$E$14,3,0)*W29</f>
        <v>13426.632691354134</v>
      </c>
      <c r="P29" s="6">
        <f>VLOOKUP($N$2,角色品星!$C$16:$D$20,2,0)*VLOOKUP($N$3,角色品星!$C$3:$E$14,3,0)*X29</f>
        <v>12094.124788926381</v>
      </c>
      <c r="Q29" s="24">
        <f t="shared" si="3"/>
        <v>0.05</v>
      </c>
      <c r="R29" s="24">
        <f t="shared" si="4"/>
        <v>1.5</v>
      </c>
      <c r="S29" s="24">
        <f t="shared" si="5"/>
        <v>1</v>
      </c>
      <c r="T29" s="42">
        <f>N29*(1+Q29*(R29-1))*S29*战斗公式!$E$39+(P29*战斗公式!$E$40+1)*O29*战斗公式!$E$41</f>
        <v>31785.711580674179</v>
      </c>
      <c r="U29" s="42">
        <f t="shared" si="6"/>
        <v>1589.2855790337126</v>
      </c>
      <c r="V29" s="6">
        <f>VLOOKUP($N$1,$D$4:$J$15,MATCH(F$4,$D$4:$J$4,0),0)*角色成长!E42*角色成长!$L$15*AB29/AA29/(1+$Y$2*($Z$2-1))</f>
        <v>653.08273860202507</v>
      </c>
      <c r="W29" s="6">
        <f>VLOOKUP($N$1,$D$4:$J$15,MATCH(G$4,$D$4:$J$4,0),0)*角色成长!F42*角色成长!$L$15/(1+X29/角色成长!$N$16)</f>
        <v>13426.632691354134</v>
      </c>
      <c r="X29" s="6">
        <f>VLOOKUP($N$1,$D$4:$J$15,MATCH(H$4,$D$4:$J$4,0),0)*角色成长!G42*角色成长!$L$15</f>
        <v>12094.124788926381</v>
      </c>
      <c r="Y29" s="1">
        <v>0.05</v>
      </c>
      <c r="Z29" s="1">
        <v>1.5</v>
      </c>
      <c r="AA29" s="1">
        <f>VLOOKUP($N$1,$D$4:$J$15,MATCH(I$4,$D$4:$J$4,0),0)*角色成长!J42</f>
        <v>1</v>
      </c>
      <c r="AB29" s="1">
        <f t="shared" si="1"/>
        <v>0.9</v>
      </c>
      <c r="AC29" s="6"/>
      <c r="AD29" s="22"/>
      <c r="AE29" s="22"/>
      <c r="AF29" s="22"/>
      <c r="AG29" s="9"/>
      <c r="AH29" s="9"/>
      <c r="AI29" s="9"/>
      <c r="AJ29" s="9"/>
      <c r="AK29" s="9"/>
      <c r="AL29" s="9"/>
    </row>
    <row r="30" spans="2:38" ht="14.25" customHeight="1" x14ac:dyDescent="0.2">
      <c r="B30" s="33"/>
      <c r="C30" s="6"/>
      <c r="E30" s="6"/>
      <c r="F30" s="6"/>
      <c r="G30" s="6"/>
      <c r="H30" s="6"/>
      <c r="I30" s="26"/>
      <c r="J30" s="6"/>
      <c r="K30" s="6"/>
      <c r="L30" s="6">
        <f t="shared" si="2"/>
        <v>1.1042212533075415</v>
      </c>
      <c r="M30" s="1">
        <v>26</v>
      </c>
      <c r="N30" s="6">
        <f>VLOOKUP($N$2,角色品星!$C$16:$D$20,2,0)*VLOOKUP($N$3,角色品星!$C$3:$E$14,3,0)*V30</f>
        <v>685.73687553212631</v>
      </c>
      <c r="O30" s="6">
        <f>VLOOKUP($N$2,角色品星!$C$16:$D$20,2,0)*VLOOKUP($N$3,角色品星!$C$3:$E$14,3,0)*W30</f>
        <v>14022.319113690401</v>
      </c>
      <c r="P30" s="6">
        <f>VLOOKUP($N$2,角色品星!$C$16:$D$20,2,0)*VLOOKUP($N$3,角色品星!$C$3:$E$14,3,0)*X30</f>
        <v>12698.831028372701</v>
      </c>
      <c r="Q30" s="24">
        <f t="shared" si="3"/>
        <v>0.05</v>
      </c>
      <c r="R30" s="24">
        <f t="shared" si="4"/>
        <v>1.5</v>
      </c>
      <c r="S30" s="24">
        <f t="shared" si="5"/>
        <v>1</v>
      </c>
      <c r="T30" s="42">
        <f>N30*(1+Q30*(R30-1))*S30*战斗公式!$E$39+(P30*战斗公式!$E$40+1)*O30*战斗公式!$E$41</f>
        <v>33374.997159707891</v>
      </c>
      <c r="U30" s="42">
        <f t="shared" si="6"/>
        <v>1668.7498579853927</v>
      </c>
      <c r="V30" s="6">
        <f>VLOOKUP($N$1,$D$4:$J$15,MATCH(F$4,$D$4:$J$4,0),0)*角色成长!E43*角色成长!$L$15*AB30/AA30/(1+$Y$2*($Z$2-1))</f>
        <v>685.73687553212631</v>
      </c>
      <c r="W30" s="6">
        <f>VLOOKUP($N$1,$D$4:$J$15,MATCH(G$4,$D$4:$J$4,0),0)*角色成长!F43*角色成长!$L$15/(1+X30/角色成长!$N$16)</f>
        <v>14022.319113690401</v>
      </c>
      <c r="X30" s="6">
        <f>VLOOKUP($N$1,$D$4:$J$15,MATCH(H$4,$D$4:$J$4,0),0)*角色成长!G43*角色成长!$L$15</f>
        <v>12698.831028372701</v>
      </c>
      <c r="Y30" s="1">
        <v>0.05</v>
      </c>
      <c r="Z30" s="1">
        <v>1.5</v>
      </c>
      <c r="AA30" s="1">
        <f>VLOOKUP($N$1,$D$4:$J$15,MATCH(I$4,$D$4:$J$4,0),0)*角色成长!J43</f>
        <v>1</v>
      </c>
      <c r="AB30" s="1">
        <f t="shared" si="1"/>
        <v>0.9</v>
      </c>
      <c r="AC30" s="6"/>
      <c r="AD30" s="22"/>
      <c r="AE30" s="22"/>
      <c r="AF30" s="22"/>
      <c r="AG30" s="9"/>
      <c r="AH30" s="9"/>
      <c r="AI30" s="9"/>
      <c r="AJ30" s="9"/>
      <c r="AK30" s="9"/>
      <c r="AL30" s="9"/>
    </row>
    <row r="31" spans="2:38" ht="14.25" customHeight="1" x14ac:dyDescent="0.2">
      <c r="B31" s="6"/>
      <c r="E31" s="6"/>
      <c r="F31" s="6"/>
      <c r="G31" s="6"/>
      <c r="H31" s="6"/>
      <c r="I31" s="26"/>
      <c r="J31" s="6"/>
      <c r="K31" s="6"/>
      <c r="L31" s="6">
        <f t="shared" si="2"/>
        <v>1.0980349600277435</v>
      </c>
      <c r="M31" s="1">
        <v>27</v>
      </c>
      <c r="N31" s="6">
        <f>VLOOKUP($N$2,角色品星!$C$16:$D$20,2,0)*VLOOKUP($N$3,角色品星!$C$3:$E$14,3,0)*V31</f>
        <v>720.02371930873267</v>
      </c>
      <c r="O31" s="6">
        <f>VLOOKUP($N$2,角色品星!$C$16:$D$20,2,0)*VLOOKUP($N$3,角色品星!$C$3:$E$14,3,0)*W31</f>
        <v>14640.948441670202</v>
      </c>
      <c r="P31" s="6">
        <f>VLOOKUP($N$2,角色品星!$C$16:$D$20,2,0)*VLOOKUP($N$3,角色品星!$C$3:$E$14,3,0)*X31</f>
        <v>13333.772579791335</v>
      </c>
      <c r="Q31" s="24">
        <f t="shared" si="3"/>
        <v>0.05</v>
      </c>
      <c r="R31" s="24">
        <f t="shared" si="4"/>
        <v>1.5</v>
      </c>
      <c r="S31" s="24">
        <f t="shared" si="5"/>
        <v>1</v>
      </c>
      <c r="T31" s="42">
        <f>N31*(1+Q31*(R31-1))*S31*战斗公式!$E$39+(P31*战斗公式!$E$40+1)*O31*战斗公式!$E$41</f>
        <v>35043.747017693284</v>
      </c>
      <c r="U31" s="42">
        <f t="shared" si="6"/>
        <v>1752.187350884662</v>
      </c>
      <c r="V31" s="6">
        <f>VLOOKUP($N$1,$D$4:$J$15,MATCH(F$4,$D$4:$J$4,0),0)*角色成长!E44*角色成长!$L$15*AB31/AA31/(1+$Y$2*($Z$2-1))</f>
        <v>720.02371930873267</v>
      </c>
      <c r="W31" s="6">
        <f>VLOOKUP($N$1,$D$4:$J$15,MATCH(G$4,$D$4:$J$4,0),0)*角色成长!F44*角色成长!$L$15/(1+X31/角色成长!$N$16)</f>
        <v>14640.948441670202</v>
      </c>
      <c r="X31" s="6">
        <f>VLOOKUP($N$1,$D$4:$J$15,MATCH(H$4,$D$4:$J$4,0),0)*角色成长!G44*角色成长!$L$15</f>
        <v>13333.772579791335</v>
      </c>
      <c r="Y31" s="1">
        <v>0.05</v>
      </c>
      <c r="Z31" s="1">
        <v>1.5</v>
      </c>
      <c r="AA31" s="1">
        <f>VLOOKUP($N$1,$D$4:$J$15,MATCH(I$4,$D$4:$J$4,0),0)*角色成长!J44</f>
        <v>1</v>
      </c>
      <c r="AB31" s="1">
        <f t="shared" si="1"/>
        <v>0.9</v>
      </c>
      <c r="AC31" s="6"/>
      <c r="AD31" s="22"/>
      <c r="AE31" s="22"/>
      <c r="AF31" s="22"/>
      <c r="AG31" s="9"/>
      <c r="AH31" s="9"/>
      <c r="AI31" s="9"/>
      <c r="AJ31" s="9"/>
      <c r="AK31" s="9"/>
      <c r="AL31" s="9"/>
    </row>
    <row r="32" spans="2:38" ht="14.25" customHeight="1" x14ac:dyDescent="0.2">
      <c r="B32" s="6"/>
      <c r="E32" s="6"/>
      <c r="F32" s="6"/>
      <c r="G32" s="6"/>
      <c r="H32" s="6"/>
      <c r="I32" s="26"/>
      <c r="J32" s="6"/>
      <c r="K32" s="6"/>
      <c r="L32" s="6">
        <f t="shared" si="2"/>
        <v>1.0916135173921491</v>
      </c>
      <c r="M32" s="1">
        <v>28</v>
      </c>
      <c r="N32" s="6">
        <f>VLOOKUP($N$2,角色品星!$C$16:$D$20,2,0)*VLOOKUP($N$3,角色品星!$C$3:$E$14,3,0)*V32</f>
        <v>756.02490527416921</v>
      </c>
      <c r="O32" s="6">
        <f>VLOOKUP($N$2,角色品星!$C$16:$D$20,2,0)*VLOOKUP($N$3,角色品星!$C$3:$E$14,3,0)*W32</f>
        <v>15283.092705229659</v>
      </c>
      <c r="P32" s="6">
        <f>VLOOKUP($N$2,角色品星!$C$16:$D$20,2,0)*VLOOKUP($N$3,角色品星!$C$3:$E$14,3,0)*X32</f>
        <v>14000.461208780902</v>
      </c>
      <c r="Q32" s="24">
        <f t="shared" si="3"/>
        <v>0.05</v>
      </c>
      <c r="R32" s="24">
        <f t="shared" si="4"/>
        <v>1.5</v>
      </c>
      <c r="S32" s="24">
        <f t="shared" si="5"/>
        <v>1</v>
      </c>
      <c r="T32" s="42">
        <f>N32*(1+Q32*(R32-1))*S32*战斗公式!$E$39+(P32*战斗公式!$E$40+1)*O32*战斗公式!$E$41</f>
        <v>36795.934368577946</v>
      </c>
      <c r="U32" s="42">
        <f t="shared" si="6"/>
        <v>1839.7967184289009</v>
      </c>
      <c r="V32" s="6">
        <f>VLOOKUP($N$1,$D$4:$J$15,MATCH(F$4,$D$4:$J$4,0),0)*角色成长!E45*角色成长!$L$15*AB32/AA32/(1+$Y$2*($Z$2-1))</f>
        <v>756.02490527416921</v>
      </c>
      <c r="W32" s="6">
        <f>VLOOKUP($N$1,$D$4:$J$15,MATCH(G$4,$D$4:$J$4,0),0)*角色成长!F45*角色成长!$L$15/(1+X32/角色成长!$N$16)</f>
        <v>15283.092705229659</v>
      </c>
      <c r="X32" s="6">
        <f>VLOOKUP($N$1,$D$4:$J$15,MATCH(H$4,$D$4:$J$4,0),0)*角色成长!G45*角色成长!$L$15</f>
        <v>14000.461208780902</v>
      </c>
      <c r="Y32" s="1">
        <v>0.05</v>
      </c>
      <c r="Z32" s="1">
        <v>1.5</v>
      </c>
      <c r="AA32" s="1">
        <f>VLOOKUP($N$1,$D$4:$J$15,MATCH(I$4,$D$4:$J$4,0),0)*角色成长!J45</f>
        <v>1</v>
      </c>
      <c r="AB32" s="1">
        <f t="shared" si="1"/>
        <v>0.9</v>
      </c>
      <c r="AC32" s="6"/>
      <c r="AD32" s="22"/>
      <c r="AE32" s="22"/>
      <c r="AF32" s="22"/>
      <c r="AG32" s="9"/>
      <c r="AH32" s="9"/>
      <c r="AI32" s="9"/>
      <c r="AJ32" s="9"/>
      <c r="AK32" s="9"/>
      <c r="AL32" s="9"/>
    </row>
    <row r="33" spans="5:38" ht="14.25" customHeight="1" x14ac:dyDescent="0.2">
      <c r="E33" s="6"/>
      <c r="F33" s="6"/>
      <c r="G33" s="6"/>
      <c r="H33" s="6"/>
      <c r="I33" s="26"/>
      <c r="J33" s="6"/>
      <c r="K33" s="6"/>
      <c r="L33" s="6">
        <f t="shared" si="2"/>
        <v>1.0849513429459807</v>
      </c>
      <c r="M33" s="1">
        <v>29</v>
      </c>
      <c r="N33" s="6">
        <f>VLOOKUP($N$2,角色品星!$C$16:$D$20,2,0)*VLOOKUP($N$3,角色品星!$C$3:$E$14,3,0)*V33</f>
        <v>793.82615053787777</v>
      </c>
      <c r="O33" s="6">
        <f>VLOOKUP($N$2,角色品星!$C$16:$D$20,2,0)*VLOOKUP($N$3,角色品星!$C$3:$E$14,3,0)*W33</f>
        <v>15949.310149846451</v>
      </c>
      <c r="P33" s="6">
        <f>VLOOKUP($N$2,角色品星!$C$16:$D$20,2,0)*VLOOKUP($N$3,角色品星!$C$3:$E$14,3,0)*X33</f>
        <v>14700.484269219951</v>
      </c>
      <c r="Q33" s="24">
        <f t="shared" si="3"/>
        <v>0.05</v>
      </c>
      <c r="R33" s="24">
        <f t="shared" si="4"/>
        <v>1.5</v>
      </c>
      <c r="S33" s="24">
        <f t="shared" si="5"/>
        <v>1</v>
      </c>
      <c r="T33" s="42">
        <f>N33*(1+Q33*(R33-1))*S33*战斗公式!$E$39+(P33*战斗公式!$E$40+1)*O33*战斗公式!$E$41</f>
        <v>38635.731087006847</v>
      </c>
      <c r="U33" s="42">
        <f t="shared" si="6"/>
        <v>1931.7865543503431</v>
      </c>
      <c r="V33" s="6">
        <f>VLOOKUP($N$1,$D$4:$J$15,MATCH(F$4,$D$4:$J$4,0),0)*角色成长!E46*角色成长!$L$15*AB33/AA33/(1+$Y$2*($Z$2-1))</f>
        <v>793.82615053787777</v>
      </c>
      <c r="W33" s="6">
        <f>VLOOKUP($N$1,$D$4:$J$15,MATCH(G$4,$D$4:$J$4,0),0)*角色成长!F46*角色成长!$L$15/(1+X33/角色成长!$N$16)</f>
        <v>15949.310149846451</v>
      </c>
      <c r="X33" s="6">
        <f>VLOOKUP($N$1,$D$4:$J$15,MATCH(H$4,$D$4:$J$4,0),0)*角色成长!G46*角色成长!$L$15</f>
        <v>14700.484269219951</v>
      </c>
      <c r="Y33" s="1">
        <v>0.05</v>
      </c>
      <c r="Z33" s="1">
        <v>1.5</v>
      </c>
      <c r="AA33" s="1">
        <f>VLOOKUP($N$1,$D$4:$J$15,MATCH(I$4,$D$4:$J$4,0),0)*角色成长!J46</f>
        <v>1</v>
      </c>
      <c r="AB33" s="1">
        <f t="shared" si="1"/>
        <v>0.9</v>
      </c>
      <c r="AC33" s="6"/>
      <c r="AD33" s="22"/>
      <c r="AE33" s="22"/>
      <c r="AF33" s="22"/>
      <c r="AG33" s="9"/>
      <c r="AH33" s="9"/>
      <c r="AI33" s="9"/>
      <c r="AJ33" s="9"/>
      <c r="AK33" s="9"/>
      <c r="AL33" s="9"/>
    </row>
    <row r="34" spans="5:38" ht="14.25" customHeight="1" x14ac:dyDescent="0.2">
      <c r="E34" s="6"/>
      <c r="F34" s="6"/>
      <c r="G34" s="6"/>
      <c r="H34" s="6"/>
      <c r="I34" s="26"/>
      <c r="J34" s="6"/>
      <c r="K34" s="6"/>
      <c r="L34" s="6">
        <f t="shared" si="2"/>
        <v>1.0780430222916655</v>
      </c>
      <c r="M34" s="1">
        <v>30</v>
      </c>
      <c r="N34" s="6">
        <f>VLOOKUP($N$2,角色品星!$C$16:$D$20,2,0)*VLOOKUP($N$3,角色品星!$C$3:$E$14,3,0)*V34</f>
        <v>833.51745806477174</v>
      </c>
      <c r="O34" s="6">
        <f>VLOOKUP($N$2,角色品星!$C$16:$D$20,2,0)*VLOOKUP($N$3,角色品星!$C$3:$E$14,3,0)*W34</f>
        <v>16640.142215278007</v>
      </c>
      <c r="P34" s="6">
        <f>VLOOKUP($N$2,角色品星!$C$16:$D$20,2,0)*VLOOKUP($N$3,角色品星!$C$3:$E$14,3,0)*X34</f>
        <v>15435.508482680947</v>
      </c>
      <c r="Q34" s="24">
        <f t="shared" si="3"/>
        <v>0.05</v>
      </c>
      <c r="R34" s="24">
        <f t="shared" si="4"/>
        <v>1.5</v>
      </c>
      <c r="S34" s="24">
        <f t="shared" si="5"/>
        <v>1</v>
      </c>
      <c r="T34" s="42">
        <f>N34*(1+Q34*(R34-1))*S34*战斗公式!$E$39+(P34*战斗公式!$E$40+1)*O34*战斗公式!$E$41</f>
        <v>40567.51764135719</v>
      </c>
      <c r="U34" s="42">
        <f t="shared" si="6"/>
        <v>2028.3758820678704</v>
      </c>
      <c r="V34" s="6">
        <f>VLOOKUP($N$1,$D$4:$J$15,MATCH(F$4,$D$4:$J$4,0),0)*角色成长!E47*角色成长!$L$15*AB34/AA34/(1+$Y$2*($Z$2-1))</f>
        <v>833.51745806477174</v>
      </c>
      <c r="W34" s="6">
        <f>VLOOKUP($N$1,$D$4:$J$15,MATCH(G$4,$D$4:$J$4,0),0)*角色成长!F47*角色成长!$L$15/(1+X34/角色成长!$N$16)</f>
        <v>16640.142215278007</v>
      </c>
      <c r="X34" s="6">
        <f>VLOOKUP($N$1,$D$4:$J$15,MATCH(H$4,$D$4:$J$4,0),0)*角色成长!G47*角色成长!$L$15</f>
        <v>15435.508482680947</v>
      </c>
      <c r="Y34" s="1">
        <v>0.05</v>
      </c>
      <c r="Z34" s="1">
        <v>1.5</v>
      </c>
      <c r="AA34" s="1">
        <f>VLOOKUP($N$1,$D$4:$J$15,MATCH(I$4,$D$4:$J$4,0),0)*角色成长!J47</f>
        <v>1</v>
      </c>
      <c r="AB34" s="1">
        <f t="shared" si="1"/>
        <v>0.9</v>
      </c>
      <c r="AC34" s="6"/>
      <c r="AD34" s="22"/>
      <c r="AE34" s="22"/>
      <c r="AF34" s="22"/>
      <c r="AG34" s="9"/>
      <c r="AH34" s="9"/>
      <c r="AI34" s="9"/>
      <c r="AJ34" s="9"/>
      <c r="AK34" s="9"/>
      <c r="AL34" s="9"/>
    </row>
    <row r="35" spans="5:38" ht="14.25" customHeight="1" x14ac:dyDescent="0.2">
      <c r="E35" s="6"/>
      <c r="F35" s="6"/>
      <c r="G35" s="6"/>
      <c r="H35" s="6"/>
      <c r="I35" s="26"/>
      <c r="J35" s="6"/>
      <c r="K35" s="6"/>
      <c r="L35" s="6">
        <f t="shared" si="2"/>
        <v>1.07088334104973</v>
      </c>
      <c r="M35" s="1">
        <v>31</v>
      </c>
      <c r="N35" s="6">
        <f>VLOOKUP($N$2,角色品星!$C$16:$D$20,2,0)*VLOOKUP($N$3,角色品星!$C$3:$E$14,3,0)*V35</f>
        <v>875.19333096801051</v>
      </c>
      <c r="O35" s="6">
        <f>VLOOKUP($N$2,角色品星!$C$16:$D$20,2,0)*VLOOKUP($N$3,角色品星!$C$3:$E$14,3,0)*W35</f>
        <v>17356.110339471565</v>
      </c>
      <c r="P35" s="6">
        <f>VLOOKUP($N$2,角色品星!$C$16:$D$20,2,0)*VLOOKUP($N$3,角色品星!$C$3:$E$14,3,0)*X35</f>
        <v>16207.283906814995</v>
      </c>
      <c r="Q35" s="24">
        <f t="shared" si="3"/>
        <v>0.05</v>
      </c>
      <c r="R35" s="24">
        <f t="shared" si="4"/>
        <v>1.5</v>
      </c>
      <c r="S35" s="24">
        <f t="shared" si="5"/>
        <v>1</v>
      </c>
      <c r="T35" s="42">
        <f>N35*(1+Q35*(R35-1))*S35*战斗公式!$E$39+(P35*战斗公式!$E$40+1)*O35*战斗公式!$E$41</f>
        <v>42595.89352342506</v>
      </c>
      <c r="U35" s="42">
        <f t="shared" si="6"/>
        <v>2129.7946761712446</v>
      </c>
      <c r="V35" s="6">
        <f>VLOOKUP($N$1,$D$4:$J$15,MATCH(F$4,$D$4:$J$4,0),0)*角色成长!E48*角色成长!$L$15*AB35/AA35/(1+$Y$2*($Z$2-1))</f>
        <v>875.19333096801051</v>
      </c>
      <c r="W35" s="6">
        <f>VLOOKUP($N$1,$D$4:$J$15,MATCH(G$4,$D$4:$J$4,0),0)*角色成长!F48*角色成长!$L$15/(1+X35/角色成长!$N$16)</f>
        <v>17356.110339471565</v>
      </c>
      <c r="X35" s="6">
        <f>VLOOKUP($N$1,$D$4:$J$15,MATCH(H$4,$D$4:$J$4,0),0)*角色成长!G48*角色成长!$L$15</f>
        <v>16207.283906814995</v>
      </c>
      <c r="Y35" s="1">
        <v>0.05</v>
      </c>
      <c r="Z35" s="1">
        <v>1.5</v>
      </c>
      <c r="AA35" s="1">
        <f>VLOOKUP($N$1,$D$4:$J$15,MATCH(I$4,$D$4:$J$4,0),0)*角色成长!J48</f>
        <v>1</v>
      </c>
      <c r="AB35" s="1">
        <f t="shared" si="1"/>
        <v>0.9</v>
      </c>
      <c r="AC35" s="6"/>
      <c r="AD35" s="22"/>
      <c r="AE35" s="22"/>
      <c r="AF35" s="22"/>
      <c r="AG35" s="9"/>
      <c r="AH35" s="9"/>
      <c r="AI35" s="9"/>
      <c r="AJ35" s="9"/>
      <c r="AK35" s="9"/>
      <c r="AL35" s="9"/>
    </row>
    <row r="36" spans="5:38" ht="14.25" customHeight="1" x14ac:dyDescent="0.2">
      <c r="E36" s="6"/>
      <c r="F36" s="6"/>
      <c r="G36" s="6"/>
      <c r="H36" s="6"/>
      <c r="I36" s="26"/>
      <c r="J36" s="6"/>
      <c r="K36" s="6"/>
      <c r="L36" s="6">
        <f t="shared" si="2"/>
        <v>1.0634673185005838</v>
      </c>
      <c r="M36" s="1">
        <v>32</v>
      </c>
      <c r="N36" s="6">
        <f>VLOOKUP($N$2,角色品星!$C$16:$D$20,2,0)*VLOOKUP($N$3,角色品星!$C$3:$E$14,3,0)*V36</f>
        <v>918.95299751641107</v>
      </c>
      <c r="O36" s="6">
        <f>VLOOKUP($N$2,角色品星!$C$16:$D$20,2,0)*VLOOKUP($N$3,角色品星!$C$3:$E$14,3,0)*W36</f>
        <v>18097.712594386125</v>
      </c>
      <c r="P36" s="6">
        <f>VLOOKUP($N$2,角色品星!$C$16:$D$20,2,0)*VLOOKUP($N$3,角色品星!$C$3:$E$14,3,0)*X36</f>
        <v>17017.648102155748</v>
      </c>
      <c r="Q36" s="24">
        <f t="shared" si="3"/>
        <v>0.05</v>
      </c>
      <c r="R36" s="24">
        <f t="shared" si="4"/>
        <v>1.5</v>
      </c>
      <c r="S36" s="24">
        <f t="shared" si="5"/>
        <v>1</v>
      </c>
      <c r="T36" s="42">
        <f>N36*(1+Q36*(R36-1))*S36*战斗公式!$E$39+(P36*战斗公式!$E$40+1)*O36*战斗公式!$E$41</f>
        <v>44725.688199596305</v>
      </c>
      <c r="U36" s="42">
        <f t="shared" si="6"/>
        <v>2236.284409979824</v>
      </c>
      <c r="V36" s="6">
        <f>VLOOKUP($N$1,$D$4:$J$15,MATCH(F$4,$D$4:$J$4,0),0)*角色成长!E49*角色成长!$L$15*AB36/AA36/(1+$Y$2*($Z$2-1))</f>
        <v>918.95299751641107</v>
      </c>
      <c r="W36" s="6">
        <f>VLOOKUP($N$1,$D$4:$J$15,MATCH(G$4,$D$4:$J$4,0),0)*角色成长!F49*角色成长!$L$15/(1+X36/角色成长!$N$16)</f>
        <v>18097.712594386125</v>
      </c>
      <c r="X36" s="6">
        <f>VLOOKUP($N$1,$D$4:$J$15,MATCH(H$4,$D$4:$J$4,0),0)*角色成长!G49*角色成长!$L$15</f>
        <v>17017.648102155748</v>
      </c>
      <c r="Y36" s="1">
        <v>0.05</v>
      </c>
      <c r="Z36" s="1">
        <v>1.5</v>
      </c>
      <c r="AA36" s="1">
        <f>VLOOKUP($N$1,$D$4:$J$15,MATCH(I$4,$D$4:$J$4,0),0)*角色成长!J49</f>
        <v>1</v>
      </c>
      <c r="AB36" s="1">
        <f t="shared" si="1"/>
        <v>0.9</v>
      </c>
      <c r="AC36" s="6"/>
      <c r="AD36" s="22"/>
      <c r="AE36" s="22"/>
      <c r="AF36" s="22"/>
      <c r="AG36" s="9"/>
      <c r="AH36" s="9"/>
      <c r="AI36" s="9"/>
      <c r="AJ36" s="9"/>
      <c r="AK36" s="9"/>
      <c r="AL36" s="9"/>
    </row>
    <row r="37" spans="5:38" ht="14.25" customHeight="1" x14ac:dyDescent="0.2">
      <c r="E37" s="6"/>
      <c r="F37" s="6"/>
      <c r="G37" s="6"/>
      <c r="H37" s="6"/>
      <c r="I37" s="26"/>
      <c r="J37" s="6"/>
      <c r="K37" s="6"/>
      <c r="L37" s="6">
        <f t="shared" si="2"/>
        <v>1.0557902428144361</v>
      </c>
      <c r="M37" s="1">
        <v>33</v>
      </c>
      <c r="N37" s="6">
        <f>VLOOKUP($N$2,角色品星!$C$16:$D$20,2,0)*VLOOKUP($N$3,角色品星!$C$3:$E$14,3,0)*V37</f>
        <v>964.90064739223158</v>
      </c>
      <c r="O37" s="6">
        <f>VLOOKUP($N$2,角色品星!$C$16:$D$20,2,0)*VLOOKUP($N$3,角色品星!$C$3:$E$14,3,0)*W37</f>
        <v>18865.420163000927</v>
      </c>
      <c r="P37" s="6">
        <f>VLOOKUP($N$2,角色品星!$C$16:$D$20,2,0)*VLOOKUP($N$3,角色品星!$C$3:$E$14,3,0)*X37</f>
        <v>17868.530507263535</v>
      </c>
      <c r="Q37" s="24">
        <f t="shared" si="3"/>
        <v>0.05</v>
      </c>
      <c r="R37" s="24">
        <f t="shared" si="4"/>
        <v>1.5</v>
      </c>
      <c r="S37" s="24">
        <f t="shared" si="5"/>
        <v>1</v>
      </c>
      <c r="T37" s="42">
        <f>N37*(1+Q37*(R37-1))*S37*战斗公式!$E$39+(P37*战斗公式!$E$40+1)*O37*战斗公式!$E$41</f>
        <v>46961.972609576129</v>
      </c>
      <c r="U37" s="42">
        <f t="shared" si="6"/>
        <v>2348.0986304788166</v>
      </c>
      <c r="V37" s="6">
        <f>VLOOKUP($N$1,$D$4:$J$15,MATCH(F$4,$D$4:$J$4,0),0)*角色成长!E50*角色成长!$L$15*AB37/AA37/(1+$Y$2*($Z$2-1))</f>
        <v>964.90064739223158</v>
      </c>
      <c r="W37" s="6">
        <f>VLOOKUP($N$1,$D$4:$J$15,MATCH(G$4,$D$4:$J$4,0),0)*角色成长!F50*角色成长!$L$15/(1+X37/角色成长!$N$16)</f>
        <v>18865.420163000927</v>
      </c>
      <c r="X37" s="6">
        <f>VLOOKUP($N$1,$D$4:$J$15,MATCH(H$4,$D$4:$J$4,0),0)*角色成长!G50*角色成长!$L$15</f>
        <v>17868.530507263535</v>
      </c>
      <c r="Y37" s="1">
        <v>0.05</v>
      </c>
      <c r="Z37" s="1">
        <v>1.5</v>
      </c>
      <c r="AA37" s="1">
        <f>VLOOKUP($N$1,$D$4:$J$15,MATCH(I$4,$D$4:$J$4,0),0)*角色成长!J50</f>
        <v>1</v>
      </c>
      <c r="AB37" s="1">
        <f t="shared" ref="AB37:AB68" si="7">VLOOKUP($N$1,$D$4:$J$15,MATCH(J$4,$D$4:$J$4,0),0)</f>
        <v>0.9</v>
      </c>
      <c r="AC37" s="6"/>
      <c r="AD37" s="22"/>
      <c r="AE37" s="22"/>
      <c r="AF37" s="22"/>
      <c r="AG37" s="9"/>
      <c r="AH37" s="9"/>
      <c r="AI37" s="9"/>
      <c r="AJ37" s="9"/>
      <c r="AK37" s="9"/>
      <c r="AL37" s="9"/>
    </row>
    <row r="38" spans="5:38" ht="14.25" customHeight="1" x14ac:dyDescent="0.2">
      <c r="E38" s="6"/>
      <c r="F38" s="6"/>
      <c r="G38" s="6"/>
      <c r="H38" s="6"/>
      <c r="I38" s="26"/>
      <c r="J38" s="6"/>
      <c r="K38" s="6"/>
      <c r="L38" s="6">
        <f t="shared" si="2"/>
        <v>1.0478477077491806</v>
      </c>
      <c r="M38" s="1">
        <v>34</v>
      </c>
      <c r="N38" s="6">
        <f>VLOOKUP($N$2,角色品星!$C$16:$D$20,2,0)*VLOOKUP($N$3,角色品星!$C$3:$E$14,3,0)*V38</f>
        <v>1013.1456797618434</v>
      </c>
      <c r="O38" s="6">
        <f>VLOOKUP($N$2,角色品星!$C$16:$D$20,2,0)*VLOOKUP($N$3,角色品星!$C$3:$E$14,3,0)*W38</f>
        <v>19659.673669526517</v>
      </c>
      <c r="P38" s="6">
        <f>VLOOKUP($N$2,角色品星!$C$16:$D$20,2,0)*VLOOKUP($N$3,角色品星!$C$3:$E$14,3,0)*X38</f>
        <v>18761.957032626713</v>
      </c>
      <c r="Q38" s="24">
        <f t="shared" si="3"/>
        <v>0.05</v>
      </c>
      <c r="R38" s="24">
        <f t="shared" si="4"/>
        <v>1.5</v>
      </c>
      <c r="S38" s="24">
        <f t="shared" si="5"/>
        <v>1</v>
      </c>
      <c r="T38" s="42">
        <f>N38*(1+Q38*(R38-1))*S38*战斗公式!$E$39+(P38*战斗公式!$E$40+1)*O38*战斗公式!$E$41</f>
        <v>49310.071240054946</v>
      </c>
      <c r="U38" s="42">
        <f t="shared" si="6"/>
        <v>2465.5035620027411</v>
      </c>
      <c r="V38" s="6">
        <f>VLOOKUP($N$1,$D$4:$J$15,MATCH(F$4,$D$4:$J$4,0),0)*角色成长!E51*角色成长!$L$15*AB38/AA38/(1+$Y$2*($Z$2-1))</f>
        <v>1013.1456797618434</v>
      </c>
      <c r="W38" s="6">
        <f>VLOOKUP($N$1,$D$4:$J$15,MATCH(G$4,$D$4:$J$4,0),0)*角色成长!F51*角色成长!$L$15/(1+X38/角色成长!$N$16)</f>
        <v>19659.673669526517</v>
      </c>
      <c r="X38" s="6">
        <f>VLOOKUP($N$1,$D$4:$J$15,MATCH(H$4,$D$4:$J$4,0),0)*角色成长!G51*角色成长!$L$15</f>
        <v>18761.957032626713</v>
      </c>
      <c r="Y38" s="1">
        <v>0.05</v>
      </c>
      <c r="Z38" s="1">
        <v>1.5</v>
      </c>
      <c r="AA38" s="1">
        <f>VLOOKUP($N$1,$D$4:$J$15,MATCH(I$4,$D$4:$J$4,0),0)*角色成长!J51</f>
        <v>1</v>
      </c>
      <c r="AB38" s="1">
        <f t="shared" si="7"/>
        <v>0.9</v>
      </c>
      <c r="AC38" s="6"/>
      <c r="AD38" s="22"/>
      <c r="AE38" s="22"/>
      <c r="AF38" s="22"/>
      <c r="AG38" s="9"/>
      <c r="AH38" s="9"/>
      <c r="AI38" s="9"/>
      <c r="AJ38" s="9"/>
      <c r="AK38" s="9"/>
      <c r="AL38" s="9"/>
    </row>
    <row r="39" spans="5:38" ht="14.25" customHeight="1" x14ac:dyDescent="0.2">
      <c r="E39" s="6"/>
      <c r="F39" s="6"/>
      <c r="G39" s="6"/>
      <c r="H39" s="6"/>
      <c r="I39" s="26"/>
      <c r="J39" s="6"/>
      <c r="K39" s="6"/>
      <c r="L39" s="6">
        <f t="shared" si="2"/>
        <v>1.0396356506667768</v>
      </c>
      <c r="M39" s="1">
        <v>35</v>
      </c>
      <c r="N39" s="6">
        <f>VLOOKUP($N$2,角色品星!$C$16:$D$20,2,0)*VLOOKUP($N$3,角色品星!$C$3:$E$14,3,0)*V39</f>
        <v>1063.8029637499355</v>
      </c>
      <c r="O39" s="6">
        <f>VLOOKUP($N$2,角色品星!$C$16:$D$20,2,0)*VLOOKUP($N$3,角色品星!$C$3:$E$14,3,0)*W39</f>
        <v>20480.879377766832</v>
      </c>
      <c r="P39" s="6">
        <f>VLOOKUP($N$2,角色品星!$C$16:$D$20,2,0)*VLOOKUP($N$3,角色品星!$C$3:$E$14,3,0)*X39</f>
        <v>19700.05488425805</v>
      </c>
      <c r="Q39" s="24">
        <f t="shared" si="3"/>
        <v>0.05</v>
      </c>
      <c r="R39" s="24">
        <f t="shared" si="4"/>
        <v>1.5</v>
      </c>
      <c r="S39" s="24">
        <f t="shared" si="5"/>
        <v>1</v>
      </c>
      <c r="T39" s="42">
        <f>N39*(1+Q39*(R39-1))*S39*战斗公式!$E$39+(P39*战斗公式!$E$40+1)*O39*战斗公式!$E$41</f>
        <v>51775.574802057687</v>
      </c>
      <c r="U39" s="42">
        <f t="shared" si="6"/>
        <v>2588.7787401028836</v>
      </c>
      <c r="V39" s="6">
        <f>VLOOKUP($N$1,$D$4:$J$15,MATCH(F$4,$D$4:$J$4,0),0)*角色成长!E52*角色成长!$L$15*AB39/AA39/(1+$Y$2*($Z$2-1))</f>
        <v>1063.8029637499355</v>
      </c>
      <c r="W39" s="6">
        <f>VLOOKUP($N$1,$D$4:$J$15,MATCH(G$4,$D$4:$J$4,0),0)*角色成长!F52*角色成长!$L$15/(1+X39/角色成长!$N$16)</f>
        <v>20480.879377766832</v>
      </c>
      <c r="X39" s="6">
        <f>VLOOKUP($N$1,$D$4:$J$15,MATCH(H$4,$D$4:$J$4,0),0)*角色成长!G52*角色成长!$L$15</f>
        <v>19700.05488425805</v>
      </c>
      <c r="Y39" s="1">
        <v>0.05</v>
      </c>
      <c r="Z39" s="1">
        <v>1.5</v>
      </c>
      <c r="AA39" s="1">
        <f>VLOOKUP($N$1,$D$4:$J$15,MATCH(I$4,$D$4:$J$4,0),0)*角色成长!J52</f>
        <v>1</v>
      </c>
      <c r="AB39" s="1">
        <f t="shared" si="7"/>
        <v>0.9</v>
      </c>
      <c r="AC39" s="6"/>
      <c r="AD39" s="22"/>
      <c r="AE39" s="22"/>
      <c r="AF39" s="22"/>
      <c r="AG39" s="9"/>
      <c r="AH39" s="9"/>
      <c r="AI39" s="9"/>
      <c r="AJ39" s="9"/>
      <c r="AK39" s="9"/>
      <c r="AL39" s="9"/>
    </row>
    <row r="40" spans="5:38" ht="14.25" customHeight="1" x14ac:dyDescent="0.2">
      <c r="E40" s="6"/>
      <c r="F40" s="6"/>
      <c r="G40" s="6"/>
      <c r="H40" s="6"/>
      <c r="I40" s="26"/>
      <c r="J40" s="6"/>
      <c r="K40" s="6"/>
      <c r="L40" s="6">
        <f t="shared" si="2"/>
        <v>1.0311503916876508</v>
      </c>
      <c r="M40" s="1">
        <v>36</v>
      </c>
      <c r="N40" s="6">
        <f>VLOOKUP($N$2,角色品星!$C$16:$D$20,2,0)*VLOOKUP($N$3,角色品星!$C$3:$E$14,3,0)*V40</f>
        <v>1116.9931119374323</v>
      </c>
      <c r="O40" s="6">
        <f>VLOOKUP($N$2,角色品星!$C$16:$D$20,2,0)*VLOOKUP($N$3,角色品星!$C$3:$E$14,3,0)*W40</f>
        <v>21329.405275679452</v>
      </c>
      <c r="P40" s="6">
        <f>VLOOKUP($N$2,角色品星!$C$16:$D$20,2,0)*VLOOKUP($N$3,角色品星!$C$3:$E$14,3,0)*X40</f>
        <v>20685.057628470953</v>
      </c>
      <c r="Q40" s="24">
        <f t="shared" si="3"/>
        <v>0.05</v>
      </c>
      <c r="R40" s="24">
        <f t="shared" si="4"/>
        <v>1.5</v>
      </c>
      <c r="S40" s="24">
        <f t="shared" si="5"/>
        <v>1</v>
      </c>
      <c r="T40" s="42">
        <f>N40*(1+Q40*(R40-1))*S40*战斗公式!$E$39+(P40*战斗公式!$E$40+1)*O40*战斗公式!$E$41</f>
        <v>54364.35354216057</v>
      </c>
      <c r="U40" s="42">
        <f t="shared" si="6"/>
        <v>2718.217677108034</v>
      </c>
      <c r="V40" s="6">
        <f>VLOOKUP($N$1,$D$4:$J$15,MATCH(F$4,$D$4:$J$4,0),0)*角色成长!E53*角色成长!$L$15*AB40/AA40/(1+$Y$2*($Z$2-1))</f>
        <v>1116.9931119374323</v>
      </c>
      <c r="W40" s="6">
        <f>VLOOKUP($N$1,$D$4:$J$15,MATCH(G$4,$D$4:$J$4,0),0)*角色成长!F53*角色成长!$L$15/(1+X40/角色成长!$N$16)</f>
        <v>21329.405275679452</v>
      </c>
      <c r="X40" s="6">
        <f>VLOOKUP($N$1,$D$4:$J$15,MATCH(H$4,$D$4:$J$4,0),0)*角色成长!G53*角色成长!$L$15</f>
        <v>20685.057628470953</v>
      </c>
      <c r="Y40" s="1">
        <v>0.05</v>
      </c>
      <c r="Z40" s="1">
        <v>1.5</v>
      </c>
      <c r="AA40" s="1">
        <f>VLOOKUP($N$1,$D$4:$J$15,MATCH(I$4,$D$4:$J$4,0),0)*角色成长!J53</f>
        <v>1</v>
      </c>
      <c r="AB40" s="1">
        <f t="shared" si="7"/>
        <v>0.9</v>
      </c>
      <c r="AC40" s="6"/>
      <c r="AD40" s="22"/>
      <c r="AE40" s="22"/>
      <c r="AF40" s="22"/>
      <c r="AG40" s="9"/>
      <c r="AH40" s="9"/>
      <c r="AI40" s="9"/>
      <c r="AJ40" s="9"/>
      <c r="AK40" s="9"/>
      <c r="AL40" s="9"/>
    </row>
    <row r="41" spans="5:38" ht="14.25" customHeight="1" x14ac:dyDescent="0.2">
      <c r="E41" s="6"/>
      <c r="F41" s="6"/>
      <c r="G41" s="6"/>
      <c r="H41" s="6"/>
      <c r="I41" s="26"/>
      <c r="J41" s="6"/>
      <c r="K41" s="6"/>
      <c r="L41" s="6">
        <f t="shared" si="2"/>
        <v>1.0223886737702848</v>
      </c>
      <c r="M41" s="1">
        <v>37</v>
      </c>
      <c r="N41" s="6">
        <f>VLOOKUP($N$2,角色品星!$C$16:$D$20,2,0)*VLOOKUP($N$3,角色品星!$C$3:$E$14,3,0)*V41</f>
        <v>1172.8427675343039</v>
      </c>
      <c r="O41" s="6">
        <f>VLOOKUP($N$2,角色品星!$C$16:$D$20,2,0)*VLOOKUP($N$3,角色品星!$C$3:$E$14,3,0)*W41</f>
        <v>22205.577067416045</v>
      </c>
      <c r="P41" s="6">
        <f>VLOOKUP($N$2,角色品星!$C$16:$D$20,2,0)*VLOOKUP($N$3,角色品星!$C$3:$E$14,3,0)*X41</f>
        <v>21719.310509894502</v>
      </c>
      <c r="Q41" s="24">
        <f t="shared" si="3"/>
        <v>0.05</v>
      </c>
      <c r="R41" s="24">
        <f t="shared" si="4"/>
        <v>1.5</v>
      </c>
      <c r="S41" s="24">
        <f t="shared" si="5"/>
        <v>1</v>
      </c>
      <c r="T41" s="42">
        <f>N41*(1+Q41*(R41-1))*S41*战斗公式!$E$39+(P41*战斗公式!$E$40+1)*O41*战斗公式!$E$41</f>
        <v>57082.571219268604</v>
      </c>
      <c r="U41" s="42">
        <f t="shared" si="6"/>
        <v>2854.1285609634215</v>
      </c>
      <c r="V41" s="6">
        <f>VLOOKUP($N$1,$D$4:$J$15,MATCH(F$4,$D$4:$J$4,0),0)*角色成长!E54*角色成长!$L$15*AB41/AA41/(1+$Y$2*($Z$2-1))</f>
        <v>1172.8427675343039</v>
      </c>
      <c r="W41" s="6">
        <f>VLOOKUP($N$1,$D$4:$J$15,MATCH(G$4,$D$4:$J$4,0),0)*角色成长!F54*角色成长!$L$15/(1+X41/角色成长!$N$16)</f>
        <v>22205.577067416045</v>
      </c>
      <c r="X41" s="6">
        <f>VLOOKUP($N$1,$D$4:$J$15,MATCH(H$4,$D$4:$J$4,0),0)*角色成长!G54*角色成长!$L$15</f>
        <v>21719.310509894502</v>
      </c>
      <c r="Y41" s="1">
        <v>0.05</v>
      </c>
      <c r="Z41" s="1">
        <v>1.5</v>
      </c>
      <c r="AA41" s="1">
        <f>VLOOKUP($N$1,$D$4:$J$15,MATCH(I$4,$D$4:$J$4,0),0)*角色成长!J54</f>
        <v>1</v>
      </c>
      <c r="AB41" s="1">
        <f t="shared" si="7"/>
        <v>0.9</v>
      </c>
      <c r="AC41" s="6"/>
      <c r="AD41" s="22"/>
      <c r="AE41" s="22"/>
      <c r="AF41" s="22"/>
      <c r="AG41" s="9"/>
      <c r="AH41" s="9"/>
      <c r="AI41" s="9"/>
      <c r="AJ41" s="9"/>
      <c r="AK41" s="9"/>
      <c r="AL41" s="9"/>
    </row>
    <row r="42" spans="5:38" ht="14.25" customHeight="1" x14ac:dyDescent="0.2">
      <c r="E42" s="6"/>
      <c r="F42" s="6"/>
      <c r="G42" s="6"/>
      <c r="H42" s="6"/>
      <c r="I42" s="26"/>
      <c r="J42" s="6"/>
      <c r="K42" s="6"/>
      <c r="L42" s="6">
        <f t="shared" si="2"/>
        <v>1.0133477034698652</v>
      </c>
      <c r="M42" s="1">
        <v>38</v>
      </c>
      <c r="N42" s="6">
        <f>VLOOKUP($N$2,角色品星!$C$16:$D$20,2,0)*VLOOKUP($N$3,角色品星!$C$3:$E$14,3,0)*V42</f>
        <v>1231.484905911019</v>
      </c>
      <c r="O42" s="6">
        <f>VLOOKUP($N$2,角色品星!$C$16:$D$20,2,0)*VLOOKUP($N$3,角色品星!$C$3:$E$14,3,0)*W42</f>
        <v>23109.674097458024</v>
      </c>
      <c r="P42" s="6">
        <f>VLOOKUP($N$2,角色品星!$C$16:$D$20,2,0)*VLOOKUP($N$3,角色品星!$C$3:$E$14,3,0)*X42</f>
        <v>22805.276035389226</v>
      </c>
      <c r="Q42" s="24">
        <f t="shared" si="3"/>
        <v>0.05</v>
      </c>
      <c r="R42" s="24">
        <f t="shared" si="4"/>
        <v>1.5</v>
      </c>
      <c r="S42" s="24">
        <f t="shared" si="5"/>
        <v>1</v>
      </c>
      <c r="T42" s="42">
        <f>N42*(1+Q42*(R42-1))*S42*战斗公式!$E$39+(P42*战斗公式!$E$40+1)*O42*战斗公式!$E$41</f>
        <v>59936.699780232026</v>
      </c>
      <c r="U42" s="42">
        <f t="shared" si="6"/>
        <v>2996.8349890116078</v>
      </c>
      <c r="V42" s="6">
        <f>VLOOKUP($N$1,$D$4:$J$15,MATCH(F$4,$D$4:$J$4,0),0)*角色成长!E55*角色成长!$L$15*AB42/AA42/(1+$Y$2*($Z$2-1))</f>
        <v>1231.484905911019</v>
      </c>
      <c r="W42" s="6">
        <f>VLOOKUP($N$1,$D$4:$J$15,MATCH(G$4,$D$4:$J$4,0),0)*角色成长!F55*角色成长!$L$15/(1+X42/角色成长!$N$16)</f>
        <v>23109.674097458024</v>
      </c>
      <c r="X42" s="6">
        <f>VLOOKUP($N$1,$D$4:$J$15,MATCH(H$4,$D$4:$J$4,0),0)*角色成长!G55*角色成长!$L$15</f>
        <v>22805.276035389226</v>
      </c>
      <c r="Y42" s="1">
        <v>0.05</v>
      </c>
      <c r="Z42" s="1">
        <v>1.5</v>
      </c>
      <c r="AA42" s="1">
        <f>VLOOKUP($N$1,$D$4:$J$15,MATCH(I$4,$D$4:$J$4,0),0)*角色成长!J55</f>
        <v>1</v>
      </c>
      <c r="AB42" s="1">
        <f t="shared" si="7"/>
        <v>0.9</v>
      </c>
      <c r="AC42" s="6"/>
      <c r="AD42" s="22"/>
      <c r="AE42" s="22"/>
      <c r="AF42" s="22"/>
      <c r="AG42" s="9"/>
      <c r="AH42" s="9"/>
      <c r="AI42" s="9"/>
      <c r="AJ42" s="9"/>
      <c r="AK42" s="9"/>
      <c r="AL42" s="9"/>
    </row>
    <row r="43" spans="5:38" ht="14.25" customHeight="1" x14ac:dyDescent="0.2">
      <c r="E43" s="6"/>
      <c r="F43" s="6"/>
      <c r="G43" s="6"/>
      <c r="H43" s="6"/>
      <c r="I43" s="26"/>
      <c r="J43" s="6"/>
      <c r="K43" s="6"/>
      <c r="L43" s="6">
        <f t="shared" si="2"/>
        <v>1.0040251920959908</v>
      </c>
      <c r="M43" s="1">
        <v>39</v>
      </c>
      <c r="N43" s="6">
        <f>VLOOKUP($N$2,角色品星!$C$16:$D$20,2,0)*VLOOKUP($N$3,角色品星!$C$3:$E$14,3,0)*V43</f>
        <v>1293.0591512065703</v>
      </c>
      <c r="O43" s="6">
        <f>VLOOKUP($N$2,角色品星!$C$16:$D$20,2,0)*VLOOKUP($N$3,角色品星!$C$3:$E$14,3,0)*W43</f>
        <v>24041.925234845454</v>
      </c>
      <c r="P43" s="6">
        <f>VLOOKUP($N$2,角色品星!$C$16:$D$20,2,0)*VLOOKUP($N$3,角色品星!$C$3:$E$14,3,0)*X43</f>
        <v>23945.539837158689</v>
      </c>
      <c r="Q43" s="24">
        <f t="shared" si="3"/>
        <v>0.05</v>
      </c>
      <c r="R43" s="24">
        <f t="shared" si="4"/>
        <v>1.5</v>
      </c>
      <c r="S43" s="24">
        <f t="shared" si="5"/>
        <v>1</v>
      </c>
      <c r="T43" s="42">
        <f>N43*(1+Q43*(R43-1))*S43*战斗公式!$E$39+(P43*战斗公式!$E$40+1)*O43*战斗公式!$E$41</f>
        <v>62933.534769243633</v>
      </c>
      <c r="U43" s="42">
        <f t="shared" si="6"/>
        <v>3146.676738462178</v>
      </c>
      <c r="V43" s="6">
        <f>VLOOKUP($N$1,$D$4:$J$15,MATCH(F$4,$D$4:$J$4,0),0)*角色成长!E56*角色成长!$L$15*AB43/AA43/(1+$Y$2*($Z$2-1))</f>
        <v>1293.0591512065703</v>
      </c>
      <c r="W43" s="6">
        <f>VLOOKUP($N$1,$D$4:$J$15,MATCH(G$4,$D$4:$J$4,0),0)*角色成长!F56*角色成长!$L$15/(1+X43/角色成长!$N$16)</f>
        <v>24041.925234845454</v>
      </c>
      <c r="X43" s="6">
        <f>VLOOKUP($N$1,$D$4:$J$15,MATCH(H$4,$D$4:$J$4,0),0)*角色成长!G56*角色成长!$L$15</f>
        <v>23945.539837158689</v>
      </c>
      <c r="Y43" s="1">
        <v>0.05</v>
      </c>
      <c r="Z43" s="1">
        <v>1.5</v>
      </c>
      <c r="AA43" s="1">
        <f>VLOOKUP($N$1,$D$4:$J$15,MATCH(I$4,$D$4:$J$4,0),0)*角色成长!J56</f>
        <v>1</v>
      </c>
      <c r="AB43" s="1">
        <f t="shared" si="7"/>
        <v>0.9</v>
      </c>
      <c r="AC43" s="6"/>
      <c r="AD43" s="22"/>
      <c r="AE43" s="22"/>
      <c r="AF43" s="22"/>
      <c r="AG43" s="9"/>
      <c r="AH43" s="9"/>
      <c r="AI43" s="9"/>
      <c r="AJ43" s="9"/>
      <c r="AK43" s="9"/>
      <c r="AL43" s="9"/>
    </row>
    <row r="44" spans="5:38" ht="14.25" customHeight="1" x14ac:dyDescent="0.2">
      <c r="E44" s="6"/>
      <c r="F44" s="6"/>
      <c r="G44" s="6"/>
      <c r="H44" s="6"/>
      <c r="I44" s="26"/>
      <c r="J44" s="6"/>
      <c r="K44" s="6"/>
      <c r="L44" s="6">
        <f t="shared" si="2"/>
        <v>0.9944193969556695</v>
      </c>
      <c r="M44" s="1">
        <v>40</v>
      </c>
      <c r="N44" s="6">
        <f>VLOOKUP($N$2,角色品星!$C$16:$D$20,2,0)*VLOOKUP($N$3,角色品星!$C$3:$E$14,3,0)*V44</f>
        <v>1357.7121087668988</v>
      </c>
      <c r="O44" s="6">
        <f>VLOOKUP($N$2,角色品星!$C$16:$D$20,2,0)*VLOOKUP($N$3,角色品星!$C$3:$E$14,3,0)*W44</f>
        <v>25002.504748877567</v>
      </c>
      <c r="P44" s="6">
        <f>VLOOKUP($N$2,角色品星!$C$16:$D$20,2,0)*VLOOKUP($N$3,角色品星!$C$3:$E$14,3,0)*X44</f>
        <v>25142.816829016621</v>
      </c>
      <c r="Q44" s="24">
        <f t="shared" si="3"/>
        <v>0.05</v>
      </c>
      <c r="R44" s="24">
        <f t="shared" si="4"/>
        <v>1.5</v>
      </c>
      <c r="S44" s="24">
        <f t="shared" si="5"/>
        <v>1</v>
      </c>
      <c r="T44" s="42">
        <f>N44*(1+Q44*(R44-1))*S44*战斗公式!$E$39+(P44*战斗公式!$E$40+1)*O44*战斗公式!$E$41</f>
        <v>66080.211507705812</v>
      </c>
      <c r="U44" s="42">
        <f t="shared" si="6"/>
        <v>3304.0105753852986</v>
      </c>
      <c r="V44" s="6">
        <f>VLOOKUP($N$1,$D$4:$J$15,MATCH(F$4,$D$4:$J$4,0),0)*角色成长!E57*角色成长!$L$15*AB44/AA44/(1+$Y$2*($Z$2-1))</f>
        <v>1357.7121087668988</v>
      </c>
      <c r="W44" s="6">
        <f>VLOOKUP($N$1,$D$4:$J$15,MATCH(G$4,$D$4:$J$4,0),0)*角色成长!F57*角色成长!$L$15/(1+X44/角色成长!$N$16)</f>
        <v>25002.504748877567</v>
      </c>
      <c r="X44" s="6">
        <f>VLOOKUP($N$1,$D$4:$J$15,MATCH(H$4,$D$4:$J$4,0),0)*角色成长!G57*角色成长!$L$15</f>
        <v>25142.816829016621</v>
      </c>
      <c r="Y44" s="1">
        <v>0.05</v>
      </c>
      <c r="Z44" s="1">
        <v>1.5</v>
      </c>
      <c r="AA44" s="1">
        <f>VLOOKUP($N$1,$D$4:$J$15,MATCH(I$4,$D$4:$J$4,0),0)*角色成长!J57</f>
        <v>1</v>
      </c>
      <c r="AB44" s="1">
        <f t="shared" si="7"/>
        <v>0.9</v>
      </c>
      <c r="AC44" s="6"/>
      <c r="AD44" s="22"/>
      <c r="AE44" s="22"/>
      <c r="AF44" s="22"/>
      <c r="AG44" s="9"/>
      <c r="AH44" s="9"/>
      <c r="AI44" s="9"/>
      <c r="AJ44" s="9"/>
      <c r="AK44" s="9"/>
      <c r="AL44" s="9"/>
    </row>
    <row r="45" spans="5:38" ht="14.25" customHeight="1" x14ac:dyDescent="0.2">
      <c r="E45" s="6"/>
      <c r="F45" s="6"/>
      <c r="G45" s="6"/>
      <c r="H45" s="6"/>
      <c r="I45" s="26"/>
      <c r="J45" s="6"/>
      <c r="K45" s="6"/>
      <c r="L45" s="6">
        <f t="shared" si="2"/>
        <v>0.9845291623346818</v>
      </c>
      <c r="M45" s="1">
        <v>41</v>
      </c>
      <c r="N45" s="6">
        <f>VLOOKUP($N$2,角色品星!$C$16:$D$20,2,0)*VLOOKUP($N$3,角色品星!$C$3:$E$14,3,0)*V45</f>
        <v>1425.5977142052436</v>
      </c>
      <c r="O45" s="6">
        <f>VLOOKUP($N$2,角色品星!$C$16:$D$20,2,0)*VLOOKUP($N$3,角色品星!$C$3:$E$14,3,0)*W45</f>
        <v>25991.528210976376</v>
      </c>
      <c r="P45" s="6">
        <f>VLOOKUP($N$2,角色品星!$C$16:$D$20,2,0)*VLOOKUP($N$3,角色品星!$C$3:$E$14,3,0)*X45</f>
        <v>26399.957670467451</v>
      </c>
      <c r="Q45" s="24">
        <f t="shared" si="3"/>
        <v>0.05</v>
      </c>
      <c r="R45" s="24">
        <f t="shared" si="4"/>
        <v>1.5</v>
      </c>
      <c r="S45" s="24">
        <f t="shared" si="5"/>
        <v>1</v>
      </c>
      <c r="T45" s="42">
        <f>N45*(1+Q45*(R45-1))*S45*战斗公式!$E$39+(P45*战斗公式!$E$40+1)*O45*战斗公式!$E$41</f>
        <v>69384.22208309111</v>
      </c>
      <c r="U45" s="42">
        <f t="shared" si="6"/>
        <v>3469.2111041545577</v>
      </c>
      <c r="V45" s="6">
        <f>VLOOKUP($N$1,$D$4:$J$15,MATCH(F$4,$D$4:$J$4,0),0)*角色成长!E58*角色成长!$L$15*AB45/AA45/(1+$Y$2*($Z$2-1))</f>
        <v>1425.5977142052436</v>
      </c>
      <c r="W45" s="6">
        <f>VLOOKUP($N$1,$D$4:$J$15,MATCH(G$4,$D$4:$J$4,0),0)*角色成长!F58*角色成长!$L$15/(1+X45/角色成长!$N$16)</f>
        <v>25991.528210976376</v>
      </c>
      <c r="X45" s="6">
        <f>VLOOKUP($N$1,$D$4:$J$15,MATCH(H$4,$D$4:$J$4,0),0)*角色成长!G58*角色成长!$L$15</f>
        <v>26399.957670467451</v>
      </c>
      <c r="Y45" s="1">
        <v>0.05</v>
      </c>
      <c r="Z45" s="1">
        <v>1.5</v>
      </c>
      <c r="AA45" s="1">
        <f>VLOOKUP($N$1,$D$4:$J$15,MATCH(I$4,$D$4:$J$4,0),0)*角色成长!J58</f>
        <v>1</v>
      </c>
      <c r="AB45" s="1">
        <f t="shared" si="7"/>
        <v>0.9</v>
      </c>
      <c r="AC45" s="6"/>
      <c r="AD45" s="22"/>
      <c r="AE45" s="22"/>
      <c r="AF45" s="22"/>
      <c r="AG45" s="9"/>
      <c r="AH45" s="9"/>
      <c r="AI45" s="9"/>
      <c r="AJ45" s="9"/>
      <c r="AK45" s="9"/>
      <c r="AL45" s="9"/>
    </row>
    <row r="46" spans="5:38" ht="14.25" customHeight="1" x14ac:dyDescent="0.2">
      <c r="E46" s="6"/>
      <c r="F46" s="6"/>
      <c r="G46" s="6"/>
      <c r="H46" s="6"/>
      <c r="I46" s="26"/>
      <c r="J46" s="6"/>
      <c r="K46" s="6"/>
      <c r="L46" s="6">
        <f t="shared" si="2"/>
        <v>0.97435395983862816</v>
      </c>
      <c r="M46" s="1">
        <v>42</v>
      </c>
      <c r="N46" s="6">
        <f>VLOOKUP($N$2,角色品星!$C$16:$D$20,2,0)*VLOOKUP($N$3,角色品星!$C$3:$E$14,3,0)*V46</f>
        <v>1496.8775999155059</v>
      </c>
      <c r="O46" s="6">
        <f>VLOOKUP($N$2,角色品星!$C$16:$D$20,2,0)*VLOOKUP($N$3,角色品星!$C$3:$E$14,3,0)*W46</f>
        <v>27009.048460581733</v>
      </c>
      <c r="P46" s="6">
        <f>VLOOKUP($N$2,角色品星!$C$16:$D$20,2,0)*VLOOKUP($N$3,角色品星!$C$3:$E$14,3,0)*X46</f>
        <v>27719.955553990825</v>
      </c>
      <c r="Q46" s="24">
        <f t="shared" si="3"/>
        <v>0.05</v>
      </c>
      <c r="R46" s="24">
        <f t="shared" si="4"/>
        <v>1.5</v>
      </c>
      <c r="S46" s="24">
        <f t="shared" si="5"/>
        <v>1</v>
      </c>
      <c r="T46" s="42">
        <f>N46*(1+Q46*(R46-1))*S46*战斗公式!$E$39+(P46*战斗公式!$E$40+1)*O46*战斗公式!$E$41</f>
        <v>72853.433187245668</v>
      </c>
      <c r="U46" s="42">
        <f t="shared" si="6"/>
        <v>3642.6716593622841</v>
      </c>
      <c r="V46" s="6">
        <f>VLOOKUP($N$1,$D$4:$J$15,MATCH(F$4,$D$4:$J$4,0),0)*角色成长!E59*角色成长!$L$15*AB46/AA46/(1+$Y$2*($Z$2-1))</f>
        <v>1496.8775999155059</v>
      </c>
      <c r="W46" s="6">
        <f>VLOOKUP($N$1,$D$4:$J$15,MATCH(G$4,$D$4:$J$4,0),0)*角色成长!F59*角色成长!$L$15/(1+X46/角色成长!$N$16)</f>
        <v>27009.048460581733</v>
      </c>
      <c r="X46" s="6">
        <f>VLOOKUP($N$1,$D$4:$J$15,MATCH(H$4,$D$4:$J$4,0),0)*角色成长!G59*角色成长!$L$15</f>
        <v>27719.955553990825</v>
      </c>
      <c r="Y46" s="1">
        <v>0.05</v>
      </c>
      <c r="Z46" s="1">
        <v>1.5</v>
      </c>
      <c r="AA46" s="1">
        <f>VLOOKUP($N$1,$D$4:$J$15,MATCH(I$4,$D$4:$J$4,0),0)*角色成长!J59</f>
        <v>1</v>
      </c>
      <c r="AB46" s="1">
        <f t="shared" si="7"/>
        <v>0.9</v>
      </c>
      <c r="AC46" s="6"/>
      <c r="AD46" s="22"/>
      <c r="AE46" s="22"/>
      <c r="AF46" s="22"/>
      <c r="AG46" s="9"/>
      <c r="AH46" s="9"/>
      <c r="AI46" s="9"/>
      <c r="AJ46" s="9"/>
      <c r="AK46" s="9"/>
      <c r="AL46" s="9"/>
    </row>
    <row r="47" spans="5:38" ht="14.25" customHeight="1" x14ac:dyDescent="0.2">
      <c r="E47" s="6"/>
      <c r="F47" s="6"/>
      <c r="G47" s="6"/>
      <c r="H47" s="6"/>
      <c r="I47" s="26"/>
      <c r="J47" s="6"/>
      <c r="K47" s="6"/>
      <c r="L47" s="6">
        <f t="shared" si="2"/>
        <v>0.96389392768535009</v>
      </c>
      <c r="M47" s="1">
        <v>43</v>
      </c>
      <c r="N47" s="6">
        <f>VLOOKUP($N$2,角色品星!$C$16:$D$20,2,0)*VLOOKUP($N$3,角色品星!$C$3:$E$14,3,0)*V47</f>
        <v>1571.7214799112812</v>
      </c>
      <c r="O47" s="6">
        <f>VLOOKUP($N$2,角色品星!$C$16:$D$20,2,0)*VLOOKUP($N$3,角色品星!$C$3:$E$14,3,0)*W47</f>
        <v>28055.05167590953</v>
      </c>
      <c r="P47" s="6">
        <f>VLOOKUP($N$2,角色品星!$C$16:$D$20,2,0)*VLOOKUP($N$3,角色品星!$C$3:$E$14,3,0)*X47</f>
        <v>29105.953331690369</v>
      </c>
      <c r="Q47" s="24">
        <f t="shared" si="3"/>
        <v>0.05</v>
      </c>
      <c r="R47" s="24">
        <f t="shared" si="4"/>
        <v>1.5</v>
      </c>
      <c r="S47" s="24">
        <f t="shared" si="5"/>
        <v>1</v>
      </c>
      <c r="T47" s="42">
        <f>N47*(1+Q47*(R47-1))*S47*战斗公式!$E$39+(P47*战斗公式!$E$40+1)*O47*战斗公式!$E$41</f>
        <v>76496.104846607952</v>
      </c>
      <c r="U47" s="42">
        <f t="shared" si="6"/>
        <v>3824.8052423304034</v>
      </c>
      <c r="V47" s="6">
        <f>VLOOKUP($N$1,$D$4:$J$15,MATCH(F$4,$D$4:$J$4,0),0)*角色成长!E60*角色成长!$L$15*AB47/AA47/(1+$Y$2*($Z$2-1))</f>
        <v>1571.7214799112812</v>
      </c>
      <c r="W47" s="6">
        <f>VLOOKUP($N$1,$D$4:$J$15,MATCH(G$4,$D$4:$J$4,0),0)*角色成长!F60*角色成长!$L$15/(1+X47/角色成长!$N$16)</f>
        <v>28055.05167590953</v>
      </c>
      <c r="X47" s="6">
        <f>VLOOKUP($N$1,$D$4:$J$15,MATCH(H$4,$D$4:$J$4,0),0)*角色成长!G60*角色成长!$L$15</f>
        <v>29105.953331690369</v>
      </c>
      <c r="Y47" s="1">
        <v>0.05</v>
      </c>
      <c r="Z47" s="1">
        <v>1.5</v>
      </c>
      <c r="AA47" s="1">
        <f>VLOOKUP($N$1,$D$4:$J$15,MATCH(I$4,$D$4:$J$4,0),0)*角色成长!J60</f>
        <v>1</v>
      </c>
      <c r="AB47" s="1">
        <f t="shared" si="7"/>
        <v>0.9</v>
      </c>
      <c r="AC47" s="6"/>
      <c r="AD47" s="22"/>
      <c r="AE47" s="22"/>
      <c r="AF47" s="22"/>
      <c r="AG47" s="9"/>
      <c r="AH47" s="9"/>
      <c r="AI47" s="9"/>
      <c r="AJ47" s="9"/>
      <c r="AK47" s="9"/>
      <c r="AL47" s="9"/>
    </row>
    <row r="48" spans="5:38" ht="14.25" customHeight="1" x14ac:dyDescent="0.2">
      <c r="E48" s="6"/>
      <c r="F48" s="6"/>
      <c r="G48" s="6"/>
      <c r="H48" s="6"/>
      <c r="I48" s="26"/>
      <c r="J48" s="6"/>
      <c r="K48" s="6"/>
      <c r="L48" s="6">
        <f t="shared" si="2"/>
        <v>0.95314990851373527</v>
      </c>
      <c r="M48" s="1">
        <v>44</v>
      </c>
      <c r="N48" s="6">
        <f>VLOOKUP($N$2,角色品星!$C$16:$D$20,2,0)*VLOOKUP($N$3,角色品星!$C$3:$E$14,3,0)*V48</f>
        <v>1650.3075539068454</v>
      </c>
      <c r="O48" s="6">
        <f>VLOOKUP($N$2,角色品星!$C$16:$D$20,2,0)*VLOOKUP($N$3,角色品星!$C$3:$E$14,3,0)*W48</f>
        <v>29129.453593071012</v>
      </c>
      <c r="P48" s="6">
        <f>VLOOKUP($N$2,角色品星!$C$16:$D$20,2,0)*VLOOKUP($N$3,角色品星!$C$3:$E$14,3,0)*X48</f>
        <v>30561.250998274889</v>
      </c>
      <c r="Q48" s="24">
        <f t="shared" si="3"/>
        <v>0.05</v>
      </c>
      <c r="R48" s="24">
        <f t="shared" si="4"/>
        <v>1.5</v>
      </c>
      <c r="S48" s="24">
        <f t="shared" si="5"/>
        <v>1</v>
      </c>
      <c r="T48" s="42">
        <f>N48*(1+Q48*(R48-1))*S48*战斗公式!$E$39+(P48*战斗公式!$E$40+1)*O48*战斗公式!$E$41</f>
        <v>80320.910088938355</v>
      </c>
      <c r="U48" s="42">
        <f t="shared" si="6"/>
        <v>4016.0455044469272</v>
      </c>
      <c r="V48" s="6">
        <f>VLOOKUP($N$1,$D$4:$J$15,MATCH(F$4,$D$4:$J$4,0),0)*角色成长!E61*角色成长!$L$15*AB48/AA48/(1+$Y$2*($Z$2-1))</f>
        <v>1650.3075539068454</v>
      </c>
      <c r="W48" s="6">
        <f>VLOOKUP($N$1,$D$4:$J$15,MATCH(G$4,$D$4:$J$4,0),0)*角色成长!F61*角色成长!$L$15/(1+X48/角色成长!$N$16)</f>
        <v>29129.453593071012</v>
      </c>
      <c r="X48" s="6">
        <f>VLOOKUP($N$1,$D$4:$J$15,MATCH(H$4,$D$4:$J$4,0),0)*角色成长!G61*角色成长!$L$15</f>
        <v>30561.250998274889</v>
      </c>
      <c r="Y48" s="1">
        <v>0.05</v>
      </c>
      <c r="Z48" s="1">
        <v>1.5</v>
      </c>
      <c r="AA48" s="1">
        <f>VLOOKUP($N$1,$D$4:$J$15,MATCH(I$4,$D$4:$J$4,0),0)*角色成长!J61</f>
        <v>1</v>
      </c>
      <c r="AB48" s="1">
        <f t="shared" si="7"/>
        <v>0.9</v>
      </c>
      <c r="AC48" s="6"/>
      <c r="AD48" s="22"/>
      <c r="AE48" s="22"/>
      <c r="AF48" s="22"/>
      <c r="AG48" s="9"/>
      <c r="AH48" s="9"/>
      <c r="AI48" s="9"/>
      <c r="AJ48" s="9"/>
      <c r="AK48" s="9"/>
      <c r="AL48" s="9"/>
    </row>
    <row r="49" spans="5:38" ht="14.25" customHeight="1" x14ac:dyDescent="0.2">
      <c r="E49" s="6"/>
      <c r="F49" s="6"/>
      <c r="G49" s="6"/>
      <c r="H49" s="6"/>
      <c r="I49" s="26"/>
      <c r="J49" s="6"/>
      <c r="K49" s="6"/>
      <c r="L49" s="6">
        <f t="shared" si="2"/>
        <v>0.94212348525109757</v>
      </c>
      <c r="M49" s="1">
        <v>45</v>
      </c>
      <c r="N49" s="6">
        <f>VLOOKUP($N$2,角色品星!$C$16:$D$20,2,0)*VLOOKUP($N$3,角色品星!$C$3:$E$14,3,0)*V49</f>
        <v>1732.8229316021882</v>
      </c>
      <c r="O49" s="6">
        <f>VLOOKUP($N$2,角色品星!$C$16:$D$20,2,0)*VLOOKUP($N$3,角色品星!$C$3:$E$14,3,0)*W49</f>
        <v>30232.095919334741</v>
      </c>
      <c r="P49" s="6">
        <f>VLOOKUP($N$2,角色品星!$C$16:$D$20,2,0)*VLOOKUP($N$3,角色品星!$C$3:$E$14,3,0)*X49</f>
        <v>32089.313548188635</v>
      </c>
      <c r="Q49" s="24">
        <f t="shared" si="3"/>
        <v>0.05</v>
      </c>
      <c r="R49" s="24">
        <f t="shared" si="4"/>
        <v>1.5</v>
      </c>
      <c r="S49" s="24">
        <f t="shared" si="5"/>
        <v>1</v>
      </c>
      <c r="T49" s="42">
        <f>N49*(1+Q49*(R49-1))*S49*战斗公式!$E$39+(P49*战斗公式!$E$40+1)*O49*战斗公式!$E$41</f>
        <v>84336.955593385283</v>
      </c>
      <c r="U49" s="42">
        <f t="shared" si="6"/>
        <v>4216.8477796692605</v>
      </c>
      <c r="V49" s="6">
        <f>VLOOKUP($N$1,$D$4:$J$15,MATCH(F$4,$D$4:$J$4,0),0)*角色成长!E62*角色成长!$L$15*AB49/AA49/(1+$Y$2*($Z$2-1))</f>
        <v>1732.8229316021882</v>
      </c>
      <c r="W49" s="6">
        <f>VLOOKUP($N$1,$D$4:$J$15,MATCH(G$4,$D$4:$J$4,0),0)*角色成长!F62*角色成长!$L$15/(1+X49/角色成长!$N$16)</f>
        <v>30232.095919334741</v>
      </c>
      <c r="X49" s="6">
        <f>VLOOKUP($N$1,$D$4:$J$15,MATCH(H$4,$D$4:$J$4,0),0)*角色成长!G62*角色成长!$L$15</f>
        <v>32089.313548188635</v>
      </c>
      <c r="Y49" s="1">
        <v>0.05</v>
      </c>
      <c r="Z49" s="1">
        <v>1.5</v>
      </c>
      <c r="AA49" s="1">
        <f>VLOOKUP($N$1,$D$4:$J$15,MATCH(I$4,$D$4:$J$4,0),0)*角色成长!J62</f>
        <v>1</v>
      </c>
      <c r="AB49" s="1">
        <f t="shared" si="7"/>
        <v>0.9</v>
      </c>
      <c r="AC49" s="6"/>
      <c r="AD49" s="22"/>
      <c r="AE49" s="22"/>
      <c r="AF49" s="22"/>
      <c r="AG49" s="9"/>
      <c r="AH49" s="9"/>
      <c r="AI49" s="9"/>
      <c r="AJ49" s="9"/>
      <c r="AK49" s="9"/>
      <c r="AL49" s="9"/>
    </row>
    <row r="50" spans="5:38" ht="14.25" customHeight="1" x14ac:dyDescent="0.2">
      <c r="E50" s="6"/>
      <c r="F50" s="6"/>
      <c r="G50" s="6"/>
      <c r="H50" s="6"/>
      <c r="I50" s="26"/>
      <c r="J50" s="6"/>
      <c r="K50" s="6"/>
      <c r="L50" s="6">
        <f t="shared" si="2"/>
        <v>0.9308170145632132</v>
      </c>
      <c r="M50" s="1">
        <v>46</v>
      </c>
      <c r="N50" s="6">
        <f>VLOOKUP($N$2,角色品星!$C$16:$D$20,2,0)*VLOOKUP($N$3,角色品星!$C$3:$E$14,3,0)*V50</f>
        <v>1819.4640781822977</v>
      </c>
      <c r="O50" s="6">
        <f>VLOOKUP($N$2,角色品星!$C$16:$D$20,2,0)*VLOOKUP($N$3,角色品星!$C$3:$E$14,3,0)*W50</f>
        <v>31362.742988123206</v>
      </c>
      <c r="P50" s="6">
        <f>VLOOKUP($N$2,角色品星!$C$16:$D$20,2,0)*VLOOKUP($N$3,角色品星!$C$3:$E$14,3,0)*X50</f>
        <v>33693.779225598068</v>
      </c>
      <c r="Q50" s="24">
        <f t="shared" si="3"/>
        <v>0.05</v>
      </c>
      <c r="R50" s="24">
        <f t="shared" si="4"/>
        <v>1.5</v>
      </c>
      <c r="S50" s="24">
        <f t="shared" si="5"/>
        <v>1</v>
      </c>
      <c r="T50" s="42">
        <f>N50*(1+Q50*(R50-1))*S50*战斗公式!$E$39+(P50*战斗公式!$E$40+1)*O50*战斗公式!$E$41</f>
        <v>88553.803373054543</v>
      </c>
      <c r="U50" s="42">
        <f t="shared" si="6"/>
        <v>4427.6901686527417</v>
      </c>
      <c r="V50" s="6">
        <f>VLOOKUP($N$1,$D$4:$J$15,MATCH(F$4,$D$4:$J$4,0),0)*角色成长!E63*角色成长!$L$15*AB50/AA50/(1+$Y$2*($Z$2-1))</f>
        <v>1819.4640781822977</v>
      </c>
      <c r="W50" s="6">
        <f>VLOOKUP($N$1,$D$4:$J$15,MATCH(G$4,$D$4:$J$4,0),0)*角色成长!F63*角色成长!$L$15/(1+X50/角色成长!$N$16)</f>
        <v>31362.742988123206</v>
      </c>
      <c r="X50" s="6">
        <f>VLOOKUP($N$1,$D$4:$J$15,MATCH(H$4,$D$4:$J$4,0),0)*角色成长!G63*角色成长!$L$15</f>
        <v>33693.779225598068</v>
      </c>
      <c r="Y50" s="1">
        <v>0.05</v>
      </c>
      <c r="Z50" s="1">
        <v>1.5</v>
      </c>
      <c r="AA50" s="1">
        <f>VLOOKUP($N$1,$D$4:$J$15,MATCH(I$4,$D$4:$J$4,0),0)*角色成长!J63</f>
        <v>1</v>
      </c>
      <c r="AB50" s="1">
        <f t="shared" si="7"/>
        <v>0.9</v>
      </c>
      <c r="AC50" s="6"/>
      <c r="AD50" s="22"/>
      <c r="AE50" s="22"/>
      <c r="AF50" s="22"/>
      <c r="AG50" s="9"/>
      <c r="AH50" s="9"/>
      <c r="AI50" s="9"/>
      <c r="AJ50" s="9"/>
      <c r="AK50" s="9"/>
      <c r="AL50" s="9"/>
    </row>
    <row r="51" spans="5:38" ht="14.25" customHeight="1" x14ac:dyDescent="0.2">
      <c r="E51" s="6"/>
      <c r="F51" s="6"/>
      <c r="G51" s="6"/>
      <c r="H51" s="6"/>
      <c r="I51" s="26"/>
      <c r="J51" s="6"/>
      <c r="K51" s="6"/>
      <c r="L51" s="6">
        <f t="shared" si="2"/>
        <v>0.91923365739860474</v>
      </c>
      <c r="M51" s="1">
        <v>47</v>
      </c>
      <c r="N51" s="6">
        <f>VLOOKUP($N$2,角色品星!$C$16:$D$20,2,0)*VLOOKUP($N$3,角色品星!$C$3:$E$14,3,0)*V51</f>
        <v>1910.4372820914125</v>
      </c>
      <c r="O51" s="6">
        <f>VLOOKUP($N$2,角色品星!$C$16:$D$20,2,0)*VLOOKUP($N$3,角色品星!$C$3:$E$14,3,0)*W51</f>
        <v>32521.078704584026</v>
      </c>
      <c r="P51" s="6">
        <f>VLOOKUP($N$2,角色品星!$C$16:$D$20,2,0)*VLOOKUP($N$3,角色品星!$C$3:$E$14,3,0)*X51</f>
        <v>35378.468186877973</v>
      </c>
      <c r="Q51" s="24">
        <f t="shared" si="3"/>
        <v>0.05</v>
      </c>
      <c r="R51" s="24">
        <f t="shared" si="4"/>
        <v>1.5</v>
      </c>
      <c r="S51" s="24">
        <f t="shared" si="5"/>
        <v>1</v>
      </c>
      <c r="T51" s="42">
        <f>N51*(1+Q51*(R51-1))*S51*战斗公式!$E$39+(P51*战斗公式!$E$40+1)*O51*战斗公式!$E$41</f>
        <v>92981.493541707285</v>
      </c>
      <c r="U51" s="42">
        <f t="shared" si="6"/>
        <v>4649.0746770853875</v>
      </c>
      <c r="V51" s="6">
        <f>VLOOKUP($N$1,$D$4:$J$15,MATCH(F$4,$D$4:$J$4,0),0)*角色成长!E64*角色成长!$L$15*AB51/AA51/(1+$Y$2*($Z$2-1))</f>
        <v>1910.4372820914125</v>
      </c>
      <c r="W51" s="6">
        <f>VLOOKUP($N$1,$D$4:$J$15,MATCH(G$4,$D$4:$J$4,0),0)*角色成长!F64*角色成长!$L$15/(1+X51/角色成长!$N$16)</f>
        <v>32521.078704584026</v>
      </c>
      <c r="X51" s="6">
        <f>VLOOKUP($N$1,$D$4:$J$15,MATCH(H$4,$D$4:$J$4,0),0)*角色成长!G64*角色成长!$L$15</f>
        <v>35378.468186877973</v>
      </c>
      <c r="Y51" s="1">
        <v>0.05</v>
      </c>
      <c r="Z51" s="1">
        <v>1.5</v>
      </c>
      <c r="AA51" s="1">
        <f>VLOOKUP($N$1,$D$4:$J$15,MATCH(I$4,$D$4:$J$4,0),0)*角色成长!J64</f>
        <v>1</v>
      </c>
      <c r="AB51" s="1">
        <f t="shared" si="7"/>
        <v>0.9</v>
      </c>
      <c r="AC51" s="6"/>
      <c r="AD51" s="22"/>
      <c r="AE51" s="22"/>
      <c r="AF51" s="22"/>
      <c r="AG51" s="9"/>
      <c r="AH51" s="9"/>
      <c r="AI51" s="9"/>
      <c r="AJ51" s="9"/>
      <c r="AK51" s="9"/>
      <c r="AL51" s="9"/>
    </row>
    <row r="52" spans="5:38" ht="14.25" customHeight="1" x14ac:dyDescent="0.2">
      <c r="E52" s="6"/>
      <c r="F52" s="6"/>
      <c r="G52" s="6"/>
      <c r="H52" s="6"/>
      <c r="I52" s="26"/>
      <c r="J52" s="6"/>
      <c r="K52" s="6"/>
      <c r="L52" s="6">
        <f t="shared" si="2"/>
        <v>0.90737740613269324</v>
      </c>
      <c r="M52" s="1">
        <v>48</v>
      </c>
      <c r="N52" s="6">
        <f>VLOOKUP($N$2,角色品星!$C$16:$D$20,2,0)*VLOOKUP($N$3,角色品星!$C$3:$E$14,3,0)*V52</f>
        <v>2005.9591461959831</v>
      </c>
      <c r="O52" s="6">
        <f>VLOOKUP($N$2,角色品星!$C$16:$D$20,2,0)*VLOOKUP($N$3,角色品星!$C$3:$E$14,3,0)*W52</f>
        <v>33706.703831175211</v>
      </c>
      <c r="P52" s="6">
        <f>VLOOKUP($N$2,角色品星!$C$16:$D$20,2,0)*VLOOKUP($N$3,角色品星!$C$3:$E$14,3,0)*X52</f>
        <v>37147.391596221874</v>
      </c>
      <c r="Q52" s="24">
        <f t="shared" si="3"/>
        <v>0.05</v>
      </c>
      <c r="R52" s="24">
        <f t="shared" si="4"/>
        <v>1.5</v>
      </c>
      <c r="S52" s="24">
        <f t="shared" si="5"/>
        <v>1</v>
      </c>
      <c r="T52" s="42">
        <f>N52*(1+Q52*(R52-1))*S52*战斗公式!$E$39+(P52*战斗公式!$E$40+1)*O52*战斗公式!$E$41</f>
        <v>97630.568218792672</v>
      </c>
      <c r="U52" s="42">
        <f t="shared" si="6"/>
        <v>4881.5284109396162</v>
      </c>
      <c r="V52" s="6">
        <f>VLOOKUP($N$1,$D$4:$J$15,MATCH(F$4,$D$4:$J$4,0),0)*角色成长!E65*角色成长!$L$15*AB52/AA52/(1+$Y$2*($Z$2-1))</f>
        <v>2005.9591461959831</v>
      </c>
      <c r="W52" s="6">
        <f>VLOOKUP($N$1,$D$4:$J$15,MATCH(G$4,$D$4:$J$4,0),0)*角色成长!F65*角色成长!$L$15/(1+X52/角色成长!$N$16)</f>
        <v>33706.703831175211</v>
      </c>
      <c r="X52" s="6">
        <f>VLOOKUP($N$1,$D$4:$J$15,MATCH(H$4,$D$4:$J$4,0),0)*角色成长!G65*角色成长!$L$15</f>
        <v>37147.391596221874</v>
      </c>
      <c r="Y52" s="1">
        <v>0.05</v>
      </c>
      <c r="Z52" s="1">
        <v>1.5</v>
      </c>
      <c r="AA52" s="1">
        <f>VLOOKUP($N$1,$D$4:$J$15,MATCH(I$4,$D$4:$J$4,0),0)*角色成长!J65</f>
        <v>1</v>
      </c>
      <c r="AB52" s="1">
        <f t="shared" si="7"/>
        <v>0.9</v>
      </c>
      <c r="AC52" s="6"/>
      <c r="AD52" s="22"/>
      <c r="AE52" s="22"/>
      <c r="AF52" s="22"/>
      <c r="AG52" s="9"/>
      <c r="AH52" s="9"/>
      <c r="AI52" s="9"/>
      <c r="AJ52" s="9"/>
      <c r="AK52" s="9"/>
      <c r="AL52" s="9"/>
    </row>
    <row r="53" spans="5:38" ht="14.25" customHeight="1" x14ac:dyDescent="0.2">
      <c r="E53" s="6"/>
      <c r="F53" s="6"/>
      <c r="G53" s="6"/>
      <c r="H53" s="6"/>
      <c r="I53" s="26"/>
      <c r="J53" s="6"/>
      <c r="K53" s="6"/>
      <c r="L53" s="6">
        <f t="shared" si="2"/>
        <v>0.89525310781873502</v>
      </c>
      <c r="M53" s="1">
        <v>49</v>
      </c>
      <c r="N53" s="6">
        <f>VLOOKUP($N$2,角色品星!$C$16:$D$20,2,0)*VLOOKUP($N$3,角色品星!$C$3:$E$14,3,0)*V53</f>
        <v>2106.2571035057827</v>
      </c>
      <c r="O53" s="6">
        <f>VLOOKUP($N$2,角色品星!$C$16:$D$20,2,0)*VLOOKUP($N$3,角色品星!$C$3:$E$14,3,0)*W53</f>
        <v>34919.133662571046</v>
      </c>
      <c r="P53" s="6">
        <f>VLOOKUP($N$2,角色品星!$C$16:$D$20,2,0)*VLOOKUP($N$3,角色品星!$C$3:$E$14,3,0)*X53</f>
        <v>39004.76117603296</v>
      </c>
      <c r="Q53" s="24">
        <f t="shared" si="3"/>
        <v>0.05</v>
      </c>
      <c r="R53" s="24">
        <f t="shared" si="4"/>
        <v>1.5</v>
      </c>
      <c r="S53" s="24">
        <f t="shared" si="5"/>
        <v>1</v>
      </c>
      <c r="T53" s="42">
        <f>N53*(1+Q53*(R53-1))*S53*战斗公式!$E$39+(P53*战斗公式!$E$40+1)*O53*战斗公式!$E$41</f>
        <v>102512.09662973229</v>
      </c>
      <c r="U53" s="42">
        <f t="shared" si="6"/>
        <v>5125.6048314866202</v>
      </c>
      <c r="V53" s="6">
        <f>VLOOKUP($N$1,$D$4:$J$15,MATCH(F$4,$D$4:$J$4,0),0)*角色成长!E66*角色成长!$L$15*AB53/AA53/(1+$Y$2*($Z$2-1))</f>
        <v>2106.2571035057827</v>
      </c>
      <c r="W53" s="6">
        <f>VLOOKUP($N$1,$D$4:$J$15,MATCH(G$4,$D$4:$J$4,0),0)*角色成长!F66*角色成长!$L$15/(1+X53/角色成长!$N$16)</f>
        <v>34919.133662571046</v>
      </c>
      <c r="X53" s="6">
        <f>VLOOKUP($N$1,$D$4:$J$15,MATCH(H$4,$D$4:$J$4,0),0)*角色成长!G66*角色成长!$L$15</f>
        <v>39004.76117603296</v>
      </c>
      <c r="Y53" s="1">
        <v>0.05</v>
      </c>
      <c r="Z53" s="1">
        <v>1.5</v>
      </c>
      <c r="AA53" s="1">
        <f>VLOOKUP($N$1,$D$4:$J$15,MATCH(I$4,$D$4:$J$4,0),0)*角色成长!J66</f>
        <v>1</v>
      </c>
      <c r="AB53" s="1">
        <f t="shared" si="7"/>
        <v>0.9</v>
      </c>
      <c r="AC53" s="6"/>
      <c r="AD53" s="22"/>
      <c r="AE53" s="22"/>
      <c r="AF53" s="22"/>
      <c r="AG53" s="9"/>
      <c r="AH53" s="9"/>
      <c r="AI53" s="9"/>
      <c r="AJ53" s="9"/>
      <c r="AK53" s="9"/>
      <c r="AL53" s="9"/>
    </row>
    <row r="54" spans="5:38" ht="14.25" customHeight="1" x14ac:dyDescent="0.2">
      <c r="E54" s="6"/>
      <c r="F54" s="6"/>
      <c r="G54" s="6"/>
      <c r="H54" s="6"/>
      <c r="I54" s="26"/>
      <c r="J54" s="6"/>
      <c r="K54" s="6"/>
      <c r="L54" s="6">
        <f t="shared" si="2"/>
        <v>0.88286648306185256</v>
      </c>
      <c r="M54" s="1">
        <v>50</v>
      </c>
      <c r="N54" s="6">
        <f>VLOOKUP($N$2,角色品星!$C$16:$D$20,2,0)*VLOOKUP($N$3,角色品星!$C$3:$E$14,3,0)*V54</f>
        <v>2211.569958681072</v>
      </c>
      <c r="O54" s="6">
        <f>VLOOKUP($N$2,角色品星!$C$16:$D$20,2,0)*VLOOKUP($N$3,角色品星!$C$3:$E$14,3,0)*W54</f>
        <v>36157.796138259298</v>
      </c>
      <c r="P54" s="6">
        <f>VLOOKUP($N$2,角色品星!$C$16:$D$20,2,0)*VLOOKUP($N$3,角色品星!$C$3:$E$14,3,0)*X54</f>
        <v>40954.999234834613</v>
      </c>
      <c r="Q54" s="24">
        <f t="shared" si="3"/>
        <v>0.05</v>
      </c>
      <c r="R54" s="24">
        <f t="shared" si="4"/>
        <v>1.5</v>
      </c>
      <c r="S54" s="24">
        <f t="shared" si="5"/>
        <v>1</v>
      </c>
      <c r="T54" s="42">
        <f>N54*(1+Q54*(R54-1))*S54*战斗公式!$E$39+(P54*战斗公式!$E$40+1)*O54*战斗公式!$E$41</f>
        <v>107637.70146121891</v>
      </c>
      <c r="U54" s="42">
        <f t="shared" si="6"/>
        <v>5381.8850730609556</v>
      </c>
      <c r="V54" s="6">
        <f>VLOOKUP($N$1,$D$4:$J$15,MATCH(F$4,$D$4:$J$4,0),0)*角色成长!E67*角色成长!$L$15*AB54/AA54/(1+$Y$2*($Z$2-1))</f>
        <v>2211.569958681072</v>
      </c>
      <c r="W54" s="6">
        <f>VLOOKUP($N$1,$D$4:$J$15,MATCH(G$4,$D$4:$J$4,0),0)*角色成长!F67*角色成长!$L$15/(1+X54/角色成长!$N$16)</f>
        <v>36157.796138259298</v>
      </c>
      <c r="X54" s="6">
        <f>VLOOKUP($N$1,$D$4:$J$15,MATCH(H$4,$D$4:$J$4,0),0)*角色成长!G67*角色成长!$L$15</f>
        <v>40954.999234834613</v>
      </c>
      <c r="Y54" s="1">
        <v>0.05</v>
      </c>
      <c r="Z54" s="1">
        <v>1.5</v>
      </c>
      <c r="AA54" s="1">
        <f>VLOOKUP($N$1,$D$4:$J$15,MATCH(I$4,$D$4:$J$4,0),0)*角色成长!J67</f>
        <v>1</v>
      </c>
      <c r="AB54" s="1">
        <f t="shared" si="7"/>
        <v>0.9</v>
      </c>
      <c r="AC54" s="6"/>
      <c r="AD54" s="22"/>
      <c r="AE54" s="22"/>
      <c r="AF54" s="22"/>
      <c r="AG54" s="9"/>
      <c r="AH54" s="9"/>
      <c r="AI54" s="9"/>
      <c r="AJ54" s="9"/>
      <c r="AK54" s="9"/>
      <c r="AL54" s="9"/>
    </row>
    <row r="55" spans="5:38" ht="14.25" customHeight="1" x14ac:dyDescent="0.2">
      <c r="E55" s="6"/>
      <c r="F55" s="6"/>
      <c r="G55" s="6"/>
      <c r="H55" s="6"/>
      <c r="I55" s="26"/>
      <c r="J55" s="6"/>
      <c r="K55" s="6"/>
      <c r="L55" s="6">
        <f t="shared" si="2"/>
        <v>0.87022414005047566</v>
      </c>
      <c r="M55" s="1">
        <v>51</v>
      </c>
      <c r="N55" s="6">
        <f>VLOOKUP($N$2,角色品星!$C$16:$D$20,2,0)*VLOOKUP($N$3,角色品星!$C$3:$E$14,3,0)*V55</f>
        <v>2322.1484566151253</v>
      </c>
      <c r="O55" s="6">
        <f>VLOOKUP($N$2,角色品星!$C$16:$D$20,2,0)*VLOOKUP($N$3,角色品星!$C$3:$E$14,3,0)*W55</f>
        <v>37422.030439396942</v>
      </c>
      <c r="P55" s="6">
        <f>VLOOKUP($N$2,角色品星!$C$16:$D$20,2,0)*VLOOKUP($N$3,角色品星!$C$3:$E$14,3,0)*X55</f>
        <v>43002.749196576355</v>
      </c>
      <c r="Q55" s="24">
        <f t="shared" si="3"/>
        <v>0.05</v>
      </c>
      <c r="R55" s="24">
        <f t="shared" si="4"/>
        <v>1.5</v>
      </c>
      <c r="S55" s="24">
        <f t="shared" si="5"/>
        <v>1</v>
      </c>
      <c r="T55" s="42">
        <f>N55*(1+Q55*(R55-1))*S55*战斗公式!$E$39+(P55*战斗公式!$E$40+1)*O55*战斗公式!$E$41</f>
        <v>113019.58653427986</v>
      </c>
      <c r="U55" s="42">
        <f t="shared" si="6"/>
        <v>5650.9793267140049</v>
      </c>
      <c r="V55" s="6">
        <f>VLOOKUP($N$1,$D$4:$J$15,MATCH(F$4,$D$4:$J$4,0),0)*角色成长!E68*角色成长!$L$15*AB55/AA55/(1+$Y$2*($Z$2-1))</f>
        <v>2322.1484566151253</v>
      </c>
      <c r="W55" s="6">
        <f>VLOOKUP($N$1,$D$4:$J$15,MATCH(G$4,$D$4:$J$4,0),0)*角色成长!F68*角色成长!$L$15/(1+X55/角色成长!$N$16)</f>
        <v>37422.030439396942</v>
      </c>
      <c r="X55" s="6">
        <f>VLOOKUP($N$1,$D$4:$J$15,MATCH(H$4,$D$4:$J$4,0),0)*角色成长!G68*角色成长!$L$15</f>
        <v>43002.749196576355</v>
      </c>
      <c r="Y55" s="1">
        <v>0.05</v>
      </c>
      <c r="Z55" s="1">
        <v>1.5</v>
      </c>
      <c r="AA55" s="1">
        <f>VLOOKUP($N$1,$D$4:$J$15,MATCH(I$4,$D$4:$J$4,0),0)*角色成长!J68</f>
        <v>1</v>
      </c>
      <c r="AB55" s="1">
        <f t="shared" si="7"/>
        <v>0.9</v>
      </c>
      <c r="AC55" s="6"/>
      <c r="AD55" s="22"/>
      <c r="AE55" s="22"/>
      <c r="AF55" s="22"/>
      <c r="AG55" s="9"/>
      <c r="AH55" s="9"/>
      <c r="AI55" s="9"/>
      <c r="AJ55" s="9"/>
      <c r="AK55" s="9"/>
      <c r="AL55" s="9"/>
    </row>
    <row r="56" spans="5:38" ht="14.25" customHeight="1" x14ac:dyDescent="0.2">
      <c r="E56" s="6"/>
      <c r="F56" s="6"/>
      <c r="G56" s="6"/>
      <c r="H56" s="6"/>
      <c r="I56" s="26"/>
      <c r="J56" s="6"/>
      <c r="K56" s="6"/>
      <c r="L56" s="6">
        <f t="shared" si="2"/>
        <v>0.8573335833066823</v>
      </c>
      <c r="M56" s="1">
        <v>52</v>
      </c>
      <c r="N56" s="6">
        <f>VLOOKUP($N$2,角色品星!$C$16:$D$20,2,0)*VLOOKUP($N$3,角色品星!$C$3:$E$14,3,0)*V56</f>
        <v>2438.2558794458819</v>
      </c>
      <c r="O56" s="6">
        <f>VLOOKUP($N$2,角色品星!$C$16:$D$20,2,0)*VLOOKUP($N$3,角色品星!$C$3:$E$14,3,0)*W56</f>
        <v>38711.08611377632</v>
      </c>
      <c r="P56" s="6">
        <f>VLOOKUP($N$2,角色品星!$C$16:$D$20,2,0)*VLOOKUP($N$3,角色品星!$C$3:$E$14,3,0)*X56</f>
        <v>45152.886656405164</v>
      </c>
      <c r="Q56" s="24">
        <f t="shared" si="3"/>
        <v>0.05</v>
      </c>
      <c r="R56" s="24">
        <f t="shared" si="4"/>
        <v>1.5</v>
      </c>
      <c r="S56" s="24">
        <f t="shared" si="5"/>
        <v>1</v>
      </c>
      <c r="T56" s="42">
        <f>N56*(1+Q56*(R56-1))*S56*战斗公式!$E$39+(P56*战斗公式!$E$40+1)*O56*战斗公式!$E$41</f>
        <v>118670.56586099387</v>
      </c>
      <c r="U56" s="42">
        <f t="shared" si="6"/>
        <v>5933.5282930496905</v>
      </c>
      <c r="V56" s="6">
        <f>VLOOKUP($N$1,$D$4:$J$15,MATCH(F$4,$D$4:$J$4,0),0)*角色成长!E69*角色成长!$L$15*AB56/AA56/(1+$Y$2*($Z$2-1))</f>
        <v>2438.2558794458819</v>
      </c>
      <c r="W56" s="6">
        <f>VLOOKUP($N$1,$D$4:$J$15,MATCH(G$4,$D$4:$J$4,0),0)*角色成长!F69*角色成长!$L$15/(1+X56/角色成长!$N$16)</f>
        <v>38711.08611377632</v>
      </c>
      <c r="X56" s="6">
        <f>VLOOKUP($N$1,$D$4:$J$15,MATCH(H$4,$D$4:$J$4,0),0)*角色成长!G69*角色成长!$L$15</f>
        <v>45152.886656405164</v>
      </c>
      <c r="Y56" s="1">
        <v>0.05</v>
      </c>
      <c r="Z56" s="1">
        <v>1.5</v>
      </c>
      <c r="AA56" s="1">
        <f>VLOOKUP($N$1,$D$4:$J$15,MATCH(I$4,$D$4:$J$4,0),0)*角色成长!J69</f>
        <v>1</v>
      </c>
      <c r="AB56" s="1">
        <f t="shared" si="7"/>
        <v>0.9</v>
      </c>
      <c r="AC56" s="6"/>
      <c r="AD56" s="22"/>
      <c r="AE56" s="22"/>
      <c r="AF56" s="22"/>
      <c r="AG56" s="9"/>
      <c r="AH56" s="9"/>
      <c r="AI56" s="9"/>
      <c r="AJ56" s="9"/>
      <c r="AK56" s="9"/>
      <c r="AL56" s="9"/>
    </row>
    <row r="57" spans="5:38" ht="14.25" customHeight="1" x14ac:dyDescent="0.2">
      <c r="E57" s="6"/>
      <c r="F57" s="6"/>
      <c r="G57" s="6"/>
      <c r="H57" s="6"/>
      <c r="I57" s="26"/>
      <c r="J57" s="6"/>
      <c r="K57" s="6"/>
      <c r="L57" s="6">
        <f t="shared" si="2"/>
        <v>0.84420321675349275</v>
      </c>
      <c r="M57" s="1">
        <v>53</v>
      </c>
      <c r="N57" s="6">
        <f>VLOOKUP($N$2,角色品星!$C$16:$D$20,2,0)*VLOOKUP($N$3,角色品星!$C$3:$E$14,3,0)*V57</f>
        <v>2560.1686734181762</v>
      </c>
      <c r="O57" s="6">
        <f>VLOOKUP($N$2,角色品星!$C$16:$D$20,2,0)*VLOOKUP($N$3,角色品星!$C$3:$E$14,3,0)*W57</f>
        <v>40024.122769095258</v>
      </c>
      <c r="P57" s="6">
        <f>VLOOKUP($N$2,角色品星!$C$16:$D$20,2,0)*VLOOKUP($N$3,角色品星!$C$3:$E$14,3,0)*X57</f>
        <v>47410.53098922543</v>
      </c>
      <c r="Q57" s="24">
        <f t="shared" si="3"/>
        <v>0.05</v>
      </c>
      <c r="R57" s="24">
        <f t="shared" si="4"/>
        <v>1.5</v>
      </c>
      <c r="S57" s="24">
        <f t="shared" si="5"/>
        <v>1</v>
      </c>
      <c r="T57" s="42">
        <f>N57*(1+Q57*(R57-1))*S57*战斗公式!$E$39+(P57*战斗公式!$E$40+1)*O57*战斗公式!$E$41</f>
        <v>124604.09415404356</v>
      </c>
      <c r="U57" s="42">
        <f t="shared" si="6"/>
        <v>6230.2047077021562</v>
      </c>
      <c r="V57" s="6">
        <f>VLOOKUP($N$1,$D$4:$J$15,MATCH(F$4,$D$4:$J$4,0),0)*角色成长!E70*角色成长!$L$15*AB57/AA57/(1+$Y$2*($Z$2-1))</f>
        <v>2560.1686734181762</v>
      </c>
      <c r="W57" s="6">
        <f>VLOOKUP($N$1,$D$4:$J$15,MATCH(G$4,$D$4:$J$4,0),0)*角色成长!F70*角色成长!$L$15/(1+X57/角色成长!$N$16)</f>
        <v>40024.122769095258</v>
      </c>
      <c r="X57" s="6">
        <f>VLOOKUP($N$1,$D$4:$J$15,MATCH(H$4,$D$4:$J$4,0),0)*角色成长!G70*角色成长!$L$15</f>
        <v>47410.53098922543</v>
      </c>
      <c r="Y57" s="1">
        <v>0.05</v>
      </c>
      <c r="Z57" s="1">
        <v>1.5</v>
      </c>
      <c r="AA57" s="1">
        <f>VLOOKUP($N$1,$D$4:$J$15,MATCH(I$4,$D$4:$J$4,0),0)*角色成长!J70</f>
        <v>1</v>
      </c>
      <c r="AB57" s="1">
        <f t="shared" si="7"/>
        <v>0.9</v>
      </c>
      <c r="AC57" s="6"/>
      <c r="AD57" s="22"/>
      <c r="AE57" s="22"/>
      <c r="AF57" s="22"/>
      <c r="AG57" s="9"/>
      <c r="AH57" s="9"/>
      <c r="AI57" s="9"/>
      <c r="AJ57" s="9"/>
      <c r="AK57" s="9"/>
      <c r="AL57" s="9"/>
    </row>
    <row r="58" spans="5:38" ht="14.25" customHeight="1" x14ac:dyDescent="0.2">
      <c r="E58" s="6"/>
      <c r="F58" s="6"/>
      <c r="G58" s="6"/>
      <c r="H58" s="6"/>
      <c r="I58" s="26"/>
      <c r="J58" s="6"/>
      <c r="K58" s="6"/>
      <c r="L58" s="6">
        <f t="shared" si="2"/>
        <v>0.83084234074326757</v>
      </c>
      <c r="M58" s="1">
        <v>54</v>
      </c>
      <c r="N58" s="6">
        <f>VLOOKUP($N$2,角色品星!$C$16:$D$20,2,0)*VLOOKUP($N$3,角色品星!$C$3:$E$14,3,0)*V58</f>
        <v>2688.177107089085</v>
      </c>
      <c r="O58" s="6">
        <f>VLOOKUP($N$2,角色品星!$C$16:$D$20,2,0)*VLOOKUP($N$3,角色品星!$C$3:$E$14,3,0)*W58</f>
        <v>41360.210370117748</v>
      </c>
      <c r="P58" s="6">
        <f>VLOOKUP($N$2,角色品星!$C$16:$D$20,2,0)*VLOOKUP($N$3,角色品星!$C$3:$E$14,3,0)*X58</f>
        <v>49781.057538686706</v>
      </c>
      <c r="Q58" s="24">
        <f t="shared" si="3"/>
        <v>0.05</v>
      </c>
      <c r="R58" s="24">
        <f t="shared" si="4"/>
        <v>1.5</v>
      </c>
      <c r="S58" s="24">
        <f t="shared" si="5"/>
        <v>1</v>
      </c>
      <c r="T58" s="42">
        <f>N58*(1+Q58*(R58-1))*S58*战斗公式!$E$39+(P58*战斗公式!$E$40+1)*O58*战斗公式!$E$41</f>
        <v>130834.29886174572</v>
      </c>
      <c r="U58" s="42">
        <f t="shared" si="6"/>
        <v>6541.7149430873105</v>
      </c>
      <c r="V58" s="6">
        <f>VLOOKUP($N$1,$D$4:$J$15,MATCH(F$4,$D$4:$J$4,0),0)*角色成长!E71*角色成长!$L$15*AB58/AA58/(1+$Y$2*($Z$2-1))</f>
        <v>2688.177107089085</v>
      </c>
      <c r="W58" s="6">
        <f>VLOOKUP($N$1,$D$4:$J$15,MATCH(G$4,$D$4:$J$4,0),0)*角色成长!F71*角色成长!$L$15/(1+X58/角色成长!$N$16)</f>
        <v>41360.210370117748</v>
      </c>
      <c r="X58" s="6">
        <f>VLOOKUP($N$1,$D$4:$J$15,MATCH(H$4,$D$4:$J$4,0),0)*角色成长!G71*角色成长!$L$15</f>
        <v>49781.057538686706</v>
      </c>
      <c r="Y58" s="1">
        <v>0.05</v>
      </c>
      <c r="Z58" s="1">
        <v>1.5</v>
      </c>
      <c r="AA58" s="1">
        <f>VLOOKUP($N$1,$D$4:$J$15,MATCH(I$4,$D$4:$J$4,0),0)*角色成长!J71</f>
        <v>1</v>
      </c>
      <c r="AB58" s="1">
        <f t="shared" si="7"/>
        <v>0.9</v>
      </c>
      <c r="AC58" s="6"/>
      <c r="AD58" s="22"/>
      <c r="AE58" s="22"/>
      <c r="AF58" s="22"/>
      <c r="AG58" s="9"/>
      <c r="AH58" s="9"/>
      <c r="AI58" s="9"/>
      <c r="AJ58" s="9"/>
      <c r="AK58" s="9"/>
      <c r="AL58" s="9"/>
    </row>
    <row r="59" spans="5:38" ht="14.25" customHeight="1" x14ac:dyDescent="0.2">
      <c r="E59" s="6"/>
      <c r="F59" s="6"/>
      <c r="G59" s="6"/>
      <c r="H59" s="6"/>
      <c r="I59" s="26"/>
      <c r="J59" s="6"/>
      <c r="K59" s="6"/>
      <c r="L59" s="6">
        <f t="shared" si="2"/>
        <v>0.81726114274675177</v>
      </c>
      <c r="M59" s="1">
        <v>55</v>
      </c>
      <c r="N59" s="6">
        <f>VLOOKUP($N$2,角色品星!$C$16:$D$20,2,0)*VLOOKUP($N$3,角色品星!$C$3:$E$14,3,0)*V59</f>
        <v>2822.5859624435393</v>
      </c>
      <c r="O59" s="6">
        <f>VLOOKUP($N$2,角色品星!$C$16:$D$20,2,0)*VLOOKUP($N$3,角色品星!$C$3:$E$14,3,0)*W59</f>
        <v>42718.330169769346</v>
      </c>
      <c r="P59" s="6">
        <f>VLOOKUP($N$2,角色品星!$C$16:$D$20,2,0)*VLOOKUP($N$3,角色品星!$C$3:$E$14,3,0)*X59</f>
        <v>52270.110415621042</v>
      </c>
      <c r="Q59" s="24">
        <f t="shared" si="3"/>
        <v>0.05</v>
      </c>
      <c r="R59" s="24">
        <f t="shared" si="4"/>
        <v>1.5</v>
      </c>
      <c r="S59" s="24">
        <f t="shared" si="5"/>
        <v>1</v>
      </c>
      <c r="T59" s="42">
        <f>N59*(1+Q59*(R59-1))*S59*战斗公式!$E$39+(P59*战斗公式!$E$40+1)*O59*战斗公式!$E$41</f>
        <v>137376.01380483303</v>
      </c>
      <c r="U59" s="42">
        <f t="shared" si="6"/>
        <v>6868.8006902416528</v>
      </c>
      <c r="V59" s="6">
        <f>VLOOKUP($N$1,$D$4:$J$15,MATCH(F$4,$D$4:$J$4,0),0)*角色成长!E72*角色成长!$L$15*AB59/AA59/(1+$Y$2*($Z$2-1))</f>
        <v>2822.5859624435393</v>
      </c>
      <c r="W59" s="6">
        <f>VLOOKUP($N$1,$D$4:$J$15,MATCH(G$4,$D$4:$J$4,0),0)*角色成长!F72*角色成长!$L$15/(1+X59/角色成长!$N$16)</f>
        <v>42718.330169769346</v>
      </c>
      <c r="X59" s="6">
        <f>VLOOKUP($N$1,$D$4:$J$15,MATCH(H$4,$D$4:$J$4,0),0)*角色成长!G72*角色成长!$L$15</f>
        <v>52270.110415621042</v>
      </c>
      <c r="Y59" s="1">
        <v>0.05</v>
      </c>
      <c r="Z59" s="1">
        <v>1.5</v>
      </c>
      <c r="AA59" s="1">
        <f>VLOOKUP($N$1,$D$4:$J$15,MATCH(I$4,$D$4:$J$4,0),0)*角色成长!J72</f>
        <v>1</v>
      </c>
      <c r="AB59" s="1">
        <f t="shared" si="7"/>
        <v>0.9</v>
      </c>
      <c r="AC59" s="6"/>
      <c r="AD59" s="22"/>
      <c r="AE59" s="22"/>
      <c r="AF59" s="22"/>
      <c r="AG59" s="9"/>
      <c r="AH59" s="9"/>
      <c r="AI59" s="9"/>
      <c r="AJ59" s="9"/>
      <c r="AK59" s="9"/>
      <c r="AL59" s="9"/>
    </row>
    <row r="60" spans="5:38" ht="14.25" customHeight="1" x14ac:dyDescent="0.2">
      <c r="E60" s="6"/>
      <c r="F60" s="6"/>
      <c r="G60" s="6"/>
      <c r="H60" s="6"/>
      <c r="I60" s="26"/>
      <c r="J60" s="6"/>
      <c r="K60" s="6"/>
      <c r="L60" s="6">
        <f t="shared" si="2"/>
        <v>0.80347068146667999</v>
      </c>
      <c r="M60" s="1">
        <v>56</v>
      </c>
      <c r="N60" s="6">
        <f>VLOOKUP($N$2,角色品星!$C$16:$D$20,2,0)*VLOOKUP($N$3,角色品星!$C$3:$E$14,3,0)*V60</f>
        <v>2963.7152605657166</v>
      </c>
      <c r="O60" s="6">
        <f>VLOOKUP($N$2,角色品星!$C$16:$D$20,2,0)*VLOOKUP($N$3,角色品星!$C$3:$E$14,3,0)*W60</f>
        <v>44097.376297776529</v>
      </c>
      <c r="P60" s="6">
        <f>VLOOKUP($N$2,角色品星!$C$16:$D$20,2,0)*VLOOKUP($N$3,角色品星!$C$3:$E$14,3,0)*X60</f>
        <v>54883.615936402093</v>
      </c>
      <c r="Q60" s="24">
        <f t="shared" si="3"/>
        <v>0.05</v>
      </c>
      <c r="R60" s="24">
        <f t="shared" si="4"/>
        <v>1.5</v>
      </c>
      <c r="S60" s="24">
        <f t="shared" si="5"/>
        <v>1</v>
      </c>
      <c r="T60" s="42">
        <f>N60*(1+Q60*(R60-1))*S60*战斗公式!$E$39+(P60*战斗公式!$E$40+1)*O60*战斗公式!$E$41</f>
        <v>144244.81449507468</v>
      </c>
      <c r="U60" s="42">
        <f t="shared" si="6"/>
        <v>7212.2407247537049</v>
      </c>
      <c r="V60" s="6">
        <f>VLOOKUP($N$1,$D$4:$J$15,MATCH(F$4,$D$4:$J$4,0),0)*角色成长!E73*角色成长!$L$15*AB60/AA60/(1+$Y$2*($Z$2-1))</f>
        <v>2963.7152605657166</v>
      </c>
      <c r="W60" s="6">
        <f>VLOOKUP($N$1,$D$4:$J$15,MATCH(G$4,$D$4:$J$4,0),0)*角色成长!F73*角色成长!$L$15/(1+X60/角色成长!$N$16)</f>
        <v>44097.376297776529</v>
      </c>
      <c r="X60" s="6">
        <f>VLOOKUP($N$1,$D$4:$J$15,MATCH(H$4,$D$4:$J$4,0),0)*角色成长!G73*角色成长!$L$15</f>
        <v>54883.615936402093</v>
      </c>
      <c r="Y60" s="1">
        <v>0.05</v>
      </c>
      <c r="Z60" s="1">
        <v>1.5</v>
      </c>
      <c r="AA60" s="1">
        <f>VLOOKUP($N$1,$D$4:$J$15,MATCH(I$4,$D$4:$J$4,0),0)*角色成长!J73</f>
        <v>1</v>
      </c>
      <c r="AB60" s="1">
        <f t="shared" si="7"/>
        <v>0.9</v>
      </c>
      <c r="AC60" s="6"/>
      <c r="AD60" s="22"/>
      <c r="AE60" s="22"/>
      <c r="AF60" s="22"/>
      <c r="AG60" s="9"/>
      <c r="AH60" s="9"/>
      <c r="AI60" s="9"/>
      <c r="AJ60" s="9"/>
      <c r="AK60" s="9"/>
      <c r="AL60" s="9"/>
    </row>
    <row r="61" spans="5:38" ht="14.25" customHeight="1" x14ac:dyDescent="0.2">
      <c r="E61" s="6"/>
      <c r="F61" s="6"/>
      <c r="G61" s="6"/>
      <c r="H61" s="6"/>
      <c r="I61" s="26"/>
      <c r="J61" s="6"/>
      <c r="K61" s="6"/>
      <c r="L61" s="6">
        <f t="shared" si="2"/>
        <v>0.78948286421246505</v>
      </c>
      <c r="M61" s="1">
        <v>57</v>
      </c>
      <c r="N61" s="6">
        <f>VLOOKUP($N$2,角色品星!$C$16:$D$20,2,0)*VLOOKUP($N$3,角色品星!$C$3:$E$14,3,0)*V61</f>
        <v>3111.9010235940023</v>
      </c>
      <c r="O61" s="6">
        <f>VLOOKUP($N$2,角色品星!$C$16:$D$20,2,0)*VLOOKUP($N$3,角色品星!$C$3:$E$14,3,0)*W61</f>
        <v>45496.158023198004</v>
      </c>
      <c r="P61" s="6">
        <f>VLOOKUP($N$2,角色品星!$C$16:$D$20,2,0)*VLOOKUP($N$3,角色品星!$C$3:$E$14,3,0)*X61</f>
        <v>57627.796733222203</v>
      </c>
      <c r="Q61" s="24">
        <f t="shared" si="3"/>
        <v>0.05</v>
      </c>
      <c r="R61" s="24">
        <f t="shared" si="4"/>
        <v>1.5</v>
      </c>
      <c r="S61" s="24">
        <f t="shared" si="5"/>
        <v>1</v>
      </c>
      <c r="T61" s="42">
        <f>N61*(1+Q61*(R61-1))*S61*战斗公式!$E$39+(P61*战斗公式!$E$40+1)*O61*战斗公式!$E$41</f>
        <v>151457.05521982838</v>
      </c>
      <c r="U61" s="42">
        <f t="shared" si="6"/>
        <v>7572.852760991489</v>
      </c>
      <c r="V61" s="6">
        <f>VLOOKUP($N$1,$D$4:$J$15,MATCH(F$4,$D$4:$J$4,0),0)*角色成长!E74*角色成长!$L$15*AB61/AA61/(1+$Y$2*($Z$2-1))</f>
        <v>3111.9010235940023</v>
      </c>
      <c r="W61" s="6">
        <f>VLOOKUP($N$1,$D$4:$J$15,MATCH(G$4,$D$4:$J$4,0),0)*角色成长!F74*角色成长!$L$15/(1+X61/角色成长!$N$16)</f>
        <v>45496.158023198004</v>
      </c>
      <c r="X61" s="6">
        <f>VLOOKUP($N$1,$D$4:$J$15,MATCH(H$4,$D$4:$J$4,0),0)*角色成长!G74*角色成长!$L$15</f>
        <v>57627.796733222203</v>
      </c>
      <c r="Y61" s="1">
        <v>0.05</v>
      </c>
      <c r="Z61" s="1">
        <v>1.5</v>
      </c>
      <c r="AA61" s="1">
        <f>VLOOKUP($N$1,$D$4:$J$15,MATCH(I$4,$D$4:$J$4,0),0)*角色成长!J74</f>
        <v>1</v>
      </c>
      <c r="AB61" s="1">
        <f t="shared" si="7"/>
        <v>0.9</v>
      </c>
      <c r="AC61" s="6"/>
      <c r="AD61" s="22"/>
      <c r="AE61" s="22"/>
      <c r="AF61" s="22"/>
      <c r="AG61" s="9"/>
      <c r="AH61" s="9"/>
      <c r="AI61" s="9"/>
      <c r="AJ61" s="9"/>
      <c r="AK61" s="9"/>
      <c r="AL61" s="9"/>
    </row>
    <row r="62" spans="5:38" ht="14.25" customHeight="1" x14ac:dyDescent="0.2">
      <c r="E62" s="6"/>
      <c r="F62" s="6"/>
      <c r="G62" s="6"/>
      <c r="H62" s="6"/>
      <c r="I62" s="26"/>
      <c r="J62" s="6"/>
      <c r="K62" s="6"/>
      <c r="L62" s="6">
        <f t="shared" si="2"/>
        <v>0.77531041745241969</v>
      </c>
      <c r="M62" s="1">
        <v>58</v>
      </c>
      <c r="N62" s="6">
        <f>VLOOKUP($N$2,角色品星!$C$16:$D$20,2,0)*VLOOKUP($N$3,角色品星!$C$3:$E$14,3,0)*V62</f>
        <v>3267.4960747737027</v>
      </c>
      <c r="O62" s="6">
        <f>VLOOKUP($N$2,角色品星!$C$16:$D$20,2,0)*VLOOKUP($N$3,角色品星!$C$3:$E$14,3,0)*W62</f>
        <v>46913.402699202576</v>
      </c>
      <c r="P62" s="6">
        <f>VLOOKUP($N$2,角色品星!$C$16:$D$20,2,0)*VLOOKUP($N$3,角色品星!$C$3:$E$14,3,0)*X62</f>
        <v>60509.186569883313</v>
      </c>
      <c r="Q62" s="24">
        <f t="shared" si="3"/>
        <v>0.05</v>
      </c>
      <c r="R62" s="24">
        <f t="shared" si="4"/>
        <v>1.5</v>
      </c>
      <c r="S62" s="24">
        <f t="shared" si="5"/>
        <v>1</v>
      </c>
      <c r="T62" s="42">
        <f>N62*(1+Q62*(R62-1))*S62*战斗公式!$E$39+(P62*战斗公式!$E$40+1)*O62*战斗公式!$E$41</f>
        <v>159029.90798081987</v>
      </c>
      <c r="U62" s="42">
        <f t="shared" si="6"/>
        <v>7951.4953990409849</v>
      </c>
      <c r="V62" s="6">
        <f>VLOOKUP($N$1,$D$4:$J$15,MATCH(F$4,$D$4:$J$4,0),0)*角色成长!E75*角色成长!$L$15*AB62/AA62/(1+$Y$2*($Z$2-1))</f>
        <v>3267.4960747737027</v>
      </c>
      <c r="W62" s="6">
        <f>VLOOKUP($N$1,$D$4:$J$15,MATCH(G$4,$D$4:$J$4,0),0)*角色成长!F75*角色成长!$L$15/(1+X62/角色成长!$N$16)</f>
        <v>46913.402699202576</v>
      </c>
      <c r="X62" s="6">
        <f>VLOOKUP($N$1,$D$4:$J$15,MATCH(H$4,$D$4:$J$4,0),0)*角色成长!G75*角色成长!$L$15</f>
        <v>60509.186569883313</v>
      </c>
      <c r="Y62" s="1">
        <v>0.05</v>
      </c>
      <c r="Z62" s="1">
        <v>1.5</v>
      </c>
      <c r="AA62" s="1">
        <f>VLOOKUP($N$1,$D$4:$J$15,MATCH(I$4,$D$4:$J$4,0),0)*角色成长!J75</f>
        <v>1</v>
      </c>
      <c r="AB62" s="1">
        <f t="shared" si="7"/>
        <v>0.9</v>
      </c>
      <c r="AC62" s="6"/>
      <c r="AD62" s="22"/>
      <c r="AE62" s="22"/>
      <c r="AF62" s="22"/>
      <c r="AG62" s="9"/>
      <c r="AH62" s="9"/>
      <c r="AI62" s="9"/>
      <c r="AJ62" s="9"/>
      <c r="AK62" s="9"/>
      <c r="AL62" s="9"/>
    </row>
    <row r="63" spans="5:38" ht="14.25" customHeight="1" x14ac:dyDescent="0.2">
      <c r="E63" s="6"/>
      <c r="F63" s="6"/>
      <c r="G63" s="6"/>
      <c r="H63" s="6"/>
      <c r="I63" s="26"/>
      <c r="J63" s="6"/>
      <c r="K63" s="6"/>
      <c r="L63" s="6">
        <f t="shared" si="2"/>
        <v>0.76096685054600544</v>
      </c>
      <c r="M63" s="1">
        <v>59</v>
      </c>
      <c r="N63" s="6">
        <f>VLOOKUP($N$2,角色品星!$C$16:$D$20,2,0)*VLOOKUP($N$3,角色品星!$C$3:$E$14,3,0)*V63</f>
        <v>3430.8708785123881</v>
      </c>
      <c r="O63" s="6">
        <f>VLOOKUP($N$2,角色品星!$C$16:$D$20,2,0)*VLOOKUP($N$3,角色品星!$C$3:$E$14,3,0)*W63</f>
        <v>48347.759389843995</v>
      </c>
      <c r="P63" s="6">
        <f>VLOOKUP($N$2,角色品星!$C$16:$D$20,2,0)*VLOOKUP($N$3,角色品星!$C$3:$E$14,3,0)*X63</f>
        <v>63534.645898377479</v>
      </c>
      <c r="Q63" s="24">
        <f t="shared" si="3"/>
        <v>0.05</v>
      </c>
      <c r="R63" s="24">
        <f t="shared" si="4"/>
        <v>1.5</v>
      </c>
      <c r="S63" s="24">
        <f t="shared" si="5"/>
        <v>1</v>
      </c>
      <c r="T63" s="42">
        <f>N63*(1+Q63*(R63-1))*S63*战斗公式!$E$39+(P63*战斗公式!$E$40+1)*O63*战斗公式!$E$41</f>
        <v>166981.40337986086</v>
      </c>
      <c r="U63" s="42">
        <f t="shared" si="6"/>
        <v>8349.0701689930866</v>
      </c>
      <c r="V63" s="6">
        <f>VLOOKUP($N$1,$D$4:$J$15,MATCH(F$4,$D$4:$J$4,0),0)*角色成长!E76*角色成长!$L$15*AB63/AA63/(1+$Y$2*($Z$2-1))</f>
        <v>3430.8708785123881</v>
      </c>
      <c r="W63" s="6">
        <f>VLOOKUP($N$1,$D$4:$J$15,MATCH(G$4,$D$4:$J$4,0),0)*角色成长!F76*角色成长!$L$15/(1+X63/角色成长!$N$16)</f>
        <v>48347.759389843995</v>
      </c>
      <c r="X63" s="6">
        <f>VLOOKUP($N$1,$D$4:$J$15,MATCH(H$4,$D$4:$J$4,0),0)*角色成长!G76*角色成长!$L$15</f>
        <v>63534.645898377479</v>
      </c>
      <c r="Y63" s="1">
        <v>0.05</v>
      </c>
      <c r="Z63" s="1">
        <v>1.5</v>
      </c>
      <c r="AA63" s="1">
        <f>VLOOKUP($N$1,$D$4:$J$15,MATCH(I$4,$D$4:$J$4,0),0)*角色成长!J76</f>
        <v>1</v>
      </c>
      <c r="AB63" s="1">
        <f t="shared" si="7"/>
        <v>0.9</v>
      </c>
      <c r="AC63" s="6"/>
      <c r="AD63" s="22"/>
      <c r="AE63" s="22"/>
      <c r="AF63" s="22"/>
      <c r="AG63" s="9"/>
      <c r="AH63" s="9"/>
      <c r="AI63" s="9"/>
      <c r="AJ63" s="9"/>
      <c r="AK63" s="9"/>
      <c r="AL63" s="9"/>
    </row>
    <row r="64" spans="5:38" ht="14.25" customHeight="1" x14ac:dyDescent="0.2">
      <c r="E64" s="6"/>
      <c r="F64" s="6"/>
      <c r="G64" s="6"/>
      <c r="H64" s="6"/>
      <c r="I64" s="26"/>
      <c r="J64" s="6"/>
      <c r="K64" s="6"/>
      <c r="L64" s="6">
        <f t="shared" si="2"/>
        <v>0.74646641274931647</v>
      </c>
      <c r="M64" s="1">
        <v>60</v>
      </c>
      <c r="N64" s="6">
        <f>VLOOKUP($N$2,角色品星!$C$16:$D$20,2,0)*VLOOKUP($N$3,角色品星!$C$3:$E$14,3,0)*V64</f>
        <v>3602.4144224380084</v>
      </c>
      <c r="O64" s="6">
        <f>VLOOKUP($N$2,角色品星!$C$16:$D$20,2,0)*VLOOKUP($N$3,角色品星!$C$3:$E$14,3,0)*W64</f>
        <v>49797.803169512903</v>
      </c>
      <c r="P64" s="6">
        <f>VLOOKUP($N$2,角色品星!$C$16:$D$20,2,0)*VLOOKUP($N$3,角色品星!$C$3:$E$14,3,0)*X64</f>
        <v>66711.378193296347</v>
      </c>
      <c r="Q64" s="24">
        <f t="shared" si="3"/>
        <v>0.05</v>
      </c>
      <c r="R64" s="24">
        <f t="shared" si="4"/>
        <v>1.5</v>
      </c>
      <c r="S64" s="24">
        <f t="shared" si="5"/>
        <v>1</v>
      </c>
      <c r="T64" s="42">
        <f>N64*(1+Q64*(R64-1))*S64*战斗公式!$E$39+(P64*战斗公式!$E$40+1)*O64*战斗公式!$E$41</f>
        <v>175330.47354885394</v>
      </c>
      <c r="U64" s="42">
        <f t="shared" si="6"/>
        <v>8766.5236774426885</v>
      </c>
      <c r="V64" s="6">
        <f>VLOOKUP($N$1,$D$4:$J$15,MATCH(F$4,$D$4:$J$4,0),0)*角色成长!E77*角色成长!$L$15*AB64/AA64/(1+$Y$2*($Z$2-1))</f>
        <v>3602.4144224380084</v>
      </c>
      <c r="W64" s="6">
        <f>VLOOKUP($N$1,$D$4:$J$15,MATCH(G$4,$D$4:$J$4,0),0)*角色成长!F77*角色成长!$L$15/(1+X64/角色成长!$N$16)</f>
        <v>49797.803169512903</v>
      </c>
      <c r="X64" s="6">
        <f>VLOOKUP($N$1,$D$4:$J$15,MATCH(H$4,$D$4:$J$4,0),0)*角色成长!G77*角色成长!$L$15</f>
        <v>66711.378193296347</v>
      </c>
      <c r="Y64" s="1">
        <v>0.05</v>
      </c>
      <c r="Z64" s="1">
        <v>1.5</v>
      </c>
      <c r="AA64" s="1">
        <f>VLOOKUP($N$1,$D$4:$J$15,MATCH(I$4,$D$4:$J$4,0),0)*角色成长!J77</f>
        <v>1</v>
      </c>
      <c r="AB64" s="1">
        <f t="shared" si="7"/>
        <v>0.9</v>
      </c>
      <c r="AC64" s="6"/>
      <c r="AD64" s="22"/>
      <c r="AE64" s="22"/>
      <c r="AF64" s="22"/>
      <c r="AG64" s="9"/>
      <c r="AH64" s="9"/>
      <c r="AI64" s="9"/>
      <c r="AJ64" s="9"/>
      <c r="AK64" s="9"/>
      <c r="AL64" s="9"/>
    </row>
    <row r="65" spans="5:38" ht="14.25" customHeight="1" x14ac:dyDescent="0.2">
      <c r="E65" s="6"/>
      <c r="F65" s="6"/>
      <c r="G65" s="6"/>
      <c r="H65" s="6"/>
      <c r="I65" s="26"/>
      <c r="J65" s="6"/>
      <c r="K65" s="6"/>
      <c r="L65" s="6">
        <f t="shared" si="2"/>
        <v>0.73182404368068477</v>
      </c>
      <c r="M65" s="1">
        <v>61</v>
      </c>
      <c r="N65" s="6">
        <f>VLOOKUP($N$2,角色品星!$C$16:$D$20,2,0)*VLOOKUP($N$3,角色品星!$C$3:$E$14,3,0)*V65</f>
        <v>3782.5351435599086</v>
      </c>
      <c r="O65" s="6">
        <f>VLOOKUP($N$2,角色品星!$C$16:$D$20,2,0)*VLOOKUP($N$3,角色品星!$C$3:$E$14,3,0)*W65</f>
        <v>51262.04007637607</v>
      </c>
      <c r="P65" s="6">
        <f>VLOOKUP($N$2,角色品星!$C$16:$D$20,2,0)*VLOOKUP($N$3,角色品星!$C$3:$E$14,3,0)*X65</f>
        <v>70046.947102961174</v>
      </c>
      <c r="Q65" s="24">
        <f t="shared" si="3"/>
        <v>0.05</v>
      </c>
      <c r="R65" s="24">
        <f t="shared" si="4"/>
        <v>1.5</v>
      </c>
      <c r="S65" s="24">
        <f t="shared" si="5"/>
        <v>1</v>
      </c>
      <c r="T65" s="42">
        <f>N65*(1+Q65*(R65-1))*S65*战斗公式!$E$39+(P65*战斗公式!$E$40+1)*O65*战斗公式!$E$41</f>
        <v>184096.99722629663</v>
      </c>
      <c r="U65" s="42">
        <f t="shared" si="6"/>
        <v>9204.8498613148404</v>
      </c>
      <c r="V65" s="6">
        <f>VLOOKUP($N$1,$D$4:$J$15,MATCH(F$4,$D$4:$J$4,0),0)*角色成长!E78*角色成长!$L$15*AB65/AA65/(1+$Y$2*($Z$2-1))</f>
        <v>3782.5351435599086</v>
      </c>
      <c r="W65" s="6">
        <f>VLOOKUP($N$1,$D$4:$J$15,MATCH(G$4,$D$4:$J$4,0),0)*角色成长!F78*角色成长!$L$15/(1+X65/角色成长!$N$16)</f>
        <v>51262.04007637607</v>
      </c>
      <c r="X65" s="6">
        <f>VLOOKUP($N$1,$D$4:$J$15,MATCH(H$4,$D$4:$J$4,0),0)*角色成长!G78*角色成长!$L$15</f>
        <v>70046.947102961174</v>
      </c>
      <c r="Y65" s="1">
        <v>0.05</v>
      </c>
      <c r="Z65" s="1">
        <v>1.5</v>
      </c>
      <c r="AA65" s="1">
        <f>VLOOKUP($N$1,$D$4:$J$15,MATCH(I$4,$D$4:$J$4,0),0)*角色成长!J78</f>
        <v>1</v>
      </c>
      <c r="AB65" s="1">
        <f t="shared" si="7"/>
        <v>0.9</v>
      </c>
      <c r="AC65" s="6"/>
      <c r="AD65" s="22"/>
      <c r="AE65" s="22"/>
      <c r="AF65" s="22"/>
      <c r="AG65" s="9"/>
      <c r="AH65" s="9"/>
      <c r="AI65" s="9"/>
      <c r="AJ65" s="9"/>
      <c r="AK65" s="9"/>
      <c r="AL65" s="9"/>
    </row>
    <row r="66" spans="5:38" ht="14.25" customHeight="1" x14ac:dyDescent="0.2">
      <c r="E66" s="6"/>
      <c r="F66" s="6"/>
      <c r="G66" s="6"/>
      <c r="H66" s="6"/>
      <c r="I66" s="26"/>
      <c r="J66" s="6"/>
      <c r="K66" s="6"/>
      <c r="L66" s="6">
        <f t="shared" si="2"/>
        <v>0.71705531752814189</v>
      </c>
      <c r="M66" s="1">
        <v>62</v>
      </c>
      <c r="N66" s="6">
        <f>VLOOKUP($N$2,角色品星!$C$16:$D$20,2,0)*VLOOKUP($N$3,角色品星!$C$3:$E$14,3,0)*V66</f>
        <v>3971.6619007379049</v>
      </c>
      <c r="O66" s="6">
        <f>VLOOKUP($N$2,角色品星!$C$16:$D$20,2,0)*VLOOKUP($N$3,角色品星!$C$3:$E$14,3,0)*W66</f>
        <v>52738.912691630328</v>
      </c>
      <c r="P66" s="6">
        <f>VLOOKUP($N$2,角色品星!$C$16:$D$20,2,0)*VLOOKUP($N$3,角色品星!$C$3:$E$14,3,0)*X66</f>
        <v>73549.294458109245</v>
      </c>
      <c r="Q66" s="24">
        <f t="shared" si="3"/>
        <v>0.05</v>
      </c>
      <c r="R66" s="24">
        <f t="shared" si="4"/>
        <v>1.5</v>
      </c>
      <c r="S66" s="24">
        <f t="shared" si="5"/>
        <v>1</v>
      </c>
      <c r="T66" s="42">
        <f>N66*(1+Q66*(R66-1))*S66*战斗公式!$E$39+(P66*战斗公式!$E$40+1)*O66*战斗公式!$E$41</f>
        <v>193301.84708761147</v>
      </c>
      <c r="U66" s="42">
        <f t="shared" si="6"/>
        <v>9665.0923543805548</v>
      </c>
      <c r="V66" s="6">
        <f>VLOOKUP($N$1,$D$4:$J$15,MATCH(F$4,$D$4:$J$4,0),0)*角色成长!E79*角色成长!$L$15*AB66/AA66/(1+$Y$2*($Z$2-1))</f>
        <v>3971.6619007379049</v>
      </c>
      <c r="W66" s="6">
        <f>VLOOKUP($N$1,$D$4:$J$15,MATCH(G$4,$D$4:$J$4,0),0)*角色成长!F79*角色成长!$L$15/(1+X66/角色成长!$N$16)</f>
        <v>52738.912691630328</v>
      </c>
      <c r="X66" s="6">
        <f>VLOOKUP($N$1,$D$4:$J$15,MATCH(H$4,$D$4:$J$4,0),0)*角色成长!G79*角色成长!$L$15</f>
        <v>73549.294458109245</v>
      </c>
      <c r="Y66" s="1">
        <v>0.05</v>
      </c>
      <c r="Z66" s="1">
        <v>1.5</v>
      </c>
      <c r="AA66" s="1">
        <f>VLOOKUP($N$1,$D$4:$J$15,MATCH(I$4,$D$4:$J$4,0),0)*角色成长!J79</f>
        <v>1</v>
      </c>
      <c r="AB66" s="1">
        <f t="shared" si="7"/>
        <v>0.9</v>
      </c>
      <c r="AC66" s="6"/>
      <c r="AD66" s="22"/>
      <c r="AE66" s="22"/>
      <c r="AF66" s="22"/>
      <c r="AG66" s="9"/>
      <c r="AH66" s="9"/>
      <c r="AI66" s="9"/>
      <c r="AJ66" s="9"/>
      <c r="AK66" s="9"/>
      <c r="AL66" s="9"/>
    </row>
    <row r="67" spans="5:38" ht="14.25" customHeight="1" x14ac:dyDescent="0.2">
      <c r="E67" s="6"/>
      <c r="F67" s="6"/>
      <c r="G67" s="6"/>
      <c r="H67" s="6"/>
      <c r="I67" s="26"/>
      <c r="J67" s="6"/>
      <c r="K67" s="6"/>
      <c r="L67" s="6">
        <f t="shared" si="2"/>
        <v>0.7021763813744416</v>
      </c>
      <c r="M67" s="1">
        <v>63</v>
      </c>
      <c r="N67" s="6">
        <f>VLOOKUP($N$2,角色品星!$C$16:$D$20,2,0)*VLOOKUP($N$3,角色品星!$C$3:$E$14,3,0)*V67</f>
        <v>4170.2449957748004</v>
      </c>
      <c r="O67" s="6">
        <f>VLOOKUP($N$2,角色品星!$C$16:$D$20,2,0)*VLOOKUP($N$3,角色品星!$C$3:$E$14,3,0)*W67</f>
        <v>54226.806307000348</v>
      </c>
      <c r="P67" s="6">
        <f>VLOOKUP($N$2,角色品星!$C$16:$D$20,2,0)*VLOOKUP($N$3,角色品星!$C$3:$E$14,3,0)*X67</f>
        <v>77226.759181014713</v>
      </c>
      <c r="Q67" s="24">
        <f t="shared" si="3"/>
        <v>0.05</v>
      </c>
      <c r="R67" s="24">
        <f t="shared" si="4"/>
        <v>1.5</v>
      </c>
      <c r="S67" s="24">
        <f t="shared" si="5"/>
        <v>1</v>
      </c>
      <c r="T67" s="42">
        <f>N67*(1+Q67*(R67-1))*S67*战斗公式!$E$39+(P67*战斗公式!$E$40+1)*O67*战斗公式!$E$41</f>
        <v>202966.93944199203</v>
      </c>
      <c r="U67" s="42">
        <f t="shared" si="6"/>
        <v>10148.346972099651</v>
      </c>
      <c r="V67" s="6">
        <f>VLOOKUP($N$1,$D$4:$J$15,MATCH(F$4,$D$4:$J$4,0),0)*角色成长!E80*角色成长!$L$15*AB67/AA67/(1+$Y$2*($Z$2-1))</f>
        <v>4170.2449957748004</v>
      </c>
      <c r="W67" s="6">
        <f>VLOOKUP($N$1,$D$4:$J$15,MATCH(G$4,$D$4:$J$4,0),0)*角色成长!F80*角色成长!$L$15/(1+X67/角色成长!$N$16)</f>
        <v>54226.806307000348</v>
      </c>
      <c r="X67" s="6">
        <f>VLOOKUP($N$1,$D$4:$J$15,MATCH(H$4,$D$4:$J$4,0),0)*角色成长!G80*角色成长!$L$15</f>
        <v>77226.759181014713</v>
      </c>
      <c r="Y67" s="1">
        <v>0.05</v>
      </c>
      <c r="Z67" s="1">
        <v>1.5</v>
      </c>
      <c r="AA67" s="1">
        <f>VLOOKUP($N$1,$D$4:$J$15,MATCH(I$4,$D$4:$J$4,0),0)*角色成长!J80</f>
        <v>1</v>
      </c>
      <c r="AB67" s="1">
        <f t="shared" si="7"/>
        <v>0.9</v>
      </c>
      <c r="AC67" s="6"/>
      <c r="AD67" s="22"/>
      <c r="AE67" s="22"/>
      <c r="AF67" s="22"/>
      <c r="AG67" s="9"/>
      <c r="AH67" s="9"/>
      <c r="AI67" s="9"/>
      <c r="AJ67" s="9"/>
      <c r="AK67" s="9"/>
      <c r="AL67" s="9"/>
    </row>
    <row r="68" spans="5:38" ht="14.25" customHeight="1" x14ac:dyDescent="0.2">
      <c r="E68" s="6"/>
      <c r="F68" s="6"/>
      <c r="G68" s="6"/>
      <c r="H68" s="6"/>
      <c r="I68" s="26"/>
      <c r="J68" s="6"/>
      <c r="K68" s="6"/>
      <c r="L68" s="6">
        <f t="shared" si="2"/>
        <v>0.68720388810641142</v>
      </c>
      <c r="M68" s="1">
        <v>64</v>
      </c>
      <c r="N68" s="6">
        <f>VLOOKUP($N$2,角色品星!$C$16:$D$20,2,0)*VLOOKUP($N$3,角色品星!$C$3:$E$14,3,0)*V68</f>
        <v>4378.7572455635409</v>
      </c>
      <c r="O68" s="6">
        <f>VLOOKUP($N$2,角色品星!$C$16:$D$20,2,0)*VLOOKUP($N$3,角色品星!$C$3:$E$14,3,0)*W68</f>
        <v>55724.055633803357</v>
      </c>
      <c r="P68" s="6">
        <f>VLOOKUP($N$2,角色品星!$C$16:$D$20,2,0)*VLOOKUP($N$3,角色品星!$C$3:$E$14,3,0)*X68</f>
        <v>81088.097140065453</v>
      </c>
      <c r="Q68" s="24">
        <f t="shared" si="3"/>
        <v>0.05</v>
      </c>
      <c r="R68" s="24">
        <f t="shared" si="4"/>
        <v>1.5</v>
      </c>
      <c r="S68" s="24">
        <f t="shared" si="5"/>
        <v>1</v>
      </c>
      <c r="T68" s="42">
        <f>N68*(1+Q68*(R68-1))*S68*战斗公式!$E$39+(P68*战斗公式!$E$40+1)*O68*战斗公式!$E$41</f>
        <v>213115.28641409168</v>
      </c>
      <c r="U68" s="42">
        <f t="shared" si="6"/>
        <v>10655.764320704591</v>
      </c>
      <c r="V68" s="6">
        <f>VLOOKUP($N$1,$D$4:$J$15,MATCH(F$4,$D$4:$J$4,0),0)*角色成长!E81*角色成长!$L$15*AB68/AA68/(1+$Y$2*($Z$2-1))</f>
        <v>4378.7572455635409</v>
      </c>
      <c r="W68" s="6">
        <f>VLOOKUP($N$1,$D$4:$J$15,MATCH(G$4,$D$4:$J$4,0),0)*角色成长!F81*角色成长!$L$15/(1+X68/角色成长!$N$16)</f>
        <v>55724.055633803357</v>
      </c>
      <c r="X68" s="6">
        <f>VLOOKUP($N$1,$D$4:$J$15,MATCH(H$4,$D$4:$J$4,0),0)*角色成长!G81*角色成长!$L$15</f>
        <v>81088.097140065453</v>
      </c>
      <c r="Y68" s="1">
        <v>0.05</v>
      </c>
      <c r="Z68" s="1">
        <v>1.5</v>
      </c>
      <c r="AA68" s="1">
        <f>VLOOKUP($N$1,$D$4:$J$15,MATCH(I$4,$D$4:$J$4,0),0)*角色成长!J81</f>
        <v>1</v>
      </c>
      <c r="AB68" s="1">
        <f t="shared" si="7"/>
        <v>0.9</v>
      </c>
      <c r="AC68" s="6"/>
      <c r="AD68" s="22"/>
      <c r="AE68" s="22"/>
      <c r="AF68" s="22"/>
      <c r="AG68" s="9"/>
      <c r="AH68" s="9"/>
      <c r="AI68" s="9"/>
      <c r="AJ68" s="9"/>
      <c r="AK68" s="9"/>
      <c r="AL68" s="9"/>
    </row>
    <row r="69" spans="5:38" ht="14.25" customHeight="1" x14ac:dyDescent="0.2">
      <c r="E69" s="6"/>
      <c r="F69" s="6"/>
      <c r="G69" s="6"/>
      <c r="H69" s="6"/>
      <c r="I69" s="26"/>
      <c r="J69" s="6"/>
      <c r="K69" s="6"/>
      <c r="L69" s="6">
        <f t="shared" si="2"/>
        <v>0.67215492446145508</v>
      </c>
      <c r="M69" s="1">
        <v>65</v>
      </c>
      <c r="N69" s="6">
        <f>VLOOKUP($N$2,角色品星!$C$16:$D$20,2,0)*VLOOKUP($N$3,角色品星!$C$3:$E$14,3,0)*V69</f>
        <v>4597.6951078417178</v>
      </c>
      <c r="O69" s="6">
        <f>VLOOKUP($N$2,角色品星!$C$16:$D$20,2,0)*VLOOKUP($N$3,角色品星!$C$3:$E$14,3,0)*W69</f>
        <v>57228.95199829901</v>
      </c>
      <c r="P69" s="6">
        <f>VLOOKUP($N$2,角色品星!$C$16:$D$20,2,0)*VLOOKUP($N$3,角色品星!$C$3:$E$14,3,0)*X69</f>
        <v>85142.501997068714</v>
      </c>
      <c r="Q69" s="24">
        <f t="shared" si="3"/>
        <v>0.05</v>
      </c>
      <c r="R69" s="24">
        <f t="shared" si="4"/>
        <v>1.5</v>
      </c>
      <c r="S69" s="24">
        <f t="shared" si="5"/>
        <v>1</v>
      </c>
      <c r="T69" s="42">
        <f>N69*(1+Q69*(R69-1))*S69*战斗公式!$E$39+(P69*战斗公式!$E$40+1)*O69*战斗公式!$E$41</f>
        <v>223771.05073479627</v>
      </c>
      <c r="U69" s="42">
        <f t="shared" si="6"/>
        <v>11188.552536739822</v>
      </c>
      <c r="V69" s="6">
        <f>VLOOKUP($N$1,$D$4:$J$15,MATCH(F$4,$D$4:$J$4,0),0)*角色成长!E82*角色成长!$L$15*AB69/AA69/(1+$Y$2*($Z$2-1))</f>
        <v>4597.6951078417178</v>
      </c>
      <c r="W69" s="6">
        <f>VLOOKUP($N$1,$D$4:$J$15,MATCH(G$4,$D$4:$J$4,0),0)*角色成长!F82*角色成长!$L$15/(1+X69/角色成长!$N$16)</f>
        <v>57228.95199829901</v>
      </c>
      <c r="X69" s="6">
        <f>VLOOKUP($N$1,$D$4:$J$15,MATCH(H$4,$D$4:$J$4,0),0)*角色成长!G82*角色成长!$L$15</f>
        <v>85142.501997068714</v>
      </c>
      <c r="Y69" s="1">
        <v>0.05</v>
      </c>
      <c r="Z69" s="1">
        <v>1.5</v>
      </c>
      <c r="AA69" s="1">
        <f>VLOOKUP($N$1,$D$4:$J$15,MATCH(I$4,$D$4:$J$4,0),0)*角色成长!J82</f>
        <v>1</v>
      </c>
      <c r="AB69" s="1">
        <f t="shared" ref="AB69:AB104" si="8">VLOOKUP($N$1,$D$4:$J$15,MATCH(J$4,$D$4:$J$4,0),0)</f>
        <v>0.9</v>
      </c>
      <c r="AC69" s="6"/>
      <c r="AD69" s="22"/>
      <c r="AE69" s="22"/>
      <c r="AF69" s="22"/>
      <c r="AG69" s="9"/>
      <c r="AH69" s="9"/>
      <c r="AI69" s="9"/>
      <c r="AJ69" s="9"/>
      <c r="AK69" s="9"/>
      <c r="AL69" s="9"/>
    </row>
    <row r="70" spans="5:38" ht="14.25" customHeight="1" x14ac:dyDescent="0.2">
      <c r="E70" s="6"/>
      <c r="F70" s="6"/>
      <c r="G70" s="6"/>
      <c r="H70" s="6"/>
      <c r="I70" s="26"/>
      <c r="J70" s="6"/>
      <c r="K70" s="6"/>
      <c r="L70" s="6">
        <f t="shared" ref="L70:L104" si="9">O70/P70</f>
        <v>0.65704693484302445</v>
      </c>
      <c r="M70" s="1">
        <v>66</v>
      </c>
      <c r="N70" s="6">
        <f>VLOOKUP($N$2,角色品星!$C$16:$D$20,2,0)*VLOOKUP($N$3,角色品星!$C$3:$E$14,3,0)*V70</f>
        <v>4827.5798632338037</v>
      </c>
      <c r="O70" s="6">
        <f>VLOOKUP($N$2,角色品星!$C$16:$D$20,2,0)*VLOOKUP($N$3,角色品星!$C$3:$E$14,3,0)*W70</f>
        <v>58739.75096014209</v>
      </c>
      <c r="P70" s="6">
        <f>VLOOKUP($N$2,角色品星!$C$16:$D$20,2,0)*VLOOKUP($N$3,角色品星!$C$3:$E$14,3,0)*X70</f>
        <v>89399.627096922151</v>
      </c>
      <c r="Q70" s="24">
        <f t="shared" ref="Q70:Q104" si="10">Y70</f>
        <v>0.05</v>
      </c>
      <c r="R70" s="24">
        <f t="shared" ref="R70:R104" si="11">Z70</f>
        <v>1.5</v>
      </c>
      <c r="S70" s="24">
        <f t="shared" ref="S70:S104" si="12">AA70</f>
        <v>1</v>
      </c>
      <c r="T70" s="42">
        <f>N70*(1+Q70*(R70-1))*S70*战斗公式!$E$39+(P70*战斗公式!$E$40+1)*O70*战斗公式!$E$41</f>
        <v>234959.60327153609</v>
      </c>
      <c r="U70" s="42">
        <f t="shared" ref="U70:U104" si="13">T71-T70</f>
        <v>11747.980163576809</v>
      </c>
      <c r="V70" s="6">
        <f>VLOOKUP($N$1,$D$4:$J$15,MATCH(F$4,$D$4:$J$4,0),0)*角色成长!E83*角色成长!$L$15*AB70/AA70/(1+$Y$2*($Z$2-1))</f>
        <v>4827.5798632338037</v>
      </c>
      <c r="W70" s="6">
        <f>VLOOKUP($N$1,$D$4:$J$15,MATCH(G$4,$D$4:$J$4,0),0)*角色成长!F83*角色成长!$L$15/(1+X70/角色成长!$N$16)</f>
        <v>58739.75096014209</v>
      </c>
      <c r="X70" s="6">
        <f>VLOOKUP($N$1,$D$4:$J$15,MATCH(H$4,$D$4:$J$4,0),0)*角色成长!G83*角色成长!$L$15</f>
        <v>89399.627096922151</v>
      </c>
      <c r="Y70" s="1">
        <v>0.05</v>
      </c>
      <c r="Z70" s="1">
        <v>1.5</v>
      </c>
      <c r="AA70" s="1">
        <f>VLOOKUP($N$1,$D$4:$J$15,MATCH(I$4,$D$4:$J$4,0),0)*角色成长!J83</f>
        <v>1</v>
      </c>
      <c r="AB70" s="1">
        <f t="shared" si="8"/>
        <v>0.9</v>
      </c>
      <c r="AC70" s="6"/>
      <c r="AD70" s="22"/>
      <c r="AE70" s="22"/>
      <c r="AF70" s="22"/>
      <c r="AG70" s="9"/>
      <c r="AH70" s="9"/>
      <c r="AI70" s="9"/>
      <c r="AJ70" s="9"/>
      <c r="AK70" s="9"/>
      <c r="AL70" s="9"/>
    </row>
    <row r="71" spans="5:38" ht="14.25" customHeight="1" x14ac:dyDescent="0.2">
      <c r="E71" s="6"/>
      <c r="F71" s="6"/>
      <c r="G71" s="6"/>
      <c r="H71" s="6"/>
      <c r="I71" s="26"/>
      <c r="J71" s="6"/>
      <c r="K71" s="6"/>
      <c r="L71" s="6">
        <f t="shared" si="9"/>
        <v>0.64189764160690688</v>
      </c>
      <c r="M71" s="1">
        <v>67</v>
      </c>
      <c r="N71" s="6">
        <f>VLOOKUP($N$2,角色品星!$C$16:$D$20,2,0)*VLOOKUP($N$3,角色品星!$C$3:$E$14,3,0)*V71</f>
        <v>5068.958856395494</v>
      </c>
      <c r="O71" s="6">
        <f>VLOOKUP($N$2,角色品星!$C$16:$D$20,2,0)*VLOOKUP($N$3,角色品星!$C$3:$E$14,3,0)*W71</f>
        <v>60254.680283753827</v>
      </c>
      <c r="P71" s="6">
        <f>VLOOKUP($N$2,角色品星!$C$16:$D$20,2,0)*VLOOKUP($N$3,角色品星!$C$3:$E$14,3,0)*X71</f>
        <v>93869.608451768276</v>
      </c>
      <c r="Q71" s="24">
        <f t="shared" si="10"/>
        <v>0.05</v>
      </c>
      <c r="R71" s="24">
        <f t="shared" si="11"/>
        <v>1.5</v>
      </c>
      <c r="S71" s="24">
        <f t="shared" si="12"/>
        <v>1</v>
      </c>
      <c r="T71" s="42">
        <f>N71*(1+Q71*(R71-1))*S71*战斗公式!$E$39+(P71*战斗公式!$E$40+1)*O71*战斗公式!$E$41</f>
        <v>246707.5834351129</v>
      </c>
      <c r="U71" s="42">
        <f t="shared" si="13"/>
        <v>12335.379171755689</v>
      </c>
      <c r="V71" s="6">
        <f>VLOOKUP($N$1,$D$4:$J$15,MATCH(F$4,$D$4:$J$4,0),0)*角色成长!E84*角色成长!$L$15*AB71/AA71/(1+$Y$2*($Z$2-1))</f>
        <v>5068.958856395494</v>
      </c>
      <c r="W71" s="6">
        <f>VLOOKUP($N$1,$D$4:$J$15,MATCH(G$4,$D$4:$J$4,0),0)*角色成长!F84*角色成长!$L$15/(1+X71/角色成长!$N$16)</f>
        <v>60254.680283753827</v>
      </c>
      <c r="X71" s="6">
        <f>VLOOKUP($N$1,$D$4:$J$15,MATCH(H$4,$D$4:$J$4,0),0)*角色成长!G84*角色成长!$L$15</f>
        <v>93869.608451768276</v>
      </c>
      <c r="Y71" s="1">
        <v>0.05</v>
      </c>
      <c r="Z71" s="1">
        <v>1.5</v>
      </c>
      <c r="AA71" s="1">
        <f>VLOOKUP($N$1,$D$4:$J$15,MATCH(I$4,$D$4:$J$4,0),0)*角色成长!J84</f>
        <v>1</v>
      </c>
      <c r="AB71" s="1">
        <f t="shared" si="8"/>
        <v>0.9</v>
      </c>
      <c r="AC71" s="6"/>
      <c r="AD71" s="22"/>
      <c r="AE71" s="22"/>
      <c r="AF71" s="22"/>
      <c r="AG71" s="9"/>
      <c r="AH71" s="9"/>
      <c r="AI71" s="9"/>
      <c r="AJ71" s="9"/>
      <c r="AK71" s="9"/>
      <c r="AL71" s="9"/>
    </row>
    <row r="72" spans="5:38" ht="14.25" customHeight="1" x14ac:dyDescent="0.2">
      <c r="E72" s="6"/>
      <c r="F72" s="6"/>
      <c r="G72" s="6"/>
      <c r="H72" s="6"/>
      <c r="I72" s="26"/>
      <c r="J72" s="6"/>
      <c r="K72" s="6"/>
      <c r="L72" s="6">
        <f t="shared" si="9"/>
        <v>0.62672496257946675</v>
      </c>
      <c r="M72" s="1">
        <v>68</v>
      </c>
      <c r="N72" s="6">
        <f>VLOOKUP($N$2,角色品星!$C$16:$D$20,2,0)*VLOOKUP($N$3,角色品星!$C$3:$E$14,3,0)*V72</f>
        <v>5322.4067992152695</v>
      </c>
      <c r="O72" s="6">
        <f>VLOOKUP($N$2,角色品星!$C$16:$D$20,2,0)*VLOOKUP($N$3,角色品星!$C$3:$E$14,3,0)*W72</f>
        <v>61771.948186497852</v>
      </c>
      <c r="P72" s="6">
        <f>VLOOKUP($N$2,角色品星!$C$16:$D$20,2,0)*VLOOKUP($N$3,角色品星!$C$3:$E$14,3,0)*X72</f>
        <v>98563.08887435669</v>
      </c>
      <c r="Q72" s="24">
        <f t="shared" si="10"/>
        <v>0.05</v>
      </c>
      <c r="R72" s="24">
        <f t="shared" si="11"/>
        <v>1.5</v>
      </c>
      <c r="S72" s="24">
        <f t="shared" si="12"/>
        <v>1</v>
      </c>
      <c r="T72" s="42">
        <f>N72*(1+Q72*(R72-1))*S72*战斗公式!$E$39+(P72*战斗公式!$E$40+1)*O72*战斗公式!$E$41</f>
        <v>259042.96260686859</v>
      </c>
      <c r="U72" s="42">
        <f t="shared" si="13"/>
        <v>12952.148130343412</v>
      </c>
      <c r="V72" s="6">
        <f>VLOOKUP($N$1,$D$4:$J$15,MATCH(F$4,$D$4:$J$4,0),0)*角色成长!E85*角色成长!$L$15*AB72/AA72/(1+$Y$2*($Z$2-1))</f>
        <v>5322.4067992152695</v>
      </c>
      <c r="W72" s="6">
        <f>VLOOKUP($N$1,$D$4:$J$15,MATCH(G$4,$D$4:$J$4,0),0)*角色成长!F85*角色成长!$L$15/(1+X72/角色成长!$N$16)</f>
        <v>61771.948186497852</v>
      </c>
      <c r="X72" s="6">
        <f>VLOOKUP($N$1,$D$4:$J$15,MATCH(H$4,$D$4:$J$4,0),0)*角色成长!G85*角色成长!$L$15</f>
        <v>98563.08887435669</v>
      </c>
      <c r="Y72" s="1">
        <v>0.05</v>
      </c>
      <c r="Z72" s="1">
        <v>1.5</v>
      </c>
      <c r="AA72" s="1">
        <f>VLOOKUP($N$1,$D$4:$J$15,MATCH(I$4,$D$4:$J$4,0),0)*角色成长!J85</f>
        <v>1</v>
      </c>
      <c r="AB72" s="1">
        <f t="shared" si="8"/>
        <v>0.9</v>
      </c>
      <c r="AC72" s="6"/>
      <c r="AD72" s="22"/>
      <c r="AE72" s="22"/>
      <c r="AF72" s="22"/>
      <c r="AG72" s="9"/>
      <c r="AH72" s="9"/>
      <c r="AI72" s="9"/>
      <c r="AJ72" s="9"/>
      <c r="AK72" s="9"/>
      <c r="AL72" s="9"/>
    </row>
    <row r="73" spans="5:38" ht="14.25" customHeight="1" x14ac:dyDescent="0.2">
      <c r="E73" s="6"/>
      <c r="F73" s="6"/>
      <c r="G73" s="6"/>
      <c r="H73" s="6"/>
      <c r="I73" s="26"/>
      <c r="J73" s="6"/>
      <c r="K73" s="6"/>
      <c r="L73" s="6">
        <f t="shared" si="9"/>
        <v>0.61154692661603627</v>
      </c>
      <c r="M73" s="1">
        <v>69</v>
      </c>
      <c r="N73" s="6">
        <f>VLOOKUP($N$2,角色品星!$C$16:$D$20,2,0)*VLOOKUP($N$3,角色品星!$C$3:$E$14,3,0)*V73</f>
        <v>5588.5271391760334</v>
      </c>
      <c r="O73" s="6">
        <f>VLOOKUP($N$2,角色品星!$C$16:$D$20,2,0)*VLOOKUP($N$3,角色品星!$C$3:$E$14,3,0)*W73</f>
        <v>63289.751782840875</v>
      </c>
      <c r="P73" s="6">
        <f>VLOOKUP($N$2,角色品星!$C$16:$D$20,2,0)*VLOOKUP($N$3,角色品星!$C$3:$E$14,3,0)*X73</f>
        <v>103491.24331807453</v>
      </c>
      <c r="Q73" s="24">
        <f t="shared" si="10"/>
        <v>0.05</v>
      </c>
      <c r="R73" s="24">
        <f t="shared" si="11"/>
        <v>1.5</v>
      </c>
      <c r="S73" s="24">
        <f t="shared" si="12"/>
        <v>1</v>
      </c>
      <c r="T73" s="42">
        <f>N73*(1+Q73*(R73-1))*S73*战斗公式!$E$39+(P73*战斗公式!$E$40+1)*O73*战斗公式!$E$41</f>
        <v>271995.110737212</v>
      </c>
      <c r="U73" s="42">
        <f t="shared" si="13"/>
        <v>13599.755536860554</v>
      </c>
      <c r="V73" s="6">
        <f>VLOOKUP($N$1,$D$4:$J$15,MATCH(F$4,$D$4:$J$4,0),0)*角色成长!E86*角色成长!$L$15*AB73/AA73/(1+$Y$2*($Z$2-1))</f>
        <v>5588.5271391760334</v>
      </c>
      <c r="W73" s="6">
        <f>VLOOKUP($N$1,$D$4:$J$15,MATCH(G$4,$D$4:$J$4,0),0)*角色成长!F86*角色成长!$L$15/(1+X73/角色成长!$N$16)</f>
        <v>63289.751782840875</v>
      </c>
      <c r="X73" s="6">
        <f>VLOOKUP($N$1,$D$4:$J$15,MATCH(H$4,$D$4:$J$4,0),0)*角色成长!G86*角色成长!$L$15</f>
        <v>103491.24331807453</v>
      </c>
      <c r="Y73" s="1">
        <v>0.05</v>
      </c>
      <c r="Z73" s="1">
        <v>1.5</v>
      </c>
      <c r="AA73" s="1">
        <f>VLOOKUP($N$1,$D$4:$J$15,MATCH(I$4,$D$4:$J$4,0),0)*角色成长!J86</f>
        <v>1</v>
      </c>
      <c r="AB73" s="1">
        <f t="shared" si="8"/>
        <v>0.9</v>
      </c>
      <c r="AC73" s="6"/>
      <c r="AD73" s="22"/>
      <c r="AE73" s="22"/>
      <c r="AF73" s="22"/>
      <c r="AG73" s="9"/>
      <c r="AH73" s="9"/>
      <c r="AI73" s="9"/>
      <c r="AJ73" s="9"/>
      <c r="AK73" s="9"/>
      <c r="AL73" s="9"/>
    </row>
    <row r="74" spans="5:38" ht="14.25" customHeight="1" x14ac:dyDescent="0.2">
      <c r="E74" s="6"/>
      <c r="F74" s="6"/>
      <c r="G74" s="6"/>
      <c r="H74" s="6"/>
      <c r="I74" s="26"/>
      <c r="J74" s="6"/>
      <c r="K74" s="6"/>
      <c r="L74" s="6">
        <f t="shared" si="9"/>
        <v>0.5963815880412644</v>
      </c>
      <c r="M74" s="1">
        <v>70</v>
      </c>
      <c r="N74" s="6">
        <f>VLOOKUP($N$2,角色品星!$C$16:$D$20,2,0)*VLOOKUP($N$3,角色品星!$C$3:$E$14,3,0)*V74</f>
        <v>5867.9534961348345</v>
      </c>
      <c r="O74" s="6">
        <f>VLOOKUP($N$2,角色品星!$C$16:$D$20,2,0)*VLOOKUP($N$3,角色品星!$C$3:$E$14,3,0)*W74</f>
        <v>64806.285640318085</v>
      </c>
      <c r="P74" s="6">
        <f>VLOOKUP($N$2,角色品星!$C$16:$D$20,2,0)*VLOOKUP($N$3,角色品星!$C$3:$E$14,3,0)*X74</f>
        <v>108665.80548397824</v>
      </c>
      <c r="Q74" s="24">
        <f t="shared" si="10"/>
        <v>0.05</v>
      </c>
      <c r="R74" s="24">
        <f t="shared" si="11"/>
        <v>1.5</v>
      </c>
      <c r="S74" s="24">
        <f t="shared" si="12"/>
        <v>1</v>
      </c>
      <c r="T74" s="42">
        <f>N74*(1+Q74*(R74-1))*S74*战斗公式!$E$39+(P74*战斗公式!$E$40+1)*O74*战斗公式!$E$41</f>
        <v>285594.86627407256</v>
      </c>
      <c r="U74" s="42">
        <f t="shared" si="13"/>
        <v>14279.743313703686</v>
      </c>
      <c r="V74" s="6">
        <f>VLOOKUP($N$1,$D$4:$J$15,MATCH(F$4,$D$4:$J$4,0),0)*角色成长!E87*角色成长!$L$15*AB74/AA74/(1+$Y$2*($Z$2-1))</f>
        <v>5867.9534961348345</v>
      </c>
      <c r="W74" s="6">
        <f>VLOOKUP($N$1,$D$4:$J$15,MATCH(G$4,$D$4:$J$4,0),0)*角色成长!F87*角色成长!$L$15/(1+X74/角色成长!$N$16)</f>
        <v>64806.285640318085</v>
      </c>
      <c r="X74" s="6">
        <f>VLOOKUP($N$1,$D$4:$J$15,MATCH(H$4,$D$4:$J$4,0),0)*角色成长!G87*角色成长!$L$15</f>
        <v>108665.80548397824</v>
      </c>
      <c r="Y74" s="1">
        <v>0.05</v>
      </c>
      <c r="Z74" s="1">
        <v>1.5</v>
      </c>
      <c r="AA74" s="1">
        <f>VLOOKUP($N$1,$D$4:$J$15,MATCH(I$4,$D$4:$J$4,0),0)*角色成长!J87</f>
        <v>1</v>
      </c>
      <c r="AB74" s="1">
        <f t="shared" si="8"/>
        <v>0.9</v>
      </c>
      <c r="AC74" s="6"/>
      <c r="AD74" s="22"/>
      <c r="AE74" s="22"/>
      <c r="AF74" s="22"/>
      <c r="AG74" s="9"/>
      <c r="AH74" s="9"/>
      <c r="AI74" s="9"/>
      <c r="AJ74" s="9"/>
      <c r="AK74" s="9"/>
      <c r="AL74" s="9"/>
    </row>
    <row r="75" spans="5:38" ht="14.25" customHeight="1" x14ac:dyDescent="0.2">
      <c r="E75" s="6"/>
      <c r="F75" s="6"/>
      <c r="G75" s="6"/>
      <c r="H75" s="6"/>
      <c r="I75" s="26"/>
      <c r="J75" s="6"/>
      <c r="K75" s="6"/>
      <c r="L75" s="6">
        <f t="shared" si="9"/>
        <v>0.58124694083249784</v>
      </c>
      <c r="M75" s="1">
        <v>71</v>
      </c>
      <c r="N75" s="6">
        <f>VLOOKUP($N$2,角色品星!$C$16:$D$20,2,0)*VLOOKUP($N$3,角色品星!$C$3:$E$14,3,0)*V75</f>
        <v>6161.3511709415761</v>
      </c>
      <c r="O75" s="6">
        <f>VLOOKUP($N$2,角色品星!$C$16:$D$20,2,0)*VLOOKUP($N$3,角色品星!$C$3:$E$14,3,0)*W75</f>
        <v>66319.750361194718</v>
      </c>
      <c r="P75" s="6">
        <f>VLOOKUP($N$2,角色品星!$C$16:$D$20,2,0)*VLOOKUP($N$3,角色品星!$C$3:$E$14,3,0)*X75</f>
        <v>114099.09575817718</v>
      </c>
      <c r="Q75" s="24">
        <f t="shared" si="10"/>
        <v>0.05</v>
      </c>
      <c r="R75" s="24">
        <f t="shared" si="11"/>
        <v>1.5</v>
      </c>
      <c r="S75" s="24">
        <f t="shared" si="12"/>
        <v>1</v>
      </c>
      <c r="T75" s="42">
        <f>N75*(1+Q75*(R75-1))*S75*战斗公式!$E$39+(P75*战斗公式!$E$40+1)*O75*战斗公式!$E$41</f>
        <v>299874.60958777624</v>
      </c>
      <c r="U75" s="42">
        <f t="shared" si="13"/>
        <v>14993.730479388847</v>
      </c>
      <c r="V75" s="6">
        <f>VLOOKUP($N$1,$D$4:$J$15,MATCH(F$4,$D$4:$J$4,0),0)*角色成长!E88*角色成长!$L$15*AB75/AA75/(1+$Y$2*($Z$2-1))</f>
        <v>6161.3511709415761</v>
      </c>
      <c r="W75" s="6">
        <f>VLOOKUP($N$1,$D$4:$J$15,MATCH(G$4,$D$4:$J$4,0),0)*角色成长!F88*角色成长!$L$15/(1+X75/角色成长!$N$16)</f>
        <v>66319.750361194718</v>
      </c>
      <c r="X75" s="6">
        <f>VLOOKUP($N$1,$D$4:$J$15,MATCH(H$4,$D$4:$J$4,0),0)*角色成长!G88*角色成长!$L$15</f>
        <v>114099.09575817718</v>
      </c>
      <c r="Y75" s="1">
        <v>0.05</v>
      </c>
      <c r="Z75" s="1">
        <v>1.5</v>
      </c>
      <c r="AA75" s="1">
        <f>VLOOKUP($N$1,$D$4:$J$15,MATCH(I$4,$D$4:$J$4,0),0)*角色成长!J88</f>
        <v>1</v>
      </c>
      <c r="AB75" s="1">
        <f t="shared" si="8"/>
        <v>0.9</v>
      </c>
      <c r="AC75" s="6"/>
      <c r="AD75" s="22"/>
      <c r="AE75" s="22"/>
      <c r="AF75" s="22"/>
      <c r="AG75" s="9"/>
      <c r="AH75" s="9"/>
      <c r="AI75" s="9"/>
      <c r="AJ75" s="9"/>
      <c r="AK75" s="9"/>
      <c r="AL75" s="9"/>
    </row>
    <row r="76" spans="5:38" ht="14.25" customHeight="1" x14ac:dyDescent="0.2">
      <c r="E76" s="6"/>
      <c r="F76" s="6"/>
      <c r="G76" s="6"/>
      <c r="H76" s="6"/>
      <c r="I76" s="26"/>
      <c r="J76" s="6"/>
      <c r="K76" s="6"/>
      <c r="L76" s="6">
        <f t="shared" si="9"/>
        <v>0.56616083341172285</v>
      </c>
      <c r="M76" s="1">
        <v>72</v>
      </c>
      <c r="N76" s="6">
        <f>VLOOKUP($N$2,角色品星!$C$16:$D$20,2,0)*VLOOKUP($N$3,角色品星!$C$3:$E$14,3,0)*V76</f>
        <v>6469.418729488656</v>
      </c>
      <c r="O76" s="6">
        <f>VLOOKUP($N$2,角色品星!$C$16:$D$20,2,0)*VLOOKUP($N$3,角色品星!$C$3:$E$14,3,0)*W76</f>
        <v>67828.36110327224</v>
      </c>
      <c r="P76" s="6">
        <f>VLOOKUP($N$2,角色品星!$C$16:$D$20,2,0)*VLOOKUP($N$3,角色品星!$C$3:$E$14,3,0)*X76</f>
        <v>119804.05054608604</v>
      </c>
      <c r="Q76" s="24">
        <f t="shared" si="10"/>
        <v>0.05</v>
      </c>
      <c r="R76" s="24">
        <f t="shared" si="11"/>
        <v>1.5</v>
      </c>
      <c r="S76" s="24">
        <f t="shared" si="12"/>
        <v>1</v>
      </c>
      <c r="T76" s="42">
        <f>N76*(1+Q76*(R76-1))*S76*战斗公式!$E$39+(P76*战斗公式!$E$40+1)*O76*战斗公式!$E$41</f>
        <v>314868.34006716509</v>
      </c>
      <c r="U76" s="42">
        <f t="shared" si="13"/>
        <v>15743.417003358249</v>
      </c>
      <c r="V76" s="6">
        <f>VLOOKUP($N$1,$D$4:$J$15,MATCH(F$4,$D$4:$J$4,0),0)*角色成长!E89*角色成长!$L$15*AB76/AA76/(1+$Y$2*($Z$2-1))</f>
        <v>6469.418729488656</v>
      </c>
      <c r="W76" s="6">
        <f>VLOOKUP($N$1,$D$4:$J$15,MATCH(G$4,$D$4:$J$4,0),0)*角色成长!F89*角色成长!$L$15/(1+X76/角色成长!$N$16)</f>
        <v>67828.36110327224</v>
      </c>
      <c r="X76" s="6">
        <f>VLOOKUP($N$1,$D$4:$J$15,MATCH(H$4,$D$4:$J$4,0),0)*角色成长!G89*角色成长!$L$15</f>
        <v>119804.05054608604</v>
      </c>
      <c r="Y76" s="1">
        <v>0.05</v>
      </c>
      <c r="Z76" s="1">
        <v>1.5</v>
      </c>
      <c r="AA76" s="1">
        <f>VLOOKUP($N$1,$D$4:$J$15,MATCH(I$4,$D$4:$J$4,0),0)*角色成长!J89</f>
        <v>1</v>
      </c>
      <c r="AB76" s="1">
        <f t="shared" si="8"/>
        <v>0.9</v>
      </c>
      <c r="AC76" s="6"/>
      <c r="AD76" s="22"/>
      <c r="AE76" s="22"/>
      <c r="AF76" s="22"/>
      <c r="AG76" s="9"/>
      <c r="AH76" s="9"/>
      <c r="AI76" s="9"/>
      <c r="AJ76" s="9"/>
      <c r="AK76" s="9"/>
      <c r="AL76" s="9"/>
    </row>
    <row r="77" spans="5:38" ht="14.25" customHeight="1" x14ac:dyDescent="0.2">
      <c r="E77" s="6"/>
      <c r="F77" s="6"/>
      <c r="G77" s="6"/>
      <c r="H77" s="6"/>
      <c r="I77" s="26"/>
      <c r="J77" s="6"/>
      <c r="K77" s="6"/>
      <c r="L77" s="6">
        <f t="shared" si="9"/>
        <v>0.55114088490106983</v>
      </c>
      <c r="M77" s="1">
        <v>73</v>
      </c>
      <c r="N77" s="6">
        <f>VLOOKUP($N$2,角色品星!$C$16:$D$20,2,0)*VLOOKUP($N$3,角色品星!$C$3:$E$14,3,0)*V77</f>
        <v>6792.8896659630891</v>
      </c>
      <c r="O77" s="6">
        <f>VLOOKUP($N$2,角色品星!$C$16:$D$20,2,0)*VLOOKUP($N$3,角色品星!$C$3:$E$14,3,0)*W77</f>
        <v>69330.355954337487</v>
      </c>
      <c r="P77" s="6">
        <f>VLOOKUP($N$2,角色品星!$C$16:$D$20,2,0)*VLOOKUP($N$3,角色品星!$C$3:$E$14,3,0)*X77</f>
        <v>125794.25307339035</v>
      </c>
      <c r="Q77" s="24">
        <f t="shared" si="10"/>
        <v>0.05</v>
      </c>
      <c r="R77" s="24">
        <f t="shared" si="11"/>
        <v>1.5</v>
      </c>
      <c r="S77" s="24">
        <f t="shared" si="12"/>
        <v>1</v>
      </c>
      <c r="T77" s="42">
        <f>N77*(1+Q77*(R77-1))*S77*战斗公式!$E$39+(P77*战斗公式!$E$40+1)*O77*战斗公式!$E$41</f>
        <v>330611.75707052334</v>
      </c>
      <c r="U77" s="42">
        <f t="shared" si="13"/>
        <v>16530.587853526114</v>
      </c>
      <c r="V77" s="6">
        <f>VLOOKUP($N$1,$D$4:$J$15,MATCH(F$4,$D$4:$J$4,0),0)*角色成长!E90*角色成长!$L$15*AB77/AA77/(1+$Y$2*($Z$2-1))</f>
        <v>6792.8896659630891</v>
      </c>
      <c r="W77" s="6">
        <f>VLOOKUP($N$1,$D$4:$J$15,MATCH(G$4,$D$4:$J$4,0),0)*角色成长!F90*角色成长!$L$15/(1+X77/角色成长!$N$16)</f>
        <v>69330.355954337487</v>
      </c>
      <c r="X77" s="6">
        <f>VLOOKUP($N$1,$D$4:$J$15,MATCH(H$4,$D$4:$J$4,0),0)*角色成长!G90*角色成长!$L$15</f>
        <v>125794.25307339035</v>
      </c>
      <c r="Y77" s="1">
        <v>0.05</v>
      </c>
      <c r="Z77" s="1">
        <v>1.5</v>
      </c>
      <c r="AA77" s="1">
        <f>VLOOKUP($N$1,$D$4:$J$15,MATCH(I$4,$D$4:$J$4,0),0)*角色成长!J90</f>
        <v>1</v>
      </c>
      <c r="AB77" s="1">
        <f t="shared" si="8"/>
        <v>0.9</v>
      </c>
      <c r="AC77" s="6"/>
      <c r="AD77" s="22"/>
      <c r="AE77" s="22"/>
      <c r="AF77" s="22"/>
      <c r="AG77" s="9"/>
      <c r="AH77" s="9"/>
      <c r="AI77" s="9"/>
      <c r="AJ77" s="9"/>
      <c r="AK77" s="9"/>
      <c r="AL77" s="9"/>
    </row>
    <row r="78" spans="5:38" ht="14.25" customHeight="1" x14ac:dyDescent="0.2">
      <c r="E78" s="6"/>
      <c r="F78" s="6"/>
      <c r="G78" s="6"/>
      <c r="H78" s="6"/>
      <c r="I78" s="26"/>
      <c r="J78" s="6"/>
      <c r="K78" s="6"/>
      <c r="L78" s="6">
        <f t="shared" si="9"/>
        <v>0.53620440367171329</v>
      </c>
      <c r="M78" s="1">
        <v>74</v>
      </c>
      <c r="N78" s="6">
        <f>VLOOKUP($N$2,角色品星!$C$16:$D$20,2,0)*VLOOKUP($N$3,角色品星!$C$3:$E$14,3,0)*V78</f>
        <v>7132.5341492612433</v>
      </c>
      <c r="O78" s="6">
        <f>VLOOKUP($N$2,角色品星!$C$16:$D$20,2,0)*VLOOKUP($N$3,角色品星!$C$3:$E$14,3,0)*W78</f>
        <v>70824.004077273159</v>
      </c>
      <c r="P78" s="6">
        <f>VLOOKUP($N$2,角色品星!$C$16:$D$20,2,0)*VLOOKUP($N$3,角色品星!$C$3:$E$14,3,0)*X78</f>
        <v>132083.96572705987</v>
      </c>
      <c r="Q78" s="24">
        <f t="shared" si="10"/>
        <v>0.05</v>
      </c>
      <c r="R78" s="24">
        <f t="shared" si="11"/>
        <v>1.5</v>
      </c>
      <c r="S78" s="24">
        <f t="shared" si="12"/>
        <v>1</v>
      </c>
      <c r="T78" s="42">
        <f>N78*(1+Q78*(R78-1))*S78*战斗公式!$E$39+(P78*战斗公式!$E$40+1)*O78*战斗公式!$E$41</f>
        <v>347142.34492404945</v>
      </c>
      <c r="U78" s="42">
        <f t="shared" si="13"/>
        <v>17357.117246202542</v>
      </c>
      <c r="V78" s="6">
        <f>VLOOKUP($N$1,$D$4:$J$15,MATCH(F$4,$D$4:$J$4,0),0)*角色成长!E91*角色成长!$L$15*AB78/AA78/(1+$Y$2*($Z$2-1))</f>
        <v>7132.5341492612433</v>
      </c>
      <c r="W78" s="6">
        <f>VLOOKUP($N$1,$D$4:$J$15,MATCH(G$4,$D$4:$J$4,0),0)*角色成长!F91*角色成长!$L$15/(1+X78/角色成长!$N$16)</f>
        <v>70824.004077273159</v>
      </c>
      <c r="X78" s="6">
        <f>VLOOKUP($N$1,$D$4:$J$15,MATCH(H$4,$D$4:$J$4,0),0)*角色成长!G91*角色成长!$L$15</f>
        <v>132083.96572705987</v>
      </c>
      <c r="Y78" s="1">
        <v>0.05</v>
      </c>
      <c r="Z78" s="1">
        <v>1.5</v>
      </c>
      <c r="AA78" s="1">
        <f>VLOOKUP($N$1,$D$4:$J$15,MATCH(I$4,$D$4:$J$4,0),0)*角色成长!J91</f>
        <v>1</v>
      </c>
      <c r="AB78" s="1">
        <f t="shared" si="8"/>
        <v>0.9</v>
      </c>
      <c r="AC78" s="6"/>
      <c r="AD78" s="22"/>
      <c r="AE78" s="22"/>
      <c r="AF78" s="22"/>
      <c r="AG78" s="9"/>
      <c r="AH78" s="9"/>
      <c r="AI78" s="9"/>
      <c r="AJ78" s="9"/>
      <c r="AK78" s="9"/>
      <c r="AL78" s="9"/>
    </row>
    <row r="79" spans="5:38" ht="14.25" customHeight="1" x14ac:dyDescent="0.2">
      <c r="E79" s="6"/>
      <c r="F79" s="6"/>
      <c r="G79" s="6"/>
      <c r="H79" s="6"/>
      <c r="I79" s="26"/>
      <c r="J79" s="6"/>
      <c r="K79" s="6"/>
      <c r="L79" s="6">
        <f t="shared" si="9"/>
        <v>0.52136830897677633</v>
      </c>
      <c r="M79" s="1">
        <v>75</v>
      </c>
      <c r="N79" s="6">
        <f>VLOOKUP($N$2,角色品星!$C$16:$D$20,2,0)*VLOOKUP($N$3,角色品星!$C$3:$E$14,3,0)*V79</f>
        <v>7489.1608567243065</v>
      </c>
      <c r="O79" s="6">
        <f>VLOOKUP($N$2,角色品星!$C$16:$D$20,2,0)*VLOOKUP($N$3,角色品星!$C$3:$E$14,3,0)*W79</f>
        <v>72307.613546766879</v>
      </c>
      <c r="P79" s="6">
        <f>VLOOKUP($N$2,角色品星!$C$16:$D$20,2,0)*VLOOKUP($N$3,角色品星!$C$3:$E$14,3,0)*X79</f>
        <v>138688.16401341287</v>
      </c>
      <c r="Q79" s="24">
        <f t="shared" si="10"/>
        <v>0.05</v>
      </c>
      <c r="R79" s="24">
        <f t="shared" si="11"/>
        <v>1.5</v>
      </c>
      <c r="S79" s="24">
        <f t="shared" si="12"/>
        <v>1</v>
      </c>
      <c r="T79" s="42">
        <f>N79*(1+Q79*(R79-1))*S79*战斗公式!$E$39+(P79*战斗公式!$E$40+1)*O79*战斗公式!$E$41</f>
        <v>364499.46217025199</v>
      </c>
      <c r="U79" s="42">
        <f t="shared" si="13"/>
        <v>18224.973108512582</v>
      </c>
      <c r="V79" s="6">
        <f>VLOOKUP($N$1,$D$4:$J$15,MATCH(F$4,$D$4:$J$4,0),0)*角色成长!E92*角色成长!$L$15*AB79/AA79/(1+$Y$2*($Z$2-1))</f>
        <v>7489.1608567243065</v>
      </c>
      <c r="W79" s="6">
        <f>VLOOKUP($N$1,$D$4:$J$15,MATCH(G$4,$D$4:$J$4,0),0)*角色成长!F92*角色成长!$L$15/(1+X79/角色成长!$N$16)</f>
        <v>72307.613546766879</v>
      </c>
      <c r="X79" s="6">
        <f>VLOOKUP($N$1,$D$4:$J$15,MATCH(H$4,$D$4:$J$4,0),0)*角色成长!G92*角色成长!$L$15</f>
        <v>138688.16401341287</v>
      </c>
      <c r="Y79" s="1">
        <v>0.05</v>
      </c>
      <c r="Z79" s="1">
        <v>1.5</v>
      </c>
      <c r="AA79" s="1">
        <f>VLOOKUP($N$1,$D$4:$J$15,MATCH(I$4,$D$4:$J$4,0),0)*角色成长!J92</f>
        <v>1</v>
      </c>
      <c r="AB79" s="1">
        <f t="shared" si="8"/>
        <v>0.9</v>
      </c>
      <c r="AC79" s="6"/>
      <c r="AD79" s="22"/>
      <c r="AE79" s="22"/>
      <c r="AF79" s="22"/>
      <c r="AG79" s="9"/>
      <c r="AH79" s="9"/>
      <c r="AI79" s="9"/>
      <c r="AJ79" s="9"/>
      <c r="AK79" s="9"/>
      <c r="AL79" s="9"/>
    </row>
    <row r="80" spans="5:38" ht="14.25" customHeight="1" x14ac:dyDescent="0.2">
      <c r="E80" s="6"/>
      <c r="F80" s="6"/>
      <c r="G80" s="6"/>
      <c r="H80" s="6"/>
      <c r="I80" s="26"/>
      <c r="J80" s="6"/>
      <c r="K80" s="6"/>
      <c r="L80" s="6">
        <f t="shared" si="9"/>
        <v>0.5066490564066698</v>
      </c>
      <c r="M80" s="1">
        <v>76</v>
      </c>
      <c r="N80" s="6">
        <f>VLOOKUP($N$2,角色品星!$C$16:$D$20,2,0)*VLOOKUP($N$3,角色品星!$C$3:$E$14,3,0)*V80</f>
        <v>7863.6188995605216</v>
      </c>
      <c r="O80" s="6">
        <f>VLOOKUP($N$2,角色品星!$C$16:$D$20,2,0)*VLOOKUP($N$3,角色品星!$C$3:$E$14,3,0)*W80</f>
        <v>73779.538803777541</v>
      </c>
      <c r="P80" s="6">
        <f>VLOOKUP($N$2,角色品星!$C$16:$D$20,2,0)*VLOOKUP($N$3,角色品星!$C$3:$E$14,3,0)*X80</f>
        <v>145622.57221408351</v>
      </c>
      <c r="Q80" s="24">
        <f t="shared" si="10"/>
        <v>0.05</v>
      </c>
      <c r="R80" s="24">
        <f t="shared" si="11"/>
        <v>1.5</v>
      </c>
      <c r="S80" s="24">
        <f t="shared" si="12"/>
        <v>1</v>
      </c>
      <c r="T80" s="42">
        <f>N80*(1+Q80*(R80-1))*S80*战斗公式!$E$39+(P80*战斗公式!$E$40+1)*O80*战斗公式!$E$41</f>
        <v>382724.43527876458</v>
      </c>
      <c r="U80" s="42">
        <f t="shared" si="13"/>
        <v>19136.221763938316</v>
      </c>
      <c r="V80" s="6">
        <f>VLOOKUP($N$1,$D$4:$J$15,MATCH(F$4,$D$4:$J$4,0),0)*角色成长!E93*角色成长!$L$15*AB80/AA80/(1+$Y$2*($Z$2-1))</f>
        <v>7863.6188995605216</v>
      </c>
      <c r="W80" s="6">
        <f>VLOOKUP($N$1,$D$4:$J$15,MATCH(G$4,$D$4:$J$4,0),0)*角色成长!F93*角色成长!$L$15/(1+X80/角色成长!$N$16)</f>
        <v>73779.538803777541</v>
      </c>
      <c r="X80" s="6">
        <f>VLOOKUP($N$1,$D$4:$J$15,MATCH(H$4,$D$4:$J$4,0),0)*角色成长!G93*角色成长!$L$15</f>
        <v>145622.57221408351</v>
      </c>
      <c r="Y80" s="1">
        <v>0.05</v>
      </c>
      <c r="Z80" s="1">
        <v>1.5</v>
      </c>
      <c r="AA80" s="1">
        <f>VLOOKUP($N$1,$D$4:$J$15,MATCH(I$4,$D$4:$J$4,0),0)*角色成长!J93</f>
        <v>1</v>
      </c>
      <c r="AB80" s="1">
        <f t="shared" si="8"/>
        <v>0.9</v>
      </c>
      <c r="AC80" s="6"/>
      <c r="AD80" s="22"/>
      <c r="AE80" s="22"/>
      <c r="AF80" s="22"/>
      <c r="AG80" s="9"/>
      <c r="AH80" s="9"/>
      <c r="AI80" s="9"/>
      <c r="AJ80" s="9"/>
      <c r="AK80" s="9"/>
      <c r="AL80" s="9"/>
    </row>
    <row r="81" spans="5:38" ht="14.25" customHeight="1" x14ac:dyDescent="0.2">
      <c r="E81" s="6"/>
      <c r="F81" s="6"/>
      <c r="G81" s="6"/>
      <c r="H81" s="6"/>
      <c r="I81" s="26"/>
      <c r="J81" s="6"/>
      <c r="K81" s="6"/>
      <c r="L81" s="6">
        <f t="shared" si="9"/>
        <v>0.49206256784142482</v>
      </c>
      <c r="M81" s="1">
        <v>77</v>
      </c>
      <c r="N81" s="6">
        <f>VLOOKUP($N$2,角色品星!$C$16:$D$20,2,0)*VLOOKUP($N$3,角色品星!$C$3:$E$14,3,0)*V81</f>
        <v>8256.799844538551</v>
      </c>
      <c r="O81" s="6">
        <f>VLOOKUP($N$2,角色品星!$C$16:$D$20,2,0)*VLOOKUP($N$3,角色品星!$C$3:$E$14,3,0)*W81</f>
        <v>75238.187660302021</v>
      </c>
      <c r="P81" s="6">
        <f>VLOOKUP($N$2,角色品星!$C$16:$D$20,2,0)*VLOOKUP($N$3,角色品星!$C$3:$E$14,3,0)*X81</f>
        <v>152903.70082478769</v>
      </c>
      <c r="Q81" s="24">
        <f t="shared" si="10"/>
        <v>0.05</v>
      </c>
      <c r="R81" s="24">
        <f t="shared" si="11"/>
        <v>1.5</v>
      </c>
      <c r="S81" s="24">
        <f t="shared" si="12"/>
        <v>1</v>
      </c>
      <c r="T81" s="42">
        <f>N81*(1+Q81*(R81-1))*S81*战斗公式!$E$39+(P81*战斗公式!$E$40+1)*O81*战斗公式!$E$41</f>
        <v>401860.65704270289</v>
      </c>
      <c r="U81" s="42">
        <f t="shared" si="13"/>
        <v>20093.032852135133</v>
      </c>
      <c r="V81" s="6">
        <f>VLOOKUP($N$1,$D$4:$J$15,MATCH(F$4,$D$4:$J$4,0),0)*角色成长!E94*角色成长!$L$15*AB81/AA81/(1+$Y$2*($Z$2-1))</f>
        <v>8256.799844538551</v>
      </c>
      <c r="W81" s="6">
        <f>VLOOKUP($N$1,$D$4:$J$15,MATCH(G$4,$D$4:$J$4,0),0)*角色成长!F94*角色成长!$L$15/(1+X81/角色成长!$N$16)</f>
        <v>75238.187660302021</v>
      </c>
      <c r="X81" s="6">
        <f>VLOOKUP($N$1,$D$4:$J$15,MATCH(H$4,$D$4:$J$4,0),0)*角色成长!G94*角色成长!$L$15</f>
        <v>152903.70082478769</v>
      </c>
      <c r="Y81" s="1">
        <v>0.05</v>
      </c>
      <c r="Z81" s="1">
        <v>1.5</v>
      </c>
      <c r="AA81" s="1">
        <f>VLOOKUP($N$1,$D$4:$J$15,MATCH(I$4,$D$4:$J$4,0),0)*角色成长!J94</f>
        <v>1</v>
      </c>
      <c r="AB81" s="1">
        <f t="shared" si="8"/>
        <v>0.9</v>
      </c>
      <c r="AC81" s="6"/>
      <c r="AD81" s="22"/>
      <c r="AE81" s="22"/>
      <c r="AF81" s="22"/>
      <c r="AG81" s="9"/>
      <c r="AH81" s="9"/>
      <c r="AI81" s="9"/>
      <c r="AJ81" s="9"/>
      <c r="AK81" s="9"/>
      <c r="AL81" s="9"/>
    </row>
    <row r="82" spans="5:38" ht="14.25" customHeight="1" x14ac:dyDescent="0.2">
      <c r="E82" s="6"/>
      <c r="F82" s="6"/>
      <c r="G82" s="6"/>
      <c r="H82" s="6"/>
      <c r="I82" s="26"/>
      <c r="J82" s="6"/>
      <c r="K82" s="6"/>
      <c r="L82" s="6">
        <f t="shared" si="9"/>
        <v>0.47762416650068962</v>
      </c>
      <c r="M82" s="1">
        <v>78</v>
      </c>
      <c r="N82" s="6">
        <f>VLOOKUP($N$2,角色品星!$C$16:$D$20,2,0)*VLOOKUP($N$3,角色品星!$C$3:$E$14,3,0)*V82</f>
        <v>8669.6398367654783</v>
      </c>
      <c r="O82" s="6">
        <f>VLOOKUP($N$2,角色品星!$C$16:$D$20,2,0)*VLOOKUP($N$3,角色品星!$C$3:$E$14,3,0)*W82</f>
        <v>76682.027794375535</v>
      </c>
      <c r="P82" s="6">
        <f>VLOOKUP($N$2,角色品星!$C$16:$D$20,2,0)*VLOOKUP($N$3,角色品星!$C$3:$E$14,3,0)*X82</f>
        <v>160548.88586602709</v>
      </c>
      <c r="Q82" s="24">
        <f t="shared" si="10"/>
        <v>0.05</v>
      </c>
      <c r="R82" s="24">
        <f t="shared" si="11"/>
        <v>1.5</v>
      </c>
      <c r="S82" s="24">
        <f t="shared" si="12"/>
        <v>1</v>
      </c>
      <c r="T82" s="42">
        <f>N82*(1+Q82*(R82-1))*S82*战斗公式!$E$39+(P82*战斗公式!$E$40+1)*O82*战斗公式!$E$41</f>
        <v>421953.68989483803</v>
      </c>
      <c r="U82" s="42">
        <f t="shared" si="13"/>
        <v>21097.684494741901</v>
      </c>
      <c r="V82" s="6">
        <f>VLOOKUP($N$1,$D$4:$J$15,MATCH(F$4,$D$4:$J$4,0),0)*角色成长!E95*角色成长!$L$15*AB82/AA82/(1+$Y$2*($Z$2-1))</f>
        <v>8669.6398367654783</v>
      </c>
      <c r="W82" s="6">
        <f>VLOOKUP($N$1,$D$4:$J$15,MATCH(G$4,$D$4:$J$4,0),0)*角色成长!F95*角色成长!$L$15/(1+X82/角色成长!$N$16)</f>
        <v>76682.027794375535</v>
      </c>
      <c r="X82" s="6">
        <f>VLOOKUP($N$1,$D$4:$J$15,MATCH(H$4,$D$4:$J$4,0),0)*角色成长!G95*角色成长!$L$15</f>
        <v>160548.88586602709</v>
      </c>
      <c r="Y82" s="1">
        <v>0.05</v>
      </c>
      <c r="Z82" s="1">
        <v>1.5</v>
      </c>
      <c r="AA82" s="1">
        <f>VLOOKUP($N$1,$D$4:$J$15,MATCH(I$4,$D$4:$J$4,0),0)*角色成长!J95</f>
        <v>1</v>
      </c>
      <c r="AB82" s="1">
        <f t="shared" si="8"/>
        <v>0.9</v>
      </c>
      <c r="AC82" s="6"/>
      <c r="AD82" s="22"/>
      <c r="AE82" s="22"/>
      <c r="AF82" s="22"/>
      <c r="AG82" s="9"/>
      <c r="AH82" s="9"/>
      <c r="AI82" s="9"/>
      <c r="AJ82" s="9"/>
      <c r="AK82" s="9"/>
      <c r="AL82" s="9"/>
    </row>
    <row r="83" spans="5:38" ht="14.25" customHeight="1" x14ac:dyDescent="0.2">
      <c r="E83" s="6"/>
      <c r="F83" s="6"/>
      <c r="G83" s="6"/>
      <c r="H83" s="6"/>
      <c r="I83" s="26"/>
      <c r="J83" s="6"/>
      <c r="K83" s="6"/>
      <c r="L83" s="6">
        <f t="shared" si="9"/>
        <v>0.46334851760994678</v>
      </c>
      <c r="M83" s="1">
        <v>79</v>
      </c>
      <c r="N83" s="6">
        <f>VLOOKUP($N$2,角色品星!$C$16:$D$20,2,0)*VLOOKUP($N$3,角色品星!$C$3:$E$14,3,0)*V83</f>
        <v>9103.1218286037511</v>
      </c>
      <c r="O83" s="6">
        <f>VLOOKUP($N$2,角色品星!$C$16:$D$20,2,0)*VLOOKUP($N$3,角色品星!$C$3:$E$14,3,0)*W83</f>
        <v>78109.59268344981</v>
      </c>
      <c r="P83" s="6">
        <f>VLOOKUP($N$2,角色品星!$C$16:$D$20,2,0)*VLOOKUP($N$3,角色品星!$C$3:$E$14,3,0)*X83</f>
        <v>168576.33015932847</v>
      </c>
      <c r="Q83" s="24">
        <f t="shared" si="10"/>
        <v>0.05</v>
      </c>
      <c r="R83" s="24">
        <f t="shared" si="11"/>
        <v>1.5</v>
      </c>
      <c r="S83" s="24">
        <f t="shared" si="12"/>
        <v>1</v>
      </c>
      <c r="T83" s="42">
        <f>N83*(1+Q83*(R83-1))*S83*战斗公式!$E$39+(P83*战斗公式!$E$40+1)*O83*战斗公式!$E$41</f>
        <v>443051.37438957993</v>
      </c>
      <c r="U83" s="42">
        <f t="shared" si="13"/>
        <v>22152.568719479197</v>
      </c>
      <c r="V83" s="6">
        <f>VLOOKUP($N$1,$D$4:$J$15,MATCH(F$4,$D$4:$J$4,0),0)*角色成长!E96*角色成长!$L$15*AB83/AA83/(1+$Y$2*($Z$2-1))</f>
        <v>9103.1218286037511</v>
      </c>
      <c r="W83" s="6">
        <f>VLOOKUP($N$1,$D$4:$J$15,MATCH(G$4,$D$4:$J$4,0),0)*角色成长!F96*角色成长!$L$15/(1+X83/角色成长!$N$16)</f>
        <v>78109.59268344981</v>
      </c>
      <c r="X83" s="6">
        <f>VLOOKUP($N$1,$D$4:$J$15,MATCH(H$4,$D$4:$J$4,0),0)*角色成长!G96*角色成长!$L$15</f>
        <v>168576.33015932847</v>
      </c>
      <c r="Y83" s="1">
        <v>0.05</v>
      </c>
      <c r="Z83" s="1">
        <v>1.5</v>
      </c>
      <c r="AA83" s="1">
        <f>VLOOKUP($N$1,$D$4:$J$15,MATCH(I$4,$D$4:$J$4,0),0)*角色成长!J96</f>
        <v>1</v>
      </c>
      <c r="AB83" s="1">
        <f t="shared" si="8"/>
        <v>0.9</v>
      </c>
      <c r="AC83" s="6"/>
      <c r="AD83" s="22"/>
      <c r="AE83" s="22"/>
      <c r="AF83" s="22"/>
      <c r="AG83" s="9"/>
      <c r="AH83" s="9"/>
      <c r="AI83" s="9"/>
      <c r="AJ83" s="9"/>
      <c r="AK83" s="9"/>
      <c r="AL83" s="9"/>
    </row>
    <row r="84" spans="5:38" ht="14.25" customHeight="1" x14ac:dyDescent="0.2">
      <c r="E84" s="6"/>
      <c r="F84" s="6"/>
      <c r="G84" s="6"/>
      <c r="H84" s="6"/>
      <c r="I84" s="26"/>
      <c r="J84" s="6"/>
      <c r="K84" s="6"/>
      <c r="L84" s="6">
        <f t="shared" si="9"/>
        <v>0.44924957511317343</v>
      </c>
      <c r="M84" s="1">
        <v>80</v>
      </c>
      <c r="N84" s="6">
        <f>VLOOKUP($N$2,角色品星!$C$16:$D$20,2,0)*VLOOKUP($N$3,角色品星!$C$3:$E$14,3,0)*V84</f>
        <v>9558.277920033941</v>
      </c>
      <c r="O84" s="6">
        <f>VLOOKUP($N$2,角色品星!$C$16:$D$20,2,0)*VLOOKUP($N$3,角色品星!$C$3:$E$14,3,0)*W84</f>
        <v>79519.486933127177</v>
      </c>
      <c r="P84" s="6">
        <f>VLOOKUP($N$2,角色品星!$C$16:$D$20,2,0)*VLOOKUP($N$3,角色品星!$C$3:$E$14,3,0)*X84</f>
        <v>177005.1466672949</v>
      </c>
      <c r="Q84" s="24">
        <f t="shared" si="10"/>
        <v>0.05</v>
      </c>
      <c r="R84" s="24">
        <f t="shared" si="11"/>
        <v>1.5</v>
      </c>
      <c r="S84" s="24">
        <f t="shared" si="12"/>
        <v>1</v>
      </c>
      <c r="T84" s="42">
        <f>N84*(1+Q84*(R84-1))*S84*战斗公式!$E$39+(P84*战斗公式!$E$40+1)*O84*战斗公式!$E$41</f>
        <v>465203.94310905912</v>
      </c>
      <c r="U84" s="42">
        <f t="shared" si="13"/>
        <v>23260.197155452799</v>
      </c>
      <c r="V84" s="6">
        <f>VLOOKUP($N$1,$D$4:$J$15,MATCH(F$4,$D$4:$J$4,0),0)*角色成长!E97*角色成长!$L$15*AB84/AA84/(1+$Y$2*($Z$2-1))</f>
        <v>9558.277920033941</v>
      </c>
      <c r="W84" s="6">
        <f>VLOOKUP($N$1,$D$4:$J$15,MATCH(G$4,$D$4:$J$4,0),0)*角色成长!F97*角色成长!$L$15/(1+X84/角色成长!$N$16)</f>
        <v>79519.486933127177</v>
      </c>
      <c r="X84" s="6">
        <f>VLOOKUP($N$1,$D$4:$J$15,MATCH(H$4,$D$4:$J$4,0),0)*角色成长!G97*角色成长!$L$15</f>
        <v>177005.1466672949</v>
      </c>
      <c r="Y84" s="1">
        <v>0.05</v>
      </c>
      <c r="Z84" s="1">
        <v>1.5</v>
      </c>
      <c r="AA84" s="1">
        <f>VLOOKUP($N$1,$D$4:$J$15,MATCH(I$4,$D$4:$J$4,0),0)*角色成长!J97</f>
        <v>1</v>
      </c>
      <c r="AB84" s="1">
        <f t="shared" si="8"/>
        <v>0.9</v>
      </c>
      <c r="AC84" s="6"/>
      <c r="AD84" s="22"/>
      <c r="AE84" s="22"/>
      <c r="AF84" s="22"/>
      <c r="AG84" s="9"/>
      <c r="AH84" s="9"/>
      <c r="AI84" s="9"/>
      <c r="AJ84" s="9"/>
      <c r="AK84" s="9"/>
      <c r="AL84" s="9"/>
    </row>
    <row r="85" spans="5:38" ht="14.25" customHeight="1" x14ac:dyDescent="0.2">
      <c r="E85" s="6"/>
      <c r="F85" s="6"/>
      <c r="G85" s="6"/>
      <c r="H85" s="6"/>
      <c r="I85" s="26"/>
      <c r="J85" s="6"/>
      <c r="K85" s="6"/>
      <c r="L85" s="6">
        <f t="shared" si="9"/>
        <v>0.43534053476966045</v>
      </c>
      <c r="M85" s="1">
        <v>81</v>
      </c>
      <c r="N85" s="6">
        <f>VLOOKUP($N$2,角色品星!$C$16:$D$20,2,0)*VLOOKUP($N$3,角色品星!$C$3:$E$14,3,0)*V85</f>
        <v>10036.19181603564</v>
      </c>
      <c r="O85" s="6">
        <f>VLOOKUP($N$2,角色品星!$C$16:$D$20,2,0)*VLOOKUP($N$3,角色品星!$C$3:$E$14,3,0)*W85</f>
        <v>80910.390967478452</v>
      </c>
      <c r="P85" s="6">
        <f>VLOOKUP($N$2,角色品星!$C$16:$D$20,2,0)*VLOOKUP($N$3,角色品星!$C$3:$E$14,3,0)*X85</f>
        <v>185855.40400065962</v>
      </c>
      <c r="Q85" s="24">
        <f t="shared" si="10"/>
        <v>0.05</v>
      </c>
      <c r="R85" s="24">
        <f t="shared" si="11"/>
        <v>1.5</v>
      </c>
      <c r="S85" s="24">
        <f t="shared" si="12"/>
        <v>1</v>
      </c>
      <c r="T85" s="42">
        <f>N85*(1+Q85*(R85-1))*S85*战斗公式!$E$39+(P85*战斗公式!$E$40+1)*O85*战斗公式!$E$41</f>
        <v>488464.14026451192</v>
      </c>
      <c r="U85" s="42">
        <f t="shared" si="13"/>
        <v>24423.207013225649</v>
      </c>
      <c r="V85" s="6">
        <f>VLOOKUP($N$1,$D$4:$J$15,MATCH(F$4,$D$4:$J$4,0),0)*角色成长!E98*角色成长!$L$15*AB85/AA85/(1+$Y$2*($Z$2-1))</f>
        <v>10036.19181603564</v>
      </c>
      <c r="W85" s="6">
        <f>VLOOKUP($N$1,$D$4:$J$15,MATCH(G$4,$D$4:$J$4,0),0)*角色成长!F98*角色成长!$L$15/(1+X85/角色成长!$N$16)</f>
        <v>80910.390967478452</v>
      </c>
      <c r="X85" s="6">
        <f>VLOOKUP($N$1,$D$4:$J$15,MATCH(H$4,$D$4:$J$4,0),0)*角色成长!G98*角色成长!$L$15</f>
        <v>185855.40400065962</v>
      </c>
      <c r="Y85" s="1">
        <v>0.05</v>
      </c>
      <c r="Z85" s="1">
        <v>1.5</v>
      </c>
      <c r="AA85" s="1">
        <f>VLOOKUP($N$1,$D$4:$J$15,MATCH(I$4,$D$4:$J$4,0),0)*角色成长!J98</f>
        <v>1</v>
      </c>
      <c r="AB85" s="1">
        <f t="shared" si="8"/>
        <v>0.9</v>
      </c>
      <c r="AC85" s="6"/>
      <c r="AD85" s="22"/>
      <c r="AE85" s="22"/>
      <c r="AF85" s="22"/>
      <c r="AG85" s="9"/>
      <c r="AH85" s="9"/>
      <c r="AI85" s="9"/>
      <c r="AJ85" s="9"/>
      <c r="AK85" s="9"/>
      <c r="AL85" s="9"/>
    </row>
    <row r="86" spans="5:38" ht="14.25" customHeight="1" x14ac:dyDescent="0.2">
      <c r="E86" s="6"/>
      <c r="F86" s="6"/>
      <c r="G86" s="6"/>
      <c r="H86" s="6"/>
      <c r="I86" s="26"/>
      <c r="J86" s="6"/>
      <c r="K86" s="6"/>
      <c r="L86" s="6">
        <f t="shared" si="9"/>
        <v>0.42163379387814121</v>
      </c>
      <c r="M86" s="1">
        <v>82</v>
      </c>
      <c r="N86" s="6">
        <f>VLOOKUP($N$2,角色品星!$C$16:$D$20,2,0)*VLOOKUP($N$3,角色品星!$C$3:$E$14,3,0)*V86</f>
        <v>10538.00140683742</v>
      </c>
      <c r="O86" s="6">
        <f>VLOOKUP($N$2,角色品星!$C$16:$D$20,2,0)*VLOOKUP($N$3,角色品星!$C$3:$E$14,3,0)*W86</f>
        <v>82281.06505663041</v>
      </c>
      <c r="P86" s="6">
        <f>VLOOKUP($N$2,角色品星!$C$16:$D$20,2,0)*VLOOKUP($N$3,角色品星!$C$3:$E$14,3,0)*X86</f>
        <v>195148.17420069259</v>
      </c>
      <c r="Q86" s="24">
        <f t="shared" si="10"/>
        <v>0.05</v>
      </c>
      <c r="R86" s="24">
        <f t="shared" si="11"/>
        <v>1.5</v>
      </c>
      <c r="S86" s="24">
        <f t="shared" si="12"/>
        <v>1</v>
      </c>
      <c r="T86" s="42">
        <f>N86*(1+Q86*(R86-1))*S86*战斗公式!$E$39+(P86*战斗公式!$E$40+1)*O86*战斗公式!$E$41</f>
        <v>512887.34727773757</v>
      </c>
      <c r="U86" s="42">
        <f t="shared" si="13"/>
        <v>25644.367363886908</v>
      </c>
      <c r="V86" s="6">
        <f>VLOOKUP($N$1,$D$4:$J$15,MATCH(F$4,$D$4:$J$4,0),0)*角色成长!E99*角色成长!$L$15*AB86/AA86/(1+$Y$2*($Z$2-1))</f>
        <v>10538.00140683742</v>
      </c>
      <c r="W86" s="6">
        <f>VLOOKUP($N$1,$D$4:$J$15,MATCH(G$4,$D$4:$J$4,0),0)*角色成长!F99*角色成长!$L$15/(1+X86/角色成长!$N$16)</f>
        <v>82281.06505663041</v>
      </c>
      <c r="X86" s="6">
        <f>VLOOKUP($N$1,$D$4:$J$15,MATCH(H$4,$D$4:$J$4,0),0)*角色成长!G99*角色成长!$L$15</f>
        <v>195148.17420069259</v>
      </c>
      <c r="Y86" s="1">
        <v>0.05</v>
      </c>
      <c r="Z86" s="1">
        <v>1.5</v>
      </c>
      <c r="AA86" s="1">
        <f>VLOOKUP($N$1,$D$4:$J$15,MATCH(I$4,$D$4:$J$4,0),0)*角色成长!J99</f>
        <v>1</v>
      </c>
      <c r="AB86" s="1">
        <f t="shared" si="8"/>
        <v>0.9</v>
      </c>
      <c r="AC86" s="6"/>
      <c r="AD86" s="22"/>
      <c r="AE86" s="22"/>
      <c r="AF86" s="22"/>
      <c r="AG86" s="9"/>
      <c r="AH86" s="9"/>
      <c r="AI86" s="9"/>
      <c r="AJ86" s="9"/>
      <c r="AK86" s="9"/>
      <c r="AL86" s="9"/>
    </row>
    <row r="87" spans="5:38" ht="14.25" customHeight="1" x14ac:dyDescent="0.2">
      <c r="E87" s="6"/>
      <c r="F87" s="6"/>
      <c r="G87" s="6"/>
      <c r="H87" s="6"/>
      <c r="I87" s="26"/>
      <c r="J87" s="6"/>
      <c r="K87" s="6"/>
      <c r="L87" s="6">
        <f t="shared" si="9"/>
        <v>0.40814091777676759</v>
      </c>
      <c r="M87" s="1">
        <v>83</v>
      </c>
      <c r="N87" s="6">
        <f>VLOOKUP($N$2,角色品星!$C$16:$D$20,2,0)*VLOOKUP($N$3,角色品星!$C$3:$E$14,3,0)*V87</f>
        <v>11064.901477179292</v>
      </c>
      <c r="O87" s="6">
        <f>VLOOKUP($N$2,角色品星!$C$16:$D$20,2,0)*VLOOKUP($N$3,角色品星!$C$3:$E$14,3,0)*W87</f>
        <v>83630.352666767765</v>
      </c>
      <c r="P87" s="6">
        <f>VLOOKUP($N$2,角色品星!$C$16:$D$20,2,0)*VLOOKUP($N$3,角色品星!$C$3:$E$14,3,0)*X87</f>
        <v>204905.58291072724</v>
      </c>
      <c r="Q87" s="24">
        <f t="shared" si="10"/>
        <v>0.05</v>
      </c>
      <c r="R87" s="24">
        <f t="shared" si="11"/>
        <v>1.5</v>
      </c>
      <c r="S87" s="24">
        <f t="shared" si="12"/>
        <v>1</v>
      </c>
      <c r="T87" s="42">
        <f>N87*(1+Q87*(R87-1))*S87*战斗公式!$E$39+(P87*战斗公式!$E$40+1)*O87*战斗公式!$E$41</f>
        <v>538531.71464162448</v>
      </c>
      <c r="U87" s="42">
        <f t="shared" si="13"/>
        <v>26926.585732081323</v>
      </c>
      <c r="V87" s="6">
        <f>VLOOKUP($N$1,$D$4:$J$15,MATCH(F$4,$D$4:$J$4,0),0)*角色成长!E100*角色成长!$L$15*AB87/AA87/(1+$Y$2*($Z$2-1))</f>
        <v>11064.901477179292</v>
      </c>
      <c r="W87" s="6">
        <f>VLOOKUP($N$1,$D$4:$J$15,MATCH(G$4,$D$4:$J$4,0),0)*角色成长!F100*角色成长!$L$15/(1+X87/角色成长!$N$16)</f>
        <v>83630.352666767765</v>
      </c>
      <c r="X87" s="6">
        <f>VLOOKUP($N$1,$D$4:$J$15,MATCH(H$4,$D$4:$J$4,0),0)*角色成长!G100*角色成长!$L$15</f>
        <v>204905.58291072724</v>
      </c>
      <c r="Y87" s="1">
        <v>0.05</v>
      </c>
      <c r="Z87" s="1">
        <v>1.5</v>
      </c>
      <c r="AA87" s="1">
        <f>VLOOKUP($N$1,$D$4:$J$15,MATCH(I$4,$D$4:$J$4,0),0)*角色成长!J100</f>
        <v>1</v>
      </c>
      <c r="AB87" s="1">
        <f t="shared" si="8"/>
        <v>0.9</v>
      </c>
      <c r="AC87" s="6"/>
      <c r="AD87" s="22"/>
      <c r="AE87" s="22"/>
      <c r="AF87" s="22"/>
      <c r="AG87" s="9"/>
      <c r="AH87" s="9"/>
      <c r="AI87" s="9"/>
      <c r="AJ87" s="9"/>
      <c r="AK87" s="9"/>
      <c r="AL87" s="9"/>
    </row>
    <row r="88" spans="5:38" ht="14.25" customHeight="1" x14ac:dyDescent="0.2">
      <c r="E88" s="6"/>
      <c r="F88" s="6"/>
      <c r="G88" s="6"/>
      <c r="H88" s="6"/>
      <c r="I88" s="26"/>
      <c r="J88" s="6"/>
      <c r="K88" s="6"/>
      <c r="L88" s="6">
        <f t="shared" si="9"/>
        <v>0.39487261317478989</v>
      </c>
      <c r="M88" s="1">
        <v>84</v>
      </c>
      <c r="N88" s="6">
        <f>VLOOKUP($N$2,角色品星!$C$16:$D$20,2,0)*VLOOKUP($N$3,角色品星!$C$3:$E$14,3,0)*V88</f>
        <v>11618.146551038257</v>
      </c>
      <c r="O88" s="6">
        <f>VLOOKUP($N$2,角色品星!$C$16:$D$20,2,0)*VLOOKUP($N$3,角色品星!$C$3:$E$14,3,0)*W88</f>
        <v>84957.183126965552</v>
      </c>
      <c r="P88" s="6">
        <f>VLOOKUP($N$2,角色品星!$C$16:$D$20,2,0)*VLOOKUP($N$3,角色品星!$C$3:$E$14,3,0)*X88</f>
        <v>215150.86205626358</v>
      </c>
      <c r="Q88" s="24">
        <f t="shared" si="10"/>
        <v>0.05</v>
      </c>
      <c r="R88" s="24">
        <f t="shared" si="11"/>
        <v>1.5</v>
      </c>
      <c r="S88" s="24">
        <f t="shared" si="12"/>
        <v>1</v>
      </c>
      <c r="T88" s="42">
        <f>N88*(1+Q88*(R88-1))*S88*战斗公式!$E$39+(P88*战斗公式!$E$40+1)*O88*战斗公式!$E$41</f>
        <v>565458.3003737058</v>
      </c>
      <c r="U88" s="42">
        <f t="shared" si="13"/>
        <v>28272.915018685278</v>
      </c>
      <c r="V88" s="6">
        <f>VLOOKUP($N$1,$D$4:$J$15,MATCH(F$4,$D$4:$J$4,0),0)*角色成长!E101*角色成长!$L$15*AB88/AA88/(1+$Y$2*($Z$2-1))</f>
        <v>11618.146551038257</v>
      </c>
      <c r="W88" s="6">
        <f>VLOOKUP($N$1,$D$4:$J$15,MATCH(G$4,$D$4:$J$4,0),0)*角色成长!F101*角色成长!$L$15/(1+X88/角色成长!$N$16)</f>
        <v>84957.183126965552</v>
      </c>
      <c r="X88" s="6">
        <f>VLOOKUP($N$1,$D$4:$J$15,MATCH(H$4,$D$4:$J$4,0),0)*角色成长!G101*角色成长!$L$15</f>
        <v>215150.86205626358</v>
      </c>
      <c r="Y88" s="1">
        <v>0.05</v>
      </c>
      <c r="Z88" s="1">
        <v>1.5</v>
      </c>
      <c r="AA88" s="1">
        <f>VLOOKUP($N$1,$D$4:$J$15,MATCH(I$4,$D$4:$J$4,0),0)*角色成长!J101</f>
        <v>1</v>
      </c>
      <c r="AB88" s="1">
        <f t="shared" si="8"/>
        <v>0.9</v>
      </c>
      <c r="AC88" s="6"/>
      <c r="AD88" s="22"/>
      <c r="AE88" s="22"/>
      <c r="AF88" s="22"/>
      <c r="AG88" s="9"/>
      <c r="AH88" s="9"/>
      <c r="AI88" s="9"/>
      <c r="AJ88" s="9"/>
      <c r="AK88" s="9"/>
      <c r="AL88" s="9"/>
    </row>
    <row r="89" spans="5:38" ht="14.25" customHeight="1" x14ac:dyDescent="0.2">
      <c r="E89" s="6"/>
      <c r="F89" s="6"/>
      <c r="G89" s="6"/>
      <c r="H89" s="6"/>
      <c r="I89" s="26"/>
      <c r="J89" s="6"/>
      <c r="K89" s="6"/>
      <c r="L89" s="6">
        <f t="shared" si="9"/>
        <v>0.38183870828278532</v>
      </c>
      <c r="M89" s="1">
        <v>85</v>
      </c>
      <c r="N89" s="6">
        <f>VLOOKUP($N$2,角色品星!$C$16:$D$20,2,0)*VLOOKUP($N$3,角色品星!$C$3:$E$14,3,0)*V89</f>
        <v>12199.053878590172</v>
      </c>
      <c r="O89" s="6">
        <f>VLOOKUP($N$2,角色品星!$C$16:$D$20,2,0)*VLOOKUP($N$3,角色品星!$C$3:$E$14,3,0)*W89</f>
        <v>86260.573616165988</v>
      </c>
      <c r="P89" s="6">
        <f>VLOOKUP($N$2,角色品星!$C$16:$D$20,2,0)*VLOOKUP($N$3,角色品星!$C$3:$E$14,3,0)*X89</f>
        <v>225908.40515907676</v>
      </c>
      <c r="Q89" s="24">
        <f t="shared" si="10"/>
        <v>0.05</v>
      </c>
      <c r="R89" s="24">
        <f t="shared" si="11"/>
        <v>1.5</v>
      </c>
      <c r="S89" s="24">
        <f t="shared" si="12"/>
        <v>1</v>
      </c>
      <c r="T89" s="42">
        <f>N89*(1+Q89*(R89-1))*S89*战斗公式!$E$39+(P89*战斗公式!$E$40+1)*O89*战斗公式!$E$41</f>
        <v>593731.21539239108</v>
      </c>
      <c r="U89" s="42">
        <f t="shared" si="13"/>
        <v>29686.560769619653</v>
      </c>
      <c r="V89" s="6">
        <f>VLOOKUP($N$1,$D$4:$J$15,MATCH(F$4,$D$4:$J$4,0),0)*角色成长!E102*角色成长!$L$15*AB89/AA89/(1+$Y$2*($Z$2-1))</f>
        <v>12199.053878590172</v>
      </c>
      <c r="W89" s="6">
        <f>VLOOKUP($N$1,$D$4:$J$15,MATCH(G$4,$D$4:$J$4,0),0)*角色成长!F102*角色成长!$L$15/(1+X89/角色成长!$N$16)</f>
        <v>86260.573616165988</v>
      </c>
      <c r="X89" s="6">
        <f>VLOOKUP($N$1,$D$4:$J$15,MATCH(H$4,$D$4:$J$4,0),0)*角色成长!G102*角色成长!$L$15</f>
        <v>225908.40515907676</v>
      </c>
      <c r="Y89" s="1">
        <v>0.05</v>
      </c>
      <c r="Z89" s="1">
        <v>1.5</v>
      </c>
      <c r="AA89" s="1">
        <f>VLOOKUP($N$1,$D$4:$J$15,MATCH(I$4,$D$4:$J$4,0),0)*角色成长!J102</f>
        <v>1</v>
      </c>
      <c r="AB89" s="1">
        <f t="shared" si="8"/>
        <v>0.9</v>
      </c>
      <c r="AC89" s="6"/>
      <c r="AD89" s="22"/>
      <c r="AE89" s="22"/>
      <c r="AF89" s="22"/>
      <c r="AG89" s="9"/>
      <c r="AH89" s="9"/>
      <c r="AI89" s="9"/>
      <c r="AJ89" s="9"/>
      <c r="AK89" s="9"/>
      <c r="AL89" s="9"/>
    </row>
    <row r="90" spans="5:38" ht="14.25" customHeight="1" x14ac:dyDescent="0.2">
      <c r="E90" s="6"/>
      <c r="F90" s="6"/>
      <c r="G90" s="6"/>
      <c r="H90" s="6"/>
      <c r="I90" s="26"/>
      <c r="J90" s="6"/>
      <c r="K90" s="6"/>
      <c r="L90" s="6">
        <f t="shared" si="9"/>
        <v>0.36904813962457322</v>
      </c>
      <c r="M90" s="1">
        <v>86</v>
      </c>
      <c r="N90" s="6">
        <f>VLOOKUP($N$2,角色品星!$C$16:$D$20,2,0)*VLOOKUP($N$3,角色品星!$C$3:$E$14,3,0)*V90</f>
        <v>12809.006572519682</v>
      </c>
      <c r="O90" s="6">
        <f>VLOOKUP($N$2,角色品星!$C$16:$D$20,2,0)*VLOOKUP($N$3,角色品星!$C$3:$E$14,3,0)*W90</f>
        <v>87539.630481987217</v>
      </c>
      <c r="P90" s="6">
        <f>VLOOKUP($N$2,角色品星!$C$16:$D$20,2,0)*VLOOKUP($N$3,角色品星!$C$3:$E$14,3,0)*X90</f>
        <v>237203.82541703063</v>
      </c>
      <c r="Q90" s="24">
        <f t="shared" si="10"/>
        <v>0.05</v>
      </c>
      <c r="R90" s="24">
        <f t="shared" si="11"/>
        <v>1.5</v>
      </c>
      <c r="S90" s="24">
        <f t="shared" si="12"/>
        <v>1</v>
      </c>
      <c r="T90" s="42">
        <f>N90*(1+Q90*(R90-1))*S90*战斗公式!$E$39+(P90*战斗公式!$E$40+1)*O90*战斗公式!$E$41</f>
        <v>623417.77616201073</v>
      </c>
      <c r="U90" s="42">
        <f t="shared" si="13"/>
        <v>31170.888808100601</v>
      </c>
      <c r="V90" s="6">
        <f>VLOOKUP($N$1,$D$4:$J$15,MATCH(F$4,$D$4:$J$4,0),0)*角色成长!E103*角色成长!$L$15*AB90/AA90/(1+$Y$2*($Z$2-1))</f>
        <v>12809.006572519682</v>
      </c>
      <c r="W90" s="6">
        <f>VLOOKUP($N$1,$D$4:$J$15,MATCH(G$4,$D$4:$J$4,0),0)*角色成长!F103*角色成长!$L$15/(1+X90/角色成长!$N$16)</f>
        <v>87539.630481987217</v>
      </c>
      <c r="X90" s="6">
        <f>VLOOKUP($N$1,$D$4:$J$15,MATCH(H$4,$D$4:$J$4,0),0)*角色成长!G103*角色成长!$L$15</f>
        <v>237203.82541703063</v>
      </c>
      <c r="Y90" s="1">
        <v>0.05</v>
      </c>
      <c r="Z90" s="1">
        <v>1.5</v>
      </c>
      <c r="AA90" s="1">
        <f>VLOOKUP($N$1,$D$4:$J$15,MATCH(I$4,$D$4:$J$4,0),0)*角色成长!J103</f>
        <v>1</v>
      </c>
      <c r="AB90" s="1">
        <f t="shared" si="8"/>
        <v>0.9</v>
      </c>
      <c r="AC90" s="6"/>
      <c r="AD90" s="22"/>
      <c r="AE90" s="22"/>
      <c r="AF90" s="22"/>
      <c r="AG90" s="9"/>
      <c r="AH90" s="9"/>
      <c r="AI90" s="9"/>
      <c r="AJ90" s="9"/>
      <c r="AK90" s="9"/>
      <c r="AL90" s="9"/>
    </row>
    <row r="91" spans="5:38" ht="14.25" customHeight="1" x14ac:dyDescent="0.2">
      <c r="E91" s="6"/>
      <c r="F91" s="6"/>
      <c r="G91" s="6"/>
      <c r="H91" s="6"/>
      <c r="I91" s="26"/>
      <c r="J91" s="6"/>
      <c r="K91" s="6"/>
      <c r="L91" s="6">
        <f t="shared" si="9"/>
        <v>0.35650894533685873</v>
      </c>
      <c r="M91" s="1">
        <v>87</v>
      </c>
      <c r="N91" s="6">
        <f>VLOOKUP($N$2,角色品星!$C$16:$D$20,2,0)*VLOOKUP($N$3,角色品星!$C$3:$E$14,3,0)*V91</f>
        <v>13449.456901145666</v>
      </c>
      <c r="O91" s="6">
        <f>VLOOKUP($N$2,角色品星!$C$16:$D$20,2,0)*VLOOKUP($N$3,角色品星!$C$3:$E$14,3,0)*W91</f>
        <v>88793.549910758666</v>
      </c>
      <c r="P91" s="6">
        <f>VLOOKUP($N$2,角色品星!$C$16:$D$20,2,0)*VLOOKUP($N$3,角色品星!$C$3:$E$14,3,0)*X91</f>
        <v>249064.01668788219</v>
      </c>
      <c r="Q91" s="24">
        <f t="shared" si="10"/>
        <v>0.05</v>
      </c>
      <c r="R91" s="24">
        <f t="shared" si="11"/>
        <v>1.5</v>
      </c>
      <c r="S91" s="24">
        <f t="shared" si="12"/>
        <v>1</v>
      </c>
      <c r="T91" s="42">
        <f>N91*(1+Q91*(R91-1))*S91*战斗公式!$E$39+(P91*战斗公式!$E$40+1)*O91*战斗公式!$E$41</f>
        <v>654588.66497011133</v>
      </c>
      <c r="U91" s="42">
        <f t="shared" si="13"/>
        <v>32729.433248505462</v>
      </c>
      <c r="V91" s="6">
        <f>VLOOKUP($N$1,$D$4:$J$15,MATCH(F$4,$D$4:$J$4,0),0)*角色成长!E104*角色成长!$L$15*AB91/AA91/(1+$Y$2*($Z$2-1))</f>
        <v>13449.456901145666</v>
      </c>
      <c r="W91" s="6">
        <f>VLOOKUP($N$1,$D$4:$J$15,MATCH(G$4,$D$4:$J$4,0),0)*角色成长!F104*角色成长!$L$15/(1+X91/角色成长!$N$16)</f>
        <v>88793.549910758666</v>
      </c>
      <c r="X91" s="6">
        <f>VLOOKUP($N$1,$D$4:$J$15,MATCH(H$4,$D$4:$J$4,0),0)*角色成长!G104*角色成长!$L$15</f>
        <v>249064.01668788219</v>
      </c>
      <c r="Y91" s="1">
        <v>0.05</v>
      </c>
      <c r="Z91" s="1">
        <v>1.5</v>
      </c>
      <c r="AA91" s="1">
        <f>VLOOKUP($N$1,$D$4:$J$15,MATCH(I$4,$D$4:$J$4,0),0)*角色成长!J104</f>
        <v>1</v>
      </c>
      <c r="AB91" s="1">
        <f t="shared" si="8"/>
        <v>0.9</v>
      </c>
      <c r="AC91" s="6"/>
      <c r="AD91" s="22"/>
      <c r="AE91" s="22"/>
      <c r="AF91" s="22"/>
      <c r="AG91" s="9"/>
      <c r="AH91" s="9"/>
      <c r="AI91" s="9"/>
      <c r="AJ91" s="9"/>
      <c r="AK91" s="9"/>
      <c r="AL91" s="9"/>
    </row>
    <row r="92" spans="5:38" ht="14.25" customHeight="1" x14ac:dyDescent="0.2">
      <c r="E92" s="6"/>
      <c r="F92" s="6"/>
      <c r="G92" s="6"/>
      <c r="H92" s="6"/>
      <c r="I92" s="26"/>
      <c r="J92" s="6"/>
      <c r="K92" s="6"/>
      <c r="L92" s="6">
        <f t="shared" si="9"/>
        <v>0.34422826469330309</v>
      </c>
      <c r="M92" s="1">
        <v>88</v>
      </c>
      <c r="N92" s="6">
        <f>VLOOKUP($N$2,角色品星!$C$16:$D$20,2,0)*VLOOKUP($N$3,角色品星!$C$3:$E$14,3,0)*V92</f>
        <v>14121.929746202948</v>
      </c>
      <c r="O92" s="6">
        <f>VLOOKUP($N$2,角色品星!$C$16:$D$20,2,0)*VLOOKUP($N$3,角色品星!$C$3:$E$14,3,0)*W92</f>
        <v>90021.617975114234</v>
      </c>
      <c r="P92" s="6">
        <f>VLOOKUP($N$2,角色品星!$C$16:$D$20,2,0)*VLOOKUP($N$3,角色品星!$C$3:$E$14,3,0)*X92</f>
        <v>261517.21752227627</v>
      </c>
      <c r="Q92" s="24">
        <f t="shared" si="10"/>
        <v>0.05</v>
      </c>
      <c r="R92" s="24">
        <f t="shared" si="11"/>
        <v>1.5</v>
      </c>
      <c r="S92" s="24">
        <f t="shared" si="12"/>
        <v>1</v>
      </c>
      <c r="T92" s="42">
        <f>N92*(1+Q92*(R92-1))*S92*战斗公式!$E$39+(P92*战斗公式!$E$40+1)*O92*战斗公式!$E$41</f>
        <v>687318.0982186168</v>
      </c>
      <c r="U92" s="42">
        <f t="shared" si="13"/>
        <v>34365.904910930898</v>
      </c>
      <c r="V92" s="6">
        <f>VLOOKUP($N$1,$D$4:$J$15,MATCH(F$4,$D$4:$J$4,0),0)*角色成长!E105*角色成长!$L$15*AB92/AA92/(1+$Y$2*($Z$2-1))</f>
        <v>14121.929746202948</v>
      </c>
      <c r="W92" s="6">
        <f>VLOOKUP($N$1,$D$4:$J$15,MATCH(G$4,$D$4:$J$4,0),0)*角色成长!F105*角色成长!$L$15/(1+X92/角色成长!$N$16)</f>
        <v>90021.617975114234</v>
      </c>
      <c r="X92" s="6">
        <f>VLOOKUP($N$1,$D$4:$J$15,MATCH(H$4,$D$4:$J$4,0),0)*角色成长!G105*角色成长!$L$15</f>
        <v>261517.21752227627</v>
      </c>
      <c r="Y92" s="1">
        <v>0.05</v>
      </c>
      <c r="Z92" s="1">
        <v>1.5</v>
      </c>
      <c r="AA92" s="1">
        <f>VLOOKUP($N$1,$D$4:$J$15,MATCH(I$4,$D$4:$J$4,0),0)*角色成长!J105</f>
        <v>1</v>
      </c>
      <c r="AB92" s="1">
        <f t="shared" si="8"/>
        <v>0.9</v>
      </c>
      <c r="AC92" s="6"/>
      <c r="AD92" s="22"/>
      <c r="AE92" s="22"/>
      <c r="AF92" s="22"/>
      <c r="AG92" s="9"/>
      <c r="AH92" s="9"/>
      <c r="AI92" s="9"/>
      <c r="AJ92" s="9"/>
      <c r="AK92" s="9"/>
      <c r="AL92" s="9"/>
    </row>
    <row r="93" spans="5:38" ht="14.25" customHeight="1" x14ac:dyDescent="0.2">
      <c r="E93" s="6"/>
      <c r="F93" s="6"/>
      <c r="G93" s="6"/>
      <c r="H93" s="6"/>
      <c r="I93" s="26"/>
      <c r="J93" s="6"/>
      <c r="K93" s="6"/>
      <c r="L93" s="6">
        <f t="shared" si="9"/>
        <v>0.33221234352892781</v>
      </c>
      <c r="M93" s="1">
        <v>89</v>
      </c>
      <c r="N93" s="6">
        <f>VLOOKUP($N$2,角色品星!$C$16:$D$20,2,0)*VLOOKUP($N$3,角色品星!$C$3:$E$14,3,0)*V93</f>
        <v>14828.026233513096</v>
      </c>
      <c r="O93" s="6">
        <f>VLOOKUP($N$2,角色品星!$C$16:$D$20,2,0)*VLOOKUP($N$3,角色品星!$C$3:$E$14,3,0)*W93</f>
        <v>91223.21009155178</v>
      </c>
      <c r="P93" s="6">
        <f>VLOOKUP($N$2,角色品星!$C$16:$D$20,2,0)*VLOOKUP($N$3,角色品星!$C$3:$E$14,3,0)*X93</f>
        <v>274593.07839839009</v>
      </c>
      <c r="Q93" s="24">
        <f t="shared" si="10"/>
        <v>0.05</v>
      </c>
      <c r="R93" s="24">
        <f t="shared" si="11"/>
        <v>1.5</v>
      </c>
      <c r="S93" s="24">
        <f t="shared" si="12"/>
        <v>1</v>
      </c>
      <c r="T93" s="42">
        <f>N93*(1+Q93*(R93-1))*S93*战斗公式!$E$39+(P93*战斗公式!$E$40+1)*O93*战斗公式!$E$41</f>
        <v>721684.00312954769</v>
      </c>
      <c r="U93" s="42">
        <f t="shared" si="13"/>
        <v>36084.200156477513</v>
      </c>
      <c r="V93" s="6">
        <f>VLOOKUP($N$1,$D$4:$J$15,MATCH(F$4,$D$4:$J$4,0),0)*角色成长!E106*角色成长!$L$15*AB93/AA93/(1+$Y$2*($Z$2-1))</f>
        <v>14828.026233513096</v>
      </c>
      <c r="W93" s="6">
        <f>VLOOKUP($N$1,$D$4:$J$15,MATCH(G$4,$D$4:$J$4,0),0)*角色成长!F106*角色成长!$L$15/(1+X93/角色成长!$N$16)</f>
        <v>91223.21009155178</v>
      </c>
      <c r="X93" s="6">
        <f>VLOOKUP($N$1,$D$4:$J$15,MATCH(H$4,$D$4:$J$4,0),0)*角色成长!G106*角色成长!$L$15</f>
        <v>274593.07839839009</v>
      </c>
      <c r="Y93" s="1">
        <v>0.05</v>
      </c>
      <c r="Z93" s="1">
        <v>1.5</v>
      </c>
      <c r="AA93" s="1">
        <f>VLOOKUP($N$1,$D$4:$J$15,MATCH(I$4,$D$4:$J$4,0),0)*角色成长!J106</f>
        <v>1</v>
      </c>
      <c r="AB93" s="1">
        <f t="shared" si="8"/>
        <v>0.9</v>
      </c>
      <c r="AC93" s="6"/>
      <c r="AD93" s="22"/>
      <c r="AE93" s="22"/>
      <c r="AF93" s="22"/>
      <c r="AG93" s="9"/>
      <c r="AH93" s="9"/>
      <c r="AI93" s="9"/>
      <c r="AJ93" s="9"/>
      <c r="AK93" s="9"/>
      <c r="AL93" s="9"/>
    </row>
    <row r="94" spans="5:38" ht="14.25" customHeight="1" x14ac:dyDescent="0.2">
      <c r="E94" s="6"/>
      <c r="F94" s="6"/>
      <c r="G94" s="6"/>
      <c r="H94" s="6"/>
      <c r="I94" s="26"/>
      <c r="J94" s="6"/>
      <c r="K94" s="6"/>
      <c r="L94" s="6">
        <f t="shared" si="9"/>
        <v>0.32046654518911072</v>
      </c>
      <c r="M94" s="1">
        <v>90</v>
      </c>
      <c r="N94" s="6">
        <f>VLOOKUP($N$2,角色品星!$C$16:$D$20,2,0)*VLOOKUP($N$3,角色品星!$C$3:$E$14,3,0)*V94</f>
        <v>15569.427545188753</v>
      </c>
      <c r="O94" s="6">
        <f>VLOOKUP($N$2,角色品星!$C$16:$D$20,2,0)*VLOOKUP($N$3,角色品星!$C$3:$E$14,3,0)*W94</f>
        <v>92397.789925533449</v>
      </c>
      <c r="P94" s="6">
        <f>VLOOKUP($N$2,角色品星!$C$16:$D$20,2,0)*VLOOKUP($N$3,角色品星!$C$3:$E$14,3,0)*X94</f>
        <v>288322.73231830966</v>
      </c>
      <c r="Q94" s="24">
        <f t="shared" si="10"/>
        <v>0.05</v>
      </c>
      <c r="R94" s="24">
        <f t="shared" si="11"/>
        <v>1.5</v>
      </c>
      <c r="S94" s="24">
        <f t="shared" si="12"/>
        <v>1</v>
      </c>
      <c r="T94" s="42">
        <f>N94*(1+Q94*(R94-1))*S94*战斗公式!$E$39+(P94*战斗公式!$E$40+1)*O94*战斗公式!$E$41</f>
        <v>757768.20328602521</v>
      </c>
      <c r="U94" s="42">
        <f t="shared" si="13"/>
        <v>37888.410164301167</v>
      </c>
      <c r="V94" s="6">
        <f>VLOOKUP($N$1,$D$4:$J$15,MATCH(F$4,$D$4:$J$4,0),0)*角色成长!E107*角色成长!$L$15*AB94/AA94/(1+$Y$2*($Z$2-1))</f>
        <v>15569.427545188753</v>
      </c>
      <c r="W94" s="6">
        <f>VLOOKUP($N$1,$D$4:$J$15,MATCH(G$4,$D$4:$J$4,0),0)*角色成长!F107*角色成长!$L$15/(1+X94/角色成长!$N$16)</f>
        <v>92397.789925533449</v>
      </c>
      <c r="X94" s="6">
        <f>VLOOKUP($N$1,$D$4:$J$15,MATCH(H$4,$D$4:$J$4,0),0)*角色成长!G107*角色成长!$L$15</f>
        <v>288322.73231830966</v>
      </c>
      <c r="Y94" s="1">
        <v>0.05</v>
      </c>
      <c r="Z94" s="1">
        <v>1.5</v>
      </c>
      <c r="AA94" s="1">
        <f>VLOOKUP($N$1,$D$4:$J$15,MATCH(I$4,$D$4:$J$4,0),0)*角色成长!J107</f>
        <v>1</v>
      </c>
      <c r="AB94" s="1">
        <f t="shared" si="8"/>
        <v>0.9</v>
      </c>
      <c r="AC94" s="6"/>
      <c r="AD94" s="22"/>
      <c r="AE94" s="22"/>
      <c r="AF94" s="22"/>
      <c r="AG94" s="9"/>
      <c r="AH94" s="9"/>
      <c r="AI94" s="9"/>
      <c r="AJ94" s="9"/>
      <c r="AK94" s="9"/>
      <c r="AL94" s="9"/>
    </row>
    <row r="95" spans="5:38" ht="14.25" customHeight="1" x14ac:dyDescent="0.2">
      <c r="E95" s="6"/>
      <c r="F95" s="6"/>
      <c r="G95" s="6"/>
      <c r="H95" s="6"/>
      <c r="I95" s="26"/>
      <c r="J95" s="6"/>
      <c r="K95" s="6"/>
      <c r="L95" s="6">
        <f t="shared" si="9"/>
        <v>0.30899536658521198</v>
      </c>
      <c r="M95" s="1">
        <v>91</v>
      </c>
      <c r="N95" s="6">
        <f>VLOOKUP($N$2,角色品星!$C$16:$D$20,2,0)*VLOOKUP($N$3,角色品星!$C$3:$E$14,3,0)*V95</f>
        <v>16347.898922448192</v>
      </c>
      <c r="O95" s="6">
        <f>VLOOKUP($N$2,角色品星!$C$16:$D$20,2,0)*VLOOKUP($N$3,角色品星!$C$3:$E$14,3,0)*W95</f>
        <v>93544.907785923337</v>
      </c>
      <c r="P95" s="6">
        <f>VLOOKUP($N$2,角色品星!$C$16:$D$20,2,0)*VLOOKUP($N$3,角色品星!$C$3:$E$14,3,0)*X95</f>
        <v>302738.86893422512</v>
      </c>
      <c r="Q95" s="24">
        <f t="shared" si="10"/>
        <v>0.05</v>
      </c>
      <c r="R95" s="24">
        <f t="shared" si="11"/>
        <v>1.5</v>
      </c>
      <c r="S95" s="24">
        <f t="shared" si="12"/>
        <v>1</v>
      </c>
      <c r="T95" s="42">
        <f>N95*(1+Q95*(R95-1))*S95*战斗公式!$E$39+(P95*战斗公式!$E$40+1)*O95*战斗公式!$E$41</f>
        <v>795656.61345032637</v>
      </c>
      <c r="U95" s="42">
        <f t="shared" si="13"/>
        <v>39782.830672516488</v>
      </c>
      <c r="V95" s="6">
        <f>VLOOKUP($N$1,$D$4:$J$15,MATCH(F$4,$D$4:$J$4,0),0)*角色成长!E108*角色成长!$L$15*AB95/AA95/(1+$Y$2*($Z$2-1))</f>
        <v>16347.898922448192</v>
      </c>
      <c r="W95" s="6">
        <f>VLOOKUP($N$1,$D$4:$J$15,MATCH(G$4,$D$4:$J$4,0),0)*角色成长!F108*角色成长!$L$15/(1+X95/角色成长!$N$16)</f>
        <v>93544.907785923337</v>
      </c>
      <c r="X95" s="6">
        <f>VLOOKUP($N$1,$D$4:$J$15,MATCH(H$4,$D$4:$J$4,0),0)*角色成长!G108*角色成长!$L$15</f>
        <v>302738.86893422512</v>
      </c>
      <c r="Y95" s="1">
        <v>0.05</v>
      </c>
      <c r="Z95" s="1">
        <v>1.5</v>
      </c>
      <c r="AA95" s="1">
        <f>VLOOKUP($N$1,$D$4:$J$15,MATCH(I$4,$D$4:$J$4,0),0)*角色成长!J108</f>
        <v>1</v>
      </c>
      <c r="AB95" s="1">
        <f t="shared" si="8"/>
        <v>0.9</v>
      </c>
      <c r="AC95" s="6"/>
      <c r="AD95" s="22"/>
      <c r="AE95" s="22"/>
      <c r="AF95" s="22"/>
      <c r="AG95" s="9"/>
      <c r="AH95" s="9"/>
      <c r="AI95" s="9"/>
      <c r="AJ95" s="9"/>
      <c r="AK95" s="9"/>
      <c r="AL95" s="9"/>
    </row>
    <row r="96" spans="5:38" ht="14.25" customHeight="1" x14ac:dyDescent="0.2">
      <c r="E96" s="6"/>
      <c r="F96" s="6"/>
      <c r="G96" s="6"/>
      <c r="H96" s="6"/>
      <c r="I96" s="26"/>
      <c r="J96" s="6"/>
      <c r="K96" s="6"/>
      <c r="L96" s="6">
        <f t="shared" si="9"/>
        <v>0.29780245890614204</v>
      </c>
      <c r="M96" s="1">
        <v>92</v>
      </c>
      <c r="N96" s="6">
        <f>VLOOKUP($N$2,角色品星!$C$16:$D$20,2,0)*VLOOKUP($N$3,角色品星!$C$3:$E$14,3,0)*V96</f>
        <v>17165.293868570603</v>
      </c>
      <c r="O96" s="6">
        <f>VLOOKUP($N$2,角色品星!$C$16:$D$20,2,0)*VLOOKUP($N$3,角色品星!$C$3:$E$14,3,0)*W96</f>
        <v>94664.198553830327</v>
      </c>
      <c r="P96" s="6">
        <f>VLOOKUP($N$2,角色品星!$C$16:$D$20,2,0)*VLOOKUP($N$3,角色品星!$C$3:$E$14,3,0)*X96</f>
        <v>317875.8123809364</v>
      </c>
      <c r="Q96" s="24">
        <f t="shared" si="10"/>
        <v>0.05</v>
      </c>
      <c r="R96" s="24">
        <f t="shared" si="11"/>
        <v>1.5</v>
      </c>
      <c r="S96" s="24">
        <f t="shared" si="12"/>
        <v>1</v>
      </c>
      <c r="T96" s="42">
        <f>N96*(1+Q96*(R96-1))*S96*战斗公式!$E$39+(P96*战斗公式!$E$40+1)*O96*战斗公式!$E$41</f>
        <v>835439.44412284286</v>
      </c>
      <c r="U96" s="42">
        <f t="shared" si="13"/>
        <v>41771.972206142149</v>
      </c>
      <c r="V96" s="6">
        <f>VLOOKUP($N$1,$D$4:$J$15,MATCH(F$4,$D$4:$J$4,0),0)*角色成长!E109*角色成长!$L$15*AB96/AA96/(1+$Y$2*($Z$2-1))</f>
        <v>17165.293868570603</v>
      </c>
      <c r="W96" s="6">
        <f>VLOOKUP($N$1,$D$4:$J$15,MATCH(G$4,$D$4:$J$4,0),0)*角色成长!F109*角色成长!$L$15/(1+X96/角色成长!$N$16)</f>
        <v>94664.198553830327</v>
      </c>
      <c r="X96" s="6">
        <f>VLOOKUP($N$1,$D$4:$J$15,MATCH(H$4,$D$4:$J$4,0),0)*角色成长!G109*角色成长!$L$15</f>
        <v>317875.8123809364</v>
      </c>
      <c r="Y96" s="1">
        <v>0.05</v>
      </c>
      <c r="Z96" s="1">
        <v>1.5</v>
      </c>
      <c r="AA96" s="1">
        <f>VLOOKUP($N$1,$D$4:$J$15,MATCH(I$4,$D$4:$J$4,0),0)*角色成长!J109</f>
        <v>1</v>
      </c>
      <c r="AB96" s="1">
        <f t="shared" si="8"/>
        <v>0.9</v>
      </c>
      <c r="AC96" s="6"/>
      <c r="AD96" s="22"/>
      <c r="AE96" s="22"/>
      <c r="AF96" s="22"/>
      <c r="AG96" s="9"/>
      <c r="AH96" s="9"/>
      <c r="AI96" s="9"/>
      <c r="AJ96" s="9"/>
      <c r="AK96" s="9"/>
      <c r="AL96" s="9"/>
    </row>
    <row r="97" spans="5:38" ht="14.25" customHeight="1" x14ac:dyDescent="0.2">
      <c r="E97" s="6"/>
      <c r="F97" s="6"/>
      <c r="G97" s="6"/>
      <c r="H97" s="6"/>
      <c r="I97" s="26"/>
      <c r="J97" s="6"/>
      <c r="K97" s="6"/>
      <c r="L97" s="6">
        <f t="shared" si="9"/>
        <v>0.28689065251178825</v>
      </c>
      <c r="M97" s="1">
        <v>93</v>
      </c>
      <c r="N97" s="6">
        <f>VLOOKUP($N$2,角色品星!$C$16:$D$20,2,0)*VLOOKUP($N$3,角色品星!$C$3:$E$14,3,0)*V97</f>
        <v>18023.558561999133</v>
      </c>
      <c r="O97" s="6">
        <f>VLOOKUP($N$2,角色品星!$C$16:$D$20,2,0)*VLOOKUP($N$3,角色品星!$C$3:$E$14,3,0)*W97</f>
        <v>95755.379193265704</v>
      </c>
      <c r="P97" s="6">
        <f>VLOOKUP($N$2,角色品星!$C$16:$D$20,2,0)*VLOOKUP($N$3,角色品星!$C$3:$E$14,3,0)*X97</f>
        <v>333769.60299998324</v>
      </c>
      <c r="Q97" s="24">
        <f t="shared" si="10"/>
        <v>0.05</v>
      </c>
      <c r="R97" s="24">
        <f t="shared" si="11"/>
        <v>1.5</v>
      </c>
      <c r="S97" s="24">
        <f t="shared" si="12"/>
        <v>1</v>
      </c>
      <c r="T97" s="42">
        <f>N97*(1+Q97*(R97-1))*S97*战斗公式!$E$39+(P97*战斗公式!$E$40+1)*O97*战斗公式!$E$41</f>
        <v>877211.41632898501</v>
      </c>
      <c r="U97" s="42">
        <f t="shared" si="13"/>
        <v>43860.570816449123</v>
      </c>
      <c r="V97" s="6">
        <f>VLOOKUP($N$1,$D$4:$J$15,MATCH(F$4,$D$4:$J$4,0),0)*角色成长!E110*角色成长!$L$15*AB97/AA97/(1+$Y$2*($Z$2-1))</f>
        <v>18023.558561999133</v>
      </c>
      <c r="W97" s="6">
        <f>VLOOKUP($N$1,$D$4:$J$15,MATCH(G$4,$D$4:$J$4,0),0)*角色成长!F110*角色成长!$L$15/(1+X97/角色成长!$N$16)</f>
        <v>95755.379193265704</v>
      </c>
      <c r="X97" s="6">
        <f>VLOOKUP($N$1,$D$4:$J$15,MATCH(H$4,$D$4:$J$4,0),0)*角色成长!G110*角色成长!$L$15</f>
        <v>333769.60299998324</v>
      </c>
      <c r="Y97" s="1">
        <v>0.05</v>
      </c>
      <c r="Z97" s="1">
        <v>1.5</v>
      </c>
      <c r="AA97" s="1">
        <f>VLOOKUP($N$1,$D$4:$J$15,MATCH(I$4,$D$4:$J$4,0),0)*角色成长!J110</f>
        <v>1</v>
      </c>
      <c r="AB97" s="1">
        <f t="shared" si="8"/>
        <v>0.9</v>
      </c>
      <c r="AC97" s="6"/>
      <c r="AD97" s="22"/>
      <c r="AE97" s="22"/>
      <c r="AF97" s="22"/>
      <c r="AG97" s="9"/>
      <c r="AH97" s="9"/>
      <c r="AI97" s="9"/>
      <c r="AJ97" s="9"/>
      <c r="AK97" s="9"/>
      <c r="AL97" s="9"/>
    </row>
    <row r="98" spans="5:38" ht="14.25" customHeight="1" x14ac:dyDescent="0.2">
      <c r="E98" s="6"/>
      <c r="F98" s="6"/>
      <c r="G98" s="6"/>
      <c r="H98" s="6"/>
      <c r="I98" s="26"/>
      <c r="J98" s="6"/>
      <c r="K98" s="6"/>
      <c r="L98" s="6">
        <f t="shared" si="9"/>
        <v>0.2762619855197716</v>
      </c>
      <c r="M98" s="1">
        <v>94</v>
      </c>
      <c r="N98" s="6">
        <f>VLOOKUP($N$2,角色品星!$C$16:$D$20,2,0)*VLOOKUP($N$3,角色品星!$C$3:$E$14,3,0)*V98</f>
        <v>18924.736490099091</v>
      </c>
      <c r="O98" s="6">
        <f>VLOOKUP($N$2,角色品星!$C$16:$D$20,2,0)*VLOOKUP($N$3,角色品星!$C$3:$E$14,3,0)*W98</f>
        <v>96818.245892467356</v>
      </c>
      <c r="P98" s="6">
        <f>VLOOKUP($N$2,角色品星!$C$16:$D$20,2,0)*VLOOKUP($N$3,角色品星!$C$3:$E$14,3,0)*X98</f>
        <v>350458.08314998244</v>
      </c>
      <c r="Q98" s="24">
        <f t="shared" si="10"/>
        <v>0.05</v>
      </c>
      <c r="R98" s="24">
        <f t="shared" si="11"/>
        <v>1.5</v>
      </c>
      <c r="S98" s="24">
        <f t="shared" si="12"/>
        <v>1</v>
      </c>
      <c r="T98" s="42">
        <f>N98*(1+Q98*(R98-1))*S98*战斗公式!$E$39+(P98*战斗公式!$E$40+1)*O98*战斗公式!$E$41</f>
        <v>921071.98714543413</v>
      </c>
      <c r="U98" s="42">
        <f t="shared" si="13"/>
        <v>46053.5993572718</v>
      </c>
      <c r="V98" s="6">
        <f>VLOOKUP($N$1,$D$4:$J$15,MATCH(F$4,$D$4:$J$4,0),0)*角色成长!E111*角色成长!$L$15*AB98/AA98/(1+$Y$2*($Z$2-1))</f>
        <v>18924.736490099091</v>
      </c>
      <c r="W98" s="6">
        <f>VLOOKUP($N$1,$D$4:$J$15,MATCH(G$4,$D$4:$J$4,0),0)*角色成长!F111*角色成长!$L$15/(1+X98/角色成长!$N$16)</f>
        <v>96818.245892467356</v>
      </c>
      <c r="X98" s="6">
        <f>VLOOKUP($N$1,$D$4:$J$15,MATCH(H$4,$D$4:$J$4,0),0)*角色成长!G111*角色成长!$L$15</f>
        <v>350458.08314998244</v>
      </c>
      <c r="Y98" s="1">
        <v>0.05</v>
      </c>
      <c r="Z98" s="1">
        <v>1.5</v>
      </c>
      <c r="AA98" s="1">
        <f>VLOOKUP($N$1,$D$4:$J$15,MATCH(I$4,$D$4:$J$4,0),0)*角色成长!J111</f>
        <v>1</v>
      </c>
      <c r="AB98" s="1">
        <f t="shared" si="8"/>
        <v>0.9</v>
      </c>
      <c r="AC98" s="6"/>
      <c r="AD98" s="22"/>
      <c r="AE98" s="22"/>
      <c r="AF98" s="22"/>
      <c r="AG98" s="9"/>
      <c r="AH98" s="9"/>
      <c r="AI98" s="9"/>
      <c r="AJ98" s="9"/>
      <c r="AK98" s="9"/>
      <c r="AL98" s="9"/>
    </row>
    <row r="99" spans="5:38" ht="14.25" customHeight="1" x14ac:dyDescent="0.2">
      <c r="E99" s="6"/>
      <c r="F99" s="6"/>
      <c r="G99" s="6"/>
      <c r="H99" s="6"/>
      <c r="I99" s="26"/>
      <c r="J99" s="6"/>
      <c r="K99" s="6"/>
      <c r="L99" s="6">
        <f t="shared" si="9"/>
        <v>0.26591773559099685</v>
      </c>
      <c r="M99" s="1">
        <v>95</v>
      </c>
      <c r="N99" s="6">
        <f>VLOOKUP($N$2,角色品星!$C$16:$D$20,2,0)*VLOOKUP($N$3,角色品星!$C$3:$E$14,3,0)*V99</f>
        <v>19870.973314604045</v>
      </c>
      <c r="O99" s="6">
        <f>VLOOKUP($N$2,角色品星!$C$16:$D$20,2,0)*VLOOKUP($N$3,角色品星!$C$3:$E$14,3,0)*W99</f>
        <v>97852.670885344851</v>
      </c>
      <c r="P99" s="6">
        <f>VLOOKUP($N$2,角色品星!$C$16:$D$20,2,0)*VLOOKUP($N$3,角色品星!$C$3:$E$14,3,0)*X99</f>
        <v>367980.98730748153</v>
      </c>
      <c r="Q99" s="24">
        <f t="shared" si="10"/>
        <v>0.05</v>
      </c>
      <c r="R99" s="24">
        <f t="shared" si="11"/>
        <v>1.5</v>
      </c>
      <c r="S99" s="24">
        <f t="shared" si="12"/>
        <v>1</v>
      </c>
      <c r="T99" s="42">
        <f>N99*(1+Q99*(R99-1))*S99*战斗公式!$E$39+(P99*战斗公式!$E$40+1)*O99*战斗公式!$E$41</f>
        <v>967125.58650270593</v>
      </c>
      <c r="U99" s="42">
        <f t="shared" si="13"/>
        <v>48356.279325135285</v>
      </c>
      <c r="V99" s="6">
        <f>VLOOKUP($N$1,$D$4:$J$15,MATCH(F$4,$D$4:$J$4,0),0)*角色成长!E112*角色成长!$L$15*AB99/AA99/(1+$Y$2*($Z$2-1))</f>
        <v>19870.973314604045</v>
      </c>
      <c r="W99" s="6">
        <f>VLOOKUP($N$1,$D$4:$J$15,MATCH(G$4,$D$4:$J$4,0),0)*角色成长!F112*角色成长!$L$15/(1+X99/角色成长!$N$16)</f>
        <v>97852.670885344851</v>
      </c>
      <c r="X99" s="6">
        <f>VLOOKUP($N$1,$D$4:$J$15,MATCH(H$4,$D$4:$J$4,0),0)*角色成长!G112*角色成长!$L$15</f>
        <v>367980.98730748153</v>
      </c>
      <c r="Y99" s="1">
        <v>0.05</v>
      </c>
      <c r="Z99" s="1">
        <v>1.5</v>
      </c>
      <c r="AA99" s="1">
        <f>VLOOKUP($N$1,$D$4:$J$15,MATCH(I$4,$D$4:$J$4,0),0)*角色成长!J112</f>
        <v>1</v>
      </c>
      <c r="AB99" s="1">
        <f t="shared" si="8"/>
        <v>0.9</v>
      </c>
      <c r="AC99" s="6"/>
      <c r="AD99" s="22"/>
      <c r="AE99" s="22"/>
      <c r="AF99" s="22"/>
      <c r="AG99" s="9"/>
      <c r="AH99" s="9"/>
      <c r="AI99" s="9"/>
      <c r="AJ99" s="9"/>
      <c r="AK99" s="9"/>
      <c r="AL99" s="9"/>
    </row>
    <row r="100" spans="5:38" ht="14.25" customHeight="1" x14ac:dyDescent="0.2">
      <c r="E100" s="6"/>
      <c r="F100" s="6"/>
      <c r="G100" s="6"/>
      <c r="H100" s="6"/>
      <c r="I100" s="26"/>
      <c r="J100" s="6"/>
      <c r="K100" s="6"/>
      <c r="L100" s="6">
        <f t="shared" si="9"/>
        <v>0.25585845442120231</v>
      </c>
      <c r="M100" s="1">
        <v>96</v>
      </c>
      <c r="N100" s="6">
        <f>VLOOKUP($N$2,角色品星!$C$16:$D$20,2,0)*VLOOKUP($N$3,角色品星!$C$3:$E$14,3,0)*V100</f>
        <v>20864.521980334244</v>
      </c>
      <c r="O100" s="6">
        <f>VLOOKUP($N$2,角色品星!$C$16:$D$20,2,0)*VLOOKUP($N$3,角色品星!$C$3:$E$14,3,0)*W100</f>
        <v>98858.599002324307</v>
      </c>
      <c r="P100" s="6">
        <f>VLOOKUP($N$2,角色品星!$C$16:$D$20,2,0)*VLOOKUP($N$3,角色品星!$C$3:$E$14,3,0)*X100</f>
        <v>386380.03667285561</v>
      </c>
      <c r="Q100" s="24">
        <f t="shared" si="10"/>
        <v>0.05</v>
      </c>
      <c r="R100" s="24">
        <f t="shared" si="11"/>
        <v>1.5</v>
      </c>
      <c r="S100" s="24">
        <f t="shared" si="12"/>
        <v>1</v>
      </c>
      <c r="T100" s="42">
        <f>N100*(1+Q100*(R100-1))*S100*战斗公式!$E$39+(P100*战斗公式!$E$40+1)*O100*战斗公式!$E$41</f>
        <v>1015481.8658278412</v>
      </c>
      <c r="U100" s="42">
        <f t="shared" si="13"/>
        <v>50774.093291392084</v>
      </c>
      <c r="V100" s="6">
        <f>VLOOKUP($N$1,$D$4:$J$15,MATCH(F$4,$D$4:$J$4,0),0)*角色成长!E113*角色成长!$L$15*AB100/AA100/(1+$Y$2*($Z$2-1))</f>
        <v>20864.521980334244</v>
      </c>
      <c r="W100" s="6">
        <f>VLOOKUP($N$1,$D$4:$J$15,MATCH(G$4,$D$4:$J$4,0),0)*角色成长!F113*角色成长!$L$15/(1+X100/角色成长!$N$16)</f>
        <v>98858.599002324307</v>
      </c>
      <c r="X100" s="6">
        <f>VLOOKUP($N$1,$D$4:$J$15,MATCH(H$4,$D$4:$J$4,0),0)*角色成长!G113*角色成长!$L$15</f>
        <v>386380.03667285561</v>
      </c>
      <c r="Y100" s="1">
        <v>0.05</v>
      </c>
      <c r="Z100" s="1">
        <v>1.5</v>
      </c>
      <c r="AA100" s="1">
        <f>VLOOKUP($N$1,$D$4:$J$15,MATCH(I$4,$D$4:$J$4,0),0)*角色成长!J113</f>
        <v>1</v>
      </c>
      <c r="AB100" s="1">
        <f t="shared" si="8"/>
        <v>0.9</v>
      </c>
      <c r="AC100" s="6"/>
      <c r="AD100" s="22"/>
      <c r="AE100" s="22"/>
      <c r="AF100" s="22"/>
      <c r="AG100" s="9"/>
      <c r="AH100" s="9"/>
      <c r="AI100" s="9"/>
      <c r="AJ100" s="9"/>
      <c r="AK100" s="9"/>
      <c r="AL100" s="9"/>
    </row>
    <row r="101" spans="5:38" ht="14.25" customHeight="1" x14ac:dyDescent="0.2">
      <c r="E101" s="6"/>
      <c r="F101" s="6"/>
      <c r="G101" s="6"/>
      <c r="H101" s="6"/>
      <c r="I101" s="26"/>
      <c r="J101" s="6"/>
      <c r="K101" s="6"/>
      <c r="L101" s="6">
        <f t="shared" si="9"/>
        <v>0.24608400445445047</v>
      </c>
      <c r="M101" s="1">
        <v>97</v>
      </c>
      <c r="N101" s="6">
        <f>VLOOKUP($N$2,角色品星!$C$16:$D$20,2,0)*VLOOKUP($N$3,角色品星!$C$3:$E$14,3,0)*V101</f>
        <v>21907.74807935096</v>
      </c>
      <c r="O101" s="6">
        <f>VLOOKUP($N$2,角色品星!$C$16:$D$20,2,0)*VLOOKUP($N$3,角色品星!$C$3:$E$14,3,0)*W101</f>
        <v>99836.043998999448</v>
      </c>
      <c r="P101" s="6">
        <f>VLOOKUP($N$2,角色品星!$C$16:$D$20,2,0)*VLOOKUP($N$3,角色品星!$C$3:$E$14,3,0)*X101</f>
        <v>405699.0385064985</v>
      </c>
      <c r="Q101" s="24">
        <f t="shared" si="10"/>
        <v>0.05</v>
      </c>
      <c r="R101" s="24">
        <f t="shared" si="11"/>
        <v>1.5</v>
      </c>
      <c r="S101" s="24">
        <f t="shared" si="12"/>
        <v>1</v>
      </c>
      <c r="T101" s="42">
        <f>N101*(1+Q101*(R101-1))*S101*战斗公式!$E$39+(P101*战斗公式!$E$40+1)*O101*战斗公式!$E$41</f>
        <v>1066255.9591192333</v>
      </c>
      <c r="U101" s="42">
        <f t="shared" si="13"/>
        <v>53312.797955961898</v>
      </c>
      <c r="V101" s="6">
        <f>VLOOKUP($N$1,$D$4:$J$15,MATCH(F$4,$D$4:$J$4,0),0)*角色成长!E114*角色成长!$L$15*AB101/AA101/(1+$Y$2*($Z$2-1))</f>
        <v>21907.74807935096</v>
      </c>
      <c r="W101" s="6">
        <f>VLOOKUP($N$1,$D$4:$J$15,MATCH(G$4,$D$4:$J$4,0),0)*角色成长!F114*角色成长!$L$15/(1+X101/角色成长!$N$16)</f>
        <v>99836.043998999448</v>
      </c>
      <c r="X101" s="6">
        <f>VLOOKUP($N$1,$D$4:$J$15,MATCH(H$4,$D$4:$J$4,0),0)*角色成长!G114*角色成长!$L$15</f>
        <v>405699.0385064985</v>
      </c>
      <c r="Y101" s="1">
        <v>0.05</v>
      </c>
      <c r="Z101" s="1">
        <v>1.5</v>
      </c>
      <c r="AA101" s="1">
        <f>VLOOKUP($N$1,$D$4:$J$15,MATCH(I$4,$D$4:$J$4,0),0)*角色成长!J114</f>
        <v>1</v>
      </c>
      <c r="AB101" s="1">
        <f t="shared" si="8"/>
        <v>0.9</v>
      </c>
      <c r="AC101" s="6"/>
      <c r="AD101" s="22"/>
      <c r="AE101" s="22"/>
      <c r="AF101" s="22"/>
      <c r="AG101" s="9"/>
      <c r="AH101" s="9"/>
      <c r="AI101" s="9"/>
      <c r="AJ101" s="9"/>
      <c r="AK101" s="9"/>
      <c r="AL101" s="9"/>
    </row>
    <row r="102" spans="5:38" ht="14.25" customHeight="1" x14ac:dyDescent="0.2">
      <c r="E102" s="6"/>
      <c r="F102" s="6"/>
      <c r="G102" s="6"/>
      <c r="H102" s="6"/>
      <c r="I102" s="26"/>
      <c r="J102" s="6"/>
      <c r="K102" s="6"/>
      <c r="L102" s="6">
        <f t="shared" si="9"/>
        <v>0.23659359734937535</v>
      </c>
      <c r="M102" s="1">
        <v>98</v>
      </c>
      <c r="N102" s="6">
        <f>VLOOKUP($N$2,角色品星!$C$16:$D$20,2,0)*VLOOKUP($N$3,角色品星!$C$3:$E$14,3,0)*V102</f>
        <v>23003.135483318507</v>
      </c>
      <c r="O102" s="6">
        <f>VLOOKUP($N$2,角色品星!$C$16:$D$20,2,0)*VLOOKUP($N$3,角色品星!$C$3:$E$14,3,0)*W102</f>
        <v>100785.08470950698</v>
      </c>
      <c r="P102" s="6">
        <f>VLOOKUP($N$2,角色品星!$C$16:$D$20,2,0)*VLOOKUP($N$3,角色品星!$C$3:$E$14,3,0)*X102</f>
        <v>425983.99043182336</v>
      </c>
      <c r="Q102" s="24">
        <f t="shared" si="10"/>
        <v>0.05</v>
      </c>
      <c r="R102" s="24">
        <f t="shared" si="11"/>
        <v>1.5</v>
      </c>
      <c r="S102" s="24">
        <f t="shared" si="12"/>
        <v>1</v>
      </c>
      <c r="T102" s="42">
        <f>N102*(1+Q102*(R102-1))*S102*战斗公式!$E$39+(P102*战斗公式!$E$40+1)*O102*战斗公式!$E$41</f>
        <v>1119568.7570751952</v>
      </c>
      <c r="U102" s="42">
        <f t="shared" si="13"/>
        <v>55978.43785375962</v>
      </c>
      <c r="V102" s="6">
        <f>VLOOKUP($N$1,$D$4:$J$15,MATCH(F$4,$D$4:$J$4,0),0)*角色成长!E115*角色成长!$L$15*AB102/AA102/(1+$Y$2*($Z$2-1))</f>
        <v>23003.135483318507</v>
      </c>
      <c r="W102" s="6">
        <f>VLOOKUP($N$1,$D$4:$J$15,MATCH(G$4,$D$4:$J$4,0),0)*角色成长!F115*角色成长!$L$15/(1+X102/角色成长!$N$16)</f>
        <v>100785.08470950698</v>
      </c>
      <c r="X102" s="6">
        <f>VLOOKUP($N$1,$D$4:$J$15,MATCH(H$4,$D$4:$J$4,0),0)*角色成长!G115*角色成长!$L$15</f>
        <v>425983.99043182336</v>
      </c>
      <c r="Y102" s="1">
        <v>0.05</v>
      </c>
      <c r="Z102" s="1">
        <v>1.5</v>
      </c>
      <c r="AA102" s="1">
        <f>VLOOKUP($N$1,$D$4:$J$15,MATCH(I$4,$D$4:$J$4,0),0)*角色成长!J115</f>
        <v>1</v>
      </c>
      <c r="AB102" s="1">
        <f t="shared" si="8"/>
        <v>0.9</v>
      </c>
      <c r="AC102" s="6"/>
      <c r="AD102" s="22"/>
      <c r="AE102" s="22"/>
      <c r="AF102" s="22"/>
      <c r="AG102" s="9"/>
      <c r="AH102" s="9"/>
      <c r="AI102" s="9"/>
      <c r="AJ102" s="9"/>
      <c r="AK102" s="9"/>
      <c r="AL102" s="9"/>
    </row>
    <row r="103" spans="5:38" ht="14.25" customHeight="1" x14ac:dyDescent="0.2">
      <c r="E103" s="6"/>
      <c r="F103" s="6"/>
      <c r="G103" s="6"/>
      <c r="H103" s="6"/>
      <c r="I103" s="26"/>
      <c r="J103" s="6"/>
      <c r="K103" s="6"/>
      <c r="L103" s="6">
        <f t="shared" si="9"/>
        <v>0.22738583374913704</v>
      </c>
      <c r="M103" s="1">
        <v>99</v>
      </c>
      <c r="N103" s="6">
        <f>VLOOKUP($N$2,角色品星!$C$16:$D$20,2,0)*VLOOKUP($N$3,角色品星!$C$3:$E$14,3,0)*V103</f>
        <v>24153.292257484434</v>
      </c>
      <c r="O103" s="6">
        <f>VLOOKUP($N$2,角色品星!$C$16:$D$20,2,0)*VLOOKUP($N$3,角色品星!$C$3:$E$14,3,0)*W103</f>
        <v>101705.86106953082</v>
      </c>
      <c r="P103" s="6">
        <f>VLOOKUP($N$2,角色品星!$C$16:$D$20,2,0)*VLOOKUP($N$3,角色品星!$C$3:$E$14,3,0)*X103</f>
        <v>447283.18995341461</v>
      </c>
      <c r="Q103" s="24">
        <f t="shared" si="10"/>
        <v>0.05</v>
      </c>
      <c r="R103" s="24">
        <f t="shared" si="11"/>
        <v>1.5</v>
      </c>
      <c r="S103" s="24">
        <f t="shared" si="12"/>
        <v>1</v>
      </c>
      <c r="T103" s="42">
        <f>N103*(1+Q103*(R103-1))*S103*战斗公式!$E$39+(P103*战斗公式!$E$40+1)*O103*战斗公式!$E$41</f>
        <v>1175547.1949289548</v>
      </c>
      <c r="U103" s="42">
        <f t="shared" si="13"/>
        <v>58777.359746447764</v>
      </c>
      <c r="V103" s="6">
        <f>VLOOKUP($N$1,$D$4:$J$15,MATCH(F$4,$D$4:$J$4,0),0)*角色成长!E116*角色成长!$L$15*AB103/AA103/(1+$Y$2*($Z$2-1))</f>
        <v>24153.292257484434</v>
      </c>
      <c r="W103" s="6">
        <f>VLOOKUP($N$1,$D$4:$J$15,MATCH(G$4,$D$4:$J$4,0),0)*角色成长!F116*角色成长!$L$15/(1+X103/角色成长!$N$16)</f>
        <v>101705.86106953082</v>
      </c>
      <c r="X103" s="6">
        <f>VLOOKUP($N$1,$D$4:$J$15,MATCH(H$4,$D$4:$J$4,0),0)*角色成长!G116*角色成长!$L$15</f>
        <v>447283.18995341461</v>
      </c>
      <c r="Y103" s="1">
        <v>0.05</v>
      </c>
      <c r="Z103" s="1">
        <v>1.5</v>
      </c>
      <c r="AA103" s="1">
        <f>VLOOKUP($N$1,$D$4:$J$15,MATCH(I$4,$D$4:$J$4,0),0)*角色成长!J116</f>
        <v>1</v>
      </c>
      <c r="AB103" s="1">
        <f t="shared" si="8"/>
        <v>0.9</v>
      </c>
      <c r="AC103" s="6"/>
      <c r="AD103" s="22"/>
      <c r="AE103" s="22"/>
      <c r="AF103" s="22"/>
      <c r="AG103" s="9"/>
      <c r="AH103" s="9"/>
      <c r="AI103" s="9"/>
      <c r="AJ103" s="9"/>
      <c r="AK103" s="9"/>
      <c r="AL103" s="9"/>
    </row>
    <row r="104" spans="5:38" ht="14.25" customHeight="1" x14ac:dyDescent="0.2">
      <c r="E104" s="6"/>
      <c r="F104" s="6"/>
      <c r="G104" s="6"/>
      <c r="H104" s="6"/>
      <c r="I104" s="26"/>
      <c r="J104" s="6"/>
      <c r="K104" s="6"/>
      <c r="L104" s="6">
        <f t="shared" si="9"/>
        <v>0.21845874393053835</v>
      </c>
      <c r="M104" s="1">
        <v>100</v>
      </c>
      <c r="N104" s="6">
        <f>VLOOKUP($N$2,角色品星!$C$16:$D$20,2,0)*VLOOKUP($N$3,角色品星!$C$3:$E$14,3,0)*V104</f>
        <v>25360.956870358656</v>
      </c>
      <c r="O104" s="6">
        <f>VLOOKUP($N$2,角色品星!$C$16:$D$20,2,0)*VLOOKUP($N$3,角色品星!$C$3:$E$14,3,0)*W104</f>
        <v>102598.57005139071</v>
      </c>
      <c r="P104" s="6">
        <f>VLOOKUP($N$2,角色品星!$C$16:$D$20,2,0)*VLOOKUP($N$3,角色品星!$C$3:$E$14,3,0)*X104</f>
        <v>469647.34945108532</v>
      </c>
      <c r="Q104" s="24">
        <f t="shared" si="10"/>
        <v>0.05</v>
      </c>
      <c r="R104" s="24">
        <f t="shared" si="11"/>
        <v>1.5</v>
      </c>
      <c r="S104" s="24">
        <f t="shared" si="12"/>
        <v>1</v>
      </c>
      <c r="T104" s="42">
        <f>N104*(1+Q104*(R104-1))*S104*战斗公式!$E$39+(P104*战斗公式!$E$40+1)*O104*战斗公式!$E$41</f>
        <v>1234324.5546754026</v>
      </c>
      <c r="U104" s="42">
        <f t="shared" si="13"/>
        <v>-1234324.5546754026</v>
      </c>
      <c r="V104" s="6">
        <f>VLOOKUP($N$1,$D$4:$J$15,MATCH(F$4,$D$4:$J$4,0),0)*角色成长!E117*角色成长!$L$15*AB104/AA104/(1+$Y$2*($Z$2-1))</f>
        <v>25360.956870358656</v>
      </c>
      <c r="W104" s="6">
        <f>VLOOKUP($N$1,$D$4:$J$15,MATCH(G$4,$D$4:$J$4,0),0)*角色成长!F117*角色成长!$L$15/(1+X104/角色成长!$N$16)</f>
        <v>102598.57005139071</v>
      </c>
      <c r="X104" s="6">
        <f>VLOOKUP($N$1,$D$4:$J$15,MATCH(H$4,$D$4:$J$4,0),0)*角色成长!G117*角色成长!$L$15</f>
        <v>469647.34945108532</v>
      </c>
      <c r="Y104" s="1">
        <v>0.05</v>
      </c>
      <c r="Z104" s="1">
        <v>1.5</v>
      </c>
      <c r="AA104" s="1">
        <f>VLOOKUP($N$1,$D$4:$J$15,MATCH(I$4,$D$4:$J$4,0),0)*角色成长!J117</f>
        <v>1</v>
      </c>
      <c r="AB104" s="1">
        <f t="shared" si="8"/>
        <v>0.9</v>
      </c>
      <c r="AC104" s="6"/>
      <c r="AD104" s="22"/>
      <c r="AE104" s="22"/>
      <c r="AF104" s="22"/>
      <c r="AG104" s="9"/>
      <c r="AH104" s="9"/>
      <c r="AI104" s="9"/>
      <c r="AJ104" s="9"/>
      <c r="AK104" s="9"/>
      <c r="AL104" s="9"/>
    </row>
    <row r="105" spans="5:38" ht="14.25" customHeight="1" x14ac:dyDescent="0.2">
      <c r="E105" s="6"/>
      <c r="F105" s="6"/>
      <c r="G105" s="6"/>
      <c r="H105" s="6"/>
      <c r="I105" s="26"/>
      <c r="J105" s="6"/>
      <c r="K105" s="6"/>
      <c r="L105" s="6"/>
      <c r="M105" s="6"/>
      <c r="N105" s="6"/>
      <c r="O105" s="6"/>
      <c r="P105" s="6"/>
      <c r="Q105" s="38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22"/>
      <c r="AE105" s="22"/>
      <c r="AF105" s="22"/>
      <c r="AG105" s="9"/>
      <c r="AH105" s="9"/>
      <c r="AI105" s="9"/>
      <c r="AJ105" s="9"/>
      <c r="AK105" s="9"/>
      <c r="AL105" s="9"/>
    </row>
    <row r="106" spans="5:38" ht="14.25" customHeight="1" x14ac:dyDescent="0.2">
      <c r="E106" s="6"/>
      <c r="F106" s="6"/>
      <c r="G106" s="6"/>
      <c r="H106" s="6"/>
      <c r="I106" s="26"/>
      <c r="J106" s="6"/>
      <c r="K106" s="6"/>
      <c r="L106" s="6"/>
      <c r="M106" s="6"/>
      <c r="N106" s="6"/>
      <c r="O106" s="6"/>
      <c r="P106" s="6"/>
      <c r="Q106" s="38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22"/>
      <c r="AE106" s="22"/>
      <c r="AF106" s="22"/>
      <c r="AG106" s="9"/>
      <c r="AH106" s="9"/>
      <c r="AI106" s="9"/>
      <c r="AJ106" s="9"/>
      <c r="AK106" s="9"/>
      <c r="AL106" s="9"/>
    </row>
    <row r="107" spans="5:38" ht="14.25" customHeight="1" x14ac:dyDescent="0.2">
      <c r="E107" s="6"/>
      <c r="F107" s="6"/>
      <c r="G107" s="6"/>
      <c r="H107" s="6"/>
      <c r="I107" s="26"/>
      <c r="J107" s="6"/>
      <c r="K107" s="6"/>
      <c r="L107" s="6"/>
      <c r="M107" s="6"/>
      <c r="N107" s="6"/>
      <c r="O107" s="6"/>
      <c r="P107" s="6"/>
      <c r="Q107" s="38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22"/>
      <c r="AE107" s="22"/>
      <c r="AF107" s="22"/>
      <c r="AG107" s="9"/>
      <c r="AH107" s="9"/>
      <c r="AI107" s="9"/>
      <c r="AJ107" s="9"/>
      <c r="AK107" s="9"/>
      <c r="AL107" s="9"/>
    </row>
    <row r="108" spans="5:38" ht="14.25" customHeight="1" x14ac:dyDescent="0.2">
      <c r="E108" s="6"/>
      <c r="F108" s="6"/>
      <c r="G108" s="6"/>
      <c r="H108" s="6"/>
      <c r="I108" s="26"/>
      <c r="J108" s="6"/>
      <c r="K108" s="6"/>
      <c r="L108" s="6"/>
      <c r="M108" s="6"/>
      <c r="N108" s="6"/>
      <c r="O108" s="6"/>
      <c r="P108" s="6"/>
      <c r="Q108" s="38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22"/>
      <c r="AE108" s="22"/>
      <c r="AF108" s="22"/>
      <c r="AG108" s="9"/>
      <c r="AH108" s="9"/>
      <c r="AI108" s="9"/>
      <c r="AJ108" s="9"/>
      <c r="AK108" s="9"/>
      <c r="AL108" s="9"/>
    </row>
    <row r="109" spans="5:38" ht="14.25" customHeight="1" x14ac:dyDescent="0.2">
      <c r="E109" s="6"/>
      <c r="F109" s="6"/>
      <c r="G109" s="6"/>
      <c r="H109" s="6"/>
      <c r="I109" s="26"/>
      <c r="J109" s="6"/>
      <c r="K109" s="6"/>
      <c r="L109" s="6"/>
      <c r="M109" s="6"/>
      <c r="N109" s="6"/>
      <c r="O109" s="6"/>
      <c r="P109" s="6"/>
      <c r="Q109" s="38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22"/>
      <c r="AE109" s="22"/>
      <c r="AF109" s="22"/>
      <c r="AG109" s="9"/>
      <c r="AH109" s="9"/>
      <c r="AI109" s="9"/>
      <c r="AJ109" s="9"/>
      <c r="AK109" s="9"/>
      <c r="AL109" s="9"/>
    </row>
    <row r="110" spans="5:38" ht="14.25" customHeight="1" x14ac:dyDescent="0.2">
      <c r="E110" s="6"/>
      <c r="F110" s="6"/>
      <c r="G110" s="6"/>
      <c r="H110" s="6"/>
      <c r="I110" s="26"/>
      <c r="J110" s="6"/>
      <c r="K110" s="6"/>
      <c r="L110" s="6"/>
      <c r="M110" s="6"/>
      <c r="N110" s="6"/>
      <c r="O110" s="6"/>
      <c r="P110" s="6"/>
      <c r="Q110" s="38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22"/>
      <c r="AE110" s="22"/>
      <c r="AF110" s="22"/>
      <c r="AG110" s="9"/>
      <c r="AH110" s="9"/>
      <c r="AI110" s="9"/>
      <c r="AJ110" s="9"/>
      <c r="AK110" s="9"/>
      <c r="AL110" s="9"/>
    </row>
    <row r="111" spans="5:38" ht="14.25" customHeight="1" x14ac:dyDescent="0.2">
      <c r="E111" s="6"/>
      <c r="F111" s="6"/>
      <c r="G111" s="6"/>
      <c r="H111" s="6"/>
      <c r="I111" s="26"/>
      <c r="J111" s="6"/>
      <c r="K111" s="6"/>
      <c r="L111" s="6"/>
      <c r="M111" s="6"/>
      <c r="N111" s="6"/>
      <c r="O111" s="6"/>
      <c r="P111" s="6"/>
      <c r="Q111" s="38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22"/>
      <c r="AE111" s="22"/>
      <c r="AF111" s="22"/>
      <c r="AG111" s="9"/>
      <c r="AH111" s="9"/>
      <c r="AI111" s="9"/>
      <c r="AJ111" s="9"/>
      <c r="AK111" s="9"/>
      <c r="AL111" s="9"/>
    </row>
    <row r="112" spans="5:38" ht="14.25" customHeight="1" x14ac:dyDescent="0.2">
      <c r="E112" s="6"/>
      <c r="F112" s="6"/>
      <c r="G112" s="6"/>
      <c r="H112" s="6"/>
      <c r="I112" s="26"/>
      <c r="J112" s="6"/>
      <c r="K112" s="6"/>
      <c r="L112" s="6"/>
      <c r="M112" s="6"/>
      <c r="N112" s="6"/>
      <c r="O112" s="6"/>
      <c r="P112" s="6"/>
      <c r="Q112" s="38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22"/>
      <c r="AE112" s="22"/>
      <c r="AF112" s="22"/>
      <c r="AG112" s="9"/>
      <c r="AH112" s="9"/>
      <c r="AI112" s="9"/>
      <c r="AJ112" s="9"/>
      <c r="AK112" s="9"/>
      <c r="AL112" s="9"/>
    </row>
    <row r="113" spans="5:38" ht="14.25" customHeight="1" x14ac:dyDescent="0.2">
      <c r="E113" s="6"/>
      <c r="F113" s="6"/>
      <c r="G113" s="6"/>
      <c r="H113" s="6"/>
      <c r="I113" s="26"/>
      <c r="J113" s="6"/>
      <c r="K113" s="6"/>
      <c r="L113" s="6"/>
      <c r="M113" s="6"/>
      <c r="N113" s="6"/>
      <c r="O113" s="6"/>
      <c r="P113" s="6"/>
      <c r="Q113" s="38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22"/>
      <c r="AE113" s="22"/>
      <c r="AF113" s="22"/>
      <c r="AG113" s="9"/>
      <c r="AH113" s="9"/>
      <c r="AI113" s="9"/>
      <c r="AJ113" s="9"/>
      <c r="AK113" s="9"/>
      <c r="AL113" s="9"/>
    </row>
    <row r="114" spans="5:38" ht="14.25" customHeight="1" x14ac:dyDescent="0.2">
      <c r="E114" s="6"/>
      <c r="F114" s="6"/>
      <c r="G114" s="6"/>
      <c r="H114" s="6"/>
      <c r="I114" s="26"/>
      <c r="J114" s="6"/>
      <c r="K114" s="6"/>
      <c r="L114" s="6"/>
      <c r="M114" s="6"/>
      <c r="N114" s="6"/>
      <c r="O114" s="6"/>
      <c r="P114" s="6"/>
      <c r="Q114" s="38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22"/>
      <c r="AE114" s="22"/>
      <c r="AF114" s="22"/>
      <c r="AG114" s="9"/>
      <c r="AH114" s="9"/>
      <c r="AI114" s="9"/>
      <c r="AJ114" s="9"/>
      <c r="AK114" s="9"/>
      <c r="AL114" s="9"/>
    </row>
    <row r="115" spans="5:38" ht="14.25" customHeight="1" x14ac:dyDescent="0.2">
      <c r="E115" s="6"/>
      <c r="F115" s="6"/>
      <c r="G115" s="6"/>
      <c r="H115" s="6"/>
      <c r="I115" s="26"/>
      <c r="J115" s="6"/>
      <c r="K115" s="6"/>
      <c r="L115" s="6"/>
      <c r="M115" s="6"/>
      <c r="N115" s="6"/>
      <c r="O115" s="6"/>
      <c r="P115" s="6"/>
      <c r="Q115" s="38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22"/>
      <c r="AE115" s="22"/>
      <c r="AF115" s="22"/>
      <c r="AG115" s="9"/>
      <c r="AH115" s="9"/>
      <c r="AI115" s="9"/>
      <c r="AJ115" s="9"/>
      <c r="AK115" s="9"/>
      <c r="AL115" s="9"/>
    </row>
    <row r="116" spans="5:38" ht="14.25" customHeight="1" x14ac:dyDescent="0.2">
      <c r="E116" s="6"/>
      <c r="F116" s="6"/>
      <c r="G116" s="6"/>
      <c r="H116" s="6"/>
      <c r="I116" s="26"/>
      <c r="J116" s="6"/>
      <c r="K116" s="6"/>
      <c r="L116" s="6"/>
      <c r="M116" s="6"/>
      <c r="N116" s="6"/>
      <c r="O116" s="6"/>
      <c r="P116" s="6"/>
      <c r="Q116" s="38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22"/>
      <c r="AE116" s="22"/>
      <c r="AF116" s="22"/>
      <c r="AG116" s="9"/>
      <c r="AH116" s="9"/>
      <c r="AI116" s="9"/>
      <c r="AJ116" s="9"/>
      <c r="AK116" s="9"/>
      <c r="AL116" s="9"/>
    </row>
    <row r="117" spans="5:38" ht="14.25" customHeight="1" x14ac:dyDescent="0.2">
      <c r="E117" s="6"/>
      <c r="F117" s="6"/>
      <c r="G117" s="6"/>
      <c r="H117" s="6"/>
      <c r="I117" s="26"/>
      <c r="J117" s="6"/>
      <c r="K117" s="6"/>
      <c r="L117" s="6"/>
      <c r="M117" s="6"/>
      <c r="N117" s="6"/>
      <c r="O117" s="6"/>
      <c r="P117" s="6"/>
      <c r="Q117" s="38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22"/>
      <c r="AE117" s="22"/>
      <c r="AF117" s="22"/>
      <c r="AG117" s="9"/>
      <c r="AH117" s="9"/>
      <c r="AI117" s="9"/>
      <c r="AJ117" s="9"/>
      <c r="AK117" s="9"/>
      <c r="AL117" s="9"/>
    </row>
    <row r="118" spans="5:38" ht="14.25" customHeight="1" x14ac:dyDescent="0.2">
      <c r="K118" s="6"/>
      <c r="L118" s="6"/>
      <c r="S118" s="6"/>
      <c r="T118" s="6"/>
      <c r="U118" s="6"/>
      <c r="AJ118" s="9"/>
      <c r="AK118" s="9"/>
      <c r="AL118" s="9"/>
    </row>
    <row r="119" spans="5:38" ht="14.25" customHeight="1" x14ac:dyDescent="0.2">
      <c r="J119" s="6"/>
      <c r="K119" s="6"/>
      <c r="L119" s="6"/>
    </row>
    <row r="121" spans="5:38" ht="14.25" customHeight="1" x14ac:dyDescent="0.2">
      <c r="J121" s="8"/>
      <c r="K121" s="8"/>
      <c r="L121" s="8"/>
    </row>
  </sheetData>
  <mergeCells count="3">
    <mergeCell ref="A1:B2"/>
    <mergeCell ref="V3:AB3"/>
    <mergeCell ref="O3:S3"/>
  </mergeCells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7D986-83F9-4E85-97B2-5BA7C2B27C9E}">
          <x14:formula1>
            <xm:f>角色品星!$C$17:$C$20</xm:f>
          </x14:formula1>
          <xm:sqref>N2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B07AA-6FD0-419B-BF8A-B2C3D964FE92}">
  <sheetPr codeName="Sheet8"/>
  <dimension ref="A1:U122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J14" sqref="J14"/>
    </sheetView>
  </sheetViews>
  <sheetFormatPr defaultRowHeight="14.25" x14ac:dyDescent="0.2"/>
  <cols>
    <col min="1" max="16384" width="9" style="1"/>
  </cols>
  <sheetData>
    <row r="1" spans="1:21" ht="14.25" customHeight="1" x14ac:dyDescent="0.2">
      <c r="A1" s="79" t="s">
        <v>201</v>
      </c>
      <c r="B1" s="80"/>
    </row>
    <row r="2" spans="1:21" ht="14.25" customHeight="1" x14ac:dyDescent="0.2">
      <c r="A2" s="81"/>
      <c r="B2" s="82"/>
      <c r="Q2" s="36">
        <f>Q5+Q6+Q7+Q8+Q10</f>
        <v>0.70000000000000018</v>
      </c>
      <c r="R2" s="36">
        <f>R5+R6+R7+R8+R10</f>
        <v>0.70000000000000018</v>
      </c>
    </row>
    <row r="3" spans="1:21" s="3" customFormat="1" ht="14.25" customHeight="1" x14ac:dyDescent="0.2">
      <c r="C3" s="3" t="s">
        <v>219</v>
      </c>
    </row>
    <row r="4" spans="1:21" s="3" customFormat="1" ht="14.25" customHeight="1" x14ac:dyDescent="0.2">
      <c r="D4" s="3" t="s">
        <v>205</v>
      </c>
      <c r="E4" s="3" t="s">
        <v>202</v>
      </c>
      <c r="F4" s="3" t="s">
        <v>152</v>
      </c>
      <c r="G4" s="3" t="s">
        <v>175</v>
      </c>
      <c r="H4" s="3" t="s">
        <v>203</v>
      </c>
      <c r="I4" s="3" t="s">
        <v>204</v>
      </c>
      <c r="J4" s="25" t="s">
        <v>212</v>
      </c>
      <c r="K4" s="3" t="s">
        <v>146</v>
      </c>
      <c r="L4" s="3" t="s">
        <v>147</v>
      </c>
      <c r="M4" s="3" t="s">
        <v>148</v>
      </c>
      <c r="N4" s="3" t="s">
        <v>5</v>
      </c>
      <c r="O4" s="3" t="s">
        <v>214</v>
      </c>
      <c r="P4" s="3" t="s">
        <v>215</v>
      </c>
      <c r="Q4" s="3" t="s">
        <v>216</v>
      </c>
      <c r="R4" s="3" t="s">
        <v>217</v>
      </c>
    </row>
    <row r="5" spans="1:21" ht="14.25" customHeight="1" x14ac:dyDescent="0.2">
      <c r="D5" s="1" t="s">
        <v>158</v>
      </c>
      <c r="E5" s="1" t="s">
        <v>127</v>
      </c>
      <c r="F5" s="1" t="str">
        <f>VLOOKUP($D5,角色设定!$D$27:$M$33,MATCH(F$4,角色设定!$D$27:$M$27,0),0)</f>
        <v>承伤</v>
      </c>
      <c r="G5" s="1">
        <f>VLOOKUP($D5,角色设定!$D$27:$M$33,MATCH(G$4,角色设定!$D$27:$M$27,0),0)</f>
        <v>0.9</v>
      </c>
      <c r="H5" s="6">
        <f>VLOOKUP($D5,角色设定!$D$9:$M$15,MATCH(H$4,角色设定!$D$9:$M$9,0),0)</f>
        <v>4.5</v>
      </c>
      <c r="I5" s="6">
        <f>VLOOKUP($D5,角色设定!$D$9:$M$15,MATCH(I$4,角色设定!$D$9:$M$9,0),0)</f>
        <v>111.11111111111111</v>
      </c>
      <c r="J5" s="6">
        <v>0.5</v>
      </c>
      <c r="K5" s="6">
        <f>VLOOKUP($D5,角色设定!$D$18:$O$24,MATCH(K$4,角色设定!$D$18:$O$18,0),0)</f>
        <v>0.4</v>
      </c>
      <c r="L5" s="6">
        <f>VLOOKUP($D5,角色设定!$D$18:$O$24,MATCH(L$4,角色设定!$D$18:$O$18,0),0)</f>
        <v>1.5</v>
      </c>
      <c r="M5" s="6">
        <f>VLOOKUP($D5,角色设定!$D$18:$O$24,MATCH(M$4,角色设定!$D$18:$O$18,0),0)</f>
        <v>1</v>
      </c>
      <c r="N5" s="1">
        <f>VLOOKUP(E5,'基础模型(废）'!$D$10:$G$13,4,0)</f>
        <v>5</v>
      </c>
      <c r="O5" s="1">
        <v>2</v>
      </c>
      <c r="P5" s="5">
        <f>G5/(G5+(1-G5)*O5)</f>
        <v>0.81818181818181812</v>
      </c>
      <c r="Q5" s="5">
        <f>G5+(1-G5)*O5-1</f>
        <v>0.10000000000000009</v>
      </c>
      <c r="R5" s="5">
        <f>($N$5+$N$6)/($N$5+$N$6+$N$10)*$Q$2/2</f>
        <v>0.13461538461538466</v>
      </c>
      <c r="S5" s="6">
        <f>N5*(1+R5)</f>
        <v>5.6730769230769234</v>
      </c>
    </row>
    <row r="6" spans="1:21" ht="14.25" customHeight="1" x14ac:dyDescent="0.2">
      <c r="D6" s="1" t="s">
        <v>159</v>
      </c>
      <c r="E6" s="1" t="s">
        <v>127</v>
      </c>
      <c r="F6" s="1" t="str">
        <f>VLOOKUP($D6,角色设定!$D$27:$M$33,MATCH(F$4,角色设定!$D$27:$M$27,0),0)</f>
        <v>伤害</v>
      </c>
      <c r="G6" s="1">
        <f>VLOOKUP($D6,角色设定!$D$27:$M$33,MATCH(G$4,角色设定!$D$27:$M$27,0),0)</f>
        <v>0.9</v>
      </c>
      <c r="H6" s="6">
        <f>VLOOKUP($D6,角色设定!$D$9:$M$15,MATCH(H$4,角色设定!$D$9:$M$9,0),0)</f>
        <v>6</v>
      </c>
      <c r="I6" s="6">
        <f>VLOOKUP($D6,角色设定!$D$9:$M$15,MATCH(I$4,角色设定!$D$9:$M$9,0),0)</f>
        <v>83.333333333333329</v>
      </c>
      <c r="J6" s="6">
        <v>0.5</v>
      </c>
      <c r="K6" s="6">
        <f>VLOOKUP($D6,角色设定!$D$18:$O$24,MATCH(K$4,角色设定!$D$18:$O$18,0),0)</f>
        <v>0.4</v>
      </c>
      <c r="L6" s="6">
        <f>VLOOKUP($D6,角色设定!$D$18:$O$24,MATCH(L$4,角色设定!$D$18:$O$18,0),0)</f>
        <v>1.5</v>
      </c>
      <c r="M6" s="6">
        <f>VLOOKUP($D6,角色设定!$D$18:$O$24,MATCH(M$4,角色设定!$D$18:$O$18,0),0)</f>
        <v>1.1000000000000001</v>
      </c>
      <c r="N6" s="1">
        <f>VLOOKUP(E6,'基础模型(废）'!$D$10:$G$13,4,0)</f>
        <v>5</v>
      </c>
      <c r="O6" s="1">
        <v>2</v>
      </c>
      <c r="P6" s="5">
        <f t="shared" ref="P6:P10" si="0">G6/(G6+(1-G6)*O6)</f>
        <v>0.81818181818181812</v>
      </c>
      <c r="Q6" s="5">
        <f t="shared" ref="Q6:Q10" si="1">G6+(1-G6)*O6-1</f>
        <v>0.10000000000000009</v>
      </c>
      <c r="R6" s="5">
        <f>($N$5+$N$6)/($N$5+$N$6+$N$10)*$Q$2/2</f>
        <v>0.13461538461538466</v>
      </c>
      <c r="S6" s="6">
        <f t="shared" ref="S6:S10" si="2">N6*(1+R6)</f>
        <v>5.6730769230769234</v>
      </c>
    </row>
    <row r="7" spans="1:21" ht="14.25" customHeight="1" x14ac:dyDescent="0.2">
      <c r="D7" s="1" t="s">
        <v>160</v>
      </c>
      <c r="E7" s="1" t="s">
        <v>128</v>
      </c>
      <c r="F7" s="1" t="str">
        <f>VLOOKUP($D7,角色设定!$D$27:$M$33,MATCH(F$4,角色设定!$D$27:$M$27,0),0)</f>
        <v>伤害</v>
      </c>
      <c r="G7" s="1">
        <f>VLOOKUP($D7,角色设定!$D$27:$M$33,MATCH(G$4,角色设定!$D$27:$M$27,0),0)</f>
        <v>0.8</v>
      </c>
      <c r="H7" s="6">
        <f>VLOOKUP($D7,角色设定!$D$9:$M$15,MATCH(H$4,角色设定!$D$9:$M$9,0),0)</f>
        <v>10.5</v>
      </c>
      <c r="I7" s="6">
        <f>VLOOKUP($D7,角色设定!$D$9:$M$15,MATCH(I$4,角色设定!$D$9:$M$9,0),0)</f>
        <v>38.095238095238095</v>
      </c>
      <c r="J7" s="6">
        <v>0.35</v>
      </c>
      <c r="K7" s="6">
        <f>VLOOKUP($D7,角色设定!$D$18:$O$24,MATCH(K$4,角色设定!$D$18:$O$18,0),0)</f>
        <v>0.4</v>
      </c>
      <c r="L7" s="6">
        <f>VLOOKUP($D7,角色设定!$D$18:$O$24,MATCH(L$4,角色设定!$D$18:$O$18,0),0)</f>
        <v>1.5</v>
      </c>
      <c r="M7" s="6">
        <f>VLOOKUP($D7,角色设定!$D$18:$O$24,MATCH(M$4,角色设定!$D$18:$O$18,0),0)</f>
        <v>0.8</v>
      </c>
      <c r="N7" s="1">
        <f>VLOOKUP(E7,'基础模型(废）'!$D$10:$G$13,4,0)</f>
        <v>0</v>
      </c>
      <c r="O7" s="1">
        <v>2</v>
      </c>
      <c r="P7" s="5">
        <f t="shared" si="0"/>
        <v>0.66666666666666674</v>
      </c>
      <c r="Q7" s="5">
        <f t="shared" si="1"/>
        <v>0.19999999999999996</v>
      </c>
      <c r="R7" s="5"/>
      <c r="S7" s="6">
        <f t="shared" si="2"/>
        <v>0</v>
      </c>
    </row>
    <row r="8" spans="1:21" ht="14.25" customHeight="1" x14ac:dyDescent="0.2">
      <c r="D8" s="1" t="s">
        <v>161</v>
      </c>
      <c r="E8" s="1" t="s">
        <v>128</v>
      </c>
      <c r="F8" s="1" t="str">
        <f>VLOOKUP($D8,角色设定!$D$27:$M$33,MATCH(F$4,角色设定!$D$27:$M$27,0),0)</f>
        <v>伤害</v>
      </c>
      <c r="G8" s="1">
        <f>VLOOKUP($D8,角色设定!$D$27:$M$33,MATCH(G$4,角色设定!$D$27:$M$27,0),0)</f>
        <v>0.8</v>
      </c>
      <c r="H8" s="6">
        <f>VLOOKUP($D8,角色设定!$D$9:$M$15,MATCH(H$4,角色设定!$D$9:$M$9,0),0)</f>
        <v>10</v>
      </c>
      <c r="I8" s="6">
        <f>VLOOKUP($D8,角色设定!$D$9:$M$15,MATCH(I$4,角色设定!$D$9:$M$9,0),0)</f>
        <v>40</v>
      </c>
      <c r="J8" s="6">
        <v>0.35</v>
      </c>
      <c r="K8" s="6">
        <f>VLOOKUP($D8,角色设定!$D$18:$O$24,MATCH(K$4,角色设定!$D$18:$O$18,0),0)</f>
        <v>0.4</v>
      </c>
      <c r="L8" s="6">
        <f>VLOOKUP($D8,角色设定!$D$18:$O$24,MATCH(L$4,角色设定!$D$18:$O$18,0),0)</f>
        <v>1.5</v>
      </c>
      <c r="M8" s="6">
        <f>VLOOKUP($D8,角色设定!$D$18:$O$24,MATCH(M$4,角色设定!$D$18:$O$18,0),0)</f>
        <v>1</v>
      </c>
      <c r="N8" s="1">
        <f>VLOOKUP(E8,'基础模型(废）'!$D$10:$G$13,4,0)</f>
        <v>0</v>
      </c>
      <c r="O8" s="1">
        <v>2</v>
      </c>
      <c r="P8" s="5">
        <f t="shared" si="0"/>
        <v>0.66666666666666674</v>
      </c>
      <c r="Q8" s="5">
        <f t="shared" si="1"/>
        <v>0.19999999999999996</v>
      </c>
      <c r="R8" s="5"/>
      <c r="S8" s="6">
        <f t="shared" si="2"/>
        <v>0</v>
      </c>
    </row>
    <row r="9" spans="1:21" ht="14.25" customHeight="1" x14ac:dyDescent="0.2">
      <c r="D9" s="1" t="s">
        <v>162</v>
      </c>
      <c r="E9" s="1" t="s">
        <v>128</v>
      </c>
      <c r="F9" s="1" t="str">
        <f>VLOOKUP($D9,角色设定!$D$27:$M$33,MATCH(F$4,角色设定!$D$27:$M$27,0),0)</f>
        <v>伤害</v>
      </c>
      <c r="G9" s="1">
        <f>VLOOKUP($D9,角色设定!$D$27:$M$33,MATCH(G$4,角色设定!$D$27:$M$27,0),0)</f>
        <v>0.8</v>
      </c>
      <c r="H9" s="6">
        <f>VLOOKUP($D9,角色设定!$D$9:$M$15,MATCH(H$4,角色设定!$D$9:$M$9,0),0)</f>
        <v>9.5</v>
      </c>
      <c r="I9" s="6">
        <f>VLOOKUP($D9,角色设定!$D$9:$M$15,MATCH(I$4,角色设定!$D$9:$M$9,0),0)</f>
        <v>42.10526315789474</v>
      </c>
      <c r="J9" s="6">
        <v>0.35</v>
      </c>
      <c r="K9" s="6">
        <f>VLOOKUP($D9,角色设定!$D$18:$O$24,MATCH(K$4,角色设定!$D$18:$O$18,0),0)</f>
        <v>0.4</v>
      </c>
      <c r="L9" s="6">
        <f>VLOOKUP($D9,角色设定!$D$18:$O$24,MATCH(L$4,角色设定!$D$18:$O$18,0),0)</f>
        <v>1.5</v>
      </c>
      <c r="M9" s="6">
        <f>VLOOKUP($D9,角色设定!$D$18:$O$24,MATCH(M$4,角色设定!$D$18:$O$18,0),0)</f>
        <v>0.9</v>
      </c>
      <c r="N9" s="1">
        <f>VLOOKUP(E9,'基础模型(废）'!$D$10:$G$13,4,0)</f>
        <v>0</v>
      </c>
      <c r="O9" s="1">
        <v>2</v>
      </c>
      <c r="P9" s="5">
        <f t="shared" si="0"/>
        <v>0.66666666666666674</v>
      </c>
      <c r="Q9" s="5">
        <f t="shared" si="1"/>
        <v>0.19999999999999996</v>
      </c>
      <c r="R9" s="5"/>
      <c r="S9" s="6">
        <f t="shared" si="2"/>
        <v>0</v>
      </c>
    </row>
    <row r="10" spans="1:21" ht="14.25" customHeight="1" x14ac:dyDescent="0.2">
      <c r="D10" s="1" t="s">
        <v>163</v>
      </c>
      <c r="E10" s="1" t="s">
        <v>129</v>
      </c>
      <c r="F10" s="1" t="str">
        <f>VLOOKUP($D10,角色设定!$D$27:$M$33,MATCH(F$4,角色设定!$D$27:$M$27,0),0)</f>
        <v>无</v>
      </c>
      <c r="G10" s="1">
        <f>VLOOKUP($D10,角色设定!$D$27:$M$33,MATCH(G$4,角色设定!$D$27:$M$27,0),0)</f>
        <v>0.9</v>
      </c>
      <c r="H10" s="6">
        <f>VLOOKUP($D10,角色设定!$D$9:$M$15,MATCH(H$4,角色设定!$D$9:$M$9,0),0)</f>
        <v>3.6</v>
      </c>
      <c r="I10" s="6">
        <f>VLOOKUP($D10,角色设定!$D$9:$M$15,MATCH(I$4,角色设定!$D$9:$M$9,0),0)</f>
        <v>55.555555555555557</v>
      </c>
      <c r="J10" s="6">
        <v>0.35</v>
      </c>
      <c r="K10" s="6">
        <f>VLOOKUP($D10,角色设定!$D$18:$O$24,MATCH(K$4,角色设定!$D$18:$O$18,0),0)</f>
        <v>0.4</v>
      </c>
      <c r="L10" s="6">
        <f>VLOOKUP($D10,角色设定!$D$18:$O$24,MATCH(L$4,角色设定!$D$18:$O$18,0),0)</f>
        <v>1.5</v>
      </c>
      <c r="M10" s="6">
        <f>VLOOKUP($D10,角色设定!$D$18:$O$24,MATCH(M$4,角色设定!$D$18:$O$18,0),0)</f>
        <v>1</v>
      </c>
      <c r="N10" s="1">
        <f>VLOOKUP(E10,'基础模型(废）'!$D$10:$G$13,4,0)</f>
        <v>16</v>
      </c>
      <c r="O10" s="1">
        <v>2</v>
      </c>
      <c r="P10" s="5">
        <f t="shared" si="0"/>
        <v>0.81818181818181812</v>
      </c>
      <c r="Q10" s="5">
        <f t="shared" si="1"/>
        <v>0.10000000000000009</v>
      </c>
      <c r="R10" s="5">
        <f>($N$10)/($N$5+$N$6+$N$10)*$Q$2</f>
        <v>0.4307692307692309</v>
      </c>
      <c r="S10" s="6">
        <f t="shared" si="2"/>
        <v>22.892307692307696</v>
      </c>
    </row>
    <row r="11" spans="1:21" ht="14.25" customHeight="1" x14ac:dyDescent="0.2"/>
    <row r="12" spans="1:21" ht="14.25" customHeight="1" x14ac:dyDescent="0.2"/>
    <row r="13" spans="1:21" ht="14.25" customHeight="1" x14ac:dyDescent="0.2">
      <c r="C13" s="3"/>
      <c r="D13" s="3" t="s">
        <v>205</v>
      </c>
      <c r="E13" s="3" t="s">
        <v>202</v>
      </c>
      <c r="F13" s="3" t="s">
        <v>34</v>
      </c>
      <c r="G13" s="3" t="s">
        <v>213</v>
      </c>
      <c r="H13" s="25" t="s">
        <v>206</v>
      </c>
      <c r="I13" s="25" t="s">
        <v>275</v>
      </c>
      <c r="J13" s="3" t="s">
        <v>207</v>
      </c>
      <c r="K13" s="3" t="s">
        <v>209</v>
      </c>
      <c r="L13" s="3" t="s">
        <v>211</v>
      </c>
      <c r="M13" s="3" t="s">
        <v>218</v>
      </c>
      <c r="N13" s="3" t="s">
        <v>239</v>
      </c>
      <c r="O13" s="3" t="s">
        <v>240</v>
      </c>
      <c r="P13" s="3" t="s">
        <v>241</v>
      </c>
      <c r="Q13" s="3" t="s">
        <v>242</v>
      </c>
      <c r="R13" s="3" t="s">
        <v>247</v>
      </c>
      <c r="S13" s="3" t="s">
        <v>248</v>
      </c>
      <c r="T13" s="3" t="s">
        <v>249</v>
      </c>
      <c r="U13" s="3" t="s">
        <v>250</v>
      </c>
    </row>
    <row r="14" spans="1:21" ht="14.25" customHeight="1" x14ac:dyDescent="0.2">
      <c r="D14" s="1" t="s">
        <v>158</v>
      </c>
      <c r="E14" s="1" t="s">
        <v>127</v>
      </c>
      <c r="F14" s="6">
        <f>H5*G5/M5/(1+K5*(L5-1))</f>
        <v>3.375</v>
      </c>
      <c r="G14" s="6">
        <f t="shared" ref="G14:G19" si="3">I5*(1-J5)</f>
        <v>55.555555555555557</v>
      </c>
      <c r="H14" s="1">
        <v>10</v>
      </c>
      <c r="I14" s="1">
        <f>H14*0.5</f>
        <v>5</v>
      </c>
      <c r="J14" s="5">
        <f t="shared" ref="J14:J19" si="4">H5*(1-G5)/(1/H14)/(1+K5*(L5-1))/F14</f>
        <v>1.1111111111111109</v>
      </c>
      <c r="K14" s="4">
        <f t="shared" ref="K14:K19" si="5">N5/H5*H14</f>
        <v>11.111111111111111</v>
      </c>
      <c r="L14" s="5">
        <f t="shared" ref="L14:L19" si="6">N5*H14/G14</f>
        <v>0.9</v>
      </c>
      <c r="M14" s="36">
        <f>N5*H14/(G14+G15+G16+G17+G19)</f>
        <v>0.2715985514743921</v>
      </c>
      <c r="N14" s="5">
        <f t="shared" ref="N14:N19" si="7">H5*(1-P5)/(1/H14)/(1+K5*(L5-1))/F14</f>
        <v>2.0202020202020208</v>
      </c>
      <c r="O14" s="24">
        <f t="shared" ref="O14:O19" si="8">S5/H5*H14</f>
        <v>12.606837606837606</v>
      </c>
      <c r="P14" s="5">
        <f t="shared" ref="P14:P19" si="9">S5*H14/G14</f>
        <v>1.0211538461538461</v>
      </c>
      <c r="Q14" s="5">
        <f>S5*H14/(G14+G15+G16+G17+G19)</f>
        <v>0.30815989494209878</v>
      </c>
      <c r="R14" s="6">
        <f>N14/J14</f>
        <v>1.818181818181819</v>
      </c>
      <c r="S14" s="6">
        <f t="shared" ref="S14:U14" si="10">O14/K14</f>
        <v>1.1346153846153846</v>
      </c>
      <c r="T14" s="6">
        <f t="shared" si="10"/>
        <v>1.1346153846153846</v>
      </c>
      <c r="U14" s="6">
        <f t="shared" si="10"/>
        <v>1.1346153846153848</v>
      </c>
    </row>
    <row r="15" spans="1:21" ht="14.25" customHeight="1" x14ac:dyDescent="0.2">
      <c r="D15" s="1" t="s">
        <v>159</v>
      </c>
      <c r="E15" s="1" t="s">
        <v>127</v>
      </c>
      <c r="F15" s="6">
        <f t="shared" ref="F15:F19" si="11">H6*G6/M6/(1+K6*(L6-1))</f>
        <v>4.0909090909090908</v>
      </c>
      <c r="G15" s="6">
        <f t="shared" si="3"/>
        <v>41.666666666666664</v>
      </c>
      <c r="H15" s="1">
        <v>8</v>
      </c>
      <c r="I15" s="1">
        <f t="shared" ref="I15:I19" si="12">H15*0.5</f>
        <v>4</v>
      </c>
      <c r="J15" s="5">
        <f t="shared" si="4"/>
        <v>0.97777777777777763</v>
      </c>
      <c r="K15" s="4">
        <f t="shared" si="5"/>
        <v>6.666666666666667</v>
      </c>
      <c r="L15" s="5">
        <f t="shared" si="6"/>
        <v>0.96000000000000008</v>
      </c>
      <c r="M15" s="36"/>
      <c r="N15" s="5">
        <f t="shared" si="7"/>
        <v>1.7777777777777783</v>
      </c>
      <c r="O15" s="24">
        <f t="shared" si="8"/>
        <v>7.5641025641025648</v>
      </c>
      <c r="P15" s="5">
        <f t="shared" si="9"/>
        <v>1.0892307692307694</v>
      </c>
      <c r="R15" s="6">
        <f t="shared" ref="R15:R19" si="13">N15/J15</f>
        <v>1.818181818181819</v>
      </c>
      <c r="S15" s="6">
        <f t="shared" ref="S15:S19" si="14">O15/K15</f>
        <v>1.1346153846153846</v>
      </c>
      <c r="T15" s="6">
        <f t="shared" ref="T15:T19" si="15">P15/L15</f>
        <v>1.1346153846153848</v>
      </c>
      <c r="U15" s="6"/>
    </row>
    <row r="16" spans="1:21" ht="14.25" customHeight="1" x14ac:dyDescent="0.2">
      <c r="D16" s="1" t="s">
        <v>160</v>
      </c>
      <c r="E16" s="1" t="s">
        <v>128</v>
      </c>
      <c r="F16" s="6">
        <f t="shared" si="11"/>
        <v>8.75</v>
      </c>
      <c r="G16" s="6">
        <f t="shared" si="3"/>
        <v>24.761904761904763</v>
      </c>
      <c r="H16" s="1">
        <v>15</v>
      </c>
      <c r="I16" s="1">
        <f t="shared" si="12"/>
        <v>7.5</v>
      </c>
      <c r="J16" s="5">
        <f t="shared" si="4"/>
        <v>2.9999999999999996</v>
      </c>
      <c r="K16" s="4">
        <f t="shared" si="5"/>
        <v>0</v>
      </c>
      <c r="L16" s="5">
        <f t="shared" si="6"/>
        <v>0</v>
      </c>
      <c r="M16" s="36"/>
      <c r="N16" s="5">
        <f t="shared" si="7"/>
        <v>4.9999999999999991</v>
      </c>
      <c r="O16" s="24">
        <f t="shared" si="8"/>
        <v>0</v>
      </c>
      <c r="P16" s="5">
        <f t="shared" si="9"/>
        <v>0</v>
      </c>
      <c r="R16" s="6">
        <f>N16/J16</f>
        <v>1.6666666666666665</v>
      </c>
      <c r="S16" s="6"/>
      <c r="T16" s="6"/>
      <c r="U16" s="6"/>
    </row>
    <row r="17" spans="2:21" ht="14.25" customHeight="1" x14ac:dyDescent="0.2">
      <c r="D17" s="1" t="s">
        <v>161</v>
      </c>
      <c r="E17" s="1" t="s">
        <v>128</v>
      </c>
      <c r="F17" s="6">
        <f t="shared" si="11"/>
        <v>6.666666666666667</v>
      </c>
      <c r="G17" s="6">
        <f t="shared" si="3"/>
        <v>26</v>
      </c>
      <c r="H17" s="1">
        <v>15</v>
      </c>
      <c r="I17" s="1">
        <f t="shared" si="12"/>
        <v>7.5</v>
      </c>
      <c r="J17" s="5">
        <f t="shared" si="4"/>
        <v>3.7499999999999991</v>
      </c>
      <c r="K17" s="4">
        <f t="shared" si="5"/>
        <v>0</v>
      </c>
      <c r="L17" s="5">
        <f t="shared" si="6"/>
        <v>0</v>
      </c>
      <c r="M17" s="36"/>
      <c r="N17" s="5">
        <f t="shared" si="7"/>
        <v>6.2499999999999991</v>
      </c>
      <c r="O17" s="24">
        <f t="shared" si="8"/>
        <v>0</v>
      </c>
      <c r="P17" s="5">
        <f t="shared" si="9"/>
        <v>0</v>
      </c>
      <c r="R17" s="6">
        <f t="shared" si="13"/>
        <v>1.6666666666666667</v>
      </c>
      <c r="S17" s="6"/>
      <c r="T17" s="6"/>
      <c r="U17" s="6"/>
    </row>
    <row r="18" spans="2:21" ht="14.25" customHeight="1" x14ac:dyDescent="0.2">
      <c r="D18" s="1" t="s">
        <v>162</v>
      </c>
      <c r="E18" s="1" t="s">
        <v>128</v>
      </c>
      <c r="F18" s="6">
        <f t="shared" si="11"/>
        <v>7.0370370370370372</v>
      </c>
      <c r="G18" s="6">
        <f t="shared" si="3"/>
        <v>27.368421052631582</v>
      </c>
      <c r="H18" s="1">
        <v>15</v>
      </c>
      <c r="I18" s="1">
        <f t="shared" si="12"/>
        <v>7.5</v>
      </c>
      <c r="J18" s="5">
        <f t="shared" si="4"/>
        <v>3.3749999999999996</v>
      </c>
      <c r="K18" s="4">
        <f t="shared" si="5"/>
        <v>0</v>
      </c>
      <c r="L18" s="5">
        <f t="shared" si="6"/>
        <v>0</v>
      </c>
      <c r="M18" s="36"/>
      <c r="N18" s="5">
        <f t="shared" si="7"/>
        <v>5.6249999999999991</v>
      </c>
      <c r="O18" s="24">
        <f t="shared" si="8"/>
        <v>0</v>
      </c>
      <c r="P18" s="5">
        <f t="shared" si="9"/>
        <v>0</v>
      </c>
      <c r="R18" s="6">
        <f t="shared" si="13"/>
        <v>1.6666666666666665</v>
      </c>
      <c r="S18" s="6"/>
      <c r="T18" s="6"/>
      <c r="U18" s="6"/>
    </row>
    <row r="19" spans="2:21" ht="14.25" customHeight="1" x14ac:dyDescent="0.2">
      <c r="D19" s="1" t="s">
        <v>163</v>
      </c>
      <c r="E19" s="1" t="s">
        <v>129</v>
      </c>
      <c r="F19" s="6">
        <f t="shared" si="11"/>
        <v>2.7</v>
      </c>
      <c r="G19" s="6">
        <f t="shared" si="3"/>
        <v>36.111111111111114</v>
      </c>
      <c r="H19" s="1">
        <v>11</v>
      </c>
      <c r="I19" s="1">
        <f t="shared" si="12"/>
        <v>5.5</v>
      </c>
      <c r="J19" s="5">
        <f t="shared" si="4"/>
        <v>1.2222222222222219</v>
      </c>
      <c r="K19" s="4">
        <f t="shared" si="5"/>
        <v>48.888888888888893</v>
      </c>
      <c r="L19" s="5">
        <f t="shared" si="6"/>
        <v>4.8738461538461531</v>
      </c>
      <c r="M19" s="5">
        <f>N10*H19/(G14+G15+G16+G17+G19)</f>
        <v>0.95602690118986033</v>
      </c>
      <c r="N19" s="5">
        <f t="shared" si="7"/>
        <v>2.2222222222222228</v>
      </c>
      <c r="O19" s="24">
        <f t="shared" si="8"/>
        <v>69.948717948717956</v>
      </c>
      <c r="P19" s="5">
        <f t="shared" si="9"/>
        <v>6.9733491124260363</v>
      </c>
      <c r="Q19" s="5">
        <f>S10*H19/(G14+G15+G16+G17+G19)</f>
        <v>1.3678538740101081</v>
      </c>
      <c r="R19" s="6">
        <f t="shared" si="13"/>
        <v>1.8181818181818192</v>
      </c>
      <c r="S19" s="6">
        <f t="shared" si="14"/>
        <v>1.4307692307692308</v>
      </c>
      <c r="T19" s="6">
        <f t="shared" si="15"/>
        <v>1.4307692307692312</v>
      </c>
      <c r="U19" s="6">
        <f t="shared" ref="U19" si="16">Q19/M19</f>
        <v>1.430769230769231</v>
      </c>
    </row>
    <row r="20" spans="2:21" ht="14.25" customHeight="1" x14ac:dyDescent="0.2">
      <c r="C20" s="22"/>
      <c r="D20" s="22"/>
      <c r="E20" s="22"/>
      <c r="F20" s="22"/>
      <c r="G20" s="22"/>
      <c r="H20" s="9"/>
      <c r="I20" s="9"/>
      <c r="J20" s="9"/>
      <c r="K20" s="9"/>
      <c r="L20" s="9"/>
      <c r="M20" s="9"/>
    </row>
    <row r="21" spans="2:21" ht="14.25" customHeight="1" x14ac:dyDescent="0.2">
      <c r="C21" s="22"/>
      <c r="D21" s="22"/>
      <c r="E21" s="22"/>
      <c r="F21" s="22"/>
      <c r="G21" s="22"/>
      <c r="H21" s="9"/>
      <c r="I21" s="9"/>
      <c r="J21" s="9"/>
      <c r="K21" s="9"/>
      <c r="L21" s="9"/>
      <c r="M21" s="9"/>
    </row>
    <row r="22" spans="2:21" ht="14.25" customHeight="1" x14ac:dyDescent="0.2">
      <c r="B22" s="6"/>
      <c r="C22" s="43" t="s">
        <v>220</v>
      </c>
      <c r="D22" s="2" t="s">
        <v>221</v>
      </c>
      <c r="E22" s="22"/>
      <c r="F22" s="22"/>
      <c r="G22" s="22"/>
      <c r="H22" s="9"/>
      <c r="I22" s="9"/>
      <c r="J22" s="9"/>
      <c r="K22" s="9"/>
      <c r="L22" s="9"/>
      <c r="M22" s="9"/>
    </row>
    <row r="23" spans="2:21" ht="14.25" customHeight="1" x14ac:dyDescent="0.2">
      <c r="B23" s="6"/>
      <c r="C23" s="22"/>
      <c r="D23" s="10">
        <v>0.2</v>
      </c>
      <c r="E23" s="2" t="s">
        <v>232</v>
      </c>
      <c r="F23" s="22"/>
      <c r="G23" s="22"/>
      <c r="H23" s="9"/>
      <c r="I23" s="9"/>
      <c r="J23" s="9"/>
      <c r="K23" s="9"/>
      <c r="L23" s="9"/>
      <c r="M23" s="9"/>
    </row>
    <row r="24" spans="2:21" ht="14.25" customHeight="1" x14ac:dyDescent="0.2">
      <c r="C24" s="22"/>
      <c r="D24" s="22" t="s">
        <v>34</v>
      </c>
      <c r="E24" s="5">
        <f>D23</f>
        <v>0.2</v>
      </c>
      <c r="F24" s="22"/>
      <c r="G24" s="22"/>
      <c r="H24" s="9"/>
      <c r="I24" s="9"/>
      <c r="J24" s="9"/>
      <c r="K24" s="9"/>
      <c r="L24" s="9"/>
      <c r="M24" s="9"/>
    </row>
    <row r="25" spans="2:21" ht="14.25" customHeight="1" x14ac:dyDescent="0.2">
      <c r="C25" s="22"/>
      <c r="D25" s="22" t="s">
        <v>37</v>
      </c>
      <c r="E25" s="5">
        <f>((1+$D$23)*(1+F25*(G25-1))-1)/(G25-1)-F25</f>
        <v>0.47999999999999987</v>
      </c>
      <c r="F25" s="24">
        <v>0.4</v>
      </c>
      <c r="G25" s="24">
        <v>1.5</v>
      </c>
      <c r="H25" s="9"/>
      <c r="I25" s="9"/>
      <c r="J25" s="9"/>
      <c r="K25" s="9"/>
      <c r="L25" s="9"/>
      <c r="M25" s="9"/>
    </row>
    <row r="26" spans="2:21" ht="14.25" customHeight="1" x14ac:dyDescent="0.2">
      <c r="B26" s="33"/>
      <c r="C26" s="22"/>
      <c r="D26" s="22" t="s">
        <v>89</v>
      </c>
      <c r="E26" s="5">
        <f>((1+$D$23)*(1+F26*(G26-1))-1)/F26+1-G26</f>
        <v>0.59999999999999964</v>
      </c>
      <c r="F26" s="24">
        <v>0.4</v>
      </c>
      <c r="G26" s="24">
        <v>1.5</v>
      </c>
      <c r="H26" s="9"/>
      <c r="I26" s="9"/>
      <c r="J26" s="9"/>
      <c r="K26" s="9"/>
      <c r="L26" s="9"/>
      <c r="M26" s="9"/>
    </row>
    <row r="27" spans="2:21" ht="14.25" customHeight="1" x14ac:dyDescent="0.2">
      <c r="B27" s="33"/>
      <c r="C27" s="22"/>
      <c r="D27" s="22" t="s">
        <v>213</v>
      </c>
      <c r="E27" s="5">
        <f>D23</f>
        <v>0.2</v>
      </c>
      <c r="G27" s="22"/>
      <c r="H27" s="9"/>
      <c r="I27" s="9"/>
      <c r="J27" s="9"/>
      <c r="K27" s="9"/>
      <c r="L27" s="9"/>
      <c r="M27" s="9"/>
    </row>
    <row r="28" spans="2:21" ht="14.25" customHeight="1" x14ac:dyDescent="0.2">
      <c r="B28" s="33"/>
      <c r="C28" s="22"/>
      <c r="D28" s="22" t="s">
        <v>212</v>
      </c>
      <c r="E28" s="4">
        <f>1-(1-(1+$D$23)*(1-F28))-F28</f>
        <v>9.9999999999999978E-2</v>
      </c>
      <c r="F28" s="23">
        <v>0.5</v>
      </c>
      <c r="G28" s="22"/>
      <c r="H28" s="9"/>
      <c r="I28" s="9"/>
      <c r="J28" s="9"/>
      <c r="K28" s="9"/>
      <c r="L28" s="9"/>
      <c r="M28" s="9"/>
    </row>
    <row r="29" spans="2:21" ht="14.25" customHeight="1" x14ac:dyDescent="0.2">
      <c r="B29" s="33"/>
      <c r="C29" s="22"/>
      <c r="D29" s="22" t="s">
        <v>35</v>
      </c>
      <c r="E29" s="22">
        <f>100000/(1-E28-F28)-100000</f>
        <v>150000</v>
      </c>
      <c r="F29" s="23">
        <f>E29/G29</f>
        <v>1.5</v>
      </c>
      <c r="G29" s="22">
        <v>100000</v>
      </c>
      <c r="H29" s="9"/>
      <c r="I29" s="9"/>
      <c r="J29" s="9"/>
      <c r="K29" s="9"/>
      <c r="L29" s="9"/>
      <c r="M29" s="9"/>
    </row>
    <row r="30" spans="2:21" ht="14.25" customHeight="1" x14ac:dyDescent="0.2">
      <c r="B30" s="33"/>
      <c r="C30" s="22"/>
      <c r="D30" s="22"/>
      <c r="E30" s="22"/>
      <c r="F30" s="22"/>
      <c r="G30" s="22"/>
      <c r="H30" s="9"/>
      <c r="I30" s="9"/>
      <c r="J30" s="9"/>
      <c r="K30" s="9"/>
      <c r="L30" s="9"/>
      <c r="M30" s="9"/>
    </row>
    <row r="31" spans="2:21" ht="14.25" customHeight="1" x14ac:dyDescent="0.2">
      <c r="B31" s="33"/>
      <c r="C31" s="22"/>
      <c r="D31" s="22"/>
      <c r="E31" s="22"/>
      <c r="F31" s="22"/>
      <c r="G31" s="22"/>
      <c r="H31" s="9"/>
      <c r="I31" s="9"/>
      <c r="J31" s="9"/>
      <c r="K31" s="9"/>
      <c r="L31" s="9"/>
      <c r="M31" s="9"/>
    </row>
    <row r="32" spans="2:21" ht="14.25" customHeight="1" x14ac:dyDescent="0.2">
      <c r="B32" s="6"/>
      <c r="C32" s="22"/>
      <c r="D32" s="22"/>
      <c r="E32" s="22"/>
      <c r="F32" s="22"/>
      <c r="G32" s="22"/>
      <c r="H32" s="9"/>
      <c r="I32" s="9"/>
      <c r="J32" s="9"/>
      <c r="K32" s="9"/>
      <c r="L32" s="9"/>
      <c r="M32" s="9"/>
    </row>
    <row r="33" spans="2:13" ht="14.25" customHeight="1" x14ac:dyDescent="0.2">
      <c r="B33" s="6"/>
      <c r="C33" s="22"/>
      <c r="D33" s="22"/>
      <c r="E33" s="22"/>
      <c r="F33" s="22"/>
      <c r="G33" s="4"/>
      <c r="H33" s="9"/>
      <c r="I33" s="9"/>
      <c r="J33" s="9"/>
      <c r="K33" s="9"/>
      <c r="L33" s="9"/>
      <c r="M33" s="9"/>
    </row>
    <row r="34" spans="2:13" ht="14.25" customHeight="1" x14ac:dyDescent="0.2">
      <c r="C34" s="22"/>
      <c r="D34" s="22"/>
      <c r="E34" s="22"/>
      <c r="F34" s="22"/>
      <c r="G34" s="22"/>
      <c r="H34" s="9"/>
      <c r="I34" s="9"/>
      <c r="J34" s="9"/>
      <c r="K34" s="9"/>
      <c r="L34" s="9"/>
      <c r="M34" s="9"/>
    </row>
    <row r="35" spans="2:13" ht="14.25" customHeight="1" x14ac:dyDescent="0.2">
      <c r="C35" s="22"/>
      <c r="D35" s="22"/>
      <c r="E35" s="22"/>
      <c r="F35" s="22"/>
      <c r="G35" s="22"/>
      <c r="H35" s="9"/>
      <c r="I35" s="9"/>
      <c r="J35" s="9"/>
      <c r="K35" s="9"/>
      <c r="L35" s="9"/>
      <c r="M35" s="9"/>
    </row>
    <row r="36" spans="2:13" ht="14.25" customHeight="1" x14ac:dyDescent="0.2">
      <c r="C36" s="22"/>
      <c r="D36" s="22"/>
      <c r="E36" s="22"/>
      <c r="F36" s="22"/>
      <c r="G36" s="22"/>
      <c r="H36" s="9"/>
      <c r="I36" s="9"/>
      <c r="J36" s="9"/>
      <c r="K36" s="9"/>
      <c r="L36" s="9"/>
      <c r="M36" s="9"/>
    </row>
    <row r="37" spans="2:13" ht="14.25" customHeight="1" x14ac:dyDescent="0.2">
      <c r="C37" s="22"/>
      <c r="D37" s="22"/>
      <c r="E37" s="22"/>
      <c r="F37" s="22"/>
      <c r="G37" s="22"/>
      <c r="H37" s="9"/>
      <c r="I37" s="9"/>
      <c r="J37" s="9"/>
      <c r="K37" s="9"/>
      <c r="L37" s="9"/>
      <c r="M37" s="9"/>
    </row>
    <row r="38" spans="2:13" ht="14.25" customHeight="1" x14ac:dyDescent="0.2">
      <c r="C38" s="22"/>
      <c r="D38" s="22"/>
      <c r="E38" s="22"/>
      <c r="F38" s="22"/>
      <c r="G38" s="22"/>
      <c r="H38" s="9"/>
      <c r="I38" s="9"/>
      <c r="J38" s="9"/>
      <c r="K38" s="9"/>
      <c r="L38" s="9"/>
      <c r="M38" s="9"/>
    </row>
    <row r="39" spans="2:13" ht="14.25" customHeight="1" x14ac:dyDescent="0.2">
      <c r="C39" s="22"/>
      <c r="D39" s="22"/>
      <c r="E39" s="22"/>
      <c r="F39" s="22"/>
      <c r="G39" s="22"/>
      <c r="H39" s="9"/>
      <c r="I39" s="9"/>
      <c r="J39" s="9"/>
      <c r="K39" s="9"/>
      <c r="L39" s="9"/>
      <c r="M39" s="9"/>
    </row>
    <row r="40" spans="2:13" ht="14.25" customHeight="1" x14ac:dyDescent="0.2">
      <c r="C40" s="22"/>
      <c r="D40" s="22"/>
      <c r="E40" s="22"/>
      <c r="F40" s="22"/>
      <c r="G40" s="22"/>
      <c r="H40" s="9"/>
      <c r="I40" s="9"/>
      <c r="J40" s="9"/>
      <c r="K40" s="9"/>
      <c r="L40" s="9"/>
      <c r="M40" s="9"/>
    </row>
    <row r="41" spans="2:13" ht="14.25" customHeight="1" x14ac:dyDescent="0.2">
      <c r="C41" s="22"/>
      <c r="D41" s="22"/>
      <c r="E41" s="22"/>
      <c r="F41" s="22"/>
      <c r="G41" s="22"/>
      <c r="H41" s="9"/>
      <c r="I41" s="9"/>
      <c r="J41" s="9"/>
      <c r="K41" s="9"/>
      <c r="L41" s="9"/>
      <c r="M41" s="9"/>
    </row>
    <row r="42" spans="2:13" ht="14.25" customHeight="1" x14ac:dyDescent="0.2">
      <c r="C42" s="22"/>
      <c r="D42" s="22"/>
      <c r="E42" s="22"/>
      <c r="F42" s="22"/>
      <c r="G42" s="22"/>
      <c r="H42" s="9"/>
      <c r="I42" s="9"/>
      <c r="J42" s="9"/>
      <c r="K42" s="9"/>
      <c r="L42" s="9"/>
      <c r="M42" s="9"/>
    </row>
    <row r="43" spans="2:13" ht="14.25" customHeight="1" x14ac:dyDescent="0.2">
      <c r="C43" s="22"/>
      <c r="D43" s="22"/>
      <c r="E43" s="22"/>
      <c r="F43" s="22"/>
      <c r="G43" s="22"/>
      <c r="H43" s="9"/>
      <c r="I43" s="9"/>
      <c r="J43" s="9"/>
      <c r="K43" s="9"/>
      <c r="L43" s="9"/>
      <c r="M43" s="9"/>
    </row>
    <row r="44" spans="2:13" ht="14.25" customHeight="1" x14ac:dyDescent="0.2">
      <c r="C44" s="22"/>
      <c r="D44" s="22"/>
      <c r="E44" s="22"/>
      <c r="F44" s="22"/>
      <c r="G44" s="22"/>
      <c r="H44" s="9"/>
      <c r="I44" s="9"/>
      <c r="J44" s="9"/>
      <c r="K44" s="9"/>
      <c r="L44" s="9"/>
      <c r="M44" s="9"/>
    </row>
    <row r="45" spans="2:13" ht="14.25" customHeight="1" x14ac:dyDescent="0.2">
      <c r="C45" s="22"/>
      <c r="D45" s="22"/>
      <c r="E45" s="22"/>
      <c r="F45" s="22"/>
      <c r="G45" s="22"/>
      <c r="H45" s="9"/>
      <c r="I45" s="9"/>
      <c r="J45" s="9"/>
      <c r="K45" s="9"/>
      <c r="L45" s="9"/>
      <c r="M45" s="9"/>
    </row>
    <row r="46" spans="2:13" ht="14.25" customHeight="1" x14ac:dyDescent="0.2">
      <c r="C46" s="22"/>
      <c r="D46" s="22"/>
      <c r="E46" s="22"/>
      <c r="F46" s="22"/>
      <c r="G46" s="22"/>
      <c r="H46" s="9"/>
      <c r="I46" s="9"/>
      <c r="J46" s="9"/>
      <c r="K46" s="9"/>
      <c r="L46" s="9"/>
      <c r="M46" s="9"/>
    </row>
    <row r="47" spans="2:13" ht="14.25" customHeight="1" x14ac:dyDescent="0.2">
      <c r="C47" s="22"/>
      <c r="D47" s="22"/>
      <c r="E47" s="22"/>
      <c r="F47" s="22"/>
      <c r="G47" s="22"/>
      <c r="H47" s="9"/>
      <c r="I47" s="9"/>
      <c r="J47" s="9"/>
      <c r="K47" s="9"/>
      <c r="L47" s="9"/>
      <c r="M47" s="9"/>
    </row>
    <row r="48" spans="2:13" ht="14.25" customHeight="1" x14ac:dyDescent="0.2">
      <c r="C48" s="22"/>
      <c r="D48" s="22"/>
      <c r="E48" s="22"/>
      <c r="F48" s="22"/>
      <c r="G48" s="22"/>
      <c r="H48" s="9"/>
      <c r="I48" s="9"/>
      <c r="J48" s="9"/>
      <c r="K48" s="9"/>
      <c r="L48" s="9"/>
      <c r="M48" s="9"/>
    </row>
    <row r="49" spans="3:13" ht="14.25" customHeight="1" x14ac:dyDescent="0.2">
      <c r="C49" s="22"/>
      <c r="D49" s="22"/>
      <c r="E49" s="22"/>
      <c r="F49" s="22"/>
      <c r="G49" s="22"/>
      <c r="H49" s="9"/>
      <c r="I49" s="9"/>
      <c r="J49" s="9"/>
      <c r="K49" s="9"/>
      <c r="L49" s="9"/>
      <c r="M49" s="9"/>
    </row>
    <row r="50" spans="3:13" ht="14.25" customHeight="1" x14ac:dyDescent="0.2">
      <c r="C50" s="22"/>
      <c r="D50" s="22"/>
      <c r="E50" s="22"/>
      <c r="F50" s="22"/>
      <c r="G50" s="22"/>
      <c r="H50" s="9"/>
      <c r="I50" s="9"/>
      <c r="J50" s="9"/>
      <c r="K50" s="9"/>
      <c r="L50" s="9"/>
      <c r="M50" s="9"/>
    </row>
    <row r="51" spans="3:13" ht="14.25" customHeight="1" x14ac:dyDescent="0.2">
      <c r="C51" s="22"/>
      <c r="D51" s="22"/>
      <c r="E51" s="22"/>
      <c r="F51" s="22"/>
      <c r="G51" s="22"/>
      <c r="H51" s="9"/>
      <c r="I51" s="9"/>
      <c r="J51" s="9"/>
      <c r="K51" s="9"/>
      <c r="L51" s="9"/>
      <c r="M51" s="9"/>
    </row>
    <row r="52" spans="3:13" ht="14.25" customHeight="1" x14ac:dyDescent="0.2">
      <c r="C52" s="22"/>
      <c r="D52" s="22"/>
      <c r="E52" s="22"/>
      <c r="F52" s="22"/>
      <c r="G52" s="22"/>
      <c r="H52" s="9"/>
      <c r="I52" s="9"/>
      <c r="J52" s="9"/>
      <c r="K52" s="9"/>
      <c r="L52" s="9"/>
      <c r="M52" s="9"/>
    </row>
    <row r="53" spans="3:13" ht="14.25" customHeight="1" x14ac:dyDescent="0.2">
      <c r="C53" s="22"/>
      <c r="D53" s="22"/>
      <c r="E53" s="22"/>
      <c r="F53" s="22"/>
      <c r="G53" s="22"/>
      <c r="H53" s="9"/>
      <c r="I53" s="9"/>
      <c r="J53" s="9"/>
      <c r="K53" s="9"/>
      <c r="L53" s="9"/>
      <c r="M53" s="9"/>
    </row>
    <row r="54" spans="3:13" ht="14.25" customHeight="1" x14ac:dyDescent="0.2">
      <c r="C54" s="22"/>
      <c r="D54" s="22"/>
      <c r="E54" s="22"/>
      <c r="F54" s="22"/>
      <c r="G54" s="22"/>
      <c r="H54" s="9"/>
      <c r="I54" s="9"/>
      <c r="J54" s="9"/>
      <c r="K54" s="9"/>
      <c r="L54" s="9"/>
      <c r="M54" s="9"/>
    </row>
    <row r="55" spans="3:13" ht="14.25" customHeight="1" x14ac:dyDescent="0.2">
      <c r="C55" s="22"/>
      <c r="D55" s="22"/>
      <c r="E55" s="22"/>
      <c r="F55" s="22"/>
      <c r="G55" s="22"/>
      <c r="H55" s="9"/>
      <c r="I55" s="9"/>
      <c r="J55" s="9"/>
      <c r="K55" s="9"/>
      <c r="L55" s="9"/>
      <c r="M55" s="9"/>
    </row>
    <row r="56" spans="3:13" ht="14.25" customHeight="1" x14ac:dyDescent="0.2">
      <c r="C56" s="22"/>
      <c r="D56" s="22"/>
      <c r="E56" s="22"/>
      <c r="F56" s="22"/>
      <c r="G56" s="22"/>
      <c r="H56" s="9"/>
      <c r="I56" s="9"/>
      <c r="J56" s="9"/>
      <c r="K56" s="9"/>
      <c r="L56" s="9"/>
      <c r="M56" s="9"/>
    </row>
    <row r="57" spans="3:13" ht="14.25" customHeight="1" x14ac:dyDescent="0.2">
      <c r="C57" s="22"/>
      <c r="D57" s="22"/>
      <c r="E57" s="22"/>
      <c r="F57" s="22"/>
      <c r="G57" s="22"/>
      <c r="H57" s="9"/>
      <c r="I57" s="9"/>
      <c r="J57" s="9"/>
      <c r="K57" s="9"/>
      <c r="L57" s="9"/>
      <c r="M57" s="9"/>
    </row>
    <row r="58" spans="3:13" ht="14.25" customHeight="1" x14ac:dyDescent="0.2">
      <c r="C58" s="22"/>
      <c r="D58" s="22"/>
      <c r="E58" s="22"/>
      <c r="F58" s="22"/>
      <c r="G58" s="22"/>
      <c r="H58" s="9"/>
      <c r="I58" s="9"/>
      <c r="J58" s="9"/>
      <c r="K58" s="9"/>
      <c r="L58" s="9"/>
      <c r="M58" s="9"/>
    </row>
    <row r="59" spans="3:13" ht="14.25" customHeight="1" x14ac:dyDescent="0.2">
      <c r="C59" s="22"/>
      <c r="D59" s="22"/>
      <c r="E59" s="22"/>
      <c r="F59" s="22"/>
      <c r="G59" s="22"/>
      <c r="H59" s="9"/>
      <c r="I59" s="9"/>
      <c r="J59" s="9"/>
      <c r="K59" s="9"/>
      <c r="L59" s="9"/>
      <c r="M59" s="9"/>
    </row>
    <row r="60" spans="3:13" ht="14.25" customHeight="1" x14ac:dyDescent="0.2">
      <c r="C60" s="22"/>
      <c r="D60" s="22"/>
      <c r="E60" s="22"/>
      <c r="F60" s="22"/>
      <c r="G60" s="22"/>
      <c r="H60" s="9"/>
      <c r="I60" s="9"/>
      <c r="J60" s="9"/>
      <c r="K60" s="9"/>
      <c r="L60" s="9"/>
      <c r="M60" s="9"/>
    </row>
    <row r="61" spans="3:13" ht="14.25" customHeight="1" x14ac:dyDescent="0.2">
      <c r="C61" s="22"/>
      <c r="D61" s="22"/>
      <c r="E61" s="22"/>
      <c r="F61" s="22"/>
      <c r="G61" s="22"/>
      <c r="H61" s="9"/>
      <c r="I61" s="9"/>
      <c r="J61" s="9"/>
      <c r="K61" s="9"/>
      <c r="L61" s="9"/>
      <c r="M61" s="9"/>
    </row>
    <row r="62" spans="3:13" ht="14.25" customHeight="1" x14ac:dyDescent="0.2">
      <c r="C62" s="22"/>
      <c r="D62" s="22"/>
      <c r="E62" s="22"/>
      <c r="F62" s="22"/>
      <c r="G62" s="22"/>
      <c r="H62" s="9"/>
      <c r="I62" s="9"/>
      <c r="J62" s="9"/>
      <c r="K62" s="9"/>
      <c r="L62" s="9"/>
      <c r="M62" s="9"/>
    </row>
    <row r="63" spans="3:13" ht="14.25" customHeight="1" x14ac:dyDescent="0.2">
      <c r="C63" s="22"/>
      <c r="D63" s="22"/>
      <c r="E63" s="22"/>
      <c r="F63" s="22"/>
      <c r="G63" s="22"/>
      <c r="H63" s="9"/>
      <c r="I63" s="9"/>
      <c r="J63" s="9"/>
      <c r="K63" s="9"/>
      <c r="L63" s="9"/>
      <c r="M63" s="9"/>
    </row>
    <row r="64" spans="3:13" ht="14.25" customHeight="1" x14ac:dyDescent="0.2">
      <c r="C64" s="22"/>
      <c r="D64" s="22"/>
      <c r="E64" s="22"/>
      <c r="F64" s="22"/>
      <c r="G64" s="22"/>
      <c r="H64" s="9"/>
      <c r="I64" s="9"/>
      <c r="J64" s="9"/>
      <c r="K64" s="9"/>
      <c r="L64" s="9"/>
      <c r="M64" s="9"/>
    </row>
    <row r="65" spans="3:13" ht="14.25" customHeight="1" x14ac:dyDescent="0.2">
      <c r="C65" s="22"/>
      <c r="D65" s="22"/>
      <c r="E65" s="22"/>
      <c r="F65" s="22"/>
      <c r="G65" s="22"/>
      <c r="H65" s="9"/>
      <c r="I65" s="9"/>
      <c r="J65" s="9"/>
      <c r="K65" s="9"/>
      <c r="L65" s="9"/>
      <c r="M65" s="9"/>
    </row>
    <row r="66" spans="3:13" ht="14.25" customHeight="1" x14ac:dyDescent="0.2">
      <c r="C66" s="22"/>
      <c r="D66" s="22"/>
      <c r="E66" s="22"/>
      <c r="F66" s="22"/>
      <c r="G66" s="22"/>
      <c r="H66" s="9"/>
      <c r="I66" s="9"/>
      <c r="J66" s="9"/>
      <c r="K66" s="9"/>
      <c r="L66" s="9"/>
      <c r="M66" s="9"/>
    </row>
    <row r="67" spans="3:13" ht="14.25" customHeight="1" x14ac:dyDescent="0.2">
      <c r="C67" s="22"/>
      <c r="D67" s="22"/>
      <c r="E67" s="22"/>
      <c r="F67" s="22"/>
      <c r="G67" s="22"/>
      <c r="H67" s="9"/>
      <c r="I67" s="9"/>
      <c r="J67" s="9"/>
      <c r="K67" s="9"/>
      <c r="L67" s="9"/>
      <c r="M67" s="9"/>
    </row>
    <row r="68" spans="3:13" ht="14.25" customHeight="1" x14ac:dyDescent="0.2">
      <c r="C68" s="22"/>
      <c r="D68" s="22"/>
      <c r="E68" s="22"/>
      <c r="F68" s="22"/>
      <c r="G68" s="22"/>
      <c r="H68" s="9"/>
      <c r="I68" s="9"/>
      <c r="J68" s="9"/>
      <c r="K68" s="9"/>
      <c r="L68" s="9"/>
      <c r="M68" s="9"/>
    </row>
    <row r="69" spans="3:13" ht="14.25" customHeight="1" x14ac:dyDescent="0.2">
      <c r="C69" s="22"/>
      <c r="D69" s="22"/>
      <c r="E69" s="22"/>
      <c r="F69" s="22"/>
      <c r="G69" s="22"/>
      <c r="H69" s="9"/>
      <c r="I69" s="9"/>
      <c r="J69" s="9"/>
      <c r="K69" s="9"/>
      <c r="L69" s="9"/>
      <c r="M69" s="9"/>
    </row>
    <row r="70" spans="3:13" ht="14.25" customHeight="1" x14ac:dyDescent="0.2">
      <c r="C70" s="22"/>
      <c r="D70" s="22"/>
      <c r="E70" s="22"/>
      <c r="F70" s="22"/>
      <c r="G70" s="22"/>
      <c r="H70" s="9"/>
      <c r="I70" s="9"/>
      <c r="J70" s="9"/>
      <c r="K70" s="9"/>
      <c r="L70" s="9"/>
      <c r="M70" s="9"/>
    </row>
    <row r="71" spans="3:13" ht="14.25" customHeight="1" x14ac:dyDescent="0.2">
      <c r="C71" s="22"/>
      <c r="D71" s="22"/>
      <c r="E71" s="22"/>
      <c r="F71" s="22"/>
      <c r="G71" s="22"/>
      <c r="H71" s="9"/>
      <c r="I71" s="9"/>
      <c r="J71" s="9"/>
      <c r="K71" s="9"/>
      <c r="L71" s="9"/>
      <c r="M71" s="9"/>
    </row>
    <row r="72" spans="3:13" ht="14.25" customHeight="1" x14ac:dyDescent="0.2">
      <c r="C72" s="22"/>
      <c r="D72" s="22"/>
      <c r="E72" s="22"/>
      <c r="F72" s="22"/>
      <c r="G72" s="22"/>
      <c r="H72" s="9"/>
      <c r="I72" s="9"/>
      <c r="J72" s="9"/>
      <c r="K72" s="9"/>
      <c r="L72" s="9"/>
      <c r="M72" s="9"/>
    </row>
    <row r="73" spans="3:13" ht="14.25" customHeight="1" x14ac:dyDescent="0.2">
      <c r="C73" s="22"/>
      <c r="D73" s="22"/>
      <c r="E73" s="22"/>
      <c r="F73" s="22"/>
      <c r="G73" s="22"/>
      <c r="H73" s="9"/>
      <c r="I73" s="9"/>
      <c r="J73" s="9"/>
      <c r="K73" s="9"/>
      <c r="L73" s="9"/>
      <c r="M73" s="9"/>
    </row>
    <row r="74" spans="3:13" ht="14.25" customHeight="1" x14ac:dyDescent="0.2">
      <c r="C74" s="22"/>
      <c r="D74" s="22"/>
      <c r="E74" s="22"/>
      <c r="F74" s="22"/>
      <c r="G74" s="22"/>
      <c r="H74" s="9"/>
      <c r="I74" s="9"/>
      <c r="J74" s="9"/>
      <c r="K74" s="9"/>
      <c r="L74" s="9"/>
      <c r="M74" s="9"/>
    </row>
    <row r="75" spans="3:13" ht="14.25" customHeight="1" x14ac:dyDescent="0.2">
      <c r="C75" s="22"/>
      <c r="D75" s="22"/>
      <c r="E75" s="22"/>
      <c r="F75" s="22"/>
      <c r="G75" s="22"/>
      <c r="H75" s="9"/>
      <c r="I75" s="9"/>
      <c r="J75" s="9"/>
      <c r="K75" s="9"/>
      <c r="L75" s="9"/>
      <c r="M75" s="9"/>
    </row>
    <row r="76" spans="3:13" ht="14.25" customHeight="1" x14ac:dyDescent="0.2">
      <c r="C76" s="22"/>
      <c r="D76" s="22"/>
      <c r="E76" s="22"/>
      <c r="F76" s="22"/>
      <c r="G76" s="22"/>
      <c r="H76" s="9"/>
      <c r="I76" s="9"/>
      <c r="J76" s="9"/>
      <c r="K76" s="9"/>
      <c r="L76" s="9"/>
      <c r="M76" s="9"/>
    </row>
    <row r="77" spans="3:13" ht="14.25" customHeight="1" x14ac:dyDescent="0.2">
      <c r="C77" s="22"/>
      <c r="D77" s="22"/>
      <c r="E77" s="22"/>
      <c r="F77" s="22"/>
      <c r="G77" s="22"/>
      <c r="H77" s="9"/>
      <c r="I77" s="9"/>
      <c r="J77" s="9"/>
      <c r="K77" s="9"/>
      <c r="L77" s="9"/>
      <c r="M77" s="9"/>
    </row>
    <row r="78" spans="3:13" ht="14.25" customHeight="1" x14ac:dyDescent="0.2">
      <c r="C78" s="22"/>
      <c r="D78" s="22"/>
      <c r="E78" s="22"/>
      <c r="F78" s="22"/>
      <c r="G78" s="22"/>
      <c r="H78" s="9"/>
      <c r="I78" s="9"/>
      <c r="J78" s="9"/>
      <c r="K78" s="9"/>
      <c r="L78" s="9"/>
      <c r="M78" s="9"/>
    </row>
    <row r="79" spans="3:13" ht="14.25" customHeight="1" x14ac:dyDescent="0.2">
      <c r="C79" s="22"/>
      <c r="D79" s="22"/>
      <c r="E79" s="22"/>
      <c r="F79" s="22"/>
      <c r="G79" s="22"/>
      <c r="H79" s="9"/>
      <c r="I79" s="9"/>
      <c r="J79" s="9"/>
      <c r="K79" s="9"/>
      <c r="L79" s="9"/>
      <c r="M79" s="9"/>
    </row>
    <row r="80" spans="3:13" ht="14.25" customHeight="1" x14ac:dyDescent="0.2">
      <c r="C80" s="22"/>
      <c r="D80" s="22"/>
      <c r="E80" s="22"/>
      <c r="F80" s="22"/>
      <c r="G80" s="22"/>
      <c r="H80" s="9"/>
      <c r="I80" s="9"/>
      <c r="J80" s="9"/>
      <c r="K80" s="9"/>
      <c r="L80" s="9"/>
      <c r="M80" s="9"/>
    </row>
    <row r="81" spans="3:13" ht="14.25" customHeight="1" x14ac:dyDescent="0.2">
      <c r="C81" s="22"/>
      <c r="D81" s="22"/>
      <c r="E81" s="22"/>
      <c r="F81" s="22"/>
      <c r="G81" s="22"/>
      <c r="H81" s="9"/>
      <c r="I81" s="9"/>
      <c r="J81" s="9"/>
      <c r="K81" s="9"/>
      <c r="L81" s="9"/>
      <c r="M81" s="9"/>
    </row>
    <row r="82" spans="3:13" ht="14.25" customHeight="1" x14ac:dyDescent="0.2">
      <c r="C82" s="22"/>
      <c r="D82" s="22"/>
      <c r="E82" s="22"/>
      <c r="F82" s="22"/>
      <c r="G82" s="22"/>
      <c r="H82" s="9"/>
      <c r="I82" s="9"/>
      <c r="J82" s="9"/>
      <c r="K82" s="9"/>
      <c r="L82" s="9"/>
      <c r="M82" s="9"/>
    </row>
    <row r="83" spans="3:13" ht="14.25" customHeight="1" x14ac:dyDescent="0.2">
      <c r="C83" s="22"/>
      <c r="D83" s="22"/>
      <c r="E83" s="22"/>
      <c r="F83" s="22"/>
      <c r="G83" s="22"/>
      <c r="H83" s="9"/>
      <c r="I83" s="9"/>
      <c r="J83" s="9"/>
      <c r="K83" s="9"/>
      <c r="L83" s="9"/>
      <c r="M83" s="9"/>
    </row>
    <row r="84" spans="3:13" ht="14.25" customHeight="1" x14ac:dyDescent="0.2">
      <c r="C84" s="22"/>
      <c r="D84" s="22"/>
      <c r="E84" s="22"/>
      <c r="F84" s="22"/>
      <c r="G84" s="22"/>
      <c r="H84" s="9"/>
      <c r="I84" s="9"/>
      <c r="J84" s="9"/>
      <c r="K84" s="9"/>
      <c r="L84" s="9"/>
      <c r="M84" s="9"/>
    </row>
    <row r="85" spans="3:13" ht="14.25" customHeight="1" x14ac:dyDescent="0.2">
      <c r="C85" s="22"/>
      <c r="D85" s="22"/>
      <c r="E85" s="22"/>
      <c r="F85" s="22"/>
      <c r="G85" s="22"/>
      <c r="H85" s="9"/>
      <c r="I85" s="9"/>
      <c r="J85" s="9"/>
      <c r="K85" s="9"/>
      <c r="L85" s="9"/>
      <c r="M85" s="9"/>
    </row>
    <row r="86" spans="3:13" ht="14.25" customHeight="1" x14ac:dyDescent="0.2">
      <c r="C86" s="22"/>
      <c r="D86" s="22"/>
      <c r="E86" s="22"/>
      <c r="F86" s="22"/>
      <c r="G86" s="22"/>
      <c r="H86" s="9"/>
      <c r="I86" s="9"/>
      <c r="J86" s="9"/>
      <c r="K86" s="9"/>
      <c r="L86" s="9"/>
      <c r="M86" s="9"/>
    </row>
    <row r="87" spans="3:13" ht="14.25" customHeight="1" x14ac:dyDescent="0.2">
      <c r="C87" s="22"/>
      <c r="D87" s="22"/>
      <c r="E87" s="22"/>
      <c r="F87" s="22"/>
      <c r="G87" s="22"/>
      <c r="H87" s="9"/>
      <c r="I87" s="9"/>
      <c r="J87" s="9"/>
      <c r="K87" s="9"/>
      <c r="L87" s="9"/>
      <c r="M87" s="9"/>
    </row>
    <row r="88" spans="3:13" ht="14.25" customHeight="1" x14ac:dyDescent="0.2">
      <c r="C88" s="22"/>
      <c r="D88" s="22"/>
      <c r="E88" s="22"/>
      <c r="F88" s="22"/>
      <c r="G88" s="22"/>
      <c r="H88" s="9"/>
      <c r="I88" s="9"/>
      <c r="J88" s="9"/>
      <c r="K88" s="9"/>
      <c r="L88" s="9"/>
      <c r="M88" s="9"/>
    </row>
    <row r="89" spans="3:13" ht="14.25" customHeight="1" x14ac:dyDescent="0.2">
      <c r="C89" s="22"/>
      <c r="D89" s="22"/>
      <c r="E89" s="22"/>
      <c r="F89" s="22"/>
      <c r="G89" s="22"/>
      <c r="H89" s="9"/>
      <c r="I89" s="9"/>
      <c r="J89" s="9"/>
      <c r="K89" s="9"/>
      <c r="L89" s="9"/>
      <c r="M89" s="9"/>
    </row>
    <row r="90" spans="3:13" ht="14.25" customHeight="1" x14ac:dyDescent="0.2">
      <c r="C90" s="22"/>
      <c r="D90" s="22"/>
      <c r="E90" s="22"/>
      <c r="F90" s="22"/>
      <c r="G90" s="22"/>
      <c r="H90" s="9"/>
      <c r="I90" s="9"/>
      <c r="J90" s="9"/>
      <c r="K90" s="9"/>
      <c r="L90" s="9"/>
      <c r="M90" s="9"/>
    </row>
    <row r="91" spans="3:13" ht="14.25" customHeight="1" x14ac:dyDescent="0.2">
      <c r="C91" s="22"/>
      <c r="D91" s="22"/>
      <c r="E91" s="22"/>
      <c r="F91" s="22"/>
      <c r="G91" s="22"/>
      <c r="H91" s="9"/>
      <c r="I91" s="9"/>
      <c r="J91" s="9"/>
      <c r="K91" s="9"/>
      <c r="L91" s="9"/>
      <c r="M91" s="9"/>
    </row>
    <row r="92" spans="3:13" ht="14.25" customHeight="1" x14ac:dyDescent="0.2">
      <c r="C92" s="22"/>
      <c r="D92" s="22"/>
      <c r="E92" s="22"/>
      <c r="F92" s="22"/>
      <c r="G92" s="22"/>
      <c r="H92" s="9"/>
      <c r="I92" s="9"/>
      <c r="J92" s="9"/>
      <c r="K92" s="9"/>
      <c r="L92" s="9"/>
      <c r="M92" s="9"/>
    </row>
    <row r="93" spans="3:13" ht="14.25" customHeight="1" x14ac:dyDescent="0.2">
      <c r="C93" s="22"/>
      <c r="D93" s="22"/>
      <c r="E93" s="22"/>
      <c r="F93" s="22"/>
      <c r="G93" s="22"/>
      <c r="H93" s="9"/>
      <c r="I93" s="9"/>
      <c r="J93" s="9"/>
      <c r="K93" s="9"/>
      <c r="L93" s="9"/>
      <c r="M93" s="9"/>
    </row>
    <row r="94" spans="3:13" ht="14.25" customHeight="1" x14ac:dyDescent="0.2">
      <c r="C94" s="22"/>
      <c r="D94" s="22"/>
      <c r="E94" s="22"/>
      <c r="F94" s="22"/>
      <c r="G94" s="22"/>
      <c r="H94" s="9"/>
      <c r="I94" s="9"/>
      <c r="J94" s="9"/>
      <c r="K94" s="9"/>
      <c r="L94" s="9"/>
      <c r="M94" s="9"/>
    </row>
    <row r="95" spans="3:13" ht="14.25" customHeight="1" x14ac:dyDescent="0.2">
      <c r="C95" s="22"/>
      <c r="D95" s="22"/>
      <c r="E95" s="22"/>
      <c r="F95" s="22"/>
      <c r="G95" s="22"/>
      <c r="H95" s="9"/>
      <c r="I95" s="9"/>
      <c r="J95" s="9"/>
      <c r="K95" s="9"/>
      <c r="L95" s="9"/>
      <c r="M95" s="9"/>
    </row>
    <row r="96" spans="3:13" ht="14.25" customHeight="1" x14ac:dyDescent="0.2">
      <c r="C96" s="22"/>
      <c r="D96" s="22"/>
      <c r="E96" s="22"/>
      <c r="F96" s="22"/>
      <c r="G96" s="22"/>
      <c r="H96" s="9"/>
      <c r="I96" s="9"/>
      <c r="J96" s="9"/>
      <c r="K96" s="9"/>
      <c r="L96" s="9"/>
      <c r="M96" s="9"/>
    </row>
    <row r="97" spans="3:13" ht="14.25" customHeight="1" x14ac:dyDescent="0.2">
      <c r="C97" s="22"/>
      <c r="D97" s="22"/>
      <c r="E97" s="22"/>
      <c r="F97" s="22"/>
      <c r="G97" s="22"/>
      <c r="H97" s="9"/>
      <c r="I97" s="9"/>
      <c r="J97" s="9"/>
      <c r="K97" s="9"/>
      <c r="L97" s="9"/>
      <c r="M97" s="9"/>
    </row>
    <row r="98" spans="3:13" ht="14.25" customHeight="1" x14ac:dyDescent="0.2">
      <c r="C98" s="22"/>
      <c r="D98" s="22"/>
      <c r="E98" s="22"/>
      <c r="F98" s="22"/>
      <c r="G98" s="22"/>
      <c r="H98" s="9"/>
      <c r="I98" s="9"/>
      <c r="J98" s="9"/>
      <c r="K98" s="9"/>
      <c r="L98" s="9"/>
      <c r="M98" s="9"/>
    </row>
    <row r="99" spans="3:13" ht="14.25" customHeight="1" x14ac:dyDescent="0.2">
      <c r="C99" s="22"/>
      <c r="D99" s="22"/>
      <c r="E99" s="22"/>
      <c r="F99" s="22"/>
      <c r="G99" s="22"/>
      <c r="H99" s="9"/>
      <c r="I99" s="9"/>
      <c r="J99" s="9"/>
      <c r="K99" s="9"/>
      <c r="L99" s="9"/>
      <c r="M99" s="9"/>
    </row>
    <row r="100" spans="3:13" ht="14.25" customHeight="1" x14ac:dyDescent="0.2">
      <c r="C100" s="22"/>
      <c r="D100" s="22"/>
      <c r="E100" s="22"/>
      <c r="F100" s="22"/>
      <c r="G100" s="22"/>
      <c r="H100" s="9"/>
      <c r="I100" s="9"/>
      <c r="J100" s="9"/>
      <c r="K100" s="9"/>
      <c r="L100" s="9"/>
      <c r="M100" s="9"/>
    </row>
    <row r="101" spans="3:13" ht="14.25" customHeight="1" x14ac:dyDescent="0.2">
      <c r="C101" s="22"/>
      <c r="D101" s="22"/>
      <c r="E101" s="22"/>
      <c r="F101" s="22"/>
      <c r="G101" s="22"/>
      <c r="H101" s="9"/>
      <c r="I101" s="9"/>
      <c r="J101" s="9"/>
      <c r="K101" s="9"/>
      <c r="L101" s="9"/>
      <c r="M101" s="9"/>
    </row>
    <row r="102" spans="3:13" ht="14.25" customHeight="1" x14ac:dyDescent="0.2">
      <c r="C102" s="22"/>
      <c r="D102" s="22"/>
      <c r="E102" s="22"/>
      <c r="F102" s="22"/>
      <c r="G102" s="22"/>
      <c r="H102" s="9"/>
      <c r="I102" s="9"/>
      <c r="J102" s="9"/>
      <c r="K102" s="9"/>
      <c r="L102" s="9"/>
      <c r="M102" s="9"/>
    </row>
    <row r="103" spans="3:13" ht="14.25" customHeight="1" x14ac:dyDescent="0.2">
      <c r="C103" s="22"/>
      <c r="D103" s="22"/>
      <c r="E103" s="22"/>
      <c r="F103" s="22"/>
      <c r="G103" s="22"/>
      <c r="H103" s="9"/>
      <c r="I103" s="9"/>
      <c r="J103" s="9"/>
      <c r="K103" s="9"/>
      <c r="L103" s="9"/>
      <c r="M103" s="9"/>
    </row>
    <row r="104" spans="3:13" ht="14.25" customHeight="1" x14ac:dyDescent="0.2">
      <c r="C104" s="22"/>
      <c r="D104" s="22"/>
      <c r="E104" s="22"/>
      <c r="F104" s="22"/>
      <c r="G104" s="22"/>
      <c r="H104" s="9"/>
      <c r="I104" s="9"/>
      <c r="J104" s="9"/>
      <c r="K104" s="9"/>
      <c r="L104" s="9"/>
      <c r="M104" s="9"/>
    </row>
    <row r="105" spans="3:13" ht="14.25" customHeight="1" x14ac:dyDescent="0.2">
      <c r="C105" s="22"/>
      <c r="D105" s="22"/>
      <c r="E105" s="22"/>
      <c r="F105" s="22"/>
      <c r="G105" s="22"/>
      <c r="H105" s="9"/>
      <c r="I105" s="9"/>
      <c r="J105" s="9"/>
      <c r="K105" s="9"/>
      <c r="L105" s="9"/>
      <c r="M105" s="9"/>
    </row>
    <row r="106" spans="3:13" ht="14.25" customHeight="1" x14ac:dyDescent="0.2">
      <c r="C106" s="22"/>
      <c r="D106" s="22"/>
      <c r="E106" s="22"/>
      <c r="F106" s="22"/>
      <c r="G106" s="22"/>
      <c r="H106" s="9"/>
      <c r="I106" s="9"/>
      <c r="J106" s="9"/>
      <c r="K106" s="9"/>
      <c r="L106" s="9"/>
      <c r="M106" s="9"/>
    </row>
    <row r="107" spans="3:13" ht="14.25" customHeight="1" x14ac:dyDescent="0.2">
      <c r="C107" s="22"/>
      <c r="D107" s="22"/>
      <c r="E107" s="22"/>
      <c r="F107" s="22"/>
      <c r="G107" s="22"/>
      <c r="H107" s="9"/>
      <c r="I107" s="9"/>
      <c r="J107" s="9"/>
      <c r="K107" s="9"/>
      <c r="L107" s="9"/>
      <c r="M107" s="9"/>
    </row>
    <row r="108" spans="3:13" ht="14.25" customHeight="1" x14ac:dyDescent="0.2">
      <c r="C108" s="22"/>
      <c r="D108" s="22"/>
      <c r="E108" s="22"/>
      <c r="F108" s="22"/>
      <c r="G108" s="22"/>
      <c r="H108" s="9"/>
      <c r="I108" s="9"/>
      <c r="J108" s="9"/>
      <c r="K108" s="9"/>
      <c r="L108" s="9"/>
      <c r="M108" s="9"/>
    </row>
    <row r="109" spans="3:13" ht="14.25" customHeight="1" x14ac:dyDescent="0.2">
      <c r="C109" s="22"/>
      <c r="D109" s="22"/>
      <c r="E109" s="22"/>
      <c r="F109" s="22"/>
      <c r="G109" s="22"/>
      <c r="H109" s="9"/>
      <c r="I109" s="9"/>
      <c r="J109" s="9"/>
      <c r="K109" s="9"/>
      <c r="L109" s="9"/>
      <c r="M109" s="9"/>
    </row>
    <row r="110" spans="3:13" ht="14.25" customHeight="1" x14ac:dyDescent="0.2">
      <c r="C110" s="22"/>
      <c r="D110" s="22"/>
      <c r="E110" s="22"/>
      <c r="F110" s="22"/>
      <c r="G110" s="22"/>
      <c r="H110" s="9"/>
      <c r="I110" s="9"/>
      <c r="J110" s="9"/>
      <c r="K110" s="9"/>
      <c r="L110" s="9"/>
      <c r="M110" s="9"/>
    </row>
    <row r="111" spans="3:13" ht="14.25" customHeight="1" x14ac:dyDescent="0.2">
      <c r="C111" s="22"/>
      <c r="D111" s="22"/>
      <c r="E111" s="22"/>
      <c r="F111" s="22"/>
      <c r="G111" s="22"/>
      <c r="H111" s="9"/>
      <c r="I111" s="9"/>
      <c r="J111" s="9"/>
      <c r="K111" s="9"/>
      <c r="L111" s="9"/>
      <c r="M111" s="9"/>
    </row>
    <row r="112" spans="3:13" ht="14.25" customHeight="1" x14ac:dyDescent="0.2">
      <c r="C112" s="22"/>
      <c r="D112" s="22"/>
      <c r="E112" s="22"/>
      <c r="F112" s="22"/>
      <c r="G112" s="22"/>
      <c r="H112" s="9"/>
      <c r="I112" s="9"/>
      <c r="J112" s="9"/>
      <c r="K112" s="9"/>
      <c r="L112" s="9"/>
      <c r="M112" s="9"/>
    </row>
    <row r="113" spans="3:13" ht="14.25" customHeight="1" x14ac:dyDescent="0.2">
      <c r="C113" s="22"/>
      <c r="D113" s="22"/>
      <c r="E113" s="22"/>
      <c r="F113" s="22"/>
      <c r="G113" s="22"/>
      <c r="H113" s="9"/>
      <c r="I113" s="9"/>
      <c r="J113" s="9"/>
      <c r="K113" s="9"/>
      <c r="L113" s="9"/>
      <c r="M113" s="9"/>
    </row>
    <row r="114" spans="3:13" ht="14.25" customHeight="1" x14ac:dyDescent="0.2">
      <c r="C114" s="22"/>
      <c r="D114" s="22"/>
      <c r="E114" s="22"/>
      <c r="F114" s="22"/>
      <c r="G114" s="22"/>
      <c r="H114" s="9"/>
      <c r="I114" s="9"/>
      <c r="J114" s="9"/>
      <c r="K114" s="9"/>
      <c r="L114" s="9"/>
      <c r="M114" s="9"/>
    </row>
    <row r="115" spans="3:13" ht="14.25" customHeight="1" x14ac:dyDescent="0.2">
      <c r="C115" s="22"/>
      <c r="D115" s="22"/>
      <c r="E115" s="22"/>
      <c r="F115" s="22"/>
      <c r="G115" s="22"/>
      <c r="H115" s="9"/>
      <c r="I115" s="9"/>
      <c r="J115" s="9"/>
      <c r="K115" s="9"/>
      <c r="L115" s="9"/>
      <c r="M115" s="9"/>
    </row>
    <row r="116" spans="3:13" ht="14.25" customHeight="1" x14ac:dyDescent="0.2">
      <c r="C116" s="22"/>
      <c r="D116" s="22"/>
      <c r="E116" s="22"/>
      <c r="F116" s="22"/>
      <c r="G116" s="22"/>
      <c r="H116" s="9"/>
      <c r="I116" s="9"/>
      <c r="J116" s="9"/>
      <c r="K116" s="9"/>
      <c r="L116" s="9"/>
      <c r="M116" s="9"/>
    </row>
    <row r="117" spans="3:13" ht="14.25" customHeight="1" x14ac:dyDescent="0.2">
      <c r="C117" s="22"/>
      <c r="D117" s="22"/>
      <c r="E117" s="22"/>
      <c r="F117" s="22"/>
      <c r="G117" s="22"/>
      <c r="H117" s="9"/>
      <c r="I117" s="9"/>
      <c r="J117" s="9"/>
      <c r="K117" s="9"/>
      <c r="L117" s="9"/>
      <c r="M117" s="9"/>
    </row>
    <row r="118" spans="3:13" ht="14.25" customHeight="1" x14ac:dyDescent="0.2">
      <c r="C118" s="22"/>
      <c r="D118" s="22"/>
      <c r="E118" s="22"/>
      <c r="F118" s="22"/>
      <c r="G118" s="22"/>
      <c r="H118" s="9"/>
      <c r="I118" s="9"/>
      <c r="J118" s="9"/>
      <c r="K118" s="9"/>
      <c r="L118" s="9"/>
      <c r="M118" s="9"/>
    </row>
    <row r="119" spans="3:13" ht="14.25" customHeight="1" x14ac:dyDescent="0.2">
      <c r="K119" s="9"/>
      <c r="L119" s="9"/>
      <c r="M119" s="9"/>
    </row>
    <row r="120" spans="3:13" ht="14.25" customHeight="1" x14ac:dyDescent="0.2"/>
    <row r="122" spans="3:13" ht="14.25" customHeight="1" x14ac:dyDescent="0.2"/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6D159-FCFB-42E2-80C6-1CEC5D807849}">
  <sheetPr codeName="Sheet9"/>
  <dimension ref="A1:N16"/>
  <sheetViews>
    <sheetView workbookViewId="0">
      <selection activeCell="N5" sqref="N5"/>
    </sheetView>
  </sheetViews>
  <sheetFormatPr defaultRowHeight="14.25" customHeight="1" x14ac:dyDescent="0.2"/>
  <cols>
    <col min="1" max="16384" width="9" style="1"/>
  </cols>
  <sheetData>
    <row r="1" spans="1:14" ht="14.25" customHeight="1" x14ac:dyDescent="0.2">
      <c r="A1" s="79" t="s">
        <v>219</v>
      </c>
      <c r="B1" s="80"/>
    </row>
    <row r="2" spans="1:14" ht="14.25" customHeight="1" x14ac:dyDescent="0.2">
      <c r="A2" s="81"/>
      <c r="B2" s="82"/>
    </row>
    <row r="4" spans="1:14" ht="14.25" customHeight="1" x14ac:dyDescent="0.2">
      <c r="D4" s="3" t="s">
        <v>157</v>
      </c>
      <c r="E4" s="3" t="s">
        <v>92</v>
      </c>
      <c r="F4" s="3" t="s">
        <v>93</v>
      </c>
      <c r="G4" s="1" t="s">
        <v>206</v>
      </c>
      <c r="H4" s="1" t="s">
        <v>275</v>
      </c>
      <c r="I4" s="1" t="s">
        <v>207</v>
      </c>
      <c r="J4" s="1" t="s">
        <v>209</v>
      </c>
      <c r="K4" s="1" t="s">
        <v>211</v>
      </c>
      <c r="L4" s="1" t="s">
        <v>218</v>
      </c>
      <c r="N4" s="3" t="s">
        <v>238</v>
      </c>
    </row>
    <row r="5" spans="1:14" ht="14.25" customHeight="1" x14ac:dyDescent="0.2">
      <c r="D5" s="1" t="s">
        <v>259</v>
      </c>
      <c r="E5" s="1" t="str">
        <f>VLOOKUP(D5,角色设定!$R:$S,2,0)</f>
        <v>防御</v>
      </c>
      <c r="F5" s="1" t="str">
        <f>VLOOKUP(E5,角色设定!$D$9:$E$15,2,0)</f>
        <v>坦克</v>
      </c>
      <c r="G5" s="1">
        <v>10</v>
      </c>
      <c r="H5" s="1">
        <f>G5*0.5</f>
        <v>5</v>
      </c>
      <c r="I5" s="5">
        <f>VLOOKUP($E5,技能模板!$D$13:$U$19,MATCH(I$4,技能模板!$D$13:$U$13,0),0)/VLOOKUP($E5,技能模板!$D$13:$U$19,MATCH($G$4,技能模板!$D$13:$U$13,0),0)*$G5</f>
        <v>1.1111111111111109</v>
      </c>
      <c r="J5" s="5"/>
      <c r="K5" s="5">
        <f>VLOOKUP($E5,技能模板!$D$13:$U$19,MATCH(K$4,技能模板!$D$13:$U$13,0),0)/VLOOKUP($E5,技能模板!$D$13:$U$19,MATCH($G$4,技能模板!$D$13:$U$13,0),0)*$G5</f>
        <v>0.89999999999999991</v>
      </c>
      <c r="L5" s="5"/>
      <c r="N5" s="45" t="s">
        <v>244</v>
      </c>
    </row>
    <row r="6" spans="1:14" ht="14.25" customHeight="1" x14ac:dyDescent="0.2">
      <c r="D6" s="1" t="s">
        <v>260</v>
      </c>
      <c r="E6" s="1" t="str">
        <f>VLOOKUP(D6,角色设定!$R:$S,2,0)</f>
        <v>防御</v>
      </c>
      <c r="F6" s="1" t="str">
        <f>VLOOKUP(E6,角色设定!$D$9:$E$15,2,0)</f>
        <v>坦克</v>
      </c>
      <c r="G6" s="1">
        <v>10</v>
      </c>
      <c r="H6" s="1">
        <f t="shared" ref="H6:H16" si="0">G6*0.5</f>
        <v>5</v>
      </c>
      <c r="I6" s="5">
        <f>VLOOKUP($E6,技能模板!$D$13:$U$19,MATCH(I$4,技能模板!$D$13:$U$13,0),0)/VLOOKUP($E6,技能模板!$D$13:$U$19,MATCH($G$4,技能模板!$D$13:$U$13,0),0)*$G6</f>
        <v>1.1111111111111109</v>
      </c>
      <c r="J6" s="5"/>
      <c r="K6" s="5">
        <f>VLOOKUP($E6,技能模板!$D$13:$U$19,MATCH(K$4,技能模板!$D$13:$U$13,0),0)/VLOOKUP($E6,技能模板!$D$13:$U$19,MATCH($G$4,技能模板!$D$13:$U$13,0),0)*$G6</f>
        <v>0.89999999999999991</v>
      </c>
      <c r="L6" s="5"/>
    </row>
    <row r="7" spans="1:14" ht="14.25" customHeight="1" x14ac:dyDescent="0.2">
      <c r="D7" s="1" t="s">
        <v>261</v>
      </c>
      <c r="E7" s="1" t="str">
        <f>VLOOKUP(D7,角色设定!$R:$S,2,0)</f>
        <v>突击</v>
      </c>
      <c r="F7" s="1" t="str">
        <f>VLOOKUP(E7,角色设定!$D$9:$E$15,2,0)</f>
        <v>坦克</v>
      </c>
      <c r="G7" s="1">
        <v>8</v>
      </c>
      <c r="H7" s="1">
        <f t="shared" si="0"/>
        <v>4</v>
      </c>
      <c r="I7" s="5">
        <f>VLOOKUP($E7,技能模板!$D$13:$U$19,MATCH(I$4,技能模板!$D$13:$U$13,0),0)/VLOOKUP($E7,技能模板!$D$13:$U$19,MATCH($G$4,技能模板!$D$13:$U$13,0),0)*$G7</f>
        <v>0.97777777777777763</v>
      </c>
      <c r="J7" s="5"/>
      <c r="K7" s="5">
        <f>VLOOKUP($E7,技能模板!$D$13:$U$19,MATCH(K$4,技能模板!$D$13:$U$13,0),0)/VLOOKUP($E7,技能模板!$D$13:$U$19,MATCH($G$4,技能模板!$D$13:$U$13,0),0)*$G7</f>
        <v>0.96000000000000008</v>
      </c>
      <c r="L7" s="5"/>
    </row>
    <row r="8" spans="1:14" ht="14.25" customHeight="1" x14ac:dyDescent="0.2">
      <c r="D8" s="1" t="s">
        <v>262</v>
      </c>
      <c r="E8" s="1" t="str">
        <f>VLOOKUP(D8,角色设定!$R:$S,2,0)</f>
        <v>突击</v>
      </c>
      <c r="F8" s="1" t="str">
        <f>VLOOKUP(E8,角色设定!$D$9:$E$15,2,0)</f>
        <v>坦克</v>
      </c>
      <c r="G8" s="1">
        <v>8</v>
      </c>
      <c r="H8" s="1">
        <f t="shared" si="0"/>
        <v>4</v>
      </c>
      <c r="I8" s="5">
        <f>VLOOKUP($E8,技能模板!$D$13:$U$19,MATCH(I$4,技能模板!$D$13:$U$13,0),0)/VLOOKUP($E8,技能模板!$D$13:$U$19,MATCH($G$4,技能模板!$D$13:$U$13,0),0)*$G8</f>
        <v>0.97777777777777763</v>
      </c>
      <c r="J8" s="5"/>
      <c r="K8" s="5">
        <f>VLOOKUP($E8,技能模板!$D$13:$U$19,MATCH(K$4,技能模板!$D$13:$U$13,0),0)/VLOOKUP($E8,技能模板!$D$13:$U$19,MATCH($G$4,技能模板!$D$13:$U$13,0),0)*$G8</f>
        <v>0.96000000000000008</v>
      </c>
      <c r="L8" s="5"/>
    </row>
    <row r="9" spans="1:14" ht="14.25" customHeight="1" x14ac:dyDescent="0.2">
      <c r="D9" s="1" t="s">
        <v>263</v>
      </c>
      <c r="E9" s="1" t="str">
        <f>VLOOKUP(D9,角色设定!$R:$S,2,0)</f>
        <v>魔法</v>
      </c>
      <c r="F9" s="1" t="str">
        <f>VLOOKUP(E9,角色设定!$D$9:$E$15,2,0)</f>
        <v>输出</v>
      </c>
      <c r="G9" s="1">
        <v>20</v>
      </c>
      <c r="H9" s="1">
        <f t="shared" si="0"/>
        <v>10</v>
      </c>
      <c r="I9" s="5">
        <f>VLOOKUP($E9,技能模板!$D$13:$U$19,MATCH(I$4,技能模板!$D$13:$U$13,0),0)/VLOOKUP($E9,技能模板!$D$13:$U$19,MATCH($G$4,技能模板!$D$13:$U$13,0),0)*$G9</f>
        <v>3.9999999999999996</v>
      </c>
      <c r="J9" s="5"/>
      <c r="K9" s="5"/>
      <c r="L9" s="5"/>
    </row>
    <row r="10" spans="1:14" ht="14.25" customHeight="1" x14ac:dyDescent="0.2">
      <c r="D10" s="1" t="s">
        <v>264</v>
      </c>
      <c r="E10" s="1" t="str">
        <f>VLOOKUP(D10,角色设定!$R:$S,2,0)</f>
        <v>魔法</v>
      </c>
      <c r="F10" s="1" t="str">
        <f>VLOOKUP(E10,角色设定!$D$9:$E$15,2,0)</f>
        <v>输出</v>
      </c>
      <c r="G10" s="1">
        <v>20</v>
      </c>
      <c r="H10" s="1">
        <f t="shared" si="0"/>
        <v>10</v>
      </c>
      <c r="I10" s="5">
        <f>VLOOKUP($E10,技能模板!$D$13:$U$19,MATCH(I$4,技能模板!$D$13:$U$13,0),0)/VLOOKUP($E10,技能模板!$D$13:$U$19,MATCH($G$4,技能模板!$D$13:$U$13,0),0)*$G10</f>
        <v>3.9999999999999996</v>
      </c>
      <c r="J10" s="5"/>
      <c r="K10" s="5"/>
      <c r="L10" s="5"/>
    </row>
    <row r="11" spans="1:14" ht="14.25" customHeight="1" x14ac:dyDescent="0.2">
      <c r="D11" s="1" t="s">
        <v>265</v>
      </c>
      <c r="E11" s="1" t="str">
        <f>VLOOKUP(D11,角色设定!$R:$S,2,0)</f>
        <v>射击</v>
      </c>
      <c r="F11" s="1" t="str">
        <f>VLOOKUP(E11,角色设定!$D$9:$E$15,2,0)</f>
        <v>输出</v>
      </c>
      <c r="G11" s="1">
        <v>20</v>
      </c>
      <c r="H11" s="1">
        <f t="shared" si="0"/>
        <v>10</v>
      </c>
      <c r="I11" s="5">
        <f>VLOOKUP($E11,技能模板!$D$13:$U$19,MATCH(I$4,技能模板!$D$13:$U$13,0),0)/VLOOKUP($E11,技能模板!$D$13:$U$19,MATCH($G$4,技能模板!$D$13:$U$13,0),0)*$G11</f>
        <v>4.9999999999999991</v>
      </c>
      <c r="J11" s="5"/>
      <c r="K11" s="5"/>
      <c r="L11" s="5"/>
    </row>
    <row r="12" spans="1:14" ht="14.25" customHeight="1" x14ac:dyDescent="0.2">
      <c r="D12" s="1" t="s">
        <v>266</v>
      </c>
      <c r="E12" s="1" t="str">
        <f>VLOOKUP(D12,角色设定!$R:$S,2,0)</f>
        <v>射击</v>
      </c>
      <c r="F12" s="1" t="str">
        <f>VLOOKUP(E12,角色设定!$D$9:$E$15,2,0)</f>
        <v>输出</v>
      </c>
      <c r="G12" s="1">
        <v>20</v>
      </c>
      <c r="H12" s="1">
        <f t="shared" si="0"/>
        <v>10</v>
      </c>
      <c r="I12" s="5">
        <f>VLOOKUP($E12,技能模板!$D$13:$U$19,MATCH(I$4,技能模板!$D$13:$U$13,0),0)/VLOOKUP($E12,技能模板!$D$13:$U$19,MATCH($G$4,技能模板!$D$13:$U$13,0),0)*$G12</f>
        <v>4.9999999999999991</v>
      </c>
      <c r="J12" s="5"/>
      <c r="K12" s="5"/>
      <c r="L12" s="5"/>
    </row>
    <row r="13" spans="1:14" ht="14.25" customHeight="1" x14ac:dyDescent="0.2">
      <c r="D13" s="1" t="s">
        <v>267</v>
      </c>
      <c r="E13" s="1" t="str">
        <f>VLOOKUP(D13,角色设定!$R:$S,2,0)</f>
        <v>刺杀</v>
      </c>
      <c r="F13" s="1" t="str">
        <f>VLOOKUP(E13,角色设定!$D$9:$E$15,2,0)</f>
        <v>输出</v>
      </c>
      <c r="G13" s="1">
        <v>20</v>
      </c>
      <c r="H13" s="1">
        <f t="shared" si="0"/>
        <v>10</v>
      </c>
      <c r="I13" s="5">
        <f>VLOOKUP($E13,技能模板!$D$13:$U$19,MATCH(I$4,技能模板!$D$13:$U$13,0),0)/VLOOKUP($E13,技能模板!$D$13:$U$19,MATCH($G$4,技能模板!$D$13:$U$13,0),0)*$G13</f>
        <v>4.5</v>
      </c>
      <c r="J13" s="5"/>
      <c r="K13" s="5"/>
      <c r="L13" s="5"/>
    </row>
    <row r="14" spans="1:14" ht="14.25" customHeight="1" x14ac:dyDescent="0.2">
      <c r="D14" s="1" t="s">
        <v>268</v>
      </c>
      <c r="E14" s="1" t="str">
        <f>VLOOKUP(D14,角色设定!$R:$S,2,0)</f>
        <v>刺杀</v>
      </c>
      <c r="F14" s="1" t="str">
        <f>VLOOKUP(E14,角色设定!$D$9:$E$15,2,0)</f>
        <v>输出</v>
      </c>
      <c r="G14" s="1">
        <v>20</v>
      </c>
      <c r="H14" s="1">
        <f t="shared" si="0"/>
        <v>10</v>
      </c>
      <c r="I14" s="5">
        <f>VLOOKUP($E14,技能模板!$D$13:$U$19,MATCH(I$4,技能模板!$D$13:$U$13,0),0)/VLOOKUP($E14,技能模板!$D$13:$U$19,MATCH($G$4,技能模板!$D$13:$U$13,0),0)*$G14</f>
        <v>4.5</v>
      </c>
      <c r="J14" s="5"/>
      <c r="K14" s="5"/>
      <c r="L14" s="5"/>
    </row>
    <row r="15" spans="1:14" ht="14.25" customHeight="1" x14ac:dyDescent="0.2">
      <c r="D15" s="1" t="s">
        <v>269</v>
      </c>
      <c r="E15" s="1" t="str">
        <f>VLOOKUP(D15,角色设定!$R:$S,2,0)</f>
        <v>恢复</v>
      </c>
      <c r="F15" s="1" t="str">
        <f>VLOOKUP(E15,角色设定!$D$9:$E$15,2,0)</f>
        <v>治疗</v>
      </c>
      <c r="G15" s="1">
        <v>10</v>
      </c>
      <c r="H15" s="1">
        <f t="shared" si="0"/>
        <v>5</v>
      </c>
      <c r="I15" s="5">
        <f>VLOOKUP($E15,技能模板!$D$13:$U$19,MATCH(I$4,技能模板!$D$13:$U$13,0),0)/VLOOKUP($E15,技能模板!$D$13:$U$19,MATCH($G$4,技能模板!$D$13:$U$13,0),0)*$G15</f>
        <v>1.1111111111111107</v>
      </c>
      <c r="J15" s="5"/>
      <c r="K15" s="5"/>
      <c r="L15" s="5">
        <f>VLOOKUP($E15,技能模板!$D$13:$U$19,MATCH(L$4,技能模板!$D$13:$U$13,0),0)/VLOOKUP($E15,技能模板!$D$13:$U$19,MATCH($G$4,技能模板!$D$13:$U$13,0),0)*$G15</f>
        <v>0.86911536471805484</v>
      </c>
    </row>
    <row r="16" spans="1:14" ht="14.25" customHeight="1" x14ac:dyDescent="0.2">
      <c r="D16" s="1" t="s">
        <v>270</v>
      </c>
      <c r="E16" s="1" t="str">
        <f>VLOOKUP(D16,角色设定!$R:$S,2,0)</f>
        <v>恢复</v>
      </c>
      <c r="F16" s="1" t="str">
        <f>VLOOKUP(E16,角色设定!$D$9:$E$15,2,0)</f>
        <v>治疗</v>
      </c>
      <c r="G16" s="1">
        <v>10</v>
      </c>
      <c r="H16" s="1">
        <f t="shared" si="0"/>
        <v>5</v>
      </c>
      <c r="I16" s="5">
        <f>VLOOKUP($E16,技能模板!$D$13:$U$19,MATCH(I$4,技能模板!$D$13:$U$13,0),0)/VLOOKUP($E16,技能模板!$D$13:$U$19,MATCH($G$4,技能模板!$D$13:$U$13,0),0)*$G16</f>
        <v>1.1111111111111107</v>
      </c>
      <c r="J16" s="5"/>
      <c r="K16" s="5"/>
      <c r="L16" s="5">
        <f>VLOOKUP($E16,技能模板!$D$13:$U$19,MATCH(L$4,技能模板!$D$13:$U$13,0),0)/VLOOKUP($E16,技能模板!$D$13:$U$19,MATCH($G$4,技能模板!$D$13:$U$13,0),0)*$G16</f>
        <v>0.86911536471805484</v>
      </c>
    </row>
  </sheetData>
  <mergeCells count="1">
    <mergeCell ref="A1:B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D1925-F17C-465A-A7A8-68F2FCA76537}">
  <sheetPr codeName="Sheet10"/>
  <dimension ref="A1:Y62"/>
  <sheetViews>
    <sheetView tabSelected="1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G13" sqref="G13"/>
    </sheetView>
  </sheetViews>
  <sheetFormatPr defaultRowHeight="14.25" customHeight="1" x14ac:dyDescent="0.2"/>
  <cols>
    <col min="1" max="16384" width="9" style="1"/>
  </cols>
  <sheetData>
    <row r="1" spans="1:25" ht="14.25" customHeight="1" x14ac:dyDescent="0.2">
      <c r="A1" s="79" t="s">
        <v>234</v>
      </c>
      <c r="B1" s="80"/>
      <c r="D1" s="72" t="s">
        <v>277</v>
      </c>
      <c r="G1" s="1">
        <v>1000</v>
      </c>
      <c r="J1" s="72" t="s">
        <v>278</v>
      </c>
      <c r="L1" s="6"/>
      <c r="M1" s="6"/>
    </row>
    <row r="2" spans="1:25" ht="14.25" customHeight="1" x14ac:dyDescent="0.2">
      <c r="A2" s="81"/>
      <c r="B2" s="82"/>
      <c r="D2" s="5">
        <f>D3/$G$1</f>
        <v>2.1000000000000001E-2</v>
      </c>
      <c r="G2" s="5">
        <f>G3/$G$1</f>
        <v>0.61499999999999999</v>
      </c>
      <c r="J2" s="5">
        <f>J3/$G$1</f>
        <v>1.9E-2</v>
      </c>
      <c r="L2" s="6"/>
      <c r="M2" s="6"/>
    </row>
    <row r="3" spans="1:25" ht="14.25" customHeight="1" thickBot="1" x14ac:dyDescent="0.25">
      <c r="C3" s="3" t="s">
        <v>235</v>
      </c>
      <c r="D3" s="46">
        <v>21</v>
      </c>
      <c r="E3" s="46"/>
      <c r="F3" s="46">
        <v>61</v>
      </c>
      <c r="G3" s="1">
        <v>615</v>
      </c>
      <c r="H3" s="46">
        <f>G1-D3-G3-J3</f>
        <v>345</v>
      </c>
      <c r="I3" s="46"/>
      <c r="J3" s="46">
        <v>19</v>
      </c>
      <c r="L3" s="6"/>
      <c r="M3" s="6"/>
    </row>
    <row r="4" spans="1:25" ht="14.25" customHeight="1" x14ac:dyDescent="0.2">
      <c r="C4" s="49"/>
      <c r="D4" s="101" t="s">
        <v>255</v>
      </c>
      <c r="E4" s="102"/>
      <c r="F4" s="103"/>
      <c r="G4" s="50"/>
      <c r="H4" s="101" t="s">
        <v>256</v>
      </c>
      <c r="I4" s="102"/>
      <c r="J4" s="103"/>
      <c r="K4" s="71"/>
      <c r="L4" s="6"/>
      <c r="M4" s="6"/>
      <c r="N4" s="10"/>
    </row>
    <row r="5" spans="1:25" ht="14.25" customHeight="1" x14ac:dyDescent="0.2">
      <c r="C5" s="49"/>
      <c r="D5" s="58">
        <v>7</v>
      </c>
      <c r="E5" s="1">
        <v>4</v>
      </c>
      <c r="F5" s="69">
        <v>1</v>
      </c>
      <c r="G5" s="50"/>
      <c r="H5" s="58">
        <v>1</v>
      </c>
      <c r="I5" s="1">
        <v>4</v>
      </c>
      <c r="J5" s="69">
        <v>7</v>
      </c>
      <c r="K5" s="51"/>
      <c r="L5" s="6"/>
      <c r="M5" s="6"/>
    </row>
    <row r="6" spans="1:25" ht="14.25" customHeight="1" x14ac:dyDescent="0.2">
      <c r="C6" s="49"/>
      <c r="D6" s="58">
        <v>8</v>
      </c>
      <c r="E6" s="1">
        <v>5</v>
      </c>
      <c r="F6" s="69">
        <v>2</v>
      </c>
      <c r="G6" s="50"/>
      <c r="H6" s="58">
        <v>2</v>
      </c>
      <c r="I6" s="1">
        <v>5</v>
      </c>
      <c r="J6" s="69">
        <v>8</v>
      </c>
      <c r="K6" s="71"/>
      <c r="L6" s="6"/>
      <c r="M6" s="6"/>
      <c r="N6" s="10"/>
    </row>
    <row r="7" spans="1:25" ht="14.25" customHeight="1" thickBot="1" x14ac:dyDescent="0.25">
      <c r="C7" s="49"/>
      <c r="D7" s="60">
        <v>9</v>
      </c>
      <c r="E7" s="61">
        <v>6</v>
      </c>
      <c r="F7" s="70">
        <v>3</v>
      </c>
      <c r="G7" s="50"/>
      <c r="H7" s="60">
        <v>3</v>
      </c>
      <c r="I7" s="61">
        <v>6</v>
      </c>
      <c r="J7" s="70">
        <v>9</v>
      </c>
      <c r="K7" s="51"/>
      <c r="L7" s="6"/>
      <c r="M7" s="6"/>
    </row>
    <row r="8" spans="1:25" ht="14.25" customHeight="1" thickBot="1" x14ac:dyDescent="0.25">
      <c r="D8" s="68">
        <v>1</v>
      </c>
      <c r="E8" s="68">
        <v>2</v>
      </c>
      <c r="F8" s="68">
        <v>3</v>
      </c>
      <c r="G8" s="52">
        <v>4</v>
      </c>
      <c r="H8" s="68">
        <v>5</v>
      </c>
      <c r="I8" s="68">
        <v>6</v>
      </c>
      <c r="J8" s="65">
        <v>50</v>
      </c>
      <c r="K8" s="53">
        <v>40</v>
      </c>
      <c r="L8" s="52">
        <v>9</v>
      </c>
      <c r="M8" s="52">
        <v>10</v>
      </c>
      <c r="N8" s="52">
        <v>11</v>
      </c>
      <c r="O8" s="52">
        <v>12</v>
      </c>
      <c r="P8" s="52">
        <v>13</v>
      </c>
      <c r="Q8" s="52">
        <v>14</v>
      </c>
      <c r="R8" s="52">
        <v>15</v>
      </c>
      <c r="S8" s="52">
        <v>16</v>
      </c>
      <c r="T8" s="52">
        <v>17</v>
      </c>
      <c r="U8" s="52">
        <v>18</v>
      </c>
      <c r="V8" s="46" t="s">
        <v>251</v>
      </c>
      <c r="W8" s="46" t="s">
        <v>252</v>
      </c>
      <c r="X8" s="46" t="s">
        <v>253</v>
      </c>
    </row>
    <row r="9" spans="1:25" ht="14.25" customHeight="1" x14ac:dyDescent="0.2">
      <c r="A9" s="4">
        <f>B9/(SUM(M10:M18)*$G$1)</f>
        <v>4.4085857417528643E-2</v>
      </c>
      <c r="B9" s="6">
        <v>20004657.774495549</v>
      </c>
      <c r="C9" s="49">
        <f>ROW(D10)</f>
        <v>10</v>
      </c>
      <c r="D9" s="54" t="s">
        <v>257</v>
      </c>
      <c r="E9" s="55" t="s">
        <v>258</v>
      </c>
      <c r="F9" s="55" t="s">
        <v>236</v>
      </c>
      <c r="G9" s="56" t="s">
        <v>157</v>
      </c>
      <c r="H9" s="55" t="s">
        <v>92</v>
      </c>
      <c r="I9" s="55" t="s">
        <v>93</v>
      </c>
      <c r="J9" s="56" t="s">
        <v>245</v>
      </c>
      <c r="K9" s="56" t="s">
        <v>246</v>
      </c>
      <c r="L9" s="55" t="s">
        <v>34</v>
      </c>
      <c r="M9" s="55" t="s">
        <v>213</v>
      </c>
      <c r="N9" s="55" t="s">
        <v>35</v>
      </c>
      <c r="O9" s="55" t="s">
        <v>146</v>
      </c>
      <c r="P9" s="55" t="s">
        <v>147</v>
      </c>
      <c r="Q9" s="55" t="s">
        <v>148</v>
      </c>
      <c r="R9" s="55" t="s">
        <v>176</v>
      </c>
      <c r="S9" s="55" t="s">
        <v>206</v>
      </c>
      <c r="T9" s="55" t="s">
        <v>275</v>
      </c>
      <c r="U9" s="55" t="s">
        <v>207</v>
      </c>
      <c r="V9" s="55" t="s">
        <v>208</v>
      </c>
      <c r="W9" s="55" t="s">
        <v>210</v>
      </c>
      <c r="X9" s="57" t="s">
        <v>243</v>
      </c>
      <c r="Y9" s="51"/>
    </row>
    <row r="10" spans="1:25" ht="14.25" customHeight="1" x14ac:dyDescent="0.2">
      <c r="C10" s="49">
        <f>COLUMN(D10)</f>
        <v>4</v>
      </c>
      <c r="D10" s="58">
        <f>IFERROR(MOD(F10+3-1,3)+1,"")</f>
        <v>1</v>
      </c>
      <c r="E10" s="1">
        <f>IFERROR(ABS(INT((F10-7)/3))+1,"")</f>
        <v>3</v>
      </c>
      <c r="F10" s="1">
        <f>IF(G10="","",ROW(G10)-$C$9+1)</f>
        <v>1</v>
      </c>
      <c r="G10" s="1" t="s">
        <v>259</v>
      </c>
      <c r="H10" s="1" t="str">
        <f>IFERROR(VLOOKUP($G10,角色设定!$R:$S,2,0),"")</f>
        <v>防御</v>
      </c>
      <c r="I10" s="1" t="str">
        <f>IFERROR(VLOOKUP(H10,角色设定!$D$9:$E$15,2,0),"")</f>
        <v>坦克</v>
      </c>
      <c r="J10" s="1">
        <f>IF($G10="","",J$8)</f>
        <v>50</v>
      </c>
      <c r="K10" s="1">
        <f>IF($G10="","",K$8)</f>
        <v>40</v>
      </c>
      <c r="L10" s="8">
        <f>IFERROR(VLOOKUP($G10,角色设定!$AB$9:$AJ$21,MATCH(角色成长!$E$17,角色设定!$AB$9:$AJ$9,0),0)*VLOOKUP($J10,角色成长!$D$17:$J$117,MATCH(角色成长!$E$17,角色成长!$D$17:$J$17,0),0)*角色成长!$L$15*R10/Q10/(1+O10*(P10-1)),"")</f>
        <v>5528.9248967026779</v>
      </c>
      <c r="M10" s="8">
        <f>IFERROR(VLOOKUP($G10,角色设定!$AB$9:$AJ$21,MATCH(角色成长!$F$17,角色设定!$AB$9:$AJ$9,0),0)*VLOOKUP($J10,角色成长!$D$17:$J$117,MATCH(角色成长!$F$17,角色成长!$D$17:$J$17,0),0)*角色成长!$L$15/(1+N10/角色成长!$N$16),"")</f>
        <v>129134.98620806892</v>
      </c>
      <c r="N10" s="8">
        <f>IFERROR(VLOOKUP($G10,角色设定!$AB$9:$AJ$21,MATCH(N$9,角色设定!$AB$9:$AJ$9,0),0)*VLOOKUP($J10,角色成长!$D$17:$J$117,MATCH(N$9,角色成长!$D$17:$J$17,0),0)*角色成长!$L$15,"")</f>
        <v>40954.999234834613</v>
      </c>
      <c r="O10" s="1">
        <f>IFERROR(VLOOKUP($G10,角色设定!$AB$9:$AJ$21,MATCH(O$9,角色设定!$AB$9:$AJ$9,0),0)*VLOOKUP($J10,角色成长!$D$17:$J$117,MATCH(O$9,角色成长!$D$17:$J$17,0),0),"")</f>
        <v>0.4</v>
      </c>
      <c r="P10" s="1">
        <f>IFERROR(VLOOKUP($G10,角色设定!$AB$9:$AJ$21,MATCH(P$9,角色设定!$AB$9:$AJ$9,0),0)*VLOOKUP($J10,角色成长!$D$17:$J$117,MATCH(P$9,角色成长!$D$17:$J$17,0),0),"")</f>
        <v>1.5</v>
      </c>
      <c r="Q10" s="1">
        <f>IFERROR(VLOOKUP($G10,角色设定!$AB$9:$AJ$21,MATCH(Q$9,角色设定!$AB$9:$AJ$9,0),0)*VLOOKUP($J10,角色成长!$D$17:$J$117,MATCH(Q$9,角色成长!$D$17:$J$17,0),0),"")</f>
        <v>1</v>
      </c>
      <c r="R10" s="1">
        <f>IFERROR(VLOOKUP($G10,角色设定!$AB$9:$AJ$21,MATCH(R$9,角色设定!$AB$9:$AJ$9,0),0),"")</f>
        <v>0.9</v>
      </c>
      <c r="S10" s="1">
        <f>IFERROR(VLOOKUP($G10,角色技能!$D:$M,MATCH(S$9,角色技能!$D$4:$M$4,0),0),"")</f>
        <v>10</v>
      </c>
      <c r="T10" s="1">
        <f>IFERROR(VLOOKUP($G10,角色技能!$D:$M,MATCH(T$9,角色技能!$D$4:$M$4,0),0),"")</f>
        <v>5</v>
      </c>
      <c r="U10" s="6">
        <f>IFERROR(VLOOKUP($G10,角色技能!$D:$M,MATCH(U$9,角色技能!$D$4:$M$4,0),0)*(1+$K10/100*(VLOOKUP($H10,技能模板!$D$13:$U$19,MATCH(技能模板!R$13,技能模板!$D$13:$U$13,0),0)-1)),"")</f>
        <v>1.4747474747474749</v>
      </c>
      <c r="V10" s="6">
        <f>IFERROR(VLOOKUP($G10,角色技能!$D:$M,MATCH(V$9,角色技能!$D$4:$M$4,0),0)*(1+$K10/100*(VLOOKUP($H10,技能模板!$D$13:$U$19,MATCH(技能模板!S$13,技能模板!$D$13:$U$13,0),0)-1)),"")</f>
        <v>0</v>
      </c>
      <c r="W10" s="6">
        <f>IFERROR(VLOOKUP($G10,角色技能!$D:$M,MATCH(W$9,角色技能!$D$4:$M$4,0),0)*(1+$K10/100*(VLOOKUP($H10,技能模板!$D$13:$U$19,MATCH(技能模板!T$13,技能模板!$D$13:$U$13,0),0)-1)),"")</f>
        <v>0.94846153846153836</v>
      </c>
      <c r="X10" s="59">
        <f>IFERROR(VLOOKUP($G10,角色技能!$D:$M,MATCH(X$9,角色技能!$D$4:$M$4,0),0)*(1+$K10/100*(VLOOKUP($H10,技能模板!$D$13:$U$19,MATCH(技能模板!U$13,技能模板!$D$13:$U$13,0),0)-1)),"")</f>
        <v>0</v>
      </c>
      <c r="Y10" s="51"/>
    </row>
    <row r="11" spans="1:25" ht="14.25" customHeight="1" x14ac:dyDescent="0.2">
      <c r="C11" s="49">
        <f>ROW(X18)</f>
        <v>18</v>
      </c>
      <c r="D11" s="58" t="str">
        <f t="shared" ref="D11:D18" si="0">IFERROR(MOD(F11+3-1,3)+1,"")</f>
        <v/>
      </c>
      <c r="E11" s="1" t="str">
        <f t="shared" ref="E11:E18" si="1">IFERROR(ABS(INT((F11-7)/3))+1,"")</f>
        <v/>
      </c>
      <c r="F11" s="1" t="str">
        <f t="shared" ref="F11:F18" si="2">IF(G11="","",ROW(G11)-$C$9+1)</f>
        <v/>
      </c>
      <c r="H11" s="1" t="str">
        <f>IFERROR(VLOOKUP($G11,角色设定!$R:$S,2,0),"")</f>
        <v/>
      </c>
      <c r="I11" s="1" t="str">
        <f>IFERROR(VLOOKUP(H11,角色设定!$D$9:$E$15,2,0),"")</f>
        <v/>
      </c>
      <c r="J11" s="1" t="str">
        <f t="shared" ref="J11:K18" si="3">IF($G11="","",J$8)</f>
        <v/>
      </c>
      <c r="K11" s="1" t="str">
        <f t="shared" si="3"/>
        <v/>
      </c>
      <c r="L11" s="8" t="str">
        <f>IFERROR(VLOOKUP($G11,角色设定!$AB$9:$AJ$21,MATCH(角色成长!$E$17,角色设定!$AB$9:$AJ$9,0),0)*VLOOKUP($J11,角色成长!$D$17:$J$117,MATCH(角色成长!$E$17,角色成长!$D$17:$J$17,0),0)*角色成长!$L$15*R11/Q11/(1+O11*(P11-1)),"")</f>
        <v/>
      </c>
      <c r="M11" s="8" t="str">
        <f>IFERROR(VLOOKUP($G11,角色设定!$AB$9:$AJ$21,MATCH(角色成长!$F$17,角色设定!$AB$9:$AJ$9,0),0)*VLOOKUP($J11,角色成长!$D$17:$J$117,MATCH(角色成长!$F$17,角色成长!$D$17:$J$17,0),0)*角色成长!$L$15/(1+N11/角色成长!$N$16),"")</f>
        <v/>
      </c>
      <c r="N11" s="8" t="str">
        <f>IFERROR(VLOOKUP($G11,角色设定!$AB$9:$AJ$21,MATCH(N$9,角色设定!$AB$9:$AJ$9,0),0)*VLOOKUP($J11,角色成长!$D$17:$J$117,MATCH(N$9,角色成长!$D$17:$J$17,0),0)*角色成长!$L$15,"")</f>
        <v/>
      </c>
      <c r="O11" s="1" t="str">
        <f>IFERROR(VLOOKUP($G11,角色设定!$AB$9:$AJ$21,MATCH(O$9,角色设定!$AB$9:$AJ$9,0),0)*VLOOKUP($J11,角色成长!$D$17:$J$117,MATCH(O$9,角色成长!$D$17:$J$17,0),0),"")</f>
        <v/>
      </c>
      <c r="P11" s="1" t="str">
        <f>IFERROR(VLOOKUP($G11,角色设定!$AB$9:$AJ$21,MATCH(P$9,角色设定!$AB$9:$AJ$9,0),0)*VLOOKUP($J11,角色成长!$D$17:$J$117,MATCH(P$9,角色成长!$D$17:$J$17,0),0),"")</f>
        <v/>
      </c>
      <c r="Q11" s="1" t="str">
        <f>IFERROR(VLOOKUP($G11,角色设定!$AB$9:$AJ$21,MATCH(Q$9,角色设定!$AB$9:$AJ$9,0),0)*VLOOKUP($J11,角色成长!$D$17:$J$117,MATCH(Q$9,角色成长!$D$17:$J$17,0),0),"")</f>
        <v/>
      </c>
      <c r="R11" s="1" t="str">
        <f>IFERROR(VLOOKUP($G11,角色设定!$AB$9:$AJ$21,MATCH(R$9,角色设定!$AB$9:$AJ$9,0),0),"")</f>
        <v/>
      </c>
      <c r="S11" s="1" t="str">
        <f>IFERROR(VLOOKUP($G11,角色技能!$D:$M,MATCH(S$9,角色技能!$D$4:$M$4,0),0),"")</f>
        <v/>
      </c>
      <c r="T11" s="1" t="str">
        <f>IFERROR(VLOOKUP($G11,角色技能!$D:$M,MATCH(T$9,角色技能!$D$4:$M$4,0),0),"")</f>
        <v/>
      </c>
      <c r="U11" s="6" t="str">
        <f>IFERROR(VLOOKUP($G11,角色技能!$D:$M,MATCH(U$9,角色技能!$D$4:$M$4,0),0)*(1+$K11/100*(VLOOKUP($H11,技能模板!$D$13:$U$19,MATCH(技能模板!R$13,技能模板!$D$13:$U$13,0),0)-1)),"")</f>
        <v/>
      </c>
      <c r="V11" s="6" t="str">
        <f>IFERROR(VLOOKUP($G11,角色技能!$D:$M,MATCH(V$9,角色技能!$D$4:$M$4,0),0)*(1+$K11/100*(VLOOKUP($H11,技能模板!$D$13:$U$19,MATCH(技能模板!S$13,技能模板!$D$13:$U$13,0),0)-1)),"")</f>
        <v/>
      </c>
      <c r="W11" s="6" t="str">
        <f>IFERROR(VLOOKUP($G11,角色技能!$D:$M,MATCH(W$9,角色技能!$D$4:$M$4,0),0)*(1+$K11/100*(VLOOKUP($H11,技能模板!$D$13:$U$19,MATCH(技能模板!T$13,技能模板!$D$13:$U$13,0),0)-1)),"")</f>
        <v/>
      </c>
      <c r="X11" s="59" t="str">
        <f>IFERROR(VLOOKUP($G11,角色技能!$D:$M,MATCH(X$9,角色技能!$D$4:$M$4,0),0)*(1+$K11/100*(VLOOKUP($H11,技能模板!$D$13:$U$19,MATCH(技能模板!U$13,技能模板!$D$13:$U$13,0),0)-1)),"")</f>
        <v/>
      </c>
      <c r="Y11" s="51"/>
    </row>
    <row r="12" spans="1:25" ht="14.25" customHeight="1" x14ac:dyDescent="0.2">
      <c r="C12" s="49">
        <f>COLUMN(X18)</f>
        <v>24</v>
      </c>
      <c r="D12" s="58">
        <f t="shared" si="0"/>
        <v>3</v>
      </c>
      <c r="E12" s="1">
        <f t="shared" si="1"/>
        <v>3</v>
      </c>
      <c r="F12" s="1">
        <f t="shared" si="2"/>
        <v>3</v>
      </c>
      <c r="G12" s="1" t="s">
        <v>271</v>
      </c>
      <c r="H12" s="1" t="str">
        <f>IFERROR(VLOOKUP($G12,角色设定!$R:$S,2,0),"")</f>
        <v>防御</v>
      </c>
      <c r="I12" s="1" t="str">
        <f>IFERROR(VLOOKUP(H12,角色设定!$D$9:$E$15,2,0),"")</f>
        <v>坦克</v>
      </c>
      <c r="J12" s="1">
        <f t="shared" si="3"/>
        <v>50</v>
      </c>
      <c r="K12" s="1">
        <f t="shared" si="3"/>
        <v>40</v>
      </c>
      <c r="L12" s="8">
        <f>IFERROR(VLOOKUP($G12,角色设定!$AB$9:$AJ$21,MATCH(角色成长!$E$17,角色设定!$AB$9:$AJ$9,0),0)*VLOOKUP($J12,角色成长!$D$17:$J$117,MATCH(角色成长!$E$17,角色成长!$D$17:$J$17,0),0)*角色成长!$L$15*R12/Q12/(1+O12*(P12-1)),"")</f>
        <v>6143.2498852251993</v>
      </c>
      <c r="M12" s="8">
        <f>IFERROR(VLOOKUP($G12,角色设定!$AB$9:$AJ$21,MATCH(角色成长!$F$17,角色设定!$AB$9:$AJ$9,0),0)*VLOOKUP($J12,角色成长!$D$17:$J$117,MATCH(角色成长!$F$17,角色成长!$D$17:$J$17,0),0)*角色成长!$L$15/(1+N12/角色成长!$N$16),"")</f>
        <v>123391.8816054504</v>
      </c>
      <c r="N12" s="8">
        <f>IFERROR(VLOOKUP($G12,角色设定!$AB$9:$AJ$21,MATCH(N$9,角色设定!$AB$9:$AJ$9,0),0)*VLOOKUP($J12,角色成长!$D$17:$J$117,MATCH(N$9,角色成长!$D$17:$J$17,0),0)*角色成长!$L$15,"")</f>
        <v>32763.999387867698</v>
      </c>
      <c r="O12" s="1">
        <f>IFERROR(VLOOKUP($G12,角色设定!$AB$9:$AJ$21,MATCH(O$9,角色设定!$AB$9:$AJ$9,0),0)*VLOOKUP($J12,角色成长!$D$17:$J$117,MATCH(O$9,角色成长!$D$17:$J$17,0),0),"")</f>
        <v>0.4</v>
      </c>
      <c r="P12" s="1">
        <f>IFERROR(VLOOKUP($G12,角色设定!$AB$9:$AJ$21,MATCH(P$9,角色设定!$AB$9:$AJ$9,0),0)*VLOOKUP($J12,角色成长!$D$17:$J$117,MATCH(P$9,角色成长!$D$17:$J$17,0),0),"")</f>
        <v>1.5</v>
      </c>
      <c r="Q12" s="1">
        <f>IFERROR(VLOOKUP($G12,角色设定!$AB$9:$AJ$21,MATCH(Q$9,角色设定!$AB$9:$AJ$9,0),0)*VLOOKUP($J12,角色成长!$D$17:$J$117,MATCH(Q$9,角色成长!$D$17:$J$17,0),0),"")</f>
        <v>1</v>
      </c>
      <c r="R12" s="1">
        <f>IFERROR(VLOOKUP($G12,角色设定!$AB$9:$AJ$21,MATCH(R$9,角色设定!$AB$9:$AJ$9,0),0),"")</f>
        <v>0.9</v>
      </c>
      <c r="S12" s="1">
        <f>IFERROR(VLOOKUP($G12,角色技能!$D:$M,MATCH(S$9,角色技能!$D$4:$M$4,0),0),"")</f>
        <v>10</v>
      </c>
      <c r="T12" s="1">
        <f>IFERROR(VLOOKUP($G12,角色技能!$D:$M,MATCH(T$9,角色技能!$D$4:$M$4,0),0),"")</f>
        <v>5</v>
      </c>
      <c r="U12" s="6">
        <f>IFERROR(VLOOKUP($G12,角色技能!$D:$M,MATCH(U$9,角色技能!$D$4:$M$4,0),0)*(1+$K12/100*(VLOOKUP($H12,技能模板!$D$13:$U$19,MATCH(技能模板!R$13,技能模板!$D$13:$U$13,0),0)-1)),"")</f>
        <v>1.4747474747474749</v>
      </c>
      <c r="V12" s="6">
        <f>IFERROR(VLOOKUP($G12,角色技能!$D:$M,MATCH(V$9,角色技能!$D$4:$M$4,0),0)*(1+$K12/100*(VLOOKUP($H12,技能模板!$D$13:$U$19,MATCH(技能模板!S$13,技能模板!$D$13:$U$13,0),0)-1)),"")</f>
        <v>0</v>
      </c>
      <c r="W12" s="6">
        <f>IFERROR(VLOOKUP($G12,角色技能!$D:$M,MATCH(W$9,角色技能!$D$4:$M$4,0),0)*(1+$K12/100*(VLOOKUP($H12,技能模板!$D$13:$U$19,MATCH(技能模板!T$13,技能模板!$D$13:$U$13,0),0)-1)),"")</f>
        <v>0.94846153846153836</v>
      </c>
      <c r="X12" s="59">
        <f>IFERROR(VLOOKUP($G12,角色技能!$D:$M,MATCH(X$9,角色技能!$D$4:$M$4,0),0)*(1+$K12/100*(VLOOKUP($H12,技能模板!$D$13:$U$19,MATCH(技能模板!U$13,技能模板!$D$13:$U$13,0),0)-1)),"")</f>
        <v>0</v>
      </c>
      <c r="Y12" s="51"/>
    </row>
    <row r="13" spans="1:25" ht="14.25" customHeight="1" x14ac:dyDescent="0.2">
      <c r="C13" s="49"/>
      <c r="D13" s="58">
        <f t="shared" si="0"/>
        <v>1</v>
      </c>
      <c r="E13" s="1">
        <f t="shared" si="1"/>
        <v>2</v>
      </c>
      <c r="F13" s="1">
        <f t="shared" si="2"/>
        <v>4</v>
      </c>
      <c r="G13" s="1" t="s">
        <v>272</v>
      </c>
      <c r="H13" s="1" t="str">
        <f>IFERROR(VLOOKUP($G13,角色设定!$R:$S,2,0),"")</f>
        <v>魔法</v>
      </c>
      <c r="I13" s="1" t="str">
        <f>IFERROR(VLOOKUP(H13,角色设定!$D$9:$E$15,2,0),"")</f>
        <v>输出</v>
      </c>
      <c r="J13" s="1">
        <f t="shared" si="3"/>
        <v>50</v>
      </c>
      <c r="K13" s="1">
        <f t="shared" si="3"/>
        <v>40</v>
      </c>
      <c r="L13" s="8">
        <f>IFERROR(VLOOKUP($G13,角色设定!$AB$9:$AJ$21,MATCH(角色成长!$E$17,角色设定!$AB$9:$AJ$9,0),0)*VLOOKUP($J13,角色成长!$D$17:$J$117,MATCH(角色成长!$E$17,角色成长!$D$17:$J$17,0),0)*角色成长!$L$15*R13/Q13/(1+O13*(P13-1)),"")</f>
        <v>14334.249732192129</v>
      </c>
      <c r="M13" s="8">
        <f>IFERROR(VLOOKUP($G13,角色设定!$AB$9:$AJ$21,MATCH(角色成长!$F$17,角色设定!$AB$9:$AJ$9,0),0)*VLOOKUP($J13,角色成长!$D$17:$J$117,MATCH(角色成长!$F$17,角色成长!$D$17:$J$17,0),0)*角色成长!$L$15/(1+N13/角色成长!$N$16),"")</f>
        <v>57682.818321234285</v>
      </c>
      <c r="N13" s="8">
        <f>IFERROR(VLOOKUP($G13,角色设定!$AB$9:$AJ$21,MATCH(N$9,角色设定!$AB$9:$AJ$9,0),0)*VLOOKUP($J13,角色成长!$D$17:$J$117,MATCH(N$9,角色成长!$D$17:$J$17,0),0)*角色成长!$L$15,"")</f>
        <v>8190.9998469669245</v>
      </c>
      <c r="O13" s="1">
        <f>IFERROR(VLOOKUP($G13,角色设定!$AB$9:$AJ$21,MATCH(O$9,角色设定!$AB$9:$AJ$9,0),0)*VLOOKUP($J13,角色成长!$D$17:$J$117,MATCH(O$9,角色成长!$D$17:$J$17,0),0),"")</f>
        <v>0.4</v>
      </c>
      <c r="P13" s="1">
        <f>IFERROR(VLOOKUP($G13,角色设定!$AB$9:$AJ$21,MATCH(P$9,角色设定!$AB$9:$AJ$9,0),0)*VLOOKUP($J13,角色成长!$D$17:$J$117,MATCH(P$9,角色成长!$D$17:$J$17,0),0),"")</f>
        <v>1.5</v>
      </c>
      <c r="Q13" s="1">
        <f>IFERROR(VLOOKUP($G13,角色设定!$AB$9:$AJ$21,MATCH(Q$9,角色设定!$AB$9:$AJ$9,0),0)*VLOOKUP($J13,角色成长!$D$17:$J$117,MATCH(Q$9,角色成长!$D$17:$J$17,0),0),"")</f>
        <v>0.8</v>
      </c>
      <c r="R13" s="1">
        <f>IFERROR(VLOOKUP($G13,角色设定!$AB$9:$AJ$21,MATCH(R$9,角色设定!$AB$9:$AJ$9,0),0),"")</f>
        <v>0.8</v>
      </c>
      <c r="S13" s="1">
        <f>IFERROR(VLOOKUP($G13,角色技能!$D:$M,MATCH(S$9,角色技能!$D$4:$M$4,0),0),"")</f>
        <v>20</v>
      </c>
      <c r="T13" s="1">
        <f>IFERROR(VLOOKUP($G13,角色技能!$D:$M,MATCH(T$9,角色技能!$D$4:$M$4,0),0),"")</f>
        <v>10</v>
      </c>
      <c r="U13" s="6">
        <f>IFERROR(VLOOKUP($G13,角色技能!$D:$M,MATCH(U$9,角色技能!$D$4:$M$4,0),0)*(1+$K13/100*(VLOOKUP($H13,技能模板!$D$13:$U$19,MATCH(技能模板!R$13,技能模板!$D$13:$U$13,0),0)-1)),"")</f>
        <v>5.0666666666666655</v>
      </c>
      <c r="V13" s="6">
        <f>IFERROR(VLOOKUP($G13,角色技能!$D:$M,MATCH(V$9,角色技能!$D$4:$M$4,0),0)*(1+$K13/100*(VLOOKUP($H13,技能模板!$D$13:$U$19,MATCH(技能模板!S$13,技能模板!$D$13:$U$13,0),0)-1)),"")</f>
        <v>0</v>
      </c>
      <c r="W13" s="6">
        <f>IFERROR(VLOOKUP($G13,角色技能!$D:$M,MATCH(W$9,角色技能!$D$4:$M$4,0),0)*(1+$K13/100*(VLOOKUP($H13,技能模板!$D$13:$U$19,MATCH(技能模板!T$13,技能模板!$D$13:$U$13,0),0)-1)),"")</f>
        <v>0</v>
      </c>
      <c r="X13" s="59">
        <f>IFERROR(VLOOKUP($G13,角色技能!$D:$M,MATCH(X$9,角色技能!$D$4:$M$4,0),0)*(1+$K13/100*(VLOOKUP($H13,技能模板!$D$13:$U$19,MATCH(技能模板!U$13,技能模板!$D$13:$U$13,0),0)-1)),"")</f>
        <v>0</v>
      </c>
      <c r="Y13" s="51"/>
    </row>
    <row r="14" spans="1:25" ht="14.25" customHeight="1" x14ac:dyDescent="0.2">
      <c r="C14" s="49"/>
      <c r="D14" s="58" t="str">
        <f t="shared" si="0"/>
        <v/>
      </c>
      <c r="E14" s="1" t="str">
        <f t="shared" si="1"/>
        <v/>
      </c>
      <c r="F14" s="1" t="str">
        <f t="shared" si="2"/>
        <v/>
      </c>
      <c r="H14" s="1" t="str">
        <f>IFERROR(VLOOKUP($G14,角色设定!$R:$S,2,0),"")</f>
        <v/>
      </c>
      <c r="I14" s="1" t="str">
        <f>IFERROR(VLOOKUP(H14,角色设定!$D$9:$E$15,2,0),"")</f>
        <v/>
      </c>
      <c r="J14" s="1" t="str">
        <f t="shared" si="3"/>
        <v/>
      </c>
      <c r="K14" s="1" t="str">
        <f t="shared" si="3"/>
        <v/>
      </c>
      <c r="L14" s="8" t="str">
        <f>IFERROR(VLOOKUP($G14,角色设定!$AB$9:$AJ$21,MATCH(角色成长!$E$17,角色设定!$AB$9:$AJ$9,0),0)*VLOOKUP($J14,角色成长!$D$17:$J$117,MATCH(角色成长!$E$17,角色成长!$D$17:$J$17,0),0)*角色成长!$L$15*R14/Q14/(1+O14*(P14-1)),"")</f>
        <v/>
      </c>
      <c r="M14" s="8" t="str">
        <f>IFERROR(VLOOKUP($G14,角色设定!$AB$9:$AJ$21,MATCH(角色成长!$F$17,角色设定!$AB$9:$AJ$9,0),0)*VLOOKUP($J14,角色成长!$D$17:$J$117,MATCH(角色成长!$F$17,角色成长!$D$17:$J$17,0),0)*角色成长!$L$15/(1+N14/角色成长!$N$16),"")</f>
        <v/>
      </c>
      <c r="N14" s="8" t="str">
        <f>IFERROR(VLOOKUP($G14,角色设定!$AB$9:$AJ$21,MATCH(N$9,角色设定!$AB$9:$AJ$9,0),0)*VLOOKUP($J14,角色成长!$D$17:$J$117,MATCH(N$9,角色成长!$D$17:$J$17,0),0)*角色成长!$L$15,"")</f>
        <v/>
      </c>
      <c r="O14" s="1" t="str">
        <f>IFERROR(VLOOKUP($G14,角色设定!$AB$9:$AJ$21,MATCH(O$9,角色设定!$AB$9:$AJ$9,0),0)*VLOOKUP($J14,角色成长!$D$17:$J$117,MATCH(O$9,角色成长!$D$17:$J$17,0),0),"")</f>
        <v/>
      </c>
      <c r="P14" s="1" t="str">
        <f>IFERROR(VLOOKUP($G14,角色设定!$AB$9:$AJ$21,MATCH(P$9,角色设定!$AB$9:$AJ$9,0),0)*VLOOKUP($J14,角色成长!$D$17:$J$117,MATCH(P$9,角色成长!$D$17:$J$17,0),0),"")</f>
        <v/>
      </c>
      <c r="Q14" s="1" t="str">
        <f>IFERROR(VLOOKUP($G14,角色设定!$AB$9:$AJ$21,MATCH(Q$9,角色设定!$AB$9:$AJ$9,0),0)*VLOOKUP($J14,角色成长!$D$17:$J$117,MATCH(Q$9,角色成长!$D$17:$J$17,0),0),"")</f>
        <v/>
      </c>
      <c r="R14" s="1" t="str">
        <f>IFERROR(VLOOKUP($G14,角色设定!$AB$9:$AJ$21,MATCH(R$9,角色设定!$AB$9:$AJ$9,0),0),"")</f>
        <v/>
      </c>
      <c r="S14" s="1" t="str">
        <f>IFERROR(VLOOKUP($G14,角色技能!$D:$M,MATCH(S$9,角色技能!$D$4:$M$4,0),0),"")</f>
        <v/>
      </c>
      <c r="T14" s="1" t="str">
        <f>IFERROR(VLOOKUP($G14,角色技能!$D:$M,MATCH(T$9,角色技能!$D$4:$M$4,0),0),"")</f>
        <v/>
      </c>
      <c r="U14" s="6" t="str">
        <f>IFERROR(VLOOKUP($G14,角色技能!$D:$M,MATCH(U$9,角色技能!$D$4:$M$4,0),0)*(1+$K14/100*(VLOOKUP($H14,技能模板!$D$13:$U$19,MATCH(技能模板!R$13,技能模板!$D$13:$U$13,0),0)-1)),"")</f>
        <v/>
      </c>
      <c r="V14" s="6" t="str">
        <f>IFERROR(VLOOKUP($G14,角色技能!$D:$M,MATCH(V$9,角色技能!$D$4:$M$4,0),0)*(1+$K14/100*(VLOOKUP($H14,技能模板!$D$13:$U$19,MATCH(技能模板!S$13,技能模板!$D$13:$U$13,0),0)-1)),"")</f>
        <v/>
      </c>
      <c r="W14" s="6" t="str">
        <f>IFERROR(VLOOKUP($G14,角色技能!$D:$M,MATCH(W$9,角色技能!$D$4:$M$4,0),0)*(1+$K14/100*(VLOOKUP($H14,技能模板!$D$13:$U$19,MATCH(技能模板!T$13,技能模板!$D$13:$U$13,0),0)-1)),"")</f>
        <v/>
      </c>
      <c r="X14" s="59" t="str">
        <f>IFERROR(VLOOKUP($G14,角色技能!$D:$M,MATCH(X$9,角色技能!$D$4:$M$4,0),0)*(1+$K14/100*(VLOOKUP($H14,技能模板!$D$13:$U$19,MATCH(技能模板!U$13,技能模板!$D$13:$U$13,0),0)-1)),"")</f>
        <v/>
      </c>
      <c r="Y14" s="51"/>
    </row>
    <row r="15" spans="1:25" ht="14.25" customHeight="1" x14ac:dyDescent="0.2">
      <c r="C15" s="49"/>
      <c r="D15" s="58">
        <f t="shared" si="0"/>
        <v>3</v>
      </c>
      <c r="E15" s="1">
        <f t="shared" si="1"/>
        <v>2</v>
      </c>
      <c r="F15" s="1">
        <f t="shared" si="2"/>
        <v>6</v>
      </c>
      <c r="G15" s="1" t="s">
        <v>273</v>
      </c>
      <c r="H15" s="1" t="str">
        <f>IFERROR(VLOOKUP($G15,角色设定!$R:$S,2,0),"")</f>
        <v>射击</v>
      </c>
      <c r="I15" s="1" t="str">
        <f>IFERROR(VLOOKUP(H15,角色设定!$D$9:$E$15,2,0),"")</f>
        <v>输出</v>
      </c>
      <c r="J15" s="1">
        <f t="shared" si="3"/>
        <v>50</v>
      </c>
      <c r="K15" s="1">
        <f t="shared" si="3"/>
        <v>40</v>
      </c>
      <c r="L15" s="8">
        <f>IFERROR(VLOOKUP($G15,角色设定!$AB$9:$AJ$21,MATCH(角色成长!$E$17,角色设定!$AB$9:$AJ$9,0),0)*VLOOKUP($J15,角色成长!$D$17:$J$117,MATCH(角色成长!$E$17,角色成长!$D$17:$J$17,0),0)*角色成长!$L$15*R15/Q15/(1+O15*(P15-1)),"")</f>
        <v>10484.479804117673</v>
      </c>
      <c r="M15" s="8">
        <f>IFERROR(VLOOKUP($G15,角色设定!$AB$9:$AJ$21,MATCH(角色成长!$F$17,角色设定!$AB$9:$AJ$9,0),0)*VLOOKUP($J15,角色成长!$D$17:$J$117,MATCH(角色成长!$F$17,角色成长!$D$17:$J$17,0),0)*角色成长!$L$15/(1+N15/角色成长!$N$16),"")</f>
        <v>63090.582538850002</v>
      </c>
      <c r="N15" s="8">
        <f>IFERROR(VLOOKUP($G15,角色设定!$AB$9:$AJ$21,MATCH(N$9,角色设定!$AB$9:$AJ$9,0),0)*VLOOKUP($J15,角色成长!$D$17:$J$117,MATCH(N$9,角色成长!$D$17:$J$17,0),0)*角色成长!$L$15,"")</f>
        <v>8190.9998469669245</v>
      </c>
      <c r="O15" s="1">
        <f>IFERROR(VLOOKUP($G15,角色设定!$AB$9:$AJ$21,MATCH(O$9,角色设定!$AB$9:$AJ$9,0),0)*VLOOKUP($J15,角色成长!$D$17:$J$117,MATCH(O$9,角色成长!$D$17:$J$17,0),0),"")</f>
        <v>0.4</v>
      </c>
      <c r="P15" s="1">
        <f>IFERROR(VLOOKUP($G15,角色设定!$AB$9:$AJ$21,MATCH(P$9,角色设定!$AB$9:$AJ$9,0),0)*VLOOKUP($J15,角色成长!$D$17:$J$117,MATCH(P$9,角色成长!$D$17:$J$17,0),0),"")</f>
        <v>1.5</v>
      </c>
      <c r="Q15" s="1">
        <f>IFERROR(VLOOKUP($G15,角色设定!$AB$9:$AJ$21,MATCH(Q$9,角色设定!$AB$9:$AJ$9,0),0)*VLOOKUP($J15,角色成长!$D$17:$J$117,MATCH(Q$9,角色成长!$D$17:$J$17,0),0),"")</f>
        <v>1</v>
      </c>
      <c r="R15" s="1">
        <f>IFERROR(VLOOKUP($G15,角色设定!$AB$9:$AJ$21,MATCH(R$9,角色设定!$AB$9:$AJ$9,0),0),"")</f>
        <v>0.8</v>
      </c>
      <c r="S15" s="1">
        <f>IFERROR(VLOOKUP($G15,角色技能!$D:$M,MATCH(S$9,角色技能!$D$4:$M$4,0),0),"")</f>
        <v>20</v>
      </c>
      <c r="T15" s="1">
        <f>IFERROR(VLOOKUP($G15,角色技能!$D:$M,MATCH(T$9,角色技能!$D$4:$M$4,0),0),"")</f>
        <v>10</v>
      </c>
      <c r="U15" s="6">
        <f>IFERROR(VLOOKUP($G15,角色技能!$D:$M,MATCH(U$9,角色技能!$D$4:$M$4,0),0)*(1+$K15/100*(VLOOKUP($H15,技能模板!$D$13:$U$19,MATCH(技能模板!R$13,技能模板!$D$13:$U$13,0),0)-1)),"")</f>
        <v>6.3333333333333321</v>
      </c>
      <c r="V15" s="6">
        <f>IFERROR(VLOOKUP($G15,角色技能!$D:$M,MATCH(V$9,角色技能!$D$4:$M$4,0),0)*(1+$K15/100*(VLOOKUP($H15,技能模板!$D$13:$U$19,MATCH(技能模板!S$13,技能模板!$D$13:$U$13,0),0)-1)),"")</f>
        <v>0</v>
      </c>
      <c r="W15" s="6">
        <f>IFERROR(VLOOKUP($G15,角色技能!$D:$M,MATCH(W$9,角色技能!$D$4:$M$4,0),0)*(1+$K15/100*(VLOOKUP($H15,技能模板!$D$13:$U$19,MATCH(技能模板!T$13,技能模板!$D$13:$U$13,0),0)-1)),"")</f>
        <v>0</v>
      </c>
      <c r="X15" s="59">
        <f>IFERROR(VLOOKUP($G15,角色技能!$D:$M,MATCH(X$9,角色技能!$D$4:$M$4,0),0)*(1+$K15/100*(VLOOKUP($H15,技能模板!$D$13:$U$19,MATCH(技能模板!U$13,技能模板!$D$13:$U$13,0),0)-1)),"")</f>
        <v>0</v>
      </c>
      <c r="Y15" s="51"/>
    </row>
    <row r="16" spans="1:25" ht="14.25" customHeight="1" x14ac:dyDescent="0.2">
      <c r="C16" s="49"/>
      <c r="D16" s="58" t="str">
        <f t="shared" si="0"/>
        <v/>
      </c>
      <c r="E16" s="1" t="str">
        <f t="shared" si="1"/>
        <v/>
      </c>
      <c r="F16" s="1" t="str">
        <f t="shared" si="2"/>
        <v/>
      </c>
      <c r="H16" s="1" t="str">
        <f>IFERROR(VLOOKUP($G16,角色设定!$R:$S,2,0),"")</f>
        <v/>
      </c>
      <c r="I16" s="1" t="str">
        <f>IFERROR(VLOOKUP(H16,角色设定!$D$9:$E$15,2,0),"")</f>
        <v/>
      </c>
      <c r="J16" s="1" t="str">
        <f t="shared" si="3"/>
        <v/>
      </c>
      <c r="K16" s="1" t="str">
        <f t="shared" si="3"/>
        <v/>
      </c>
      <c r="L16" s="8" t="str">
        <f>IFERROR(VLOOKUP($G16,角色设定!$AB$9:$AJ$21,MATCH(角色成长!$E$17,角色设定!$AB$9:$AJ$9,0),0)*VLOOKUP($J16,角色成长!$D$17:$J$117,MATCH(角色成长!$E$17,角色成长!$D$17:$J$17,0),0)*角色成长!$L$15*R16/Q16/(1+O16*(P16-1)),"")</f>
        <v/>
      </c>
      <c r="M16" s="8" t="str">
        <f>IFERROR(VLOOKUP($G16,角色设定!$AB$9:$AJ$21,MATCH(角色成长!$F$17,角色设定!$AB$9:$AJ$9,0),0)*VLOOKUP($J16,角色成长!$D$17:$J$117,MATCH(角色成长!$F$17,角色成长!$D$17:$J$17,0),0)*角色成长!$L$15/(1+N16/角色成长!$N$16),"")</f>
        <v/>
      </c>
      <c r="N16" s="8" t="str">
        <f>IFERROR(VLOOKUP($G16,角色设定!$AB$9:$AJ$21,MATCH(N$9,角色设定!$AB$9:$AJ$9,0),0)*VLOOKUP($J16,角色成长!$D$17:$J$117,MATCH(N$9,角色成长!$D$17:$J$17,0),0)*角色成长!$L$15,"")</f>
        <v/>
      </c>
      <c r="O16" s="1" t="str">
        <f>IFERROR(VLOOKUP($G16,角色设定!$AB$9:$AJ$21,MATCH(O$9,角色设定!$AB$9:$AJ$9,0),0)*VLOOKUP($J16,角色成长!$D$17:$J$117,MATCH(O$9,角色成长!$D$17:$J$17,0),0),"")</f>
        <v/>
      </c>
      <c r="P16" s="1" t="str">
        <f>IFERROR(VLOOKUP($G16,角色设定!$AB$9:$AJ$21,MATCH(P$9,角色设定!$AB$9:$AJ$9,0),0)*VLOOKUP($J16,角色成长!$D$17:$J$117,MATCH(P$9,角色成长!$D$17:$J$17,0),0),"")</f>
        <v/>
      </c>
      <c r="Q16" s="1" t="str">
        <f>IFERROR(VLOOKUP($G16,角色设定!$AB$9:$AJ$21,MATCH(Q$9,角色设定!$AB$9:$AJ$9,0),0)*VLOOKUP($J16,角色成长!$D$17:$J$117,MATCH(Q$9,角色成长!$D$17:$J$17,0),0),"")</f>
        <v/>
      </c>
      <c r="R16" s="1" t="str">
        <f>IFERROR(VLOOKUP($G16,角色设定!$AB$9:$AJ$21,MATCH(R$9,角色设定!$AB$9:$AJ$9,0),0),"")</f>
        <v/>
      </c>
      <c r="S16" s="1" t="str">
        <f>IFERROR(VLOOKUP($G16,角色技能!$D:$M,MATCH(S$9,角色技能!$D$4:$M$4,0),0),"")</f>
        <v/>
      </c>
      <c r="T16" s="1" t="str">
        <f>IFERROR(VLOOKUP($G16,角色技能!$D:$M,MATCH(T$9,角色技能!$D$4:$M$4,0),0),"")</f>
        <v/>
      </c>
      <c r="U16" s="6" t="str">
        <f>IFERROR(VLOOKUP($G16,角色技能!$D:$M,MATCH(U$9,角色技能!$D$4:$M$4,0),0)*(1+$K16/100*(VLOOKUP($H16,技能模板!$D$13:$U$19,MATCH(技能模板!R$13,技能模板!$D$13:$U$13,0),0)-1)),"")</f>
        <v/>
      </c>
      <c r="V16" s="6" t="str">
        <f>IFERROR(VLOOKUP($G16,角色技能!$D:$M,MATCH(V$9,角色技能!$D$4:$M$4,0),0)*(1+$K16/100*(VLOOKUP($H16,技能模板!$D$13:$U$19,MATCH(技能模板!S$13,技能模板!$D$13:$U$13,0),0)-1)),"")</f>
        <v/>
      </c>
      <c r="W16" s="6" t="str">
        <f>IFERROR(VLOOKUP($G16,角色技能!$D:$M,MATCH(W$9,角色技能!$D$4:$M$4,0),0)*(1+$K16/100*(VLOOKUP($H16,技能模板!$D$13:$U$19,MATCH(技能模板!T$13,技能模板!$D$13:$U$13,0),0)-1)),"")</f>
        <v/>
      </c>
      <c r="X16" s="59" t="str">
        <f>IFERROR(VLOOKUP($G16,角色技能!$D:$M,MATCH(X$9,角色技能!$D$4:$M$4,0),0)*(1+$K16/100*(VLOOKUP($H16,技能模板!$D$13:$U$19,MATCH(技能模板!U$13,技能模板!$D$13:$U$13,0),0)-1)),"")</f>
        <v/>
      </c>
      <c r="Y16" s="51"/>
    </row>
    <row r="17" spans="1:25" ht="14.25" customHeight="1" x14ac:dyDescent="0.2">
      <c r="C17" s="49"/>
      <c r="D17" s="58">
        <f t="shared" si="0"/>
        <v>2</v>
      </c>
      <c r="E17" s="1">
        <f t="shared" si="1"/>
        <v>1</v>
      </c>
      <c r="F17" s="1">
        <f t="shared" si="2"/>
        <v>8</v>
      </c>
      <c r="G17" s="1" t="s">
        <v>274</v>
      </c>
      <c r="H17" s="1" t="str">
        <f>IFERROR(VLOOKUP($G17,角色设定!$R:$S,2,0),"")</f>
        <v>恢复</v>
      </c>
      <c r="I17" s="1" t="str">
        <f>IFERROR(VLOOKUP(H17,角色设定!$D$9:$E$15,2,0),"")</f>
        <v>治疗</v>
      </c>
      <c r="J17" s="1">
        <f t="shared" si="3"/>
        <v>50</v>
      </c>
      <c r="K17" s="1">
        <f t="shared" si="3"/>
        <v>40</v>
      </c>
      <c r="L17" s="8">
        <f>IFERROR(VLOOKUP($G17,角色设定!$AB$9:$AJ$21,MATCH(角色成长!$E$17,角色设定!$AB$9:$AJ$9,0),0)*VLOOKUP($J17,角色成长!$D$17:$J$117,MATCH(角色成长!$E$17,角色成长!$D$17:$J$17,0),0)*角色成长!$L$15*R17/Q17/(1+O17*(P17-1)),"")</f>
        <v>4423.1399173621439</v>
      </c>
      <c r="M17" s="8">
        <f>IFERROR(VLOOKUP($G17,角色设定!$AB$9:$AJ$21,MATCH(角色成长!$F$17,角色设定!$AB$9:$AJ$9,0),0)*VLOOKUP($J17,角色成长!$D$17:$J$117,MATCH(角色成长!$F$17,角色成长!$D$17:$J$17,0),0)*角色成长!$L$15/(1+N17/角色成长!$N$16),"")</f>
        <v>80465.608783089498</v>
      </c>
      <c r="N17" s="8">
        <f>IFERROR(VLOOKUP($G17,角色设定!$AB$9:$AJ$21,MATCH(N$9,角色设定!$AB$9:$AJ$9,0),0)*VLOOKUP($J17,角色成长!$D$17:$J$117,MATCH(N$9,角色成长!$D$17:$J$17,0),0)*角色成长!$L$15,"")</f>
        <v>13105.599755147077</v>
      </c>
      <c r="O17" s="1">
        <f>IFERROR(VLOOKUP($G17,角色设定!$AB$9:$AJ$21,MATCH(O$9,角色设定!$AB$9:$AJ$9,0),0)*VLOOKUP($J17,角色成长!$D$17:$J$117,MATCH(O$9,角色成长!$D$17:$J$17,0),0),"")</f>
        <v>0.4</v>
      </c>
      <c r="P17" s="1">
        <f>IFERROR(VLOOKUP($G17,角色设定!$AB$9:$AJ$21,MATCH(P$9,角色设定!$AB$9:$AJ$9,0),0)*VLOOKUP($J17,角色成长!$D$17:$J$117,MATCH(P$9,角色成长!$D$17:$J$17,0),0),"")</f>
        <v>1.5</v>
      </c>
      <c r="Q17" s="1">
        <f>IFERROR(VLOOKUP($G17,角色设定!$AB$9:$AJ$21,MATCH(Q$9,角色设定!$AB$9:$AJ$9,0),0)*VLOOKUP($J17,角色成长!$D$17:$J$117,MATCH(Q$9,角色成长!$D$17:$J$17,0),0),"")</f>
        <v>1</v>
      </c>
      <c r="R17" s="1">
        <f>IFERROR(VLOOKUP($G17,角色设定!$AB$9:$AJ$21,MATCH(R$9,角色设定!$AB$9:$AJ$9,0),0),"")</f>
        <v>0.9</v>
      </c>
      <c r="S17" s="1">
        <f>IFERROR(VLOOKUP($G17,角色技能!$D:$M,MATCH(S$9,角色技能!$D$4:$M$4,0),0),"")</f>
        <v>10</v>
      </c>
      <c r="T17" s="1">
        <f>IFERROR(VLOOKUP($G17,角色技能!$D:$M,MATCH(T$9,角色技能!$D$4:$M$4,0),0),"")</f>
        <v>5</v>
      </c>
      <c r="U17" s="6">
        <f>IFERROR(VLOOKUP($G17,角色技能!$D:$M,MATCH(U$9,角色技能!$D$4:$M$4,0),0)*(1+$K17/100*(VLOOKUP($H17,技能模板!$D$13:$U$19,MATCH(技能模板!R$13,技能模板!$D$13:$U$13,0),0)-1)),"")</f>
        <v>1.4747474747474747</v>
      </c>
      <c r="V17" s="6">
        <f>IFERROR(VLOOKUP($G17,角色技能!$D:$M,MATCH(V$9,角色技能!$D$4:$M$4,0),0)*(1+$K17/100*(VLOOKUP($H17,技能模板!$D$13:$U$19,MATCH(技能模板!S$13,技能模板!$D$13:$U$13,0),0)-1)),"")</f>
        <v>0</v>
      </c>
      <c r="W17" s="6">
        <f>IFERROR(VLOOKUP($G17,角色技能!$D:$M,MATCH(W$9,角色技能!$D$4:$M$4,0),0)*(1+$K17/100*(VLOOKUP($H17,技能模板!$D$13:$U$19,MATCH(技能模板!T$13,技能模板!$D$13:$U$13,0),0)-1)),"")</f>
        <v>0</v>
      </c>
      <c r="X17" s="59">
        <f>IFERROR(VLOOKUP($G17,角色技能!$D:$M,MATCH(X$9,角色技能!$D$4:$M$4,0),0)*(1+$K17/100*(VLOOKUP($H17,技能模板!$D$13:$U$19,MATCH(技能模板!U$13,技能模板!$D$13:$U$13,0),0)-1)),"")</f>
        <v>1.0188706275617814</v>
      </c>
      <c r="Y17" s="51"/>
    </row>
    <row r="18" spans="1:25" ht="14.25" customHeight="1" thickBot="1" x14ac:dyDescent="0.25">
      <c r="C18" s="49"/>
      <c r="D18" s="60" t="str">
        <f t="shared" si="0"/>
        <v/>
      </c>
      <c r="E18" s="61" t="str">
        <f t="shared" si="1"/>
        <v/>
      </c>
      <c r="F18" s="61" t="str">
        <f t="shared" si="2"/>
        <v/>
      </c>
      <c r="G18" s="61"/>
      <c r="H18" s="61" t="str">
        <f>IFERROR(VLOOKUP($G18,角色设定!$R:$S,2,0),"")</f>
        <v/>
      </c>
      <c r="I18" s="61" t="str">
        <f>IFERROR(VLOOKUP(H18,角色设定!$D$9:$E$15,2,0),"")</f>
        <v/>
      </c>
      <c r="J18" s="61" t="str">
        <f t="shared" si="3"/>
        <v/>
      </c>
      <c r="K18" s="61" t="str">
        <f t="shared" si="3"/>
        <v/>
      </c>
      <c r="L18" s="62" t="str">
        <f>IFERROR(VLOOKUP($G18,角色设定!$AB$9:$AJ$21,MATCH(角色成长!$E$17,角色设定!$AB$9:$AJ$9,0),0)*VLOOKUP($J18,角色成长!$D$17:$J$117,MATCH(角色成长!$E$17,角色成长!$D$17:$J$17,0),0)*角色成长!$L$15*R18/Q18/(1+O18*(P18-1)),"")</f>
        <v/>
      </c>
      <c r="M18" s="62" t="str">
        <f>IFERROR(VLOOKUP($G18,角色设定!$AB$9:$AJ$21,MATCH(角色成长!$F$17,角色设定!$AB$9:$AJ$9,0),0)*VLOOKUP($J18,角色成长!$D$17:$J$117,MATCH(角色成长!$F$17,角色成长!$D$17:$J$17,0),0)*角色成长!$L$15/(1+N18/角色成长!$N$16),"")</f>
        <v/>
      </c>
      <c r="N18" s="62" t="str">
        <f>IFERROR(VLOOKUP($G18,角色设定!$AB$9:$AJ$21,MATCH(N$9,角色设定!$AB$9:$AJ$9,0),0)*VLOOKUP($J18,角色成长!$D$17:$J$117,MATCH(N$9,角色成长!$D$17:$J$17,0),0)*角色成长!$L$15,"")</f>
        <v/>
      </c>
      <c r="O18" s="61" t="str">
        <f>IFERROR(VLOOKUP($G18,角色设定!$AB$9:$AJ$21,MATCH(O$9,角色设定!$AB$9:$AJ$9,0),0)*VLOOKUP($J18,角色成长!$D$17:$J$117,MATCH(O$9,角色成长!$D$17:$J$17,0),0),"")</f>
        <v/>
      </c>
      <c r="P18" s="61" t="str">
        <f>IFERROR(VLOOKUP($G18,角色设定!$AB$9:$AJ$21,MATCH(P$9,角色设定!$AB$9:$AJ$9,0),0)*VLOOKUP($J18,角色成长!$D$17:$J$117,MATCH(P$9,角色成长!$D$17:$J$17,0),0),"")</f>
        <v/>
      </c>
      <c r="Q18" s="61" t="str">
        <f>IFERROR(VLOOKUP($G18,角色设定!$AB$9:$AJ$21,MATCH(Q$9,角色设定!$AB$9:$AJ$9,0),0)*VLOOKUP($J18,角色成长!$D$17:$J$117,MATCH(Q$9,角色成长!$D$17:$J$17,0),0),"")</f>
        <v/>
      </c>
      <c r="R18" s="61" t="str">
        <f>IFERROR(VLOOKUP($G18,角色设定!$AB$9:$AJ$21,MATCH(R$9,角色设定!$AB$9:$AJ$9,0),0),"")</f>
        <v/>
      </c>
      <c r="S18" s="61" t="str">
        <f>IFERROR(VLOOKUP($G18,角色技能!$D:$M,MATCH(S$9,角色技能!$D$4:$M$4,0),0),"")</f>
        <v/>
      </c>
      <c r="T18" s="61" t="str">
        <f>IFERROR(VLOOKUP($G18,角色技能!$D:$M,MATCH(T$9,角色技能!$D$4:$M$4,0),0),"")</f>
        <v/>
      </c>
      <c r="U18" s="63" t="str">
        <f>IFERROR(VLOOKUP($G18,角色技能!$D:$M,MATCH(U$9,角色技能!$D$4:$M$4,0),0)*(1+$K18/100*(VLOOKUP($H18,技能模板!$D$13:$U$19,MATCH(技能模板!R$13,技能模板!$D$13:$U$13,0),0)-1)),"")</f>
        <v/>
      </c>
      <c r="V18" s="63" t="str">
        <f>IFERROR(VLOOKUP($G18,角色技能!$D:$M,MATCH(V$9,角色技能!$D$4:$M$4,0),0)*(1+$K18/100*(VLOOKUP($H18,技能模板!$D$13:$U$19,MATCH(技能模板!S$13,技能模板!$D$13:$U$13,0),0)-1)),"")</f>
        <v/>
      </c>
      <c r="W18" s="63" t="str">
        <f>IFERROR(VLOOKUP($G18,角色技能!$D:$M,MATCH(W$9,角色技能!$D$4:$M$4,0),0)*(1+$K18/100*(VLOOKUP($H18,技能模板!$D$13:$U$19,MATCH(技能模板!T$13,技能模板!$D$13:$U$13,0),0)-1)),"")</f>
        <v/>
      </c>
      <c r="X18" s="64" t="str">
        <f>IFERROR(VLOOKUP($G18,角色技能!$D:$M,MATCH(X$9,角色技能!$D$4:$M$4,0),0)*(1+$K18/100*(VLOOKUP($H18,技能模板!$D$13:$U$19,MATCH(技能模板!U$13,技能模板!$D$13:$U$13,0),0)-1)),"")</f>
        <v/>
      </c>
      <c r="Y18" s="51"/>
    </row>
    <row r="19" spans="1:25" ht="14.25" customHeight="1" thickBot="1" x14ac:dyDescent="0.25">
      <c r="D19" s="47"/>
      <c r="E19" s="47"/>
      <c r="F19" s="47"/>
      <c r="G19" s="47"/>
      <c r="H19" s="47"/>
      <c r="I19" s="47"/>
      <c r="J19" s="65">
        <v>50</v>
      </c>
      <c r="K19" s="65">
        <v>40</v>
      </c>
      <c r="L19" s="66"/>
      <c r="M19" s="66"/>
      <c r="N19" s="66"/>
      <c r="O19" s="47"/>
      <c r="P19" s="47"/>
      <c r="Q19" s="47"/>
      <c r="R19" s="47"/>
      <c r="S19" s="47">
        <v>0</v>
      </c>
      <c r="T19" s="47">
        <v>0</v>
      </c>
      <c r="U19" s="67"/>
      <c r="V19" s="47" t="s">
        <v>251</v>
      </c>
      <c r="W19" s="47" t="s">
        <v>252</v>
      </c>
      <c r="X19" s="47" t="s">
        <v>253</v>
      </c>
    </row>
    <row r="20" spans="1:25" ht="14.25" customHeight="1" x14ac:dyDescent="0.2">
      <c r="A20" s="4">
        <f>B20/(SUM(M21:M29)*$G$1)</f>
        <v>4.4047981753461363E-2</v>
      </c>
      <c r="B20" s="6">
        <v>19987471.090555806</v>
      </c>
      <c r="C20" s="49">
        <f>ROW(D21)</f>
        <v>21</v>
      </c>
      <c r="D20" s="54" t="s">
        <v>257</v>
      </c>
      <c r="E20" s="55" t="s">
        <v>258</v>
      </c>
      <c r="F20" s="55" t="s">
        <v>237</v>
      </c>
      <c r="G20" s="56" t="s">
        <v>157</v>
      </c>
      <c r="H20" s="55" t="s">
        <v>92</v>
      </c>
      <c r="I20" s="55" t="s">
        <v>93</v>
      </c>
      <c r="J20" s="56" t="s">
        <v>245</v>
      </c>
      <c r="K20" s="56" t="s">
        <v>246</v>
      </c>
      <c r="L20" s="55" t="s">
        <v>34</v>
      </c>
      <c r="M20" s="55" t="s">
        <v>213</v>
      </c>
      <c r="N20" s="55" t="s">
        <v>35</v>
      </c>
      <c r="O20" s="55" t="s">
        <v>146</v>
      </c>
      <c r="P20" s="55" t="s">
        <v>147</v>
      </c>
      <c r="Q20" s="55" t="s">
        <v>148</v>
      </c>
      <c r="R20" s="55" t="s">
        <v>176</v>
      </c>
      <c r="S20" s="55" t="s">
        <v>206</v>
      </c>
      <c r="T20" s="55" t="s">
        <v>275</v>
      </c>
      <c r="U20" s="55" t="s">
        <v>207</v>
      </c>
      <c r="V20" s="55" t="s">
        <v>208</v>
      </c>
      <c r="W20" s="55" t="s">
        <v>210</v>
      </c>
      <c r="X20" s="57" t="s">
        <v>243</v>
      </c>
      <c r="Y20" s="51"/>
    </row>
    <row r="21" spans="1:25" ht="14.25" customHeight="1" x14ac:dyDescent="0.2">
      <c r="C21" s="49">
        <f>COLUMN(D21)</f>
        <v>4</v>
      </c>
      <c r="D21" s="58">
        <f>IFERROR(MOD(F21+3-1,3)+1,"")</f>
        <v>1</v>
      </c>
      <c r="E21" s="1">
        <f>IFERROR(INT((F21-1)/3)+5,"")</f>
        <v>5</v>
      </c>
      <c r="F21" s="1">
        <f>IF(G21="","",ROW(G21)-$C$20+1)</f>
        <v>1</v>
      </c>
      <c r="G21" s="1" t="s">
        <v>259</v>
      </c>
      <c r="H21" s="1" t="str">
        <f>IFERROR(VLOOKUP($G21,角色设定!$R:$S,2,0),"")</f>
        <v>防御</v>
      </c>
      <c r="I21" s="1" t="str">
        <f>IFERROR(VLOOKUP(H21,角色设定!$D$9:$E$15,2,0),"")</f>
        <v>坦克</v>
      </c>
      <c r="J21" s="1">
        <f>IF($G21="","",J$19)</f>
        <v>50</v>
      </c>
      <c r="K21" s="1">
        <f>IF($G21="","",K$19)</f>
        <v>40</v>
      </c>
      <c r="L21" s="8">
        <f>IFERROR(VLOOKUP($G21,角色设定!$AB$9:$AJ$21,MATCH(角色成长!$E$17,角色设定!$AB$9:$AJ$9,0),0)*VLOOKUP($J21,角色成长!$D$17:$J$117,MATCH(角色成长!$E$17,角色成长!$D$17:$J$17,0),0)*角色成长!$L$15*R21/Q21/(1+O21*(P21-1)),"")</f>
        <v>5528.9248967026779</v>
      </c>
      <c r="M21" s="8">
        <f>IFERROR(VLOOKUP($G21,角色设定!$AB$9:$AJ$21,MATCH(角色成长!$F$17,角色设定!$AB$9:$AJ$9,0),0)*VLOOKUP($J21,角色成长!$D$17:$J$117,MATCH(角色成长!$F$17,角色成长!$D$17:$J$17,0),0)*角色成长!$L$15/(1+N21/角色成长!$N$16),"")</f>
        <v>129134.98620806892</v>
      </c>
      <c r="N21" s="8">
        <f>IFERROR(VLOOKUP($G21,角色设定!$AB$9:$AJ$21,MATCH(N$9,角色设定!$AB$9:$AJ$9,0),0)*VLOOKUP($J21,角色成长!$D$17:$J$117,MATCH(N$9,角色成长!$D$17:$J$17,0),0)*角色成长!$L$15,"")</f>
        <v>40954.999234834613</v>
      </c>
      <c r="O21" s="1">
        <f>IFERROR(VLOOKUP($G21,角色设定!$AB$9:$AJ$21,MATCH(O$9,角色设定!$AB$9:$AJ$9,0),0)*VLOOKUP($J21,角色成长!$D$17:$J$117,MATCH(O$9,角色成长!$D$17:$J$17,0),0),"")</f>
        <v>0.4</v>
      </c>
      <c r="P21" s="1">
        <f>IFERROR(VLOOKUP($G21,角色设定!$AB$9:$AJ$21,MATCH(P$9,角色设定!$AB$9:$AJ$9,0),0)*VLOOKUP($J21,角色成长!$D$17:$J$117,MATCH(P$9,角色成长!$D$17:$J$17,0),0),"")</f>
        <v>1.5</v>
      </c>
      <c r="Q21" s="1">
        <f>IFERROR(VLOOKUP($G21,角色设定!$AB$9:$AJ$21,MATCH(Q$9,角色设定!$AB$9:$AJ$9,0),0)*VLOOKUP($J21,角色成长!$D$17:$J$117,MATCH(Q$9,角色成长!$D$17:$J$17,0),0),"")</f>
        <v>1</v>
      </c>
      <c r="R21" s="1">
        <f>IFERROR(VLOOKUP($G21,角色设定!$AB$9:$AJ$21,MATCH(R$9,角色设定!$AB$9:$AJ$9,0),0),"")</f>
        <v>0.9</v>
      </c>
      <c r="S21" s="1">
        <f>IFERROR(VLOOKUP($G21,角色技能!$D:$M,MATCH(S$9,角色技能!$D$4:$M$4,0),0)*(1-$S$19),"")</f>
        <v>10</v>
      </c>
      <c r="T21" s="1">
        <f>IFERROR(VLOOKUP($G21,角色技能!$D:$M,MATCH(T$9,角色技能!$D$4:$M$4,0),0)*(1-$T$19),"")</f>
        <v>5</v>
      </c>
      <c r="U21" s="6">
        <f>IFERROR(VLOOKUP($G21,角色技能!$D:$M,MATCH(U$9,角色技能!$D$4:$M$4,0),0)*(1+$K21/100*(VLOOKUP($H21,技能模板!$D$13:$U$19,MATCH(技能模板!R$13,技能模板!$D$13:$U$13,0),0)-1)),"")</f>
        <v>1.4747474747474749</v>
      </c>
      <c r="V21" s="6">
        <f>IFERROR(VLOOKUP($G21,角色技能!$D:$M,MATCH(V$9,角色技能!$D$4:$M$4,0),0)*(1+$K21/100*(VLOOKUP($H21,技能模板!$D$13:$U$19,MATCH(技能模板!S$13,技能模板!$D$13:$U$13,0),0)-1)),"")</f>
        <v>0</v>
      </c>
      <c r="W21" s="6">
        <f>IFERROR(VLOOKUP($G21,角色技能!$D:$M,MATCH(W$9,角色技能!$D$4:$M$4,0),0)*(1+$K21/100*(VLOOKUP($H21,技能模板!$D$13:$U$19,MATCH(技能模板!T$13,技能模板!$D$13:$U$13,0),0)-1)),"")</f>
        <v>0.94846153846153836</v>
      </c>
      <c r="X21" s="59">
        <f>IFERROR(VLOOKUP($G21,角色技能!$D:$M,MATCH(X$9,角色技能!$D$4:$M$4,0),0)*(1+$K21/100*(VLOOKUP($H21,技能模板!$D$13:$U$19,MATCH(技能模板!U$13,技能模板!$D$13:$U$13,0),0)-1)),"")</f>
        <v>0</v>
      </c>
      <c r="Y21" s="51"/>
    </row>
    <row r="22" spans="1:25" ht="14.25" customHeight="1" x14ac:dyDescent="0.2">
      <c r="C22" s="49">
        <f>ROW(X29)</f>
        <v>29</v>
      </c>
      <c r="D22" s="58" t="str">
        <f t="shared" ref="D22:D29" si="4">IFERROR(MOD(F22+3-1,3)+1,"")</f>
        <v/>
      </c>
      <c r="E22" s="1" t="str">
        <f t="shared" ref="E22:E29" si="5">IFERROR(INT((F22-1)/3)+5,"")</f>
        <v/>
      </c>
      <c r="F22" s="1" t="str">
        <f t="shared" ref="F22:F29" si="6">IF(G22="","",ROW(G22)-$C$20+1)</f>
        <v/>
      </c>
      <c r="H22" s="1" t="str">
        <f>IFERROR(VLOOKUP($G22,角色设定!$R:$S,2,0),"")</f>
        <v/>
      </c>
      <c r="I22" s="1" t="str">
        <f>IFERROR(VLOOKUP(H22,角色设定!$D$9:$E$15,2,0),"")</f>
        <v/>
      </c>
      <c r="J22" s="1" t="str">
        <f t="shared" ref="J22:K29" si="7">IF($G22="","",J$19)</f>
        <v/>
      </c>
      <c r="K22" s="1" t="str">
        <f t="shared" si="7"/>
        <v/>
      </c>
      <c r="L22" s="8" t="str">
        <f>IFERROR(VLOOKUP($G22,角色设定!$AB$9:$AJ$21,MATCH(角色成长!$E$17,角色设定!$AB$9:$AJ$9,0),0)*VLOOKUP($J22,角色成长!$D$17:$J$117,MATCH(角色成长!$E$17,角色成长!$D$17:$J$17,0),0)*角色成长!$L$15*R22/Q22/(1+O22*(P22-1)),"")</f>
        <v/>
      </c>
      <c r="M22" s="8" t="str">
        <f>IFERROR(VLOOKUP($G22,角色设定!$AB$9:$AJ$21,MATCH(角色成长!$F$17,角色设定!$AB$9:$AJ$9,0),0)*VLOOKUP($J22,角色成长!$D$17:$J$117,MATCH(角色成长!$F$17,角色成长!$D$17:$J$17,0),0)*角色成长!$L$15/(1+N22/角色成长!$N$16),"")</f>
        <v/>
      </c>
      <c r="N22" s="8" t="str">
        <f>IFERROR(VLOOKUP($G22,角色设定!$AB$9:$AJ$21,MATCH(N$9,角色设定!$AB$9:$AJ$9,0),0)*VLOOKUP($J22,角色成长!$D$17:$J$117,MATCH(N$9,角色成长!$D$17:$J$17,0),0)*角色成长!$L$15,"")</f>
        <v/>
      </c>
      <c r="O22" s="1" t="str">
        <f>IFERROR(VLOOKUP($G22,角色设定!$AB$9:$AJ$21,MATCH(O$9,角色设定!$AB$9:$AJ$9,0),0)*VLOOKUP($J22,角色成长!$D$17:$J$117,MATCH(O$9,角色成长!$D$17:$J$17,0),0),"")</f>
        <v/>
      </c>
      <c r="P22" s="1" t="str">
        <f>IFERROR(VLOOKUP($G22,角色设定!$AB$9:$AJ$21,MATCH(P$9,角色设定!$AB$9:$AJ$9,0),0)*VLOOKUP($J22,角色成长!$D$17:$J$117,MATCH(P$9,角色成长!$D$17:$J$17,0),0),"")</f>
        <v/>
      </c>
      <c r="Q22" s="1" t="str">
        <f>IFERROR(VLOOKUP($G22,角色设定!$AB$9:$AJ$21,MATCH(Q$9,角色设定!$AB$9:$AJ$9,0),0)*VLOOKUP($J22,角色成长!$D$17:$J$117,MATCH(Q$9,角色成长!$D$17:$J$17,0),0),"")</f>
        <v/>
      </c>
      <c r="R22" s="1" t="str">
        <f>IFERROR(VLOOKUP($G22,角色设定!$AB$9:$AJ$21,MATCH(R$9,角色设定!$AB$9:$AJ$9,0),0),"")</f>
        <v/>
      </c>
      <c r="S22" s="1" t="str">
        <f>IFERROR(VLOOKUP($G22,角色技能!$D:$M,MATCH(S$9,角色技能!$D$4:$M$4,0),0)*(1-$S$19),"")</f>
        <v/>
      </c>
      <c r="T22" s="1" t="str">
        <f>IFERROR(VLOOKUP($G22,角色技能!$D:$M,MATCH(T$9,角色技能!$D$4:$M$4,0),0)*(1-$T$19),"")</f>
        <v/>
      </c>
      <c r="U22" s="6" t="str">
        <f>IFERROR(VLOOKUP($G22,角色技能!$D:$M,MATCH(U$9,角色技能!$D$4:$M$4,0),0)*(1+$K22/100*(VLOOKUP($H22,技能模板!$D$13:$U$19,MATCH(技能模板!R$13,技能模板!$D$13:$U$13,0),0)-1)),"")</f>
        <v/>
      </c>
      <c r="V22" s="6" t="str">
        <f>IFERROR(VLOOKUP($G22,角色技能!$D:$M,MATCH(V$9,角色技能!$D$4:$M$4,0),0)*(1+$K22/100*(VLOOKUP($H22,技能模板!$D$13:$U$19,MATCH(技能模板!S$13,技能模板!$D$13:$U$13,0),0)-1)),"")</f>
        <v/>
      </c>
      <c r="W22" s="6" t="str">
        <f>IFERROR(VLOOKUP($G22,角色技能!$D:$M,MATCH(W$9,角色技能!$D$4:$M$4,0),0)*(1+$K22/100*(VLOOKUP($H22,技能模板!$D$13:$U$19,MATCH(技能模板!T$13,技能模板!$D$13:$U$13,0),0)-1)),"")</f>
        <v/>
      </c>
      <c r="X22" s="59" t="str">
        <f>IFERROR(VLOOKUP($G22,角色技能!$D:$M,MATCH(X$9,角色技能!$D$4:$M$4,0),0)*(1+$K22/100*(VLOOKUP($H22,技能模板!$D$13:$U$19,MATCH(技能模板!U$13,技能模板!$D$13:$U$13,0),0)-1)),"")</f>
        <v/>
      </c>
      <c r="Y22" s="51"/>
    </row>
    <row r="23" spans="1:25" ht="14.25" customHeight="1" x14ac:dyDescent="0.2">
      <c r="C23" s="49">
        <f>COLUMN(X29)</f>
        <v>24</v>
      </c>
      <c r="D23" s="58">
        <f t="shared" si="4"/>
        <v>3</v>
      </c>
      <c r="E23" s="1">
        <f t="shared" si="5"/>
        <v>5</v>
      </c>
      <c r="F23" s="1">
        <f t="shared" si="6"/>
        <v>3</v>
      </c>
      <c r="G23" s="1" t="s">
        <v>271</v>
      </c>
      <c r="H23" s="1" t="str">
        <f>IFERROR(VLOOKUP($G23,角色设定!$R:$S,2,0),"")</f>
        <v>防御</v>
      </c>
      <c r="I23" s="1" t="str">
        <f>IFERROR(VLOOKUP(H23,角色设定!$D$9:$E$15,2,0),"")</f>
        <v>坦克</v>
      </c>
      <c r="J23" s="1">
        <f t="shared" si="7"/>
        <v>50</v>
      </c>
      <c r="K23" s="1">
        <f t="shared" si="7"/>
        <v>40</v>
      </c>
      <c r="L23" s="8">
        <f>IFERROR(VLOOKUP($G23,角色设定!$AB$9:$AJ$21,MATCH(角色成长!$E$17,角色设定!$AB$9:$AJ$9,0),0)*VLOOKUP($J23,角色成长!$D$17:$J$117,MATCH(角色成长!$E$17,角色成长!$D$17:$J$17,0),0)*角色成长!$L$15*R23/Q23/(1+O23*(P23-1)),"")</f>
        <v>6143.2498852251993</v>
      </c>
      <c r="M23" s="8">
        <f>IFERROR(VLOOKUP($G23,角色设定!$AB$9:$AJ$21,MATCH(角色成长!$F$17,角色设定!$AB$9:$AJ$9,0),0)*VLOOKUP($J23,角色成长!$D$17:$J$117,MATCH(角色成长!$F$17,角色成长!$D$17:$J$17,0),0)*角色成长!$L$15/(1+N23/角色成长!$N$16),"")</f>
        <v>123391.8816054504</v>
      </c>
      <c r="N23" s="8">
        <f>IFERROR(VLOOKUP($G23,角色设定!$AB$9:$AJ$21,MATCH(N$9,角色设定!$AB$9:$AJ$9,0),0)*VLOOKUP($J23,角色成长!$D$17:$J$117,MATCH(N$9,角色成长!$D$17:$J$17,0),0)*角色成长!$L$15,"")</f>
        <v>32763.999387867698</v>
      </c>
      <c r="O23" s="1">
        <f>IFERROR(VLOOKUP($G23,角色设定!$AB$9:$AJ$21,MATCH(O$9,角色设定!$AB$9:$AJ$9,0),0)*VLOOKUP($J23,角色成长!$D$17:$J$117,MATCH(O$9,角色成长!$D$17:$J$17,0),0),"")</f>
        <v>0.4</v>
      </c>
      <c r="P23" s="1">
        <f>IFERROR(VLOOKUP($G23,角色设定!$AB$9:$AJ$21,MATCH(P$9,角色设定!$AB$9:$AJ$9,0),0)*VLOOKUP($J23,角色成长!$D$17:$J$117,MATCH(P$9,角色成长!$D$17:$J$17,0),0),"")</f>
        <v>1.5</v>
      </c>
      <c r="Q23" s="1">
        <f>IFERROR(VLOOKUP($G23,角色设定!$AB$9:$AJ$21,MATCH(Q$9,角色设定!$AB$9:$AJ$9,0),0)*VLOOKUP($J23,角色成长!$D$17:$J$117,MATCH(Q$9,角色成长!$D$17:$J$17,0),0),"")</f>
        <v>1</v>
      </c>
      <c r="R23" s="1">
        <f>IFERROR(VLOOKUP($G23,角色设定!$AB$9:$AJ$21,MATCH(R$9,角色设定!$AB$9:$AJ$9,0),0),"")</f>
        <v>0.9</v>
      </c>
      <c r="S23" s="1">
        <f>IFERROR(VLOOKUP($G23,角色技能!$D:$M,MATCH(S$9,角色技能!$D$4:$M$4,0),0)*(1-$S$19),"")</f>
        <v>10</v>
      </c>
      <c r="T23" s="1">
        <f>IFERROR(VLOOKUP($G23,角色技能!$D:$M,MATCH(T$9,角色技能!$D$4:$M$4,0),0)*(1-$T$19),"")</f>
        <v>5</v>
      </c>
      <c r="U23" s="6">
        <f>IFERROR(VLOOKUP($G23,角色技能!$D:$M,MATCH(U$9,角色技能!$D$4:$M$4,0),0)*(1+$K23/100*(VLOOKUP($H23,技能模板!$D$13:$U$19,MATCH(技能模板!R$13,技能模板!$D$13:$U$13,0),0)-1)),"")</f>
        <v>1.4747474747474749</v>
      </c>
      <c r="V23" s="6">
        <f>IFERROR(VLOOKUP($G23,角色技能!$D:$M,MATCH(V$9,角色技能!$D$4:$M$4,0),0)*(1+$K23/100*(VLOOKUP($H23,技能模板!$D$13:$U$19,MATCH(技能模板!S$13,技能模板!$D$13:$U$13,0),0)-1)),"")</f>
        <v>0</v>
      </c>
      <c r="W23" s="6">
        <f>IFERROR(VLOOKUP($G23,角色技能!$D:$M,MATCH(W$9,角色技能!$D$4:$M$4,0),0)*(1+$K23/100*(VLOOKUP($H23,技能模板!$D$13:$U$19,MATCH(技能模板!T$13,技能模板!$D$13:$U$13,0),0)-1)),"")</f>
        <v>0.94846153846153836</v>
      </c>
      <c r="X23" s="59">
        <f>IFERROR(VLOOKUP($G23,角色技能!$D:$M,MATCH(X$9,角色技能!$D$4:$M$4,0),0)*(1+$K23/100*(VLOOKUP($H23,技能模板!$D$13:$U$19,MATCH(技能模板!U$13,技能模板!$D$13:$U$13,0),0)-1)),"")</f>
        <v>0</v>
      </c>
      <c r="Y23" s="51"/>
    </row>
    <row r="24" spans="1:25" ht="14.25" customHeight="1" x14ac:dyDescent="0.2">
      <c r="C24" s="49"/>
      <c r="D24" s="58">
        <f t="shared" si="4"/>
        <v>1</v>
      </c>
      <c r="E24" s="1">
        <f t="shared" si="5"/>
        <v>6</v>
      </c>
      <c r="F24" s="1">
        <f t="shared" si="6"/>
        <v>4</v>
      </c>
      <c r="G24" s="1" t="s">
        <v>272</v>
      </c>
      <c r="H24" s="1" t="str">
        <f>IFERROR(VLOOKUP($G24,角色设定!$R:$S,2,0),"")</f>
        <v>魔法</v>
      </c>
      <c r="I24" s="1" t="str">
        <f>IFERROR(VLOOKUP(H24,角色设定!$D$9:$E$15,2,0),"")</f>
        <v>输出</v>
      </c>
      <c r="J24" s="1">
        <f t="shared" si="7"/>
        <v>50</v>
      </c>
      <c r="K24" s="1">
        <f t="shared" si="7"/>
        <v>40</v>
      </c>
      <c r="L24" s="8">
        <f>IFERROR(VLOOKUP($G24,角色设定!$AB$9:$AJ$21,MATCH(角色成长!$E$17,角色设定!$AB$9:$AJ$9,0),0)*VLOOKUP($J24,角色成长!$D$17:$J$117,MATCH(角色成长!$E$17,角色成长!$D$17:$J$17,0),0)*角色成长!$L$15*R24/Q24/(1+O24*(P24-1)),"")</f>
        <v>14334.249732192129</v>
      </c>
      <c r="M24" s="8">
        <f>IFERROR(VLOOKUP($G24,角色设定!$AB$9:$AJ$21,MATCH(角色成长!$F$17,角色设定!$AB$9:$AJ$9,0),0)*VLOOKUP($J24,角色成长!$D$17:$J$117,MATCH(角色成长!$F$17,角色成长!$D$17:$J$17,0),0)*角色成长!$L$15/(1+N24/角色成长!$N$16),"")</f>
        <v>57682.818321234285</v>
      </c>
      <c r="N24" s="8">
        <f>IFERROR(VLOOKUP($G24,角色设定!$AB$9:$AJ$21,MATCH(N$9,角色设定!$AB$9:$AJ$9,0),0)*VLOOKUP($J24,角色成长!$D$17:$J$117,MATCH(N$9,角色成长!$D$17:$J$17,0),0)*角色成长!$L$15,"")</f>
        <v>8190.9998469669245</v>
      </c>
      <c r="O24" s="1">
        <f>IFERROR(VLOOKUP($G24,角色设定!$AB$9:$AJ$21,MATCH(O$9,角色设定!$AB$9:$AJ$9,0),0)*VLOOKUP($J24,角色成长!$D$17:$J$117,MATCH(O$9,角色成长!$D$17:$J$17,0),0),"")</f>
        <v>0.4</v>
      </c>
      <c r="P24" s="1">
        <f>IFERROR(VLOOKUP($G24,角色设定!$AB$9:$AJ$21,MATCH(P$9,角色设定!$AB$9:$AJ$9,0),0)*VLOOKUP($J24,角色成长!$D$17:$J$117,MATCH(P$9,角色成长!$D$17:$J$17,0),0),"")</f>
        <v>1.5</v>
      </c>
      <c r="Q24" s="1">
        <f>IFERROR(VLOOKUP($G24,角色设定!$AB$9:$AJ$21,MATCH(Q$9,角色设定!$AB$9:$AJ$9,0),0)*VLOOKUP($J24,角色成长!$D$17:$J$117,MATCH(Q$9,角色成长!$D$17:$J$17,0),0),"")</f>
        <v>0.8</v>
      </c>
      <c r="R24" s="1">
        <f>IFERROR(VLOOKUP($G24,角色设定!$AB$9:$AJ$21,MATCH(R$9,角色设定!$AB$9:$AJ$9,0),0),"")</f>
        <v>0.8</v>
      </c>
      <c r="S24" s="1">
        <f>IFERROR(VLOOKUP($G24,角色技能!$D:$M,MATCH(S$9,角色技能!$D$4:$M$4,0),0)*(1-$S$19),"")</f>
        <v>20</v>
      </c>
      <c r="T24" s="1">
        <f>IFERROR(VLOOKUP($G24,角色技能!$D:$M,MATCH(T$9,角色技能!$D$4:$M$4,0),0)*(1-$T$19),"")</f>
        <v>10</v>
      </c>
      <c r="U24" s="6">
        <f>IFERROR(VLOOKUP($G24,角色技能!$D:$M,MATCH(U$9,角色技能!$D$4:$M$4,0),0)*(1+$K24/100*(VLOOKUP($H24,技能模板!$D$13:$U$19,MATCH(技能模板!R$13,技能模板!$D$13:$U$13,0),0)-1)),"")</f>
        <v>5.0666666666666655</v>
      </c>
      <c r="V24" s="6">
        <f>IFERROR(VLOOKUP($G24,角色技能!$D:$M,MATCH(V$9,角色技能!$D$4:$M$4,0),0)*(1+$K24/100*(VLOOKUP($H24,技能模板!$D$13:$U$19,MATCH(技能模板!S$13,技能模板!$D$13:$U$13,0),0)-1)),"")</f>
        <v>0</v>
      </c>
      <c r="W24" s="6">
        <f>IFERROR(VLOOKUP($G24,角色技能!$D:$M,MATCH(W$9,角色技能!$D$4:$M$4,0),0)*(1+$K24/100*(VLOOKUP($H24,技能模板!$D$13:$U$19,MATCH(技能模板!T$13,技能模板!$D$13:$U$13,0),0)-1)),"")</f>
        <v>0</v>
      </c>
      <c r="X24" s="59">
        <f>IFERROR(VLOOKUP($G24,角色技能!$D:$M,MATCH(X$9,角色技能!$D$4:$M$4,0),0)*(1+$K24/100*(VLOOKUP($H24,技能模板!$D$13:$U$19,MATCH(技能模板!U$13,技能模板!$D$13:$U$13,0),0)-1)),"")</f>
        <v>0</v>
      </c>
      <c r="Y24" s="51"/>
    </row>
    <row r="25" spans="1:25" ht="14.25" customHeight="1" x14ac:dyDescent="0.2">
      <c r="C25" s="49"/>
      <c r="D25" s="58" t="str">
        <f t="shared" si="4"/>
        <v/>
      </c>
      <c r="E25" s="1" t="str">
        <f t="shared" si="5"/>
        <v/>
      </c>
      <c r="F25" s="1" t="str">
        <f t="shared" si="6"/>
        <v/>
      </c>
      <c r="H25" s="1" t="str">
        <f>IFERROR(VLOOKUP($G25,角色设定!$R:$S,2,0),"")</f>
        <v/>
      </c>
      <c r="I25" s="1" t="str">
        <f>IFERROR(VLOOKUP(H25,角色设定!$D$9:$E$15,2,0),"")</f>
        <v/>
      </c>
      <c r="J25" s="1" t="str">
        <f t="shared" si="7"/>
        <v/>
      </c>
      <c r="K25" s="1" t="str">
        <f t="shared" si="7"/>
        <v/>
      </c>
      <c r="L25" s="8" t="str">
        <f>IFERROR(VLOOKUP($G25,角色设定!$AB$9:$AJ$21,MATCH(角色成长!$E$17,角色设定!$AB$9:$AJ$9,0),0)*VLOOKUP($J25,角色成长!$D$17:$J$117,MATCH(角色成长!$E$17,角色成长!$D$17:$J$17,0),0)*角色成长!$L$15*R25/Q25/(1+O25*(P25-1)),"")</f>
        <v/>
      </c>
      <c r="M25" s="8" t="str">
        <f>IFERROR(VLOOKUP($G25,角色设定!$AB$9:$AJ$21,MATCH(角色成长!$F$17,角色设定!$AB$9:$AJ$9,0),0)*VLOOKUP($J25,角色成长!$D$17:$J$117,MATCH(角色成长!$F$17,角色成长!$D$17:$J$17,0),0)*角色成长!$L$15/(1+N25/角色成长!$N$16),"")</f>
        <v/>
      </c>
      <c r="N25" s="8" t="str">
        <f>IFERROR(VLOOKUP($G25,角色设定!$AB$9:$AJ$21,MATCH(N$9,角色设定!$AB$9:$AJ$9,0),0)*VLOOKUP($J25,角色成长!$D$17:$J$117,MATCH(N$9,角色成长!$D$17:$J$17,0),0)*角色成长!$L$15,"")</f>
        <v/>
      </c>
      <c r="O25" s="1" t="str">
        <f>IFERROR(VLOOKUP($G25,角色设定!$AB$9:$AJ$21,MATCH(O$9,角色设定!$AB$9:$AJ$9,0),0)*VLOOKUP($J25,角色成长!$D$17:$J$117,MATCH(O$9,角色成长!$D$17:$J$17,0),0),"")</f>
        <v/>
      </c>
      <c r="P25" s="1" t="str">
        <f>IFERROR(VLOOKUP($G25,角色设定!$AB$9:$AJ$21,MATCH(P$9,角色设定!$AB$9:$AJ$9,0),0)*VLOOKUP($J25,角色成长!$D$17:$J$117,MATCH(P$9,角色成长!$D$17:$J$17,0),0),"")</f>
        <v/>
      </c>
      <c r="Q25" s="1" t="str">
        <f>IFERROR(VLOOKUP($G25,角色设定!$AB$9:$AJ$21,MATCH(Q$9,角色设定!$AB$9:$AJ$9,0),0)*VLOOKUP($J25,角色成长!$D$17:$J$117,MATCH(Q$9,角色成长!$D$17:$J$17,0),0),"")</f>
        <v/>
      </c>
      <c r="R25" s="1" t="str">
        <f>IFERROR(VLOOKUP($G25,角色设定!$AB$9:$AJ$21,MATCH(R$9,角色设定!$AB$9:$AJ$9,0),0),"")</f>
        <v/>
      </c>
      <c r="S25" s="1" t="str">
        <f>IFERROR(VLOOKUP($G25,角色技能!$D:$M,MATCH(S$9,角色技能!$D$4:$M$4,0),0)*(1-$S$19),"")</f>
        <v/>
      </c>
      <c r="T25" s="1" t="str">
        <f>IFERROR(VLOOKUP($G25,角色技能!$D:$M,MATCH(T$9,角色技能!$D$4:$M$4,0),0)*(1-$T$19),"")</f>
        <v/>
      </c>
      <c r="U25" s="6" t="str">
        <f>IFERROR(VLOOKUP($G25,角色技能!$D:$M,MATCH(U$9,角色技能!$D$4:$M$4,0),0)*(1+$K25/100*(VLOOKUP($H25,技能模板!$D$13:$U$19,MATCH(技能模板!R$13,技能模板!$D$13:$U$13,0),0)-1)),"")</f>
        <v/>
      </c>
      <c r="V25" s="6" t="str">
        <f>IFERROR(VLOOKUP($G25,角色技能!$D:$M,MATCH(V$9,角色技能!$D$4:$M$4,0),0)*(1+$K25/100*(VLOOKUP($H25,技能模板!$D$13:$U$19,MATCH(技能模板!S$13,技能模板!$D$13:$U$13,0),0)-1)),"")</f>
        <v/>
      </c>
      <c r="W25" s="6" t="str">
        <f>IFERROR(VLOOKUP($G25,角色技能!$D:$M,MATCH(W$9,角色技能!$D$4:$M$4,0),0)*(1+$K25/100*(VLOOKUP($H25,技能模板!$D$13:$U$19,MATCH(技能模板!T$13,技能模板!$D$13:$U$13,0),0)-1)),"")</f>
        <v/>
      </c>
      <c r="X25" s="59" t="str">
        <f>IFERROR(VLOOKUP($G25,角色技能!$D:$M,MATCH(X$9,角色技能!$D$4:$M$4,0),0)*(1+$K25/100*(VLOOKUP($H25,技能模板!$D$13:$U$19,MATCH(技能模板!U$13,技能模板!$D$13:$U$13,0),0)-1)),"")</f>
        <v/>
      </c>
      <c r="Y25" s="51"/>
    </row>
    <row r="26" spans="1:25" ht="14.25" customHeight="1" x14ac:dyDescent="0.2">
      <c r="C26" s="49"/>
      <c r="D26" s="58">
        <f t="shared" si="4"/>
        <v>3</v>
      </c>
      <c r="E26" s="1">
        <f t="shared" si="5"/>
        <v>6</v>
      </c>
      <c r="F26" s="1">
        <f t="shared" si="6"/>
        <v>6</v>
      </c>
      <c r="G26" s="1" t="s">
        <v>273</v>
      </c>
      <c r="H26" s="1" t="str">
        <f>IFERROR(VLOOKUP($G26,角色设定!$R:$S,2,0),"")</f>
        <v>射击</v>
      </c>
      <c r="I26" s="1" t="str">
        <f>IFERROR(VLOOKUP(H26,角色设定!$D$9:$E$15,2,0),"")</f>
        <v>输出</v>
      </c>
      <c r="J26" s="1">
        <f t="shared" si="7"/>
        <v>50</v>
      </c>
      <c r="K26" s="1">
        <f t="shared" si="7"/>
        <v>40</v>
      </c>
      <c r="L26" s="8">
        <f>IFERROR(VLOOKUP($G26,角色设定!$AB$9:$AJ$21,MATCH(角色成长!$E$17,角色设定!$AB$9:$AJ$9,0),0)*VLOOKUP($J26,角色成长!$D$17:$J$117,MATCH(角色成长!$E$17,角色成长!$D$17:$J$17,0),0)*角色成长!$L$15*R26/Q26/(1+O26*(P26-1)),"")</f>
        <v>10484.479804117673</v>
      </c>
      <c r="M26" s="8">
        <f>IFERROR(VLOOKUP($G26,角色设定!$AB$9:$AJ$21,MATCH(角色成长!$F$17,角色设定!$AB$9:$AJ$9,0),0)*VLOOKUP($J26,角色成长!$D$17:$J$117,MATCH(角色成长!$F$17,角色成长!$D$17:$J$17,0),0)*角色成长!$L$15/(1+N26/角色成长!$N$16),"")</f>
        <v>63090.582538850002</v>
      </c>
      <c r="N26" s="8">
        <f>IFERROR(VLOOKUP($G26,角色设定!$AB$9:$AJ$21,MATCH(N$9,角色设定!$AB$9:$AJ$9,0),0)*VLOOKUP($J26,角色成长!$D$17:$J$117,MATCH(N$9,角色成长!$D$17:$J$17,0),0)*角色成长!$L$15,"")</f>
        <v>8190.9998469669245</v>
      </c>
      <c r="O26" s="1">
        <f>IFERROR(VLOOKUP($G26,角色设定!$AB$9:$AJ$21,MATCH(O$9,角色设定!$AB$9:$AJ$9,0),0)*VLOOKUP($J26,角色成长!$D$17:$J$117,MATCH(O$9,角色成长!$D$17:$J$17,0),0),"")</f>
        <v>0.4</v>
      </c>
      <c r="P26" s="1">
        <f>IFERROR(VLOOKUP($G26,角色设定!$AB$9:$AJ$21,MATCH(P$9,角色设定!$AB$9:$AJ$9,0),0)*VLOOKUP($J26,角色成长!$D$17:$J$117,MATCH(P$9,角色成长!$D$17:$J$17,0),0),"")</f>
        <v>1.5</v>
      </c>
      <c r="Q26" s="1">
        <f>IFERROR(VLOOKUP($G26,角色设定!$AB$9:$AJ$21,MATCH(Q$9,角色设定!$AB$9:$AJ$9,0),0)*VLOOKUP($J26,角色成长!$D$17:$J$117,MATCH(Q$9,角色成长!$D$17:$J$17,0),0),"")</f>
        <v>1</v>
      </c>
      <c r="R26" s="1">
        <f>IFERROR(VLOOKUP($G26,角色设定!$AB$9:$AJ$21,MATCH(R$9,角色设定!$AB$9:$AJ$9,0),0),"")</f>
        <v>0.8</v>
      </c>
      <c r="S26" s="1">
        <f>IFERROR(VLOOKUP($G26,角色技能!$D:$M,MATCH(S$9,角色技能!$D$4:$M$4,0),0)*(1-$S$19),"")</f>
        <v>20</v>
      </c>
      <c r="T26" s="1">
        <f>IFERROR(VLOOKUP($G26,角色技能!$D:$M,MATCH(T$9,角色技能!$D$4:$M$4,0),0)*(1-$T$19),"")</f>
        <v>10</v>
      </c>
      <c r="U26" s="6">
        <f>IFERROR(VLOOKUP($G26,角色技能!$D:$M,MATCH(U$9,角色技能!$D$4:$M$4,0),0)*(1+$K26/100*(VLOOKUP($H26,技能模板!$D$13:$U$19,MATCH(技能模板!R$13,技能模板!$D$13:$U$13,0),0)-1)),"")</f>
        <v>6.3333333333333321</v>
      </c>
      <c r="V26" s="6">
        <f>IFERROR(VLOOKUP($G26,角色技能!$D:$M,MATCH(V$9,角色技能!$D$4:$M$4,0),0)*(1+$K26/100*(VLOOKUP($H26,技能模板!$D$13:$U$19,MATCH(技能模板!S$13,技能模板!$D$13:$U$13,0),0)-1)),"")</f>
        <v>0</v>
      </c>
      <c r="W26" s="6">
        <f>IFERROR(VLOOKUP($G26,角色技能!$D:$M,MATCH(W$9,角色技能!$D$4:$M$4,0),0)*(1+$K26/100*(VLOOKUP($H26,技能模板!$D$13:$U$19,MATCH(技能模板!T$13,技能模板!$D$13:$U$13,0),0)-1)),"")</f>
        <v>0</v>
      </c>
      <c r="X26" s="59">
        <f>IFERROR(VLOOKUP($G26,角色技能!$D:$M,MATCH(X$9,角色技能!$D$4:$M$4,0),0)*(1+$K26/100*(VLOOKUP($H26,技能模板!$D$13:$U$19,MATCH(技能模板!U$13,技能模板!$D$13:$U$13,0),0)-1)),"")</f>
        <v>0</v>
      </c>
      <c r="Y26" s="51"/>
    </row>
    <row r="27" spans="1:25" ht="14.25" customHeight="1" x14ac:dyDescent="0.2">
      <c r="C27" s="49"/>
      <c r="D27" s="58" t="str">
        <f t="shared" si="4"/>
        <v/>
      </c>
      <c r="E27" s="1" t="str">
        <f t="shared" si="5"/>
        <v/>
      </c>
      <c r="F27" s="1" t="str">
        <f t="shared" si="6"/>
        <v/>
      </c>
      <c r="H27" s="1" t="str">
        <f>IFERROR(VLOOKUP($G27,角色设定!$R:$S,2,0),"")</f>
        <v/>
      </c>
      <c r="I27" s="1" t="str">
        <f>IFERROR(VLOOKUP(H27,角色设定!$D$9:$E$15,2,0),"")</f>
        <v/>
      </c>
      <c r="J27" s="1" t="str">
        <f t="shared" si="7"/>
        <v/>
      </c>
      <c r="K27" s="1" t="str">
        <f t="shared" si="7"/>
        <v/>
      </c>
      <c r="L27" s="8" t="str">
        <f>IFERROR(VLOOKUP($G27,角色设定!$AB$9:$AJ$21,MATCH(角色成长!$E$17,角色设定!$AB$9:$AJ$9,0),0)*VLOOKUP($J27,角色成长!$D$17:$J$117,MATCH(角色成长!$E$17,角色成长!$D$17:$J$17,0),0)*角色成长!$L$15*R27/Q27/(1+O27*(P27-1)),"")</f>
        <v/>
      </c>
      <c r="M27" s="8" t="str">
        <f>IFERROR(VLOOKUP($G27,角色设定!$AB$9:$AJ$21,MATCH(角色成长!$F$17,角色设定!$AB$9:$AJ$9,0),0)*VLOOKUP($J27,角色成长!$D$17:$J$117,MATCH(角色成长!$F$17,角色成长!$D$17:$J$17,0),0)*角色成长!$L$15/(1+N27/角色成长!$N$16),"")</f>
        <v/>
      </c>
      <c r="N27" s="8" t="str">
        <f>IFERROR(VLOOKUP($G27,角色设定!$AB$9:$AJ$21,MATCH(N$9,角色设定!$AB$9:$AJ$9,0),0)*VLOOKUP($J27,角色成长!$D$17:$J$117,MATCH(N$9,角色成长!$D$17:$J$17,0),0)*角色成长!$L$15,"")</f>
        <v/>
      </c>
      <c r="O27" s="1" t="str">
        <f>IFERROR(VLOOKUP($G27,角色设定!$AB$9:$AJ$21,MATCH(O$9,角色设定!$AB$9:$AJ$9,0),0)*VLOOKUP($J27,角色成长!$D$17:$J$117,MATCH(O$9,角色成长!$D$17:$J$17,0),0),"")</f>
        <v/>
      </c>
      <c r="P27" s="1" t="str">
        <f>IFERROR(VLOOKUP($G27,角色设定!$AB$9:$AJ$21,MATCH(P$9,角色设定!$AB$9:$AJ$9,0),0)*VLOOKUP($J27,角色成长!$D$17:$J$117,MATCH(P$9,角色成长!$D$17:$J$17,0),0),"")</f>
        <v/>
      </c>
      <c r="Q27" s="1" t="str">
        <f>IFERROR(VLOOKUP($G27,角色设定!$AB$9:$AJ$21,MATCH(Q$9,角色设定!$AB$9:$AJ$9,0),0)*VLOOKUP($J27,角色成长!$D$17:$J$117,MATCH(Q$9,角色成长!$D$17:$J$17,0),0),"")</f>
        <v/>
      </c>
      <c r="R27" s="1" t="str">
        <f>IFERROR(VLOOKUP($G27,角色设定!$AB$9:$AJ$21,MATCH(R$9,角色设定!$AB$9:$AJ$9,0),0),"")</f>
        <v/>
      </c>
      <c r="S27" s="1" t="str">
        <f>IFERROR(VLOOKUP($G27,角色技能!$D:$M,MATCH(S$9,角色技能!$D$4:$M$4,0),0)*(1-$S$19),"")</f>
        <v/>
      </c>
      <c r="T27" s="1" t="str">
        <f>IFERROR(VLOOKUP($G27,角色技能!$D:$M,MATCH(T$9,角色技能!$D$4:$M$4,0),0)*(1-$T$19),"")</f>
        <v/>
      </c>
      <c r="U27" s="6" t="str">
        <f>IFERROR(VLOOKUP($G27,角色技能!$D:$M,MATCH(U$9,角色技能!$D$4:$M$4,0),0)*(1+$K27/100*(VLOOKUP($H27,技能模板!$D$13:$U$19,MATCH(技能模板!R$13,技能模板!$D$13:$U$13,0),0)-1)),"")</f>
        <v/>
      </c>
      <c r="V27" s="6" t="str">
        <f>IFERROR(VLOOKUP($G27,角色技能!$D:$M,MATCH(V$9,角色技能!$D$4:$M$4,0),0)*(1+$K27/100*(VLOOKUP($H27,技能模板!$D$13:$U$19,MATCH(技能模板!S$13,技能模板!$D$13:$U$13,0),0)-1)),"")</f>
        <v/>
      </c>
      <c r="W27" s="6" t="str">
        <f>IFERROR(VLOOKUP($G27,角色技能!$D:$M,MATCH(W$9,角色技能!$D$4:$M$4,0),0)*(1+$K27/100*(VLOOKUP($H27,技能模板!$D$13:$U$19,MATCH(技能模板!T$13,技能模板!$D$13:$U$13,0),0)-1)),"")</f>
        <v/>
      </c>
      <c r="X27" s="59" t="str">
        <f>IFERROR(VLOOKUP($G27,角色技能!$D:$M,MATCH(X$9,角色技能!$D$4:$M$4,0),0)*(1+$K27/100*(VLOOKUP($H27,技能模板!$D$13:$U$19,MATCH(技能模板!U$13,技能模板!$D$13:$U$13,0),0)-1)),"")</f>
        <v/>
      </c>
      <c r="Y27" s="51"/>
    </row>
    <row r="28" spans="1:25" ht="14.25" customHeight="1" x14ac:dyDescent="0.2">
      <c r="C28" s="49"/>
      <c r="D28" s="58">
        <f t="shared" si="4"/>
        <v>2</v>
      </c>
      <c r="E28" s="1">
        <f t="shared" si="5"/>
        <v>7</v>
      </c>
      <c r="F28" s="1">
        <f t="shared" si="6"/>
        <v>8</v>
      </c>
      <c r="G28" s="1" t="s">
        <v>274</v>
      </c>
      <c r="H28" s="1" t="str">
        <f>IFERROR(VLOOKUP($G28,角色设定!$R:$S,2,0),"")</f>
        <v>恢复</v>
      </c>
      <c r="I28" s="1" t="str">
        <f>IFERROR(VLOOKUP(H28,角色设定!$D$9:$E$15,2,0),"")</f>
        <v>治疗</v>
      </c>
      <c r="J28" s="1">
        <f t="shared" si="7"/>
        <v>50</v>
      </c>
      <c r="K28" s="1">
        <f t="shared" si="7"/>
        <v>40</v>
      </c>
      <c r="L28" s="8">
        <f>IFERROR(VLOOKUP($G28,角色设定!$AB$9:$AJ$21,MATCH(角色成长!$E$17,角色设定!$AB$9:$AJ$9,0),0)*VLOOKUP($J28,角色成长!$D$17:$J$117,MATCH(角色成长!$E$17,角色成长!$D$17:$J$17,0),0)*角色成长!$L$15*R28/Q28/(1+O28*(P28-1)),"")</f>
        <v>4423.1399173621439</v>
      </c>
      <c r="M28" s="8">
        <f>IFERROR(VLOOKUP($G28,角色设定!$AB$9:$AJ$21,MATCH(角色成长!$F$17,角色设定!$AB$9:$AJ$9,0),0)*VLOOKUP($J28,角色成长!$D$17:$J$117,MATCH(角色成长!$F$17,角色成长!$D$17:$J$17,0),0)*角色成长!$L$15/(1+N28/角色成长!$N$16),"")</f>
        <v>80465.608783089498</v>
      </c>
      <c r="N28" s="8">
        <f>IFERROR(VLOOKUP($G28,角色设定!$AB$9:$AJ$21,MATCH(N$9,角色设定!$AB$9:$AJ$9,0),0)*VLOOKUP($J28,角色成长!$D$17:$J$117,MATCH(N$9,角色成长!$D$17:$J$17,0),0)*角色成长!$L$15,"")</f>
        <v>13105.599755147077</v>
      </c>
      <c r="O28" s="1">
        <f>IFERROR(VLOOKUP($G28,角色设定!$AB$9:$AJ$21,MATCH(O$9,角色设定!$AB$9:$AJ$9,0),0)*VLOOKUP($J28,角色成长!$D$17:$J$117,MATCH(O$9,角色成长!$D$17:$J$17,0),0),"")</f>
        <v>0.4</v>
      </c>
      <c r="P28" s="1">
        <f>IFERROR(VLOOKUP($G28,角色设定!$AB$9:$AJ$21,MATCH(P$9,角色设定!$AB$9:$AJ$9,0),0)*VLOOKUP($J28,角色成长!$D$17:$J$117,MATCH(P$9,角色成长!$D$17:$J$17,0),0),"")</f>
        <v>1.5</v>
      </c>
      <c r="Q28" s="1">
        <f>IFERROR(VLOOKUP($G28,角色设定!$AB$9:$AJ$21,MATCH(Q$9,角色设定!$AB$9:$AJ$9,0),0)*VLOOKUP($J28,角色成长!$D$17:$J$117,MATCH(Q$9,角色成长!$D$17:$J$17,0),0),"")</f>
        <v>1</v>
      </c>
      <c r="R28" s="1">
        <f>IFERROR(VLOOKUP($G28,角色设定!$AB$9:$AJ$21,MATCH(R$9,角色设定!$AB$9:$AJ$9,0),0),"")</f>
        <v>0.9</v>
      </c>
      <c r="S28" s="1">
        <f>IFERROR(VLOOKUP($G28,角色技能!$D:$M,MATCH(S$9,角色技能!$D$4:$M$4,0),0)*(1-$S$19),"")</f>
        <v>10</v>
      </c>
      <c r="T28" s="1">
        <f>IFERROR(VLOOKUP($G28,角色技能!$D:$M,MATCH(T$9,角色技能!$D$4:$M$4,0),0)*(1-$T$19),"")</f>
        <v>5</v>
      </c>
      <c r="U28" s="6">
        <f>IFERROR(VLOOKUP($G28,角色技能!$D:$M,MATCH(U$9,角色技能!$D$4:$M$4,0),0)*(1+$K28/100*(VLOOKUP($H28,技能模板!$D$13:$U$19,MATCH(技能模板!R$13,技能模板!$D$13:$U$13,0),0)-1)),"")</f>
        <v>1.4747474747474747</v>
      </c>
      <c r="V28" s="6">
        <f>IFERROR(VLOOKUP($G28,角色技能!$D:$M,MATCH(V$9,角色技能!$D$4:$M$4,0),0)*(1+$K28/100*(VLOOKUP($H28,技能模板!$D$13:$U$19,MATCH(技能模板!S$13,技能模板!$D$13:$U$13,0),0)-1)),"")</f>
        <v>0</v>
      </c>
      <c r="W28" s="6">
        <f>IFERROR(VLOOKUP($G28,角色技能!$D:$M,MATCH(W$9,角色技能!$D$4:$M$4,0),0)*(1+$K28/100*(VLOOKUP($H28,技能模板!$D$13:$U$19,MATCH(技能模板!T$13,技能模板!$D$13:$U$13,0),0)-1)),"")</f>
        <v>0</v>
      </c>
      <c r="X28" s="59">
        <f>IFERROR(VLOOKUP($G28,角色技能!$D:$M,MATCH(X$9,角色技能!$D$4:$M$4,0),0)*(1+$K28/100*(VLOOKUP($H28,技能模板!$D$13:$U$19,MATCH(技能模板!U$13,技能模板!$D$13:$U$13,0),0)-1)),"")</f>
        <v>1.0188706275617814</v>
      </c>
      <c r="Y28" s="51"/>
    </row>
    <row r="29" spans="1:25" ht="14.25" customHeight="1" thickBot="1" x14ac:dyDescent="0.25">
      <c r="C29" s="49"/>
      <c r="D29" s="60" t="str">
        <f t="shared" si="4"/>
        <v/>
      </c>
      <c r="E29" s="61" t="str">
        <f t="shared" si="5"/>
        <v/>
      </c>
      <c r="F29" s="61" t="str">
        <f t="shared" si="6"/>
        <v/>
      </c>
      <c r="G29" s="61"/>
      <c r="H29" s="61" t="str">
        <f>IFERROR(VLOOKUP($G29,角色设定!$R:$S,2,0),"")</f>
        <v/>
      </c>
      <c r="I29" s="61" t="str">
        <f>IFERROR(VLOOKUP(H29,角色设定!$D$9:$E$15,2,0),"")</f>
        <v/>
      </c>
      <c r="J29" s="61" t="str">
        <f t="shared" si="7"/>
        <v/>
      </c>
      <c r="K29" s="61" t="str">
        <f t="shared" si="7"/>
        <v/>
      </c>
      <c r="L29" s="62" t="str">
        <f>IFERROR(VLOOKUP($G29,角色设定!$AB$9:$AJ$21,MATCH(角色成长!$E$17,角色设定!$AB$9:$AJ$9,0),0)*VLOOKUP($J29,角色成长!$D$17:$J$117,MATCH(角色成长!$E$17,角色成长!$D$17:$J$17,0),0)*角色成长!$L$15*R29/Q29/(1+O29*(P29-1)),"")</f>
        <v/>
      </c>
      <c r="M29" s="62" t="str">
        <f>IFERROR(VLOOKUP($G29,角色设定!$AB$9:$AJ$21,MATCH(角色成长!$F$17,角色设定!$AB$9:$AJ$9,0),0)*VLOOKUP($J29,角色成长!$D$17:$J$117,MATCH(角色成长!$F$17,角色成长!$D$17:$J$17,0),0)*角色成长!$L$15/(1+N29/角色成长!$N$16),"")</f>
        <v/>
      </c>
      <c r="N29" s="62" t="str">
        <f>IFERROR(VLOOKUP($G29,角色设定!$AB$9:$AJ$21,MATCH(N$9,角色设定!$AB$9:$AJ$9,0),0)*VLOOKUP($J29,角色成长!$D$17:$J$117,MATCH(N$9,角色成长!$D$17:$J$17,0),0)*角色成长!$L$15,"")</f>
        <v/>
      </c>
      <c r="O29" s="61" t="str">
        <f>IFERROR(VLOOKUP($G29,角色设定!$AB$9:$AJ$21,MATCH(O$9,角色设定!$AB$9:$AJ$9,0),0)*VLOOKUP($J29,角色成长!$D$17:$J$117,MATCH(O$9,角色成长!$D$17:$J$17,0),0),"")</f>
        <v/>
      </c>
      <c r="P29" s="61" t="str">
        <f>IFERROR(VLOOKUP($G29,角色设定!$AB$9:$AJ$21,MATCH(P$9,角色设定!$AB$9:$AJ$9,0),0)*VLOOKUP($J29,角色成长!$D$17:$J$117,MATCH(P$9,角色成长!$D$17:$J$17,0),0),"")</f>
        <v/>
      </c>
      <c r="Q29" s="61" t="str">
        <f>IFERROR(VLOOKUP($G29,角色设定!$AB$9:$AJ$21,MATCH(Q$9,角色设定!$AB$9:$AJ$9,0),0)*VLOOKUP($J29,角色成长!$D$17:$J$117,MATCH(Q$9,角色成长!$D$17:$J$17,0),0),"")</f>
        <v/>
      </c>
      <c r="R29" s="61" t="str">
        <f>IFERROR(VLOOKUP($G29,角色设定!$AB$9:$AJ$21,MATCH(R$9,角色设定!$AB$9:$AJ$9,0),0),"")</f>
        <v/>
      </c>
      <c r="S29" s="61" t="str">
        <f>IFERROR(VLOOKUP($G29,角色技能!$D:$M,MATCH(S$9,角色技能!$D$4:$M$4,0),0)*(1-$S$19),"")</f>
        <v/>
      </c>
      <c r="T29" s="61" t="str">
        <f>IFERROR(VLOOKUP($G29,角色技能!$D:$M,MATCH(T$9,角色技能!$D$4:$M$4,0),0),"")</f>
        <v/>
      </c>
      <c r="U29" s="63" t="str">
        <f>IFERROR(VLOOKUP($G29,角色技能!$D:$M,MATCH(U$9,角色技能!$D$4:$M$4,0),0)*(1+$K29/100*(VLOOKUP($H29,技能模板!$D$13:$U$19,MATCH(技能模板!R$13,技能模板!$D$13:$U$13,0),0)-1)),"")</f>
        <v/>
      </c>
      <c r="V29" s="63" t="str">
        <f>IFERROR(VLOOKUP($G29,角色技能!$D:$M,MATCH(V$9,角色技能!$D$4:$M$4,0),0)*(1+$K29/100*(VLOOKUP($H29,技能模板!$D$13:$U$19,MATCH(技能模板!S$13,技能模板!$D$13:$U$13,0),0)-1)),"")</f>
        <v/>
      </c>
      <c r="W29" s="63" t="str">
        <f>IFERROR(VLOOKUP($G29,角色技能!$D:$M,MATCH(W$9,角色技能!$D$4:$M$4,0),0)*(1+$K29/100*(VLOOKUP($H29,技能模板!$D$13:$U$19,MATCH(技能模板!T$13,技能模板!$D$13:$U$13,0),0)-1)),"")</f>
        <v/>
      </c>
      <c r="X29" s="64" t="str">
        <f>IFERROR(VLOOKUP($G29,角色技能!$D:$M,MATCH(X$9,角色技能!$D$4:$M$4,0),0)*(1+$K29/100*(VLOOKUP($H29,技能模板!$D$13:$U$19,MATCH(技能模板!U$13,技能模板!$D$13:$U$13,0),0)-1)),"")</f>
        <v/>
      </c>
      <c r="Y29" s="51"/>
    </row>
    <row r="30" spans="1:25" ht="14.25" customHeight="1" x14ac:dyDescent="0.2"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</row>
    <row r="31" spans="1:25" ht="14.25" customHeight="1" x14ac:dyDescent="0.2">
      <c r="D31" s="2"/>
    </row>
    <row r="32" spans="1:25" ht="14.25" customHeight="1" x14ac:dyDescent="0.2">
      <c r="D32" s="2"/>
    </row>
    <row r="33" spans="1:25" ht="14.25" customHeight="1" x14ac:dyDescent="0.2">
      <c r="D33" s="72" t="s">
        <v>277</v>
      </c>
      <c r="G33" s="1">
        <v>1000</v>
      </c>
      <c r="J33" s="72" t="s">
        <v>278</v>
      </c>
    </row>
    <row r="34" spans="1:25" ht="14.25" customHeight="1" x14ac:dyDescent="0.2">
      <c r="D34" s="5">
        <f>D35/$G$1</f>
        <v>0.64400000000000002</v>
      </c>
      <c r="G34" s="5">
        <f>G35/$G$1</f>
        <v>0</v>
      </c>
      <c r="J34" s="5">
        <f>J35/$G$1</f>
        <v>0.35599999999999998</v>
      </c>
    </row>
    <row r="35" spans="1:25" ht="14.25" customHeight="1" thickBot="1" x14ac:dyDescent="0.25">
      <c r="C35" s="3" t="s">
        <v>276</v>
      </c>
      <c r="D35" s="73">
        <v>644</v>
      </c>
      <c r="E35" s="73"/>
      <c r="F35" s="73">
        <v>17</v>
      </c>
      <c r="G35" s="1">
        <v>0</v>
      </c>
      <c r="H35" s="73">
        <f>G33-D35-G35-J35</f>
        <v>0</v>
      </c>
      <c r="I35" s="73"/>
      <c r="J35" s="73">
        <v>356</v>
      </c>
      <c r="M35" s="1" t="s">
        <v>254</v>
      </c>
    </row>
    <row r="36" spans="1:25" ht="14.25" customHeight="1" x14ac:dyDescent="0.2">
      <c r="D36" s="101" t="s">
        <v>255</v>
      </c>
      <c r="E36" s="102"/>
      <c r="F36" s="103"/>
      <c r="G36" s="77"/>
      <c r="H36" s="101" t="s">
        <v>256</v>
      </c>
      <c r="I36" s="102"/>
      <c r="J36" s="103"/>
    </row>
    <row r="37" spans="1:25" ht="14.25" customHeight="1" x14ac:dyDescent="0.2">
      <c r="D37" s="58">
        <v>7</v>
      </c>
      <c r="E37" s="1">
        <v>4</v>
      </c>
      <c r="F37" s="69">
        <v>1</v>
      </c>
      <c r="G37" s="77"/>
      <c r="H37" s="58">
        <v>1</v>
      </c>
      <c r="I37" s="1">
        <v>4</v>
      </c>
      <c r="J37" s="69">
        <v>7</v>
      </c>
    </row>
    <row r="38" spans="1:25" ht="14.25" customHeight="1" x14ac:dyDescent="0.2">
      <c r="D38" s="58">
        <v>8</v>
      </c>
      <c r="E38" s="1">
        <v>5</v>
      </c>
      <c r="F38" s="69">
        <v>2</v>
      </c>
      <c r="G38" s="77"/>
      <c r="H38" s="58">
        <v>2</v>
      </c>
      <c r="I38" s="1">
        <v>5</v>
      </c>
      <c r="J38" s="69">
        <v>8</v>
      </c>
    </row>
    <row r="39" spans="1:25" ht="14.25" customHeight="1" thickBot="1" x14ac:dyDescent="0.25">
      <c r="D39" s="60">
        <v>9</v>
      </c>
      <c r="E39" s="61">
        <v>6</v>
      </c>
      <c r="F39" s="70">
        <v>3</v>
      </c>
      <c r="G39" s="77"/>
      <c r="H39" s="60">
        <v>3</v>
      </c>
      <c r="I39" s="61">
        <v>6</v>
      </c>
      <c r="J39" s="70">
        <v>9</v>
      </c>
    </row>
    <row r="40" spans="1:25" ht="14.25" customHeight="1" thickBot="1" x14ac:dyDescent="0.25">
      <c r="D40" s="68">
        <v>1</v>
      </c>
      <c r="E40" s="68">
        <v>2</v>
      </c>
      <c r="F40" s="68">
        <v>3</v>
      </c>
      <c r="G40" s="52">
        <v>4</v>
      </c>
      <c r="H40" s="68">
        <v>5</v>
      </c>
      <c r="I40" s="68">
        <v>6</v>
      </c>
      <c r="J40" s="65">
        <v>50</v>
      </c>
      <c r="K40" s="53">
        <v>40</v>
      </c>
      <c r="L40" s="52">
        <v>9</v>
      </c>
      <c r="M40" s="52">
        <v>10</v>
      </c>
      <c r="N40" s="52">
        <v>11</v>
      </c>
      <c r="O40" s="52">
        <v>12</v>
      </c>
      <c r="P40" s="52">
        <v>13</v>
      </c>
      <c r="Q40" s="52">
        <v>14</v>
      </c>
      <c r="R40" s="52">
        <v>15</v>
      </c>
      <c r="S40" s="52">
        <v>16</v>
      </c>
      <c r="T40" s="52">
        <v>17</v>
      </c>
      <c r="U40" s="52">
        <v>18</v>
      </c>
      <c r="V40" s="73" t="s">
        <v>251</v>
      </c>
      <c r="W40" s="73" t="s">
        <v>252</v>
      </c>
      <c r="X40" s="73" t="s">
        <v>253</v>
      </c>
    </row>
    <row r="41" spans="1:25" ht="14.25" customHeight="1" x14ac:dyDescent="0.2">
      <c r="A41" s="4">
        <f>B41/(SUM(M42:M50)*$G$1)</f>
        <v>0.25392362920733802</v>
      </c>
      <c r="B41" s="6">
        <v>115221878.41425574</v>
      </c>
      <c r="C41" s="76">
        <f>ROW(D42)</f>
        <v>42</v>
      </c>
      <c r="D41" s="54" t="s">
        <v>257</v>
      </c>
      <c r="E41" s="55" t="s">
        <v>258</v>
      </c>
      <c r="F41" s="55" t="s">
        <v>236</v>
      </c>
      <c r="G41" s="56" t="s">
        <v>157</v>
      </c>
      <c r="H41" s="55" t="s">
        <v>92</v>
      </c>
      <c r="I41" s="55" t="s">
        <v>93</v>
      </c>
      <c r="J41" s="56" t="s">
        <v>245</v>
      </c>
      <c r="K41" s="56" t="s">
        <v>246</v>
      </c>
      <c r="L41" s="55" t="s">
        <v>34</v>
      </c>
      <c r="M41" s="55" t="s">
        <v>213</v>
      </c>
      <c r="N41" s="55" t="s">
        <v>35</v>
      </c>
      <c r="O41" s="55" t="s">
        <v>146</v>
      </c>
      <c r="P41" s="55" t="s">
        <v>147</v>
      </c>
      <c r="Q41" s="55" t="s">
        <v>148</v>
      </c>
      <c r="R41" s="55" t="s">
        <v>176</v>
      </c>
      <c r="S41" s="55" t="s">
        <v>206</v>
      </c>
      <c r="T41" s="55" t="s">
        <v>275</v>
      </c>
      <c r="U41" s="55" t="s">
        <v>207</v>
      </c>
      <c r="V41" s="55" t="s">
        <v>208</v>
      </c>
      <c r="W41" s="55" t="s">
        <v>210</v>
      </c>
      <c r="X41" s="57" t="s">
        <v>243</v>
      </c>
      <c r="Y41" s="78"/>
    </row>
    <row r="42" spans="1:25" ht="14.25" customHeight="1" x14ac:dyDescent="0.2">
      <c r="C42" s="76">
        <f>COLUMN(D42)</f>
        <v>4</v>
      </c>
      <c r="D42" s="58">
        <f>IFERROR(MOD(F42+3-1,3)+1,"")</f>
        <v>1</v>
      </c>
      <c r="E42" s="1">
        <f>IFERROR(ABS(INT((F42-7)/3))+1,"")</f>
        <v>3</v>
      </c>
      <c r="F42" s="1">
        <f>IF(G42="","",ROW(G42)-$C$41+1)</f>
        <v>1</v>
      </c>
      <c r="G42" s="1" t="s">
        <v>259</v>
      </c>
      <c r="H42" s="1" t="str">
        <f>IFERROR(VLOOKUP($G42,角色设定!$R:$S,2,0),"")</f>
        <v>防御</v>
      </c>
      <c r="I42" s="1" t="str">
        <f>IFERROR(VLOOKUP(H42,角色设定!$D$9:$E$15,2,0),"")</f>
        <v>坦克</v>
      </c>
      <c r="J42" s="1">
        <f>IF($G42="","",J$40)</f>
        <v>50</v>
      </c>
      <c r="K42" s="1">
        <f>IF($G42="","",K$40)</f>
        <v>40</v>
      </c>
      <c r="L42" s="8">
        <f>IFERROR(VLOOKUP($G42,角色设定!$AB$9:$AJ$21,MATCH(角色成长!$E$17,角色设定!$AB$9:$AJ$9,0),0)*VLOOKUP($J42,角色成长!$D$17:$J$117,MATCH(角色成长!$E$17,角色成长!$D$17:$J$17,0),0)*角色成长!$L$15*R42/Q42/(1+O42*(P42-1)),"")</f>
        <v>5528.9248967026779</v>
      </c>
      <c r="M42" s="8">
        <f>IFERROR(VLOOKUP($G42,角色设定!$AB$9:$AJ$21,MATCH(角色成长!$F$17,角色设定!$AB$9:$AJ$9,0),0)*VLOOKUP($J42,角色成长!$D$17:$J$117,MATCH(角色成长!$F$17,角色成长!$D$17:$J$17,0),0)*角色成长!$L$15/(1+N42/角色成长!$N$16),"")</f>
        <v>129134.98620806892</v>
      </c>
      <c r="N42" s="8">
        <f>IFERROR(VLOOKUP($G42,角色设定!$AB$9:$AJ$21,MATCH(N$9,角色设定!$AB$9:$AJ$9,0),0)*VLOOKUP($J42,角色成长!$D$17:$J$117,MATCH(N$9,角色成长!$D$17:$J$17,0),0)*角色成长!$L$15,"")</f>
        <v>40954.999234834613</v>
      </c>
      <c r="O42" s="1">
        <f>IFERROR(VLOOKUP($G42,角色设定!$AB$9:$AJ$21,MATCH(O$9,角色设定!$AB$9:$AJ$9,0),0)*VLOOKUP($J42,角色成长!$D$17:$J$117,MATCH(O$9,角色成长!$D$17:$J$17,0),0),"")</f>
        <v>0.4</v>
      </c>
      <c r="P42" s="1">
        <f>IFERROR(VLOOKUP($G42,角色设定!$AB$9:$AJ$21,MATCH(P$9,角色设定!$AB$9:$AJ$9,0),0)*VLOOKUP($J42,角色成长!$D$17:$J$117,MATCH(P$9,角色成长!$D$17:$J$17,0),0),"")</f>
        <v>1.5</v>
      </c>
      <c r="Q42" s="1">
        <f>IFERROR(VLOOKUP($G42,角色设定!$AB$9:$AJ$21,MATCH(Q$9,角色设定!$AB$9:$AJ$9,0),0)*VLOOKUP($J42,角色成长!$D$17:$J$117,MATCH(Q$9,角色成长!$D$17:$J$17,0),0),"")</f>
        <v>1</v>
      </c>
      <c r="R42" s="1">
        <f>IFERROR(VLOOKUP($G42,角色设定!$AB$9:$AJ$21,MATCH(R$9,角色设定!$AB$9:$AJ$9,0),0),"")</f>
        <v>0.9</v>
      </c>
      <c r="S42" s="1">
        <f>IFERROR(VLOOKUP($G42,角色技能!$D:$M,MATCH(S$9,角色技能!$D$4:$M$4,0),0),"")</f>
        <v>10</v>
      </c>
      <c r="T42" s="1">
        <f>IFERROR(VLOOKUP($G42,角色技能!$D:$M,MATCH(T$9,角色技能!$D$4:$M$4,0),0),"")</f>
        <v>5</v>
      </c>
      <c r="U42" s="6">
        <f>IFERROR(VLOOKUP($G42,角色技能!$D:$M,MATCH(U$9,角色技能!$D$4:$M$4,0),0)*(1+$K42/100*(VLOOKUP($H42,技能模板!$D$13:$U$19,MATCH(技能模板!R$13,技能模板!$D$13:$U$13,0),0)-1)),"")</f>
        <v>1.4747474747474749</v>
      </c>
      <c r="V42" s="6">
        <f>IFERROR(VLOOKUP($G42,角色技能!$D:$M,MATCH(V$9,角色技能!$D$4:$M$4,0),0)*(1+$K42/100*(VLOOKUP($H42,技能模板!$D$13:$U$19,MATCH(技能模板!S$13,技能模板!$D$13:$U$13,0),0)-1)),"")</f>
        <v>0</v>
      </c>
      <c r="W42" s="6">
        <f>IFERROR(VLOOKUP($G42,角色技能!$D:$M,MATCH(W$9,角色技能!$D$4:$M$4,0),0)*(1+$K42/100*(VLOOKUP($H42,技能模板!$D$13:$U$19,MATCH(技能模板!T$13,技能模板!$D$13:$U$13,0),0)-1)),"")</f>
        <v>0.94846153846153836</v>
      </c>
      <c r="X42" s="59">
        <f>IFERROR(VLOOKUP($G42,角色技能!$D:$M,MATCH(X$9,角色技能!$D$4:$M$4,0),0)*(1+$K42/100*(VLOOKUP($H42,技能模板!$D$13:$U$19,MATCH(技能模板!U$13,技能模板!$D$13:$U$13,0),0)-1)),"")</f>
        <v>0</v>
      </c>
      <c r="Y42" s="78"/>
    </row>
    <row r="43" spans="1:25" ht="14.25" customHeight="1" x14ac:dyDescent="0.2">
      <c r="C43" s="76">
        <f>ROW(X50)</f>
        <v>50</v>
      </c>
      <c r="D43" s="58" t="str">
        <f t="shared" ref="D43:D50" si="8">IFERROR(MOD(F43+3-1,3)+1,"")</f>
        <v/>
      </c>
      <c r="E43" s="1" t="str">
        <f t="shared" ref="E43:E50" si="9">IFERROR(ABS(INT((F43-7)/3))+1,"")</f>
        <v/>
      </c>
      <c r="F43" s="1" t="str">
        <f t="shared" ref="F43:F50" si="10">IF(G43="","",ROW(G43)-$C$41+1)</f>
        <v/>
      </c>
      <c r="H43" s="1" t="str">
        <f>IFERROR(VLOOKUP($G43,角色设定!$R:$S,2,0),"")</f>
        <v/>
      </c>
      <c r="I43" s="1" t="str">
        <f>IFERROR(VLOOKUP(H43,角色设定!$D$9:$E$15,2,0),"")</f>
        <v/>
      </c>
      <c r="J43" s="1" t="str">
        <f t="shared" ref="J43:K49" si="11">IF($G43="","",J$40)</f>
        <v/>
      </c>
      <c r="K43" s="1" t="str">
        <f t="shared" si="11"/>
        <v/>
      </c>
      <c r="L43" s="8" t="str">
        <f>IFERROR(VLOOKUP($G43,角色设定!$AB$9:$AJ$21,MATCH(角色成长!$E$17,角色设定!$AB$9:$AJ$9,0),0)*VLOOKUP($J43,角色成长!$D$17:$J$117,MATCH(角色成长!$E$17,角色成长!$D$17:$J$17,0),0)*角色成长!$L$15*R43/Q43/(1+O43*(P43-1)),"")</f>
        <v/>
      </c>
      <c r="M43" s="8" t="str">
        <f>IFERROR(VLOOKUP($G43,角色设定!$AB$9:$AJ$21,MATCH(角色成长!$F$17,角色设定!$AB$9:$AJ$9,0),0)*VLOOKUP($J43,角色成长!$D$17:$J$117,MATCH(角色成长!$F$17,角色成长!$D$17:$J$17,0),0)*角色成长!$L$15/(1+N43/角色成长!$N$16),"")</f>
        <v/>
      </c>
      <c r="N43" s="8" t="str">
        <f>IFERROR(VLOOKUP($G43,角色设定!$AB$9:$AJ$21,MATCH(N$9,角色设定!$AB$9:$AJ$9,0),0)*VLOOKUP($J43,角色成长!$D$17:$J$117,MATCH(N$9,角色成长!$D$17:$J$17,0),0)*角色成长!$L$15,"")</f>
        <v/>
      </c>
      <c r="O43" s="1" t="str">
        <f>IFERROR(VLOOKUP($G43,角色设定!$AB$9:$AJ$21,MATCH(O$9,角色设定!$AB$9:$AJ$9,0),0)*VLOOKUP($J43,角色成长!$D$17:$J$117,MATCH(O$9,角色成长!$D$17:$J$17,0),0),"")</f>
        <v/>
      </c>
      <c r="P43" s="1" t="str">
        <f>IFERROR(VLOOKUP($G43,角色设定!$AB$9:$AJ$21,MATCH(P$9,角色设定!$AB$9:$AJ$9,0),0)*VLOOKUP($J43,角色成长!$D$17:$J$117,MATCH(P$9,角色成长!$D$17:$J$17,0),0),"")</f>
        <v/>
      </c>
      <c r="Q43" s="1" t="str">
        <f>IFERROR(VLOOKUP($G43,角色设定!$AB$9:$AJ$21,MATCH(Q$9,角色设定!$AB$9:$AJ$9,0),0)*VLOOKUP($J43,角色成长!$D$17:$J$117,MATCH(Q$9,角色成长!$D$17:$J$17,0),0),"")</f>
        <v/>
      </c>
      <c r="R43" s="1" t="str">
        <f>IFERROR(VLOOKUP($G43,角色设定!$AB$9:$AJ$21,MATCH(R$9,角色设定!$AB$9:$AJ$9,0),0),"")</f>
        <v/>
      </c>
      <c r="S43" s="1" t="str">
        <f>IFERROR(VLOOKUP($G43,角色技能!$D:$M,MATCH(S$9,角色技能!$D$4:$M$4,0),0),"")</f>
        <v/>
      </c>
      <c r="T43" s="1" t="str">
        <f>IFERROR(VLOOKUP($G43,角色技能!$D:$M,MATCH(T$9,角色技能!$D$4:$M$4,0),0),"")</f>
        <v/>
      </c>
      <c r="U43" s="6" t="str">
        <f>IFERROR(VLOOKUP($G43,角色技能!$D:$M,MATCH(U$9,角色技能!$D$4:$M$4,0),0)*(1+$K43/100*(VLOOKUP($H43,技能模板!$D$13:$U$19,MATCH(技能模板!R$13,技能模板!$D$13:$U$13,0),0)-1)),"")</f>
        <v/>
      </c>
      <c r="V43" s="6" t="str">
        <f>IFERROR(VLOOKUP($G43,角色技能!$D:$M,MATCH(V$9,角色技能!$D$4:$M$4,0),0)*(1+$K43/100*(VLOOKUP($H43,技能模板!$D$13:$U$19,MATCH(技能模板!S$13,技能模板!$D$13:$U$13,0),0)-1)),"")</f>
        <v/>
      </c>
      <c r="W43" s="6" t="str">
        <f>IFERROR(VLOOKUP($G43,角色技能!$D:$M,MATCH(W$9,角色技能!$D$4:$M$4,0),0)*(1+$K43/100*(VLOOKUP($H43,技能模板!$D$13:$U$19,MATCH(技能模板!T$13,技能模板!$D$13:$U$13,0),0)-1)),"")</f>
        <v/>
      </c>
      <c r="X43" s="59" t="str">
        <f>IFERROR(VLOOKUP($G43,角色技能!$D:$M,MATCH(X$9,角色技能!$D$4:$M$4,0),0)*(1+$K43/100*(VLOOKUP($H43,技能模板!$D$13:$U$19,MATCH(技能模板!U$13,技能模板!$D$13:$U$13,0),0)-1)),"")</f>
        <v/>
      </c>
      <c r="Y43" s="78"/>
    </row>
    <row r="44" spans="1:25" ht="14.25" customHeight="1" x14ac:dyDescent="0.2">
      <c r="C44" s="76">
        <f>COLUMN(X50)</f>
        <v>24</v>
      </c>
      <c r="D44" s="58">
        <f t="shared" si="8"/>
        <v>3</v>
      </c>
      <c r="E44" s="1">
        <f t="shared" si="9"/>
        <v>3</v>
      </c>
      <c r="F44" s="1">
        <f t="shared" si="10"/>
        <v>3</v>
      </c>
      <c r="G44" s="1" t="s">
        <v>271</v>
      </c>
      <c r="H44" s="1" t="str">
        <f>IFERROR(VLOOKUP($G44,角色设定!$R:$S,2,0),"")</f>
        <v>防御</v>
      </c>
      <c r="I44" s="1" t="str">
        <f>IFERROR(VLOOKUP(H44,角色设定!$D$9:$E$15,2,0),"")</f>
        <v>坦克</v>
      </c>
      <c r="J44" s="1">
        <f t="shared" si="11"/>
        <v>50</v>
      </c>
      <c r="K44" s="1">
        <f t="shared" si="11"/>
        <v>40</v>
      </c>
      <c r="L44" s="8">
        <f>IFERROR(VLOOKUP($G44,角色设定!$AB$9:$AJ$21,MATCH(角色成长!$E$17,角色设定!$AB$9:$AJ$9,0),0)*VLOOKUP($J44,角色成长!$D$17:$J$117,MATCH(角色成长!$E$17,角色成长!$D$17:$J$17,0),0)*角色成长!$L$15*R44/Q44/(1+O44*(P44-1)),"")</f>
        <v>6143.2498852251993</v>
      </c>
      <c r="M44" s="8">
        <f>IFERROR(VLOOKUP($G44,角色设定!$AB$9:$AJ$21,MATCH(角色成长!$F$17,角色设定!$AB$9:$AJ$9,0),0)*VLOOKUP($J44,角色成长!$D$17:$J$117,MATCH(角色成长!$F$17,角色成长!$D$17:$J$17,0),0)*角色成长!$L$15/(1+N44/角色成长!$N$16),"")</f>
        <v>123391.8816054504</v>
      </c>
      <c r="N44" s="8">
        <f>IFERROR(VLOOKUP($G44,角色设定!$AB$9:$AJ$21,MATCH(N$9,角色设定!$AB$9:$AJ$9,0),0)*VLOOKUP($J44,角色成长!$D$17:$J$117,MATCH(N$9,角色成长!$D$17:$J$17,0),0)*角色成长!$L$15,"")</f>
        <v>32763.999387867698</v>
      </c>
      <c r="O44" s="1">
        <f>IFERROR(VLOOKUP($G44,角色设定!$AB$9:$AJ$21,MATCH(O$9,角色设定!$AB$9:$AJ$9,0),0)*VLOOKUP($J44,角色成长!$D$17:$J$117,MATCH(O$9,角色成长!$D$17:$J$17,0),0),"")</f>
        <v>0.4</v>
      </c>
      <c r="P44" s="1">
        <f>IFERROR(VLOOKUP($G44,角色设定!$AB$9:$AJ$21,MATCH(P$9,角色设定!$AB$9:$AJ$9,0),0)*VLOOKUP($J44,角色成长!$D$17:$J$117,MATCH(P$9,角色成长!$D$17:$J$17,0),0),"")</f>
        <v>1.5</v>
      </c>
      <c r="Q44" s="1">
        <f>IFERROR(VLOOKUP($G44,角色设定!$AB$9:$AJ$21,MATCH(Q$9,角色设定!$AB$9:$AJ$9,0),0)*VLOOKUP($J44,角色成长!$D$17:$J$117,MATCH(Q$9,角色成长!$D$17:$J$17,0),0),"")</f>
        <v>1</v>
      </c>
      <c r="R44" s="1">
        <f>IFERROR(VLOOKUP($G44,角色设定!$AB$9:$AJ$21,MATCH(R$9,角色设定!$AB$9:$AJ$9,0),0),"")</f>
        <v>0.9</v>
      </c>
      <c r="S44" s="1">
        <f>IFERROR(VLOOKUP($G44,角色技能!$D:$M,MATCH(S$9,角色技能!$D$4:$M$4,0),0),"")</f>
        <v>10</v>
      </c>
      <c r="T44" s="1">
        <f>IFERROR(VLOOKUP($G44,角色技能!$D:$M,MATCH(T$9,角色技能!$D$4:$M$4,0),0),"")</f>
        <v>5</v>
      </c>
      <c r="U44" s="6">
        <f>IFERROR(VLOOKUP($G44,角色技能!$D:$M,MATCH(U$9,角色技能!$D$4:$M$4,0),0)*(1+$K44/100*(VLOOKUP($H44,技能模板!$D$13:$U$19,MATCH(技能模板!R$13,技能模板!$D$13:$U$13,0),0)-1)),"")</f>
        <v>1.4747474747474749</v>
      </c>
      <c r="V44" s="6">
        <f>IFERROR(VLOOKUP($G44,角色技能!$D:$M,MATCH(V$9,角色技能!$D$4:$M$4,0),0)*(1+$K44/100*(VLOOKUP($H44,技能模板!$D$13:$U$19,MATCH(技能模板!S$13,技能模板!$D$13:$U$13,0),0)-1)),"")</f>
        <v>0</v>
      </c>
      <c r="W44" s="6">
        <f>IFERROR(VLOOKUP($G44,角色技能!$D:$M,MATCH(W$9,角色技能!$D$4:$M$4,0),0)*(1+$K44/100*(VLOOKUP($H44,技能模板!$D$13:$U$19,MATCH(技能模板!T$13,技能模板!$D$13:$U$13,0),0)-1)),"")</f>
        <v>0.94846153846153836</v>
      </c>
      <c r="X44" s="59">
        <f>IFERROR(VLOOKUP($G44,角色技能!$D:$M,MATCH(X$9,角色技能!$D$4:$M$4,0),0)*(1+$K44/100*(VLOOKUP($H44,技能模板!$D$13:$U$19,MATCH(技能模板!U$13,技能模板!$D$13:$U$13,0),0)-1)),"")</f>
        <v>0</v>
      </c>
      <c r="Y44" s="78"/>
    </row>
    <row r="45" spans="1:25" ht="14.25" customHeight="1" x14ac:dyDescent="0.2">
      <c r="C45" s="76"/>
      <c r="D45" s="58">
        <f t="shared" si="8"/>
        <v>1</v>
      </c>
      <c r="E45" s="1">
        <f t="shared" si="9"/>
        <v>2</v>
      </c>
      <c r="F45" s="1">
        <f t="shared" si="10"/>
        <v>4</v>
      </c>
      <c r="G45" s="1" t="s">
        <v>272</v>
      </c>
      <c r="H45" s="1" t="str">
        <f>IFERROR(VLOOKUP($G45,角色设定!$R:$S,2,0),"")</f>
        <v>魔法</v>
      </c>
      <c r="I45" s="1" t="str">
        <f>IFERROR(VLOOKUP(H45,角色设定!$D$9:$E$15,2,0),"")</f>
        <v>输出</v>
      </c>
      <c r="J45" s="1">
        <f t="shared" si="11"/>
        <v>50</v>
      </c>
      <c r="K45" s="1">
        <f t="shared" si="11"/>
        <v>40</v>
      </c>
      <c r="L45" s="8">
        <f>IFERROR(VLOOKUP($G45,角色设定!$AB$9:$AJ$21,MATCH(角色成长!$E$17,角色设定!$AB$9:$AJ$9,0),0)*VLOOKUP($J45,角色成长!$D$17:$J$117,MATCH(角色成长!$E$17,角色成长!$D$17:$J$17,0),0)*角色成长!$L$15*R45/Q45/(1+O45*(P45-1)),"")</f>
        <v>14334.249732192129</v>
      </c>
      <c r="M45" s="8">
        <f>IFERROR(VLOOKUP($G45,角色设定!$AB$9:$AJ$21,MATCH(角色成长!$F$17,角色设定!$AB$9:$AJ$9,0),0)*VLOOKUP($J45,角色成长!$D$17:$J$117,MATCH(角色成长!$F$17,角色成长!$D$17:$J$17,0),0)*角色成长!$L$15/(1+N45/角色成长!$N$16),"")</f>
        <v>57682.818321234285</v>
      </c>
      <c r="N45" s="8">
        <f>IFERROR(VLOOKUP($G45,角色设定!$AB$9:$AJ$21,MATCH(N$9,角色设定!$AB$9:$AJ$9,0),0)*VLOOKUP($J45,角色成长!$D$17:$J$117,MATCH(N$9,角色成长!$D$17:$J$17,0),0)*角色成长!$L$15,"")</f>
        <v>8190.9998469669245</v>
      </c>
      <c r="O45" s="1">
        <f>IFERROR(VLOOKUP($G45,角色设定!$AB$9:$AJ$21,MATCH(O$9,角色设定!$AB$9:$AJ$9,0),0)*VLOOKUP($J45,角色成长!$D$17:$J$117,MATCH(O$9,角色成长!$D$17:$J$17,0),0),"")</f>
        <v>0.4</v>
      </c>
      <c r="P45" s="1">
        <f>IFERROR(VLOOKUP($G45,角色设定!$AB$9:$AJ$21,MATCH(P$9,角色设定!$AB$9:$AJ$9,0),0)*VLOOKUP($J45,角色成长!$D$17:$J$117,MATCH(P$9,角色成长!$D$17:$J$17,0),0),"")</f>
        <v>1.5</v>
      </c>
      <c r="Q45" s="1">
        <f>IFERROR(VLOOKUP($G45,角色设定!$AB$9:$AJ$21,MATCH(Q$9,角色设定!$AB$9:$AJ$9,0),0)*VLOOKUP($J45,角色成长!$D$17:$J$117,MATCH(Q$9,角色成长!$D$17:$J$17,0),0),"")</f>
        <v>0.8</v>
      </c>
      <c r="R45" s="1">
        <f>IFERROR(VLOOKUP($G45,角色设定!$AB$9:$AJ$21,MATCH(R$9,角色设定!$AB$9:$AJ$9,0),0),"")</f>
        <v>0.8</v>
      </c>
      <c r="S45" s="1">
        <f>IFERROR(VLOOKUP($G45,角色技能!$D:$M,MATCH(S$9,角色技能!$D$4:$M$4,0),0),"")</f>
        <v>20</v>
      </c>
      <c r="T45" s="1">
        <f>IFERROR(VLOOKUP($G45,角色技能!$D:$M,MATCH(T$9,角色技能!$D$4:$M$4,0),0),"")</f>
        <v>10</v>
      </c>
      <c r="U45" s="6">
        <f>IFERROR(VLOOKUP($G45,角色技能!$D:$M,MATCH(U$9,角色技能!$D$4:$M$4,0),0)*(1+$K45/100*(VLOOKUP($H45,技能模板!$D$13:$U$19,MATCH(技能模板!R$13,技能模板!$D$13:$U$13,0),0)-1)),"")</f>
        <v>5.0666666666666655</v>
      </c>
      <c r="V45" s="6">
        <f>IFERROR(VLOOKUP($G45,角色技能!$D:$M,MATCH(V$9,角色技能!$D$4:$M$4,0),0)*(1+$K45/100*(VLOOKUP($H45,技能模板!$D$13:$U$19,MATCH(技能模板!S$13,技能模板!$D$13:$U$13,0),0)-1)),"")</f>
        <v>0</v>
      </c>
      <c r="W45" s="6">
        <f>IFERROR(VLOOKUP($G45,角色技能!$D:$M,MATCH(W$9,角色技能!$D$4:$M$4,0),0)*(1+$K45/100*(VLOOKUP($H45,技能模板!$D$13:$U$19,MATCH(技能模板!T$13,技能模板!$D$13:$U$13,0),0)-1)),"")</f>
        <v>0</v>
      </c>
      <c r="X45" s="59">
        <f>IFERROR(VLOOKUP($G45,角色技能!$D:$M,MATCH(X$9,角色技能!$D$4:$M$4,0),0)*(1+$K45/100*(VLOOKUP($H45,技能模板!$D$13:$U$19,MATCH(技能模板!U$13,技能模板!$D$13:$U$13,0),0)-1)),"")</f>
        <v>0</v>
      </c>
      <c r="Y45" s="78"/>
    </row>
    <row r="46" spans="1:25" ht="14.25" customHeight="1" x14ac:dyDescent="0.2">
      <c r="C46" s="76"/>
      <c r="D46" s="58" t="str">
        <f t="shared" si="8"/>
        <v/>
      </c>
      <c r="E46" s="1" t="str">
        <f t="shared" si="9"/>
        <v/>
      </c>
      <c r="F46" s="1" t="str">
        <f t="shared" si="10"/>
        <v/>
      </c>
      <c r="H46" s="1" t="str">
        <f>IFERROR(VLOOKUP($G46,角色设定!$R:$S,2,0),"")</f>
        <v/>
      </c>
      <c r="I46" s="1" t="str">
        <f>IFERROR(VLOOKUP(H46,角色设定!$D$9:$E$15,2,0),"")</f>
        <v/>
      </c>
      <c r="J46" s="1" t="str">
        <f t="shared" si="11"/>
        <v/>
      </c>
      <c r="K46" s="1" t="str">
        <f t="shared" si="11"/>
        <v/>
      </c>
      <c r="L46" s="8" t="str">
        <f>IFERROR(VLOOKUP($G46,角色设定!$AB$9:$AJ$21,MATCH(角色成长!$E$17,角色设定!$AB$9:$AJ$9,0),0)*VLOOKUP($J46,角色成长!$D$17:$J$117,MATCH(角色成长!$E$17,角色成长!$D$17:$J$17,0),0)*角色成长!$L$15*R46/Q46/(1+O46*(P46-1)),"")</f>
        <v/>
      </c>
      <c r="M46" s="8" t="str">
        <f>IFERROR(VLOOKUP($G46,角色设定!$AB$9:$AJ$21,MATCH(角色成长!$F$17,角色设定!$AB$9:$AJ$9,0),0)*VLOOKUP($J46,角色成长!$D$17:$J$117,MATCH(角色成长!$F$17,角色成长!$D$17:$J$17,0),0)*角色成长!$L$15/(1+N46/角色成长!$N$16),"")</f>
        <v/>
      </c>
      <c r="N46" s="8" t="str">
        <f>IFERROR(VLOOKUP($G46,角色设定!$AB$9:$AJ$21,MATCH(N$9,角色设定!$AB$9:$AJ$9,0),0)*VLOOKUP($J46,角色成长!$D$17:$J$117,MATCH(N$9,角色成长!$D$17:$J$17,0),0)*角色成长!$L$15,"")</f>
        <v/>
      </c>
      <c r="O46" s="1" t="str">
        <f>IFERROR(VLOOKUP($G46,角色设定!$AB$9:$AJ$21,MATCH(O$9,角色设定!$AB$9:$AJ$9,0),0)*VLOOKUP($J46,角色成长!$D$17:$J$117,MATCH(O$9,角色成长!$D$17:$J$17,0),0),"")</f>
        <v/>
      </c>
      <c r="P46" s="1" t="str">
        <f>IFERROR(VLOOKUP($G46,角色设定!$AB$9:$AJ$21,MATCH(P$9,角色设定!$AB$9:$AJ$9,0),0)*VLOOKUP($J46,角色成长!$D$17:$J$117,MATCH(P$9,角色成长!$D$17:$J$17,0),0),"")</f>
        <v/>
      </c>
      <c r="Q46" s="1" t="str">
        <f>IFERROR(VLOOKUP($G46,角色设定!$AB$9:$AJ$21,MATCH(Q$9,角色设定!$AB$9:$AJ$9,0),0)*VLOOKUP($J46,角色成长!$D$17:$J$117,MATCH(Q$9,角色成长!$D$17:$J$17,0),0),"")</f>
        <v/>
      </c>
      <c r="R46" s="1" t="str">
        <f>IFERROR(VLOOKUP($G46,角色设定!$AB$9:$AJ$21,MATCH(R$9,角色设定!$AB$9:$AJ$9,0),0),"")</f>
        <v/>
      </c>
      <c r="S46" s="1" t="str">
        <f>IFERROR(VLOOKUP($G46,角色技能!$D:$M,MATCH(S$9,角色技能!$D$4:$M$4,0),0),"")</f>
        <v/>
      </c>
      <c r="T46" s="1" t="str">
        <f>IFERROR(VLOOKUP($G46,角色技能!$D:$M,MATCH(T$9,角色技能!$D$4:$M$4,0),0),"")</f>
        <v/>
      </c>
      <c r="U46" s="6" t="str">
        <f>IFERROR(VLOOKUP($G46,角色技能!$D:$M,MATCH(U$9,角色技能!$D$4:$M$4,0),0)*(1+$K46/100*(VLOOKUP($H46,技能模板!$D$13:$U$19,MATCH(技能模板!R$13,技能模板!$D$13:$U$13,0),0)-1)),"")</f>
        <v/>
      </c>
      <c r="V46" s="6" t="str">
        <f>IFERROR(VLOOKUP($G46,角色技能!$D:$M,MATCH(V$9,角色技能!$D$4:$M$4,0),0)*(1+$K46/100*(VLOOKUP($H46,技能模板!$D$13:$U$19,MATCH(技能模板!S$13,技能模板!$D$13:$U$13,0),0)-1)),"")</f>
        <v/>
      </c>
      <c r="W46" s="6" t="str">
        <f>IFERROR(VLOOKUP($G46,角色技能!$D:$M,MATCH(W$9,角色技能!$D$4:$M$4,0),0)*(1+$K46/100*(VLOOKUP($H46,技能模板!$D$13:$U$19,MATCH(技能模板!T$13,技能模板!$D$13:$U$13,0),0)-1)),"")</f>
        <v/>
      </c>
      <c r="X46" s="59" t="str">
        <f>IFERROR(VLOOKUP($G46,角色技能!$D:$M,MATCH(X$9,角色技能!$D$4:$M$4,0),0)*(1+$K46/100*(VLOOKUP($H46,技能模板!$D$13:$U$19,MATCH(技能模板!U$13,技能模板!$D$13:$U$13,0),0)-1)),"")</f>
        <v/>
      </c>
      <c r="Y46" s="78"/>
    </row>
    <row r="47" spans="1:25" ht="14.25" customHeight="1" x14ac:dyDescent="0.2">
      <c r="C47" s="76"/>
      <c r="D47" s="58">
        <f t="shared" si="8"/>
        <v>3</v>
      </c>
      <c r="E47" s="1">
        <f t="shared" si="9"/>
        <v>2</v>
      </c>
      <c r="F47" s="1">
        <f t="shared" si="10"/>
        <v>6</v>
      </c>
      <c r="G47" s="1" t="s">
        <v>273</v>
      </c>
      <c r="H47" s="1" t="str">
        <f>IFERROR(VLOOKUP($G47,角色设定!$R:$S,2,0),"")</f>
        <v>射击</v>
      </c>
      <c r="I47" s="1" t="str">
        <f>IFERROR(VLOOKUP(H47,角色设定!$D$9:$E$15,2,0),"")</f>
        <v>输出</v>
      </c>
      <c r="J47" s="1">
        <f t="shared" si="11"/>
        <v>50</v>
      </c>
      <c r="K47" s="1">
        <f t="shared" si="11"/>
        <v>40</v>
      </c>
      <c r="L47" s="8">
        <f>IFERROR(VLOOKUP($G47,角色设定!$AB$9:$AJ$21,MATCH(角色成长!$E$17,角色设定!$AB$9:$AJ$9,0),0)*VLOOKUP($J47,角色成长!$D$17:$J$117,MATCH(角色成长!$E$17,角色成长!$D$17:$J$17,0),0)*角色成长!$L$15*R47/Q47/(1+O47*(P47-1)),"")</f>
        <v>10484.479804117673</v>
      </c>
      <c r="M47" s="8">
        <f>IFERROR(VLOOKUP($G47,角色设定!$AB$9:$AJ$21,MATCH(角色成长!$F$17,角色设定!$AB$9:$AJ$9,0),0)*VLOOKUP($J47,角色成长!$D$17:$J$117,MATCH(角色成长!$F$17,角色成长!$D$17:$J$17,0),0)*角色成长!$L$15/(1+N47/角色成长!$N$16),"")</f>
        <v>63090.582538850002</v>
      </c>
      <c r="N47" s="8">
        <f>IFERROR(VLOOKUP($G47,角色设定!$AB$9:$AJ$21,MATCH(N$9,角色设定!$AB$9:$AJ$9,0),0)*VLOOKUP($J47,角色成长!$D$17:$J$117,MATCH(N$9,角色成长!$D$17:$J$17,0),0)*角色成长!$L$15,"")</f>
        <v>8190.9998469669245</v>
      </c>
      <c r="O47" s="1">
        <f>IFERROR(VLOOKUP($G47,角色设定!$AB$9:$AJ$21,MATCH(O$9,角色设定!$AB$9:$AJ$9,0),0)*VLOOKUP($J47,角色成长!$D$17:$J$117,MATCH(O$9,角色成长!$D$17:$J$17,0),0),"")</f>
        <v>0.4</v>
      </c>
      <c r="P47" s="1">
        <f>IFERROR(VLOOKUP($G47,角色设定!$AB$9:$AJ$21,MATCH(P$9,角色设定!$AB$9:$AJ$9,0),0)*VLOOKUP($J47,角色成长!$D$17:$J$117,MATCH(P$9,角色成长!$D$17:$J$17,0),0),"")</f>
        <v>1.5</v>
      </c>
      <c r="Q47" s="1">
        <f>IFERROR(VLOOKUP($G47,角色设定!$AB$9:$AJ$21,MATCH(Q$9,角色设定!$AB$9:$AJ$9,0),0)*VLOOKUP($J47,角色成长!$D$17:$J$117,MATCH(Q$9,角色成长!$D$17:$J$17,0),0),"")</f>
        <v>1</v>
      </c>
      <c r="R47" s="1">
        <f>IFERROR(VLOOKUP($G47,角色设定!$AB$9:$AJ$21,MATCH(R$9,角色设定!$AB$9:$AJ$9,0),0),"")</f>
        <v>0.8</v>
      </c>
      <c r="S47" s="1">
        <f>IFERROR(VLOOKUP($G47,角色技能!$D:$M,MATCH(S$9,角色技能!$D$4:$M$4,0),0),"")</f>
        <v>20</v>
      </c>
      <c r="T47" s="1">
        <f>IFERROR(VLOOKUP($G47,角色技能!$D:$M,MATCH(T$9,角色技能!$D$4:$M$4,0),0),"")</f>
        <v>10</v>
      </c>
      <c r="U47" s="6">
        <f>IFERROR(VLOOKUP($G47,角色技能!$D:$M,MATCH(U$9,角色技能!$D$4:$M$4,0),0)*(1+$K47/100*(VLOOKUP($H47,技能模板!$D$13:$U$19,MATCH(技能模板!R$13,技能模板!$D$13:$U$13,0),0)-1)),"")</f>
        <v>6.3333333333333321</v>
      </c>
      <c r="V47" s="6">
        <f>IFERROR(VLOOKUP($G47,角色技能!$D:$M,MATCH(V$9,角色技能!$D$4:$M$4,0),0)*(1+$K47/100*(VLOOKUP($H47,技能模板!$D$13:$U$19,MATCH(技能模板!S$13,技能模板!$D$13:$U$13,0),0)-1)),"")</f>
        <v>0</v>
      </c>
      <c r="W47" s="6">
        <f>IFERROR(VLOOKUP($G47,角色技能!$D:$M,MATCH(W$9,角色技能!$D$4:$M$4,0),0)*(1+$K47/100*(VLOOKUP($H47,技能模板!$D$13:$U$19,MATCH(技能模板!T$13,技能模板!$D$13:$U$13,0),0)-1)),"")</f>
        <v>0</v>
      </c>
      <c r="X47" s="59">
        <f>IFERROR(VLOOKUP($G47,角色技能!$D:$M,MATCH(X$9,角色技能!$D$4:$M$4,0),0)*(1+$K47/100*(VLOOKUP($H47,技能模板!$D$13:$U$19,MATCH(技能模板!U$13,技能模板!$D$13:$U$13,0),0)-1)),"")</f>
        <v>0</v>
      </c>
      <c r="Y47" s="78"/>
    </row>
    <row r="48" spans="1:25" ht="14.25" customHeight="1" x14ac:dyDescent="0.2">
      <c r="C48" s="76"/>
      <c r="D48" s="58" t="str">
        <f t="shared" si="8"/>
        <v/>
      </c>
      <c r="E48" s="1" t="str">
        <f t="shared" si="9"/>
        <v/>
      </c>
      <c r="F48" s="1" t="str">
        <f t="shared" si="10"/>
        <v/>
      </c>
      <c r="H48" s="1" t="str">
        <f>IFERROR(VLOOKUP($G48,角色设定!$R:$S,2,0),"")</f>
        <v/>
      </c>
      <c r="I48" s="1" t="str">
        <f>IFERROR(VLOOKUP(H48,角色设定!$D$9:$E$15,2,0),"")</f>
        <v/>
      </c>
      <c r="J48" s="1" t="str">
        <f t="shared" si="11"/>
        <v/>
      </c>
      <c r="K48" s="1" t="str">
        <f t="shared" si="11"/>
        <v/>
      </c>
      <c r="L48" s="8" t="str">
        <f>IFERROR(VLOOKUP($G48,角色设定!$AB$9:$AJ$21,MATCH(角色成长!$E$17,角色设定!$AB$9:$AJ$9,0),0)*VLOOKUP($J48,角色成长!$D$17:$J$117,MATCH(角色成长!$E$17,角色成长!$D$17:$J$17,0),0)*角色成长!$L$15*R48/Q48/(1+O48*(P48-1)),"")</f>
        <v/>
      </c>
      <c r="M48" s="8" t="str">
        <f>IFERROR(VLOOKUP($G48,角色设定!$AB$9:$AJ$21,MATCH(角色成长!$F$17,角色设定!$AB$9:$AJ$9,0),0)*VLOOKUP($J48,角色成长!$D$17:$J$117,MATCH(角色成长!$F$17,角色成长!$D$17:$J$17,0),0)*角色成长!$L$15/(1+N48/角色成长!$N$16),"")</f>
        <v/>
      </c>
      <c r="N48" s="8" t="str">
        <f>IFERROR(VLOOKUP($G48,角色设定!$AB$9:$AJ$21,MATCH(N$9,角色设定!$AB$9:$AJ$9,0),0)*VLOOKUP($J48,角色成长!$D$17:$J$117,MATCH(N$9,角色成长!$D$17:$J$17,0),0)*角色成长!$L$15,"")</f>
        <v/>
      </c>
      <c r="O48" s="1" t="str">
        <f>IFERROR(VLOOKUP($G48,角色设定!$AB$9:$AJ$21,MATCH(O$9,角色设定!$AB$9:$AJ$9,0),0)*VLOOKUP($J48,角色成长!$D$17:$J$117,MATCH(O$9,角色成长!$D$17:$J$17,0),0),"")</f>
        <v/>
      </c>
      <c r="P48" s="1" t="str">
        <f>IFERROR(VLOOKUP($G48,角色设定!$AB$9:$AJ$21,MATCH(P$9,角色设定!$AB$9:$AJ$9,0),0)*VLOOKUP($J48,角色成长!$D$17:$J$117,MATCH(P$9,角色成长!$D$17:$J$17,0),0),"")</f>
        <v/>
      </c>
      <c r="Q48" s="1" t="str">
        <f>IFERROR(VLOOKUP($G48,角色设定!$AB$9:$AJ$21,MATCH(Q$9,角色设定!$AB$9:$AJ$9,0),0)*VLOOKUP($J48,角色成长!$D$17:$J$117,MATCH(Q$9,角色成长!$D$17:$J$17,0),0),"")</f>
        <v/>
      </c>
      <c r="R48" s="1" t="str">
        <f>IFERROR(VLOOKUP($G48,角色设定!$AB$9:$AJ$21,MATCH(R$9,角色设定!$AB$9:$AJ$9,0),0),"")</f>
        <v/>
      </c>
      <c r="S48" s="1" t="str">
        <f>IFERROR(VLOOKUP($G48,角色技能!$D:$M,MATCH(S$9,角色技能!$D$4:$M$4,0),0),"")</f>
        <v/>
      </c>
      <c r="T48" s="1" t="str">
        <f>IFERROR(VLOOKUP($G48,角色技能!$D:$M,MATCH(T$9,角色技能!$D$4:$M$4,0),0),"")</f>
        <v/>
      </c>
      <c r="U48" s="6" t="str">
        <f>IFERROR(VLOOKUP($G48,角色技能!$D:$M,MATCH(U$9,角色技能!$D$4:$M$4,0),0)*(1+$K48/100*(VLOOKUP($H48,技能模板!$D$13:$U$19,MATCH(技能模板!R$13,技能模板!$D$13:$U$13,0),0)-1)),"")</f>
        <v/>
      </c>
      <c r="V48" s="6" t="str">
        <f>IFERROR(VLOOKUP($G48,角色技能!$D:$M,MATCH(V$9,角色技能!$D$4:$M$4,0),0)*(1+$K48/100*(VLOOKUP($H48,技能模板!$D$13:$U$19,MATCH(技能模板!S$13,技能模板!$D$13:$U$13,0),0)-1)),"")</f>
        <v/>
      </c>
      <c r="W48" s="6" t="str">
        <f>IFERROR(VLOOKUP($G48,角色技能!$D:$M,MATCH(W$9,角色技能!$D$4:$M$4,0),0)*(1+$K48/100*(VLOOKUP($H48,技能模板!$D$13:$U$19,MATCH(技能模板!T$13,技能模板!$D$13:$U$13,0),0)-1)),"")</f>
        <v/>
      </c>
      <c r="X48" s="59" t="str">
        <f>IFERROR(VLOOKUP($G48,角色技能!$D:$M,MATCH(X$9,角色技能!$D$4:$M$4,0),0)*(1+$K48/100*(VLOOKUP($H48,技能模板!$D$13:$U$19,MATCH(技能模板!U$13,技能模板!$D$13:$U$13,0),0)-1)),"")</f>
        <v/>
      </c>
      <c r="Y48" s="78"/>
    </row>
    <row r="49" spans="1:25" ht="14.25" customHeight="1" x14ac:dyDescent="0.2">
      <c r="C49" s="76"/>
      <c r="D49" s="58">
        <f t="shared" si="8"/>
        <v>2</v>
      </c>
      <c r="E49" s="1">
        <f t="shared" si="9"/>
        <v>1</v>
      </c>
      <c r="F49" s="1">
        <f t="shared" si="10"/>
        <v>8</v>
      </c>
      <c r="G49" s="1" t="s">
        <v>274</v>
      </c>
      <c r="H49" s="1" t="str">
        <f>IFERROR(VLOOKUP($G49,角色设定!$R:$S,2,0),"")</f>
        <v>恢复</v>
      </c>
      <c r="I49" s="1" t="str">
        <f>IFERROR(VLOOKUP(H49,角色设定!$D$9:$E$15,2,0),"")</f>
        <v>治疗</v>
      </c>
      <c r="J49" s="1">
        <f t="shared" si="11"/>
        <v>50</v>
      </c>
      <c r="K49" s="1">
        <f t="shared" si="11"/>
        <v>40</v>
      </c>
      <c r="L49" s="8">
        <f>IFERROR(VLOOKUP($G49,角色设定!$AB$9:$AJ$21,MATCH(角色成长!$E$17,角色设定!$AB$9:$AJ$9,0),0)*VLOOKUP($J49,角色成长!$D$17:$J$117,MATCH(角色成长!$E$17,角色成长!$D$17:$J$17,0),0)*角色成长!$L$15*R49/Q49/(1+O49*(P49-1)),"")</f>
        <v>4423.1399173621439</v>
      </c>
      <c r="M49" s="8">
        <f>IFERROR(VLOOKUP($G49,角色设定!$AB$9:$AJ$21,MATCH(角色成长!$F$17,角色设定!$AB$9:$AJ$9,0),0)*VLOOKUP($J49,角色成长!$D$17:$J$117,MATCH(角色成长!$F$17,角色成长!$D$17:$J$17,0),0)*角色成长!$L$15/(1+N49/角色成长!$N$16),"")</f>
        <v>80465.608783089498</v>
      </c>
      <c r="N49" s="8">
        <f>IFERROR(VLOOKUP($G49,角色设定!$AB$9:$AJ$21,MATCH(N$9,角色设定!$AB$9:$AJ$9,0),0)*VLOOKUP($J49,角色成长!$D$17:$J$117,MATCH(N$9,角色成长!$D$17:$J$17,0),0)*角色成长!$L$15,"")</f>
        <v>13105.599755147077</v>
      </c>
      <c r="O49" s="1">
        <f>IFERROR(VLOOKUP($G49,角色设定!$AB$9:$AJ$21,MATCH(O$9,角色设定!$AB$9:$AJ$9,0),0)*VLOOKUP($J49,角色成长!$D$17:$J$117,MATCH(O$9,角色成长!$D$17:$J$17,0),0),"")</f>
        <v>0.4</v>
      </c>
      <c r="P49" s="1">
        <f>IFERROR(VLOOKUP($G49,角色设定!$AB$9:$AJ$21,MATCH(P$9,角色设定!$AB$9:$AJ$9,0),0)*VLOOKUP($J49,角色成长!$D$17:$J$117,MATCH(P$9,角色成长!$D$17:$J$17,0),0),"")</f>
        <v>1.5</v>
      </c>
      <c r="Q49" s="1">
        <f>IFERROR(VLOOKUP($G49,角色设定!$AB$9:$AJ$21,MATCH(Q$9,角色设定!$AB$9:$AJ$9,0),0)*VLOOKUP($J49,角色成长!$D$17:$J$117,MATCH(Q$9,角色成长!$D$17:$J$17,0),0),"")</f>
        <v>1</v>
      </c>
      <c r="R49" s="1">
        <f>IFERROR(VLOOKUP($G49,角色设定!$AB$9:$AJ$21,MATCH(R$9,角色设定!$AB$9:$AJ$9,0),0),"")</f>
        <v>0.9</v>
      </c>
      <c r="S49" s="1">
        <f>IFERROR(VLOOKUP($G49,角色技能!$D:$M,MATCH(S$9,角色技能!$D$4:$M$4,0),0),"")</f>
        <v>10</v>
      </c>
      <c r="T49" s="1">
        <f>IFERROR(VLOOKUP($G49,角色技能!$D:$M,MATCH(T$9,角色技能!$D$4:$M$4,0),0),"")</f>
        <v>5</v>
      </c>
      <c r="U49" s="6">
        <f>IFERROR(VLOOKUP($G49,角色技能!$D:$M,MATCH(U$9,角色技能!$D$4:$M$4,0),0)*(1+$K49/100*(VLOOKUP($H49,技能模板!$D$13:$U$19,MATCH(技能模板!R$13,技能模板!$D$13:$U$13,0),0)-1)),"")</f>
        <v>1.4747474747474747</v>
      </c>
      <c r="V49" s="6">
        <f>IFERROR(VLOOKUP($G49,角色技能!$D:$M,MATCH(V$9,角色技能!$D$4:$M$4,0),0)*(1+$K49/100*(VLOOKUP($H49,技能模板!$D$13:$U$19,MATCH(技能模板!S$13,技能模板!$D$13:$U$13,0),0)-1)),"")</f>
        <v>0</v>
      </c>
      <c r="W49" s="6">
        <f>IFERROR(VLOOKUP($G49,角色技能!$D:$M,MATCH(W$9,角色技能!$D$4:$M$4,0),0)*(1+$K49/100*(VLOOKUP($H49,技能模板!$D$13:$U$19,MATCH(技能模板!T$13,技能模板!$D$13:$U$13,0),0)-1)),"")</f>
        <v>0</v>
      </c>
      <c r="X49" s="59">
        <f>IFERROR(VLOOKUP($G49,角色技能!$D:$M,MATCH(X$9,角色技能!$D$4:$M$4,0),0)*(1+$K49/100*(VLOOKUP($H49,技能模板!$D$13:$U$19,MATCH(技能模板!U$13,技能模板!$D$13:$U$13,0),0)-1)),"")</f>
        <v>1.0188706275617814</v>
      </c>
      <c r="Y49" s="78"/>
    </row>
    <row r="50" spans="1:25" ht="14.25" customHeight="1" thickBot="1" x14ac:dyDescent="0.25">
      <c r="C50" s="76"/>
      <c r="D50" s="60" t="str">
        <f t="shared" si="8"/>
        <v/>
      </c>
      <c r="E50" s="61" t="str">
        <f t="shared" si="9"/>
        <v/>
      </c>
      <c r="F50" s="61" t="str">
        <f t="shared" si="10"/>
        <v/>
      </c>
      <c r="G50" s="61"/>
      <c r="H50" s="61" t="str">
        <f>IFERROR(VLOOKUP($G50,角色设定!$R:$S,2,0),"")</f>
        <v/>
      </c>
      <c r="I50" s="61" t="str">
        <f>IFERROR(VLOOKUP(H50,角色设定!$D$9:$E$15,2,0),"")</f>
        <v/>
      </c>
      <c r="J50" s="61" t="str">
        <f>IF($G50="","",J$40)</f>
        <v/>
      </c>
      <c r="K50" s="61" t="str">
        <f>IF($G50="","",K$40)</f>
        <v/>
      </c>
      <c r="L50" s="62" t="str">
        <f>IFERROR(VLOOKUP($G50,角色设定!$AB$9:$AJ$21,MATCH(角色成长!$E$17,角色设定!$AB$9:$AJ$9,0),0)*VLOOKUP($J50,角色成长!$D$17:$J$117,MATCH(角色成长!$E$17,角色成长!$D$17:$J$17,0),0)*角色成长!$L$15*R50/Q50/(1+O50*(P50-1)),"")</f>
        <v/>
      </c>
      <c r="M50" s="62" t="str">
        <f>IFERROR(VLOOKUP($G50,角色设定!$AB$9:$AJ$21,MATCH(角色成长!$F$17,角色设定!$AB$9:$AJ$9,0),0)*VLOOKUP($J50,角色成长!$D$17:$J$117,MATCH(角色成长!$F$17,角色成长!$D$17:$J$17,0),0)*角色成长!$L$15/(1+N50/角色成长!$N$16),"")</f>
        <v/>
      </c>
      <c r="N50" s="62" t="str">
        <f>IFERROR(VLOOKUP($G50,角色设定!$AB$9:$AJ$21,MATCH(N$9,角色设定!$AB$9:$AJ$9,0),0)*VLOOKUP($J50,角色成长!$D$17:$J$117,MATCH(N$9,角色成长!$D$17:$J$17,0),0)*角色成长!$L$15,"")</f>
        <v/>
      </c>
      <c r="O50" s="61" t="str">
        <f>IFERROR(VLOOKUP($G50,角色设定!$AB$9:$AJ$21,MATCH(O$9,角色设定!$AB$9:$AJ$9,0),0)*VLOOKUP($J50,角色成长!$D$17:$J$117,MATCH(O$9,角色成长!$D$17:$J$17,0),0),"")</f>
        <v/>
      </c>
      <c r="P50" s="61" t="str">
        <f>IFERROR(VLOOKUP($G50,角色设定!$AB$9:$AJ$21,MATCH(P$9,角色设定!$AB$9:$AJ$9,0),0)*VLOOKUP($J50,角色成长!$D$17:$J$117,MATCH(P$9,角色成长!$D$17:$J$17,0),0),"")</f>
        <v/>
      </c>
      <c r="Q50" s="61" t="str">
        <f>IFERROR(VLOOKUP($G50,角色设定!$AB$9:$AJ$21,MATCH(Q$9,角色设定!$AB$9:$AJ$9,0),0)*VLOOKUP($J50,角色成长!$D$17:$J$117,MATCH(Q$9,角色成长!$D$17:$J$17,0),0),"")</f>
        <v/>
      </c>
      <c r="R50" s="61" t="str">
        <f>IFERROR(VLOOKUP($G50,角色设定!$AB$9:$AJ$21,MATCH(R$9,角色设定!$AB$9:$AJ$9,0),0),"")</f>
        <v/>
      </c>
      <c r="S50" s="61" t="str">
        <f>IFERROR(VLOOKUP($G50,角色技能!$D:$M,MATCH(S$9,角色技能!$D$4:$M$4,0),0),"")</f>
        <v/>
      </c>
      <c r="T50" s="61" t="str">
        <f>IFERROR(VLOOKUP($G50,角色技能!$D:$M,MATCH(T$9,角色技能!$D$4:$M$4,0),0),"")</f>
        <v/>
      </c>
      <c r="U50" s="63" t="str">
        <f>IFERROR(VLOOKUP($G50,角色技能!$D:$M,MATCH(U$9,角色技能!$D$4:$M$4,0),0)*(1+$K50/100*(VLOOKUP($H50,技能模板!$D$13:$U$19,MATCH(技能模板!R$13,技能模板!$D$13:$U$13,0),0)-1)),"")</f>
        <v/>
      </c>
      <c r="V50" s="63" t="str">
        <f>IFERROR(VLOOKUP($G50,角色技能!$D:$M,MATCH(V$9,角色技能!$D$4:$M$4,0),0)*(1+$K50/100*(VLOOKUP($H50,技能模板!$D$13:$U$19,MATCH(技能模板!S$13,技能模板!$D$13:$U$13,0),0)-1)),"")</f>
        <v/>
      </c>
      <c r="W50" s="63" t="str">
        <f>IFERROR(VLOOKUP($G50,角色技能!$D:$M,MATCH(W$9,角色技能!$D$4:$M$4,0),0)*(1+$K50/100*(VLOOKUP($H50,技能模板!$D$13:$U$19,MATCH(技能模板!T$13,技能模板!$D$13:$U$13,0),0)-1)),"")</f>
        <v/>
      </c>
      <c r="X50" s="64" t="str">
        <f>IFERROR(VLOOKUP($G50,角色技能!$D:$M,MATCH(X$9,角色技能!$D$4:$M$4,0),0)*(1+$K50/100*(VLOOKUP($H50,技能模板!$D$13:$U$19,MATCH(技能模板!U$13,技能模板!$D$13:$U$13,0),0)-1)),"")</f>
        <v/>
      </c>
      <c r="Y50" s="78"/>
    </row>
    <row r="51" spans="1:25" ht="14.25" customHeight="1" thickBot="1" x14ac:dyDescent="0.25">
      <c r="C51" s="2" t="s">
        <v>288</v>
      </c>
      <c r="D51" s="74"/>
      <c r="E51" s="74"/>
      <c r="F51" s="74"/>
      <c r="G51" s="74"/>
      <c r="H51" s="74"/>
      <c r="I51" s="74"/>
      <c r="J51" s="65">
        <v>50</v>
      </c>
      <c r="K51" s="65">
        <v>40</v>
      </c>
      <c r="L51" s="66"/>
      <c r="M51" s="66"/>
      <c r="N51" s="66"/>
      <c r="O51" s="74"/>
      <c r="P51" s="74"/>
      <c r="Q51" s="74"/>
      <c r="R51" s="74"/>
      <c r="S51" s="74">
        <v>0</v>
      </c>
      <c r="T51" s="74">
        <v>0</v>
      </c>
      <c r="U51" s="67"/>
      <c r="V51" s="74" t="s">
        <v>251</v>
      </c>
      <c r="W51" s="74" t="s">
        <v>252</v>
      </c>
      <c r="X51" s="74" t="s">
        <v>253</v>
      </c>
    </row>
    <row r="52" spans="1:25" ht="14.25" customHeight="1" x14ac:dyDescent="0.2">
      <c r="A52" s="4">
        <f>B52/(SUM(M53:M61)*$G$1)</f>
        <v>8.8946109254760666E-2</v>
      </c>
      <c r="B52" s="6">
        <v>42694132.44228512</v>
      </c>
      <c r="C52" s="76">
        <f>ROW(D53)</f>
        <v>53</v>
      </c>
      <c r="D52" s="54" t="s">
        <v>257</v>
      </c>
      <c r="E52" s="55" t="s">
        <v>258</v>
      </c>
      <c r="F52" s="55" t="s">
        <v>237</v>
      </c>
      <c r="G52" s="56" t="s">
        <v>157</v>
      </c>
      <c r="H52" s="55" t="s">
        <v>92</v>
      </c>
      <c r="I52" s="55" t="s">
        <v>93</v>
      </c>
      <c r="J52" s="56" t="s">
        <v>245</v>
      </c>
      <c r="K52" s="56" t="s">
        <v>246</v>
      </c>
      <c r="L52" s="55" t="s">
        <v>34</v>
      </c>
      <c r="M52" s="55" t="s">
        <v>213</v>
      </c>
      <c r="N52" s="55" t="s">
        <v>35</v>
      </c>
      <c r="O52" s="55" t="s">
        <v>146</v>
      </c>
      <c r="P52" s="55" t="s">
        <v>147</v>
      </c>
      <c r="Q52" s="55" t="s">
        <v>148</v>
      </c>
      <c r="R52" s="55" t="s">
        <v>176</v>
      </c>
      <c r="S52" s="55" t="s">
        <v>206</v>
      </c>
      <c r="T52" s="55" t="s">
        <v>275</v>
      </c>
      <c r="U52" s="55" t="s">
        <v>207</v>
      </c>
      <c r="V52" s="55" t="s">
        <v>208</v>
      </c>
      <c r="W52" s="55" t="s">
        <v>210</v>
      </c>
      <c r="X52" s="57" t="s">
        <v>243</v>
      </c>
      <c r="Y52" s="78"/>
    </row>
    <row r="53" spans="1:25" ht="14.25" customHeight="1" x14ac:dyDescent="0.2">
      <c r="C53" s="76">
        <f>COLUMN(D53)</f>
        <v>4</v>
      </c>
      <c r="D53" s="58">
        <f>IFERROR(MOD(F53+3-1,3)+1,"")</f>
        <v>1</v>
      </c>
      <c r="E53" s="1">
        <f>IFERROR(INT((F53-1)/3)+5,"")</f>
        <v>5</v>
      </c>
      <c r="F53" s="1">
        <f>IF(G53="","",ROW(G53)-$C$52+1)</f>
        <v>1</v>
      </c>
      <c r="G53" s="1" t="s">
        <v>279</v>
      </c>
      <c r="H53" s="1" t="str">
        <f>IFERROR(VLOOKUP($G53,角色设定!$R:$S,2,0),"")</f>
        <v/>
      </c>
      <c r="I53" s="1" t="str">
        <f>IFERROR(VLOOKUP(H53,角色设定!$D$9:$E$15,2,0),"")</f>
        <v/>
      </c>
      <c r="J53" s="1">
        <f>IF($G53="","",J$51)</f>
        <v>50</v>
      </c>
      <c r="K53" s="1">
        <f>IF($G53="","",K$51)</f>
        <v>40</v>
      </c>
      <c r="L53" s="8">
        <v>2000</v>
      </c>
      <c r="M53" s="8">
        <v>100000</v>
      </c>
      <c r="N53" s="8">
        <v>50000</v>
      </c>
      <c r="O53" s="1">
        <v>0.4</v>
      </c>
      <c r="P53" s="1">
        <v>1.5</v>
      </c>
      <c r="Q53" s="1">
        <v>0.8</v>
      </c>
      <c r="S53" s="1">
        <v>10</v>
      </c>
      <c r="T53" s="1">
        <v>5</v>
      </c>
      <c r="U53" s="6">
        <v>1.5</v>
      </c>
      <c r="V53" s="6">
        <v>0</v>
      </c>
      <c r="W53" s="6">
        <v>0</v>
      </c>
      <c r="X53" s="59">
        <v>0</v>
      </c>
      <c r="Y53" s="78"/>
    </row>
    <row r="54" spans="1:25" ht="14.25" customHeight="1" x14ac:dyDescent="0.2">
      <c r="C54" s="76">
        <f>ROW(X61)</f>
        <v>61</v>
      </c>
      <c r="D54" s="58">
        <f t="shared" ref="D54:D61" si="12">IFERROR(MOD(F54+3-1,3)+1,"")</f>
        <v>2</v>
      </c>
      <c r="E54" s="1">
        <f t="shared" ref="E54:E61" si="13">IFERROR(INT((F54-1)/3)+5,"")</f>
        <v>5</v>
      </c>
      <c r="F54" s="1">
        <f t="shared" ref="F54:F61" si="14">IF(G54="","",ROW(G54)-$C$52+1)</f>
        <v>2</v>
      </c>
      <c r="G54" s="1" t="s">
        <v>280</v>
      </c>
      <c r="H54" s="1" t="str">
        <f>IFERROR(VLOOKUP($G54,角色设定!$R:$S,2,0),"")</f>
        <v/>
      </c>
      <c r="I54" s="1" t="str">
        <f>IFERROR(VLOOKUP(H54,角色设定!$D$9:$E$15,2,0),"")</f>
        <v/>
      </c>
      <c r="J54" s="1">
        <f t="shared" ref="J54:K61" si="15">IF($G54="","",J$51)</f>
        <v>50</v>
      </c>
      <c r="K54" s="1">
        <f t="shared" si="15"/>
        <v>40</v>
      </c>
      <c r="L54" s="8">
        <v>2000</v>
      </c>
      <c r="M54" s="8">
        <v>100000</v>
      </c>
      <c r="N54" s="8">
        <v>40000</v>
      </c>
      <c r="O54" s="1">
        <v>0.4</v>
      </c>
      <c r="P54" s="1">
        <v>1.5</v>
      </c>
      <c r="Q54" s="1">
        <v>0.8</v>
      </c>
      <c r="S54" s="1">
        <v>10</v>
      </c>
      <c r="T54" s="1">
        <v>5</v>
      </c>
      <c r="U54" s="6">
        <v>1.5</v>
      </c>
      <c r="V54" s="6">
        <v>0</v>
      </c>
      <c r="W54" s="6">
        <v>0</v>
      </c>
      <c r="X54" s="59">
        <v>0</v>
      </c>
      <c r="Y54" s="78"/>
    </row>
    <row r="55" spans="1:25" ht="14.25" customHeight="1" x14ac:dyDescent="0.2">
      <c r="C55" s="76">
        <f>COLUMN(X50)</f>
        <v>24</v>
      </c>
      <c r="D55" s="58">
        <f t="shared" si="12"/>
        <v>3</v>
      </c>
      <c r="E55" s="1">
        <f t="shared" si="13"/>
        <v>5</v>
      </c>
      <c r="F55" s="1">
        <f t="shared" si="14"/>
        <v>3</v>
      </c>
      <c r="G55" s="1" t="s">
        <v>281</v>
      </c>
      <c r="H55" s="1" t="str">
        <f>IFERROR(VLOOKUP($G55,角色设定!$R:$S,2,0),"")</f>
        <v/>
      </c>
      <c r="I55" s="1" t="str">
        <f>IFERROR(VLOOKUP(H55,角色设定!$D$9:$E$15,2,0),"")</f>
        <v/>
      </c>
      <c r="J55" s="1">
        <f t="shared" si="15"/>
        <v>50</v>
      </c>
      <c r="K55" s="1">
        <f t="shared" si="15"/>
        <v>40</v>
      </c>
      <c r="L55" s="8">
        <v>4000</v>
      </c>
      <c r="M55" s="8">
        <v>100000</v>
      </c>
      <c r="N55" s="8">
        <v>8000</v>
      </c>
      <c r="O55" s="1">
        <v>0.4</v>
      </c>
      <c r="P55" s="1">
        <v>1.5</v>
      </c>
      <c r="Q55" s="1">
        <v>1.1000000000000001</v>
      </c>
      <c r="S55" s="1">
        <v>11</v>
      </c>
      <c r="T55" s="1">
        <v>5</v>
      </c>
      <c r="U55" s="6">
        <v>1.6</v>
      </c>
      <c r="V55" s="6">
        <v>0</v>
      </c>
      <c r="W55" s="6">
        <v>0</v>
      </c>
      <c r="X55" s="59">
        <v>0</v>
      </c>
      <c r="Y55" s="78"/>
    </row>
    <row r="56" spans="1:25" ht="14.25" customHeight="1" x14ac:dyDescent="0.2">
      <c r="C56" s="76"/>
      <c r="D56" s="58">
        <f t="shared" si="12"/>
        <v>1</v>
      </c>
      <c r="E56" s="1">
        <f t="shared" si="13"/>
        <v>6</v>
      </c>
      <c r="F56" s="1">
        <f t="shared" si="14"/>
        <v>4</v>
      </c>
      <c r="G56" s="1" t="s">
        <v>282</v>
      </c>
      <c r="H56" s="1" t="str">
        <f>IFERROR(VLOOKUP($G56,角色设定!$R:$S,2,0),"")</f>
        <v/>
      </c>
      <c r="I56" s="1" t="str">
        <f>IFERROR(VLOOKUP(H56,角色设定!$D$9:$E$15,2,0),"")</f>
        <v/>
      </c>
      <c r="J56" s="1">
        <f t="shared" si="15"/>
        <v>50</v>
      </c>
      <c r="K56" s="1">
        <f t="shared" si="15"/>
        <v>40</v>
      </c>
      <c r="L56" s="8">
        <v>4000</v>
      </c>
      <c r="M56" s="8">
        <v>20000</v>
      </c>
      <c r="N56" s="8">
        <v>8000</v>
      </c>
      <c r="O56" s="1">
        <v>0.4</v>
      </c>
      <c r="P56" s="1">
        <v>1.5</v>
      </c>
      <c r="Q56" s="1">
        <v>1.1000000000000001</v>
      </c>
      <c r="S56" s="1">
        <v>12</v>
      </c>
      <c r="T56" s="1">
        <v>5</v>
      </c>
      <c r="U56" s="6">
        <v>1.8</v>
      </c>
      <c r="V56" s="6">
        <v>0</v>
      </c>
      <c r="W56" s="6">
        <v>0</v>
      </c>
      <c r="X56" s="59">
        <v>0</v>
      </c>
      <c r="Y56" s="78"/>
    </row>
    <row r="57" spans="1:25" ht="14.25" customHeight="1" x14ac:dyDescent="0.2">
      <c r="C57" s="76"/>
      <c r="D57" s="58">
        <f t="shared" si="12"/>
        <v>2</v>
      </c>
      <c r="E57" s="1">
        <f t="shared" si="13"/>
        <v>6</v>
      </c>
      <c r="F57" s="1">
        <f t="shared" si="14"/>
        <v>5</v>
      </c>
      <c r="G57" s="1" t="s">
        <v>283</v>
      </c>
      <c r="H57" s="1" t="str">
        <f>IFERROR(VLOOKUP($G57,角色设定!$R:$S,2,0),"")</f>
        <v/>
      </c>
      <c r="I57" s="1" t="str">
        <f>IFERROR(VLOOKUP(H57,角色设定!$D$9:$E$15,2,0),"")</f>
        <v/>
      </c>
      <c r="J57" s="1">
        <f t="shared" si="15"/>
        <v>50</v>
      </c>
      <c r="K57" s="1">
        <f t="shared" si="15"/>
        <v>40</v>
      </c>
      <c r="L57" s="8">
        <v>4000</v>
      </c>
      <c r="M57" s="8">
        <v>20000</v>
      </c>
      <c r="N57" s="8">
        <v>8000</v>
      </c>
      <c r="O57" s="1">
        <v>0.4</v>
      </c>
      <c r="P57" s="1">
        <v>1.5</v>
      </c>
      <c r="Q57" s="1">
        <v>1.1000000000000001</v>
      </c>
      <c r="S57" s="1">
        <v>13</v>
      </c>
      <c r="T57" s="1">
        <v>5</v>
      </c>
      <c r="U57" s="6">
        <v>2</v>
      </c>
      <c r="V57" s="6">
        <v>0</v>
      </c>
      <c r="W57" s="6">
        <v>0</v>
      </c>
      <c r="X57" s="59">
        <v>0</v>
      </c>
      <c r="Y57" s="78"/>
    </row>
    <row r="58" spans="1:25" ht="14.25" customHeight="1" x14ac:dyDescent="0.2">
      <c r="C58" s="76"/>
      <c r="D58" s="58">
        <f t="shared" si="12"/>
        <v>3</v>
      </c>
      <c r="E58" s="1">
        <f t="shared" si="13"/>
        <v>6</v>
      </c>
      <c r="F58" s="1">
        <f t="shared" si="14"/>
        <v>6</v>
      </c>
      <c r="G58" s="1" t="s">
        <v>284</v>
      </c>
      <c r="H58" s="1" t="str">
        <f>IFERROR(VLOOKUP($G58,角色设定!$R:$S,2,0),"")</f>
        <v/>
      </c>
      <c r="I58" s="1" t="str">
        <f>IFERROR(VLOOKUP(H58,角色设定!$D$9:$E$15,2,0),"")</f>
        <v/>
      </c>
      <c r="J58" s="1">
        <f t="shared" si="15"/>
        <v>50</v>
      </c>
      <c r="K58" s="1">
        <f t="shared" si="15"/>
        <v>40</v>
      </c>
      <c r="L58" s="8">
        <v>4000</v>
      </c>
      <c r="M58" s="8">
        <v>20000</v>
      </c>
      <c r="N58" s="8">
        <v>8000</v>
      </c>
      <c r="O58" s="1">
        <v>0.4</v>
      </c>
      <c r="P58" s="1">
        <v>1.5</v>
      </c>
      <c r="Q58" s="1">
        <v>1.1000000000000001</v>
      </c>
      <c r="S58" s="1">
        <v>14</v>
      </c>
      <c r="T58" s="1">
        <v>5</v>
      </c>
      <c r="U58" s="6">
        <v>2.2000000000000002</v>
      </c>
      <c r="V58" s="6">
        <v>0</v>
      </c>
      <c r="W58" s="6">
        <v>0</v>
      </c>
      <c r="X58" s="59">
        <v>0</v>
      </c>
      <c r="Y58" s="78"/>
    </row>
    <row r="59" spans="1:25" ht="14.25" customHeight="1" x14ac:dyDescent="0.2">
      <c r="C59" s="76"/>
      <c r="D59" s="58">
        <f t="shared" si="12"/>
        <v>1</v>
      </c>
      <c r="E59" s="1">
        <f t="shared" si="13"/>
        <v>7</v>
      </c>
      <c r="F59" s="1">
        <f t="shared" si="14"/>
        <v>7</v>
      </c>
      <c r="G59" s="1" t="s">
        <v>285</v>
      </c>
      <c r="H59" s="1" t="str">
        <f>IFERROR(VLOOKUP($G59,角色设定!$R:$S,2,0),"")</f>
        <v/>
      </c>
      <c r="I59" s="1" t="str">
        <f>IFERROR(VLOOKUP(H59,角色设定!$D$9:$E$15,2,0),"")</f>
        <v/>
      </c>
      <c r="J59" s="1">
        <f t="shared" si="15"/>
        <v>50</v>
      </c>
      <c r="K59" s="1">
        <f t="shared" si="15"/>
        <v>40</v>
      </c>
      <c r="L59" s="8">
        <v>4000</v>
      </c>
      <c r="M59" s="8">
        <v>20000</v>
      </c>
      <c r="N59" s="8">
        <v>8000</v>
      </c>
      <c r="O59" s="1">
        <v>0.4</v>
      </c>
      <c r="P59" s="1">
        <v>1.5</v>
      </c>
      <c r="Q59" s="1">
        <v>1.1000000000000001</v>
      </c>
      <c r="S59" s="1">
        <v>15</v>
      </c>
      <c r="T59" s="1">
        <v>5</v>
      </c>
      <c r="U59" s="6">
        <v>3</v>
      </c>
      <c r="V59" s="6">
        <v>0</v>
      </c>
      <c r="W59" s="6">
        <v>0</v>
      </c>
      <c r="X59" s="59">
        <v>0</v>
      </c>
      <c r="Y59" s="78"/>
    </row>
    <row r="60" spans="1:25" ht="14.25" customHeight="1" x14ac:dyDescent="0.2">
      <c r="C60" s="76"/>
      <c r="D60" s="58">
        <f t="shared" si="12"/>
        <v>2</v>
      </c>
      <c r="E60" s="1">
        <f t="shared" si="13"/>
        <v>7</v>
      </c>
      <c r="F60" s="1">
        <f t="shared" si="14"/>
        <v>8</v>
      </c>
      <c r="G60" s="1" t="s">
        <v>286</v>
      </c>
      <c r="H60" s="1" t="str">
        <f>IFERROR(VLOOKUP($G60,角色设定!$R:$S,2,0),"")</f>
        <v/>
      </c>
      <c r="I60" s="1" t="str">
        <f>IFERROR(VLOOKUP(H60,角色设定!$D$9:$E$15,2,0),"")</f>
        <v/>
      </c>
      <c r="J60" s="1">
        <f t="shared" si="15"/>
        <v>50</v>
      </c>
      <c r="K60" s="1">
        <f t="shared" si="15"/>
        <v>40</v>
      </c>
      <c r="L60" s="8">
        <v>4000</v>
      </c>
      <c r="M60" s="8">
        <v>20000</v>
      </c>
      <c r="N60" s="8">
        <v>10000</v>
      </c>
      <c r="O60" s="1">
        <v>0.4</v>
      </c>
      <c r="P60" s="1">
        <v>1.5</v>
      </c>
      <c r="Q60" s="1">
        <v>0.85</v>
      </c>
      <c r="S60" s="1">
        <v>12</v>
      </c>
      <c r="T60" s="1">
        <v>5</v>
      </c>
      <c r="U60" s="6">
        <v>1.5</v>
      </c>
      <c r="V60" s="6">
        <v>0</v>
      </c>
      <c r="W60" s="6">
        <v>0</v>
      </c>
      <c r="X60" s="59">
        <v>2</v>
      </c>
      <c r="Y60" s="78"/>
    </row>
    <row r="61" spans="1:25" ht="14.25" customHeight="1" thickBot="1" x14ac:dyDescent="0.25">
      <c r="C61" s="76"/>
      <c r="D61" s="60">
        <f t="shared" si="12"/>
        <v>3</v>
      </c>
      <c r="E61" s="61">
        <f t="shared" si="13"/>
        <v>7</v>
      </c>
      <c r="F61" s="61">
        <f t="shared" si="14"/>
        <v>9</v>
      </c>
      <c r="G61" s="61" t="s">
        <v>287</v>
      </c>
      <c r="H61" s="61" t="str">
        <f>IFERROR(VLOOKUP($G61,角色设定!$R:$S,2,0),"")</f>
        <v/>
      </c>
      <c r="I61" s="61" t="str">
        <f>IFERROR(VLOOKUP(H61,角色设定!$D$9:$E$15,2,0),"")</f>
        <v/>
      </c>
      <c r="J61" s="61">
        <f t="shared" si="15"/>
        <v>50</v>
      </c>
      <c r="K61" s="61">
        <f t="shared" si="15"/>
        <v>40</v>
      </c>
      <c r="L61" s="62">
        <v>4000</v>
      </c>
      <c r="M61" s="62">
        <v>80000</v>
      </c>
      <c r="N61" s="62">
        <v>8000</v>
      </c>
      <c r="O61" s="61">
        <v>0.4</v>
      </c>
      <c r="P61" s="61">
        <v>1.5</v>
      </c>
      <c r="Q61" s="61">
        <v>1.1000000000000001</v>
      </c>
      <c r="R61" s="61"/>
      <c r="S61" s="61">
        <v>16</v>
      </c>
      <c r="T61" s="61">
        <v>5</v>
      </c>
      <c r="U61" s="63">
        <v>3</v>
      </c>
      <c r="V61" s="63">
        <v>0</v>
      </c>
      <c r="W61" s="63">
        <v>0</v>
      </c>
      <c r="X61" s="64">
        <v>0</v>
      </c>
      <c r="Y61" s="78"/>
    </row>
    <row r="62" spans="1:25" ht="14.25" customHeight="1" x14ac:dyDescent="0.2"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</row>
  </sheetData>
  <mergeCells count="5">
    <mergeCell ref="A1:B2"/>
    <mergeCell ref="D4:F4"/>
    <mergeCell ref="H4:J4"/>
    <mergeCell ref="D36:F36"/>
    <mergeCell ref="H36:J3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基础模型(废）</vt:lpstr>
      <vt:lpstr>基础模型</vt:lpstr>
      <vt:lpstr>战斗公式</vt:lpstr>
      <vt:lpstr>角色设定</vt:lpstr>
      <vt:lpstr>角色成长</vt:lpstr>
      <vt:lpstr>角色品星</vt:lpstr>
      <vt:lpstr>角色升级</vt:lpstr>
      <vt:lpstr>技能模板</vt:lpstr>
      <vt:lpstr>角色技能</vt:lpstr>
      <vt:lpstr>战斗模拟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2022-10-28T10:54:35Z</dcterms:created>
  <dcterms:modified xsi:type="dcterms:W3CDTF">2022-12-29T09:50:29Z</dcterms:modified>
</cp:coreProperties>
</file>
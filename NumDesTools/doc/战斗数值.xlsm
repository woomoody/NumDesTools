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Public\Excels\ExcelTools\"/>
    </mc:Choice>
  </mc:AlternateContent>
  <xr:revisionPtr revIDLastSave="0" documentId="13_ncr:1_{AE559A2B-1C62-48BA-B65B-58860D14C5B9}" xr6:coauthVersionLast="47" xr6:coauthVersionMax="47" xr10:uidLastSave="{00000000-0000-0000-0000-000000000000}"/>
  <bookViews>
    <workbookView xWindow="28680" yWindow="-75" windowWidth="29040" windowHeight="16440" activeTab="2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2" l="1"/>
  <c r="L9" i="2"/>
  <c r="L7" i="2"/>
  <c r="M8" i="2"/>
  <c r="M6" i="2"/>
  <c r="S4" i="2"/>
  <c r="T10" i="2" s="1"/>
  <c r="T7" i="2"/>
  <c r="T8" i="2"/>
  <c r="T9" i="2"/>
  <c r="R10" i="2"/>
  <c r="S10" i="2"/>
  <c r="S16" i="2" s="1"/>
  <c r="Q44" i="2" s="1"/>
  <c r="S6" i="2"/>
  <c r="T6" i="2"/>
  <c r="N6" i="2"/>
  <c r="M7" i="2"/>
  <c r="M13" i="2" s="1"/>
  <c r="N7" i="2"/>
  <c r="N8" i="2"/>
  <c r="M9" i="2"/>
  <c r="M15" i="2" s="1"/>
  <c r="N9" i="2"/>
  <c r="M10" i="2"/>
  <c r="M16" i="2" s="1"/>
  <c r="M44" i="2" s="1"/>
  <c r="L8" i="2"/>
  <c r="L10" i="2"/>
  <c r="L6" i="2"/>
  <c r="G21" i="2"/>
  <c r="G24" i="2" s="1"/>
  <c r="E20" i="2"/>
  <c r="E37" i="2" s="1"/>
  <c r="E18" i="2"/>
  <c r="F19" i="2"/>
  <c r="F36" i="2" s="1"/>
  <c r="F17" i="2"/>
  <c r="S8" i="2" s="1"/>
  <c r="F32" i="2"/>
  <c r="F31" i="2"/>
  <c r="F30" i="2"/>
  <c r="F29" i="2"/>
  <c r="F28" i="2"/>
  <c r="F21" i="2"/>
  <c r="E21" i="2"/>
  <c r="E25" i="2" s="1"/>
  <c r="G20" i="2"/>
  <c r="G37" i="2" s="1"/>
  <c r="F20" i="2"/>
  <c r="F37" i="2" s="1"/>
  <c r="G19" i="2"/>
  <c r="G36" i="2" s="1"/>
  <c r="E19" i="2"/>
  <c r="E36" i="2" s="1"/>
  <c r="G18" i="2"/>
  <c r="G35" i="2" s="1"/>
  <c r="F18" i="2"/>
  <c r="G17" i="2"/>
  <c r="G34" i="2" s="1"/>
  <c r="E17" i="2"/>
  <c r="E34" i="2" s="1"/>
  <c r="T16" i="2"/>
  <c r="R44" i="2" s="1"/>
  <c r="N16" i="2"/>
  <c r="N44" i="2" s="1"/>
  <c r="V5" i="7"/>
  <c r="W5" i="7"/>
  <c r="X5" i="7"/>
  <c r="B5" i="9" a="1"/>
  <c r="B5" i="9" l="1"/>
  <c r="R6" i="2"/>
  <c r="R8" i="2"/>
  <c r="S7" i="2"/>
  <c r="S13" i="2" s="1"/>
  <c r="S9" i="2"/>
  <c r="S15" i="2" s="1"/>
  <c r="R9" i="2"/>
  <c r="R15" i="2" s="1"/>
  <c r="R7" i="2"/>
  <c r="M12" i="2"/>
  <c r="M14" i="2"/>
  <c r="S12" i="2"/>
  <c r="R12" i="2"/>
  <c r="L12" i="2"/>
  <c r="N15" i="2"/>
  <c r="T13" i="2"/>
  <c r="S14" i="2"/>
  <c r="F23" i="2"/>
  <c r="F24" i="2" s="1"/>
  <c r="L14" i="2"/>
  <c r="N32" i="2" s="1"/>
  <c r="L16" i="2"/>
  <c r="L44" i="2" s="1"/>
  <c r="E23" i="2"/>
  <c r="H17" i="2" s="1"/>
  <c r="R16" i="2"/>
  <c r="P44" i="2" s="1"/>
  <c r="H25" i="2"/>
  <c r="G23" i="2"/>
  <c r="F34" i="2"/>
  <c r="L15" i="2"/>
  <c r="E35" i="2"/>
  <c r="E24" i="2"/>
  <c r="H24" i="2" s="1"/>
  <c r="F35" i="2"/>
  <c r="E38" i="2"/>
  <c r="E42" i="2" s="1"/>
  <c r="F38" i="2"/>
  <c r="G38" i="2"/>
  <c r="G41" i="2" s="1"/>
  <c r="F25" i="2"/>
  <c r="P5" i="7"/>
  <c r="O5" i="7"/>
  <c r="AD10" i="4"/>
  <c r="H16" i="4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V21" i="4"/>
  <c r="V20" i="4"/>
  <c r="J15" i="4"/>
  <c r="F32" i="3"/>
  <c r="G41" i="3"/>
  <c r="G40" i="3"/>
  <c r="E35" i="3"/>
  <c r="F35" i="3"/>
  <c r="G35" i="3"/>
  <c r="E36" i="3"/>
  <c r="F36" i="3"/>
  <c r="G36" i="3"/>
  <c r="E37" i="3"/>
  <c r="F37" i="3"/>
  <c r="G37" i="3"/>
  <c r="E38" i="3"/>
  <c r="E40" i="3" s="1"/>
  <c r="H40" i="3" s="1"/>
  <c r="F38" i="3"/>
  <c r="F42" i="3" s="1"/>
  <c r="G38" i="3"/>
  <c r="F34" i="3"/>
  <c r="G34" i="3"/>
  <c r="E34" i="3"/>
  <c r="E23" i="3"/>
  <c r="H23" i="3"/>
  <c r="F29" i="3"/>
  <c r="F30" i="3"/>
  <c r="F31" i="3"/>
  <c r="F28" i="3"/>
  <c r="F25" i="3"/>
  <c r="E25" i="3"/>
  <c r="F24" i="3"/>
  <c r="F23" i="3"/>
  <c r="H17" i="3"/>
  <c r="H6" i="10"/>
  <c r="H7" i="10"/>
  <c r="H8" i="10"/>
  <c r="H9" i="10"/>
  <c r="H10" i="10"/>
  <c r="H11" i="10"/>
  <c r="H12" i="10"/>
  <c r="H13" i="10"/>
  <c r="H14" i="10"/>
  <c r="H15" i="10"/>
  <c r="H16" i="10"/>
  <c r="H5" i="10"/>
  <c r="M4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F56" i="9"/>
  <c r="D56" i="9" s="1"/>
  <c r="F57" i="9"/>
  <c r="D57" i="9" s="1"/>
  <c r="F58" i="9"/>
  <c r="D58" i="9" s="1"/>
  <c r="F59" i="9"/>
  <c r="D59" i="9" s="1"/>
  <c r="F60" i="9"/>
  <c r="D60" i="9" s="1"/>
  <c r="F61" i="9"/>
  <c r="D61" i="9" s="1"/>
  <c r="J61" i="9"/>
  <c r="K61" i="9"/>
  <c r="F54" i="9"/>
  <c r="F55" i="9"/>
  <c r="D55" i="9" s="1"/>
  <c r="H54" i="9"/>
  <c r="I54" i="9" s="1"/>
  <c r="H55" i="9"/>
  <c r="I55" i="9" s="1"/>
  <c r="H56" i="9"/>
  <c r="I56" i="9" s="1"/>
  <c r="H57" i="9"/>
  <c r="I57" i="9" s="1"/>
  <c r="H58" i="9"/>
  <c r="I58" i="9" s="1"/>
  <c r="H59" i="9"/>
  <c r="I59" i="9" s="1"/>
  <c r="H60" i="9"/>
  <c r="I60" i="9" s="1"/>
  <c r="H61" i="9"/>
  <c r="I61" i="9" s="1"/>
  <c r="A52" i="9"/>
  <c r="M14" i="11"/>
  <c r="H18" i="9"/>
  <c r="I18" i="9" s="1"/>
  <c r="H29" i="9"/>
  <c r="I29" i="9" s="1"/>
  <c r="J18" i="9"/>
  <c r="K18" i="9"/>
  <c r="N18" i="9"/>
  <c r="M18" i="9" s="1"/>
  <c r="O18" i="9"/>
  <c r="P18" i="9"/>
  <c r="Q18" i="9"/>
  <c r="R18" i="9"/>
  <c r="S18" i="9"/>
  <c r="T18" i="9"/>
  <c r="R27" i="9"/>
  <c r="S27" i="9"/>
  <c r="T27" i="9"/>
  <c r="S28" i="9"/>
  <c r="T28" i="9"/>
  <c r="R29" i="9"/>
  <c r="S29" i="9"/>
  <c r="T29" i="9"/>
  <c r="J27" i="9"/>
  <c r="N27" i="9" s="1"/>
  <c r="M27" i="9" s="1"/>
  <c r="K27" i="9"/>
  <c r="J28" i="9"/>
  <c r="K28" i="9"/>
  <c r="J29" i="9"/>
  <c r="N29" i="9" s="1"/>
  <c r="M29" i="9" s="1"/>
  <c r="K29" i="9"/>
  <c r="H28" i="9"/>
  <c r="I28" i="9" s="1"/>
  <c r="N14" i="2" l="1"/>
  <c r="N13" i="2"/>
  <c r="L13" i="2"/>
  <c r="R13" i="2"/>
  <c r="R14" i="2"/>
  <c r="T12" i="2"/>
  <c r="N12" i="2"/>
  <c r="T15" i="2"/>
  <c r="H23" i="2"/>
  <c r="H26" i="2" s="1"/>
  <c r="T14" i="2"/>
  <c r="P31" i="2" s="1"/>
  <c r="E52" i="2"/>
  <c r="E55" i="2"/>
  <c r="E41" i="2"/>
  <c r="H41" i="2" s="1"/>
  <c r="E40" i="2"/>
  <c r="P22" i="2"/>
  <c r="N21" i="2"/>
  <c r="F40" i="2"/>
  <c r="F41" i="2" s="1"/>
  <c r="N22" i="2"/>
  <c r="P21" i="2"/>
  <c r="E51" i="2"/>
  <c r="H42" i="2"/>
  <c r="F42" i="2"/>
  <c r="G40" i="2"/>
  <c r="E41" i="3"/>
  <c r="H41" i="3" s="1"/>
  <c r="F40" i="3"/>
  <c r="F41" i="3" s="1"/>
  <c r="E42" i="3"/>
  <c r="H42" i="3" s="1"/>
  <c r="E56" i="9"/>
  <c r="E61" i="9"/>
  <c r="E59" i="9"/>
  <c r="E55" i="9"/>
  <c r="E57" i="9"/>
  <c r="E60" i="9"/>
  <c r="E58" i="9"/>
  <c r="U18" i="9"/>
  <c r="W18" i="9"/>
  <c r="V18" i="9"/>
  <c r="X18" i="9"/>
  <c r="V29" i="9"/>
  <c r="P27" i="9"/>
  <c r="O27" i="9"/>
  <c r="L18" i="9"/>
  <c r="X29" i="9"/>
  <c r="W29" i="9"/>
  <c r="U29" i="9"/>
  <c r="O29" i="9"/>
  <c r="Q27" i="9"/>
  <c r="Q29" i="9"/>
  <c r="P29" i="9"/>
  <c r="N31" i="2" l="1"/>
  <c r="O31" i="2" s="1"/>
  <c r="R31" i="2" s="1"/>
  <c r="P32" i="2"/>
  <c r="H40" i="2"/>
  <c r="H43" i="2" s="1"/>
  <c r="E53" i="2"/>
  <c r="O21" i="2"/>
  <c r="E54" i="2"/>
  <c r="F54" i="2" s="1"/>
  <c r="F52" i="2"/>
  <c r="H43" i="3"/>
  <c r="L27" i="9"/>
  <c r="L29" i="9"/>
  <c r="P22" i="11"/>
  <c r="Q33" i="2" l="1"/>
  <c r="P34" i="2" s="1"/>
  <c r="O32" i="2"/>
  <c r="M33" i="2"/>
  <c r="N34" i="2" s="1"/>
  <c r="F53" i="2"/>
  <c r="F55" i="2"/>
  <c r="E59" i="2" s="1"/>
  <c r="E58" i="2"/>
  <c r="F51" i="2"/>
  <c r="O22" i="2"/>
  <c r="R21" i="2"/>
  <c r="Q23" i="2"/>
  <c r="P24" i="2" s="1"/>
  <c r="M23" i="2"/>
  <c r="N24" i="2" s="1"/>
  <c r="AI10" i="4"/>
  <c r="E41" i="1"/>
  <c r="E42" i="1"/>
  <c r="T6" i="8"/>
  <c r="T7" i="8"/>
  <c r="T8" i="8"/>
  <c r="T9" i="8"/>
  <c r="T10" i="8"/>
  <c r="T5" i="8"/>
  <c r="H25" i="3"/>
  <c r="H26" i="3" s="1"/>
  <c r="H24" i="3"/>
  <c r="E24" i="3"/>
  <c r="R21" i="3"/>
  <c r="I15" i="8"/>
  <c r="I16" i="8"/>
  <c r="I17" i="8"/>
  <c r="I18" i="8"/>
  <c r="I19" i="8"/>
  <c r="I14" i="8"/>
  <c r="N5" i="8"/>
  <c r="I26" i="4"/>
  <c r="Y10" i="4"/>
  <c r="H5" i="5"/>
  <c r="F5" i="5"/>
  <c r="F6" i="5"/>
  <c r="G6" i="5" s="1"/>
  <c r="F7" i="5"/>
  <c r="F8" i="5"/>
  <c r="G8" i="5" s="1"/>
  <c r="P33" i="2" l="1"/>
  <c r="N33" i="2"/>
  <c r="E57" i="2"/>
  <c r="P23" i="2"/>
  <c r="N23" i="2"/>
  <c r="G7" i="5"/>
  <c r="D34" i="9"/>
  <c r="J34" i="9"/>
  <c r="F361" i="11"/>
  <c r="G361" i="11"/>
  <c r="G383" i="11" s="1"/>
  <c r="E361" i="11"/>
  <c r="E377" i="11" s="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AC73" i="11"/>
  <c r="AD73" i="11"/>
  <c r="AE73" i="1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K21" i="11"/>
  <c r="G26" i="11"/>
  <c r="G27" i="11"/>
  <c r="G28" i="11"/>
  <c r="G29" i="11"/>
  <c r="G30" i="11"/>
  <c r="G31" i="1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P24" i="11" s="1"/>
  <c r="F22" i="11"/>
  <c r="G22" i="11"/>
  <c r="E22" i="11"/>
  <c r="G23" i="3"/>
  <c r="F15" i="11"/>
  <c r="G131" i="11"/>
  <c r="E18" i="11"/>
  <c r="F14" i="11"/>
  <c r="G14" i="11"/>
  <c r="G15" i="11" s="1"/>
  <c r="G16" i="11" s="1"/>
  <c r="O33" i="2" l="1"/>
  <c r="Q35" i="2" s="1"/>
  <c r="P36" i="2" s="1"/>
  <c r="O23" i="2"/>
  <c r="M25" i="2" s="1"/>
  <c r="N26" i="2" s="1"/>
  <c r="M35" i="2"/>
  <c r="N36" i="2" s="1"/>
  <c r="O34" i="2"/>
  <c r="R33" i="2"/>
  <c r="G244" i="11"/>
  <c r="G18" i="11"/>
  <c r="F357" i="11"/>
  <c r="F18" i="11"/>
  <c r="F356" i="11"/>
  <c r="F17" i="11"/>
  <c r="F130" i="11"/>
  <c r="F16" i="11"/>
  <c r="E15" i="11"/>
  <c r="H14" i="11"/>
  <c r="E16" i="11"/>
  <c r="E14" i="11"/>
  <c r="P31" i="11"/>
  <c r="P30" i="11"/>
  <c r="P29" i="11"/>
  <c r="P28" i="11"/>
  <c r="E290" i="11"/>
  <c r="E291" i="1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P259" i="11" s="1"/>
  <c r="AA259" i="11" s="1"/>
  <c r="G314" i="11"/>
  <c r="P314" i="11" s="1"/>
  <c r="AA314" i="11" s="1"/>
  <c r="G341" i="11"/>
  <c r="P341" i="11" s="1"/>
  <c r="AA341" i="11" s="1"/>
  <c r="G278" i="11"/>
  <c r="P278" i="11" s="1"/>
  <c r="AA278" i="11" s="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P421" i="11" s="1"/>
  <c r="AA421" i="11" s="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P305" i="11" s="1"/>
  <c r="AA305" i="11" s="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AA318" i="11" s="1"/>
  <c r="G346" i="11"/>
  <c r="P346" i="11" s="1"/>
  <c r="AA346" i="11" s="1"/>
  <c r="E328" i="11"/>
  <c r="G292" i="11"/>
  <c r="P292" i="11" s="1"/>
  <c r="AA292" i="11" s="1"/>
  <c r="G261" i="11"/>
  <c r="E421" i="11"/>
  <c r="G420" i="11"/>
  <c r="P420" i="11" s="1"/>
  <c r="AA420" i="11" s="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P301" i="11" s="1"/>
  <c r="AA301" i="11" s="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P272" i="11" s="1"/>
  <c r="AA272" i="11" s="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G354" i="11"/>
  <c r="G355" i="11" s="1"/>
  <c r="G356" i="11" s="1"/>
  <c r="E241" i="11"/>
  <c r="E242" i="11" s="1"/>
  <c r="E243" i="11" s="1"/>
  <c r="E244" i="11"/>
  <c r="F241" i="11"/>
  <c r="F242" i="11"/>
  <c r="F243" i="11"/>
  <c r="F131" i="11"/>
  <c r="G357" i="11"/>
  <c r="G128" i="11"/>
  <c r="G129" i="11" s="1"/>
  <c r="G130" i="11" s="1"/>
  <c r="F129" i="11"/>
  <c r="G241" i="11"/>
  <c r="G242" i="11" s="1"/>
  <c r="G243" i="11" s="1"/>
  <c r="E131" i="11"/>
  <c r="G17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107" i="11"/>
  <c r="AA107" i="11" s="1"/>
  <c r="P87" i="11"/>
  <c r="AA87" i="11" s="1"/>
  <c r="P67" i="11"/>
  <c r="AA67" i="11" s="1"/>
  <c r="P47" i="11"/>
  <c r="AA47" i="11" s="1"/>
  <c r="P27" i="11"/>
  <c r="AA27" i="11" s="1"/>
  <c r="P345" i="11"/>
  <c r="AA345" i="11" s="1"/>
  <c r="P261" i="11"/>
  <c r="AA261" i="11" s="1"/>
  <c r="P106" i="11"/>
  <c r="AA106" i="11" s="1"/>
  <c r="P86" i="11"/>
  <c r="P66" i="11"/>
  <c r="AA66" i="11" s="1"/>
  <c r="P46" i="11"/>
  <c r="AA46" i="11" s="1"/>
  <c r="P26" i="11"/>
  <c r="AA26" i="11" s="1"/>
  <c r="K134" i="11"/>
  <c r="K360" i="11"/>
  <c r="K247" i="11"/>
  <c r="P65" i="11"/>
  <c r="AA65" i="11" s="1"/>
  <c r="P84" i="11"/>
  <c r="AA84" i="11" s="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383" i="11"/>
  <c r="AA383" i="11" s="1"/>
  <c r="P44" i="11"/>
  <c r="AA44" i="11" s="1"/>
  <c r="P63" i="11"/>
  <c r="AA63" i="11" s="1"/>
  <c r="P262" i="11"/>
  <c r="AA262" i="11" s="1"/>
  <c r="AA24" i="1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AA78" i="11" s="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24" i="11" s="1"/>
  <c r="N24" i="11" s="1"/>
  <c r="Y24" i="11" s="1"/>
  <c r="N315" i="11"/>
  <c r="Y315" i="11" s="1"/>
  <c r="AA32" i="11"/>
  <c r="AA112" i="11"/>
  <c r="AA72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109" i="11"/>
  <c r="AA49" i="11"/>
  <c r="AA86" i="11"/>
  <c r="AA76" i="11"/>
  <c r="AA31" i="11"/>
  <c r="AA113" i="11"/>
  <c r="AA108" i="11"/>
  <c r="AA88" i="11"/>
  <c r="AA73" i="11"/>
  <c r="AA68" i="11"/>
  <c r="AA53" i="11"/>
  <c r="AA48" i="11"/>
  <c r="AA28" i="11"/>
  <c r="AA95" i="11"/>
  <c r="AA85" i="11"/>
  <c r="AA35" i="1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C55" i="9"/>
  <c r="C44" i="9"/>
  <c r="C20" i="9"/>
  <c r="C21" i="9"/>
  <c r="C22" i="9"/>
  <c r="C23" i="9"/>
  <c r="C12" i="9"/>
  <c r="C54" i="9"/>
  <c r="H53" i="9"/>
  <c r="C53" i="9"/>
  <c r="C52" i="9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1" i="9"/>
  <c r="S22" i="9"/>
  <c r="S23" i="9"/>
  <c r="S24" i="9"/>
  <c r="S25" i="9"/>
  <c r="S26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K10" i="9"/>
  <c r="J10" i="9"/>
  <c r="F25" i="9"/>
  <c r="D25" i="9" s="1"/>
  <c r="F11" i="9"/>
  <c r="E11" i="9" s="1"/>
  <c r="F14" i="9"/>
  <c r="D14" i="9" s="1"/>
  <c r="F16" i="9"/>
  <c r="D16" i="9" s="1"/>
  <c r="T11" i="9"/>
  <c r="T12" i="9"/>
  <c r="T13" i="9"/>
  <c r="T14" i="9"/>
  <c r="T15" i="9"/>
  <c r="T16" i="9"/>
  <c r="T17" i="9"/>
  <c r="T10" i="9"/>
  <c r="F21" i="9"/>
  <c r="D21" i="9" s="1"/>
  <c r="C11" i="9"/>
  <c r="C9" i="9"/>
  <c r="C10" i="9"/>
  <c r="H22" i="9"/>
  <c r="I22" i="9" s="1"/>
  <c r="H23" i="9"/>
  <c r="H24" i="9"/>
  <c r="H25" i="9"/>
  <c r="H26" i="9"/>
  <c r="I26" i="9" s="1"/>
  <c r="H27" i="9"/>
  <c r="H16" i="9"/>
  <c r="S16" i="9"/>
  <c r="H17" i="9"/>
  <c r="S17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Q25" i="2" l="1"/>
  <c r="P26" i="2" s="1"/>
  <c r="R23" i="2"/>
  <c r="O24" i="2"/>
  <c r="P35" i="2"/>
  <c r="N35" i="2"/>
  <c r="N25" i="2"/>
  <c r="K14" i="11"/>
  <c r="E89" i="11"/>
  <c r="N89" i="11" s="1"/>
  <c r="Y89" i="11" s="1"/>
  <c r="E31" i="11"/>
  <c r="N31" i="11" s="1"/>
  <c r="Y31" i="11" s="1"/>
  <c r="E77" i="11"/>
  <c r="N77" i="11" s="1"/>
  <c r="Y77" i="11" s="1"/>
  <c r="E107" i="11"/>
  <c r="N107" i="11" s="1"/>
  <c r="Y107" i="11" s="1"/>
  <c r="E59" i="11"/>
  <c r="N59" i="11" s="1"/>
  <c r="Y59" i="11" s="1"/>
  <c r="F10" i="9"/>
  <c r="F18" i="9"/>
  <c r="F29" i="9"/>
  <c r="F27" i="9"/>
  <c r="D11" i="9"/>
  <c r="E14" i="9"/>
  <c r="F22" i="9"/>
  <c r="D22" i="9" s="1"/>
  <c r="F28" i="9"/>
  <c r="U27" i="9"/>
  <c r="V27" i="9"/>
  <c r="X27" i="9"/>
  <c r="W27" i="9"/>
  <c r="F53" i="9"/>
  <c r="E53" i="9" s="1"/>
  <c r="N459" i="11"/>
  <c r="Y459" i="11" s="1"/>
  <c r="P21" i="11"/>
  <c r="H128" i="11"/>
  <c r="K128" i="11" s="1"/>
  <c r="H17" i="11"/>
  <c r="K17" i="11" s="1"/>
  <c r="H18" i="11"/>
  <c r="K18" i="11" s="1"/>
  <c r="H16" i="11"/>
  <c r="K16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I43" i="9"/>
  <c r="N46" i="9"/>
  <c r="M46" i="9" s="1"/>
  <c r="F15" i="9"/>
  <c r="F12" i="9"/>
  <c r="E16" i="9"/>
  <c r="F17" i="9"/>
  <c r="F13" i="9"/>
  <c r="E22" i="9"/>
  <c r="E21" i="9"/>
  <c r="E25" i="9"/>
  <c r="F26" i="9"/>
  <c r="U25" i="9"/>
  <c r="W24" i="9"/>
  <c r="X16" i="9"/>
  <c r="F24" i="9"/>
  <c r="F23" i="9"/>
  <c r="D10" i="9"/>
  <c r="E10" i="9"/>
  <c r="I25" i="9"/>
  <c r="U16" i="9"/>
  <c r="I27" i="9"/>
  <c r="W15" i="9"/>
  <c r="W14" i="9"/>
  <c r="I16" i="9"/>
  <c r="V14" i="9"/>
  <c r="W16" i="9"/>
  <c r="V16" i="9"/>
  <c r="V15" i="9"/>
  <c r="X14" i="9"/>
  <c r="X25" i="9"/>
  <c r="W25" i="9"/>
  <c r="V25" i="9"/>
  <c r="I23" i="9"/>
  <c r="V24" i="9"/>
  <c r="X15" i="9"/>
  <c r="V26" i="9"/>
  <c r="X24" i="9"/>
  <c r="X26" i="9"/>
  <c r="I24" i="9"/>
  <c r="W26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P25" i="2" l="1"/>
  <c r="O25" i="2" s="1"/>
  <c r="O35" i="2"/>
  <c r="M37" i="2" s="1"/>
  <c r="H19" i="11"/>
  <c r="D18" i="9"/>
  <c r="E18" i="9"/>
  <c r="D27" i="9"/>
  <c r="E27" i="9"/>
  <c r="D29" i="9"/>
  <c r="E29" i="9"/>
  <c r="D53" i="9"/>
  <c r="D28" i="9"/>
  <c r="E28" i="9"/>
  <c r="D54" i="9"/>
  <c r="E54" i="9"/>
  <c r="K19" i="11"/>
  <c r="F21" i="11" s="1"/>
  <c r="F88" i="11" s="1"/>
  <c r="O88" i="11" s="1"/>
  <c r="Z88" i="11" s="1"/>
  <c r="V335" i="1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V73" i="11"/>
  <c r="AF73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V190" i="11"/>
  <c r="AF190" i="11" s="1"/>
  <c r="V150" i="11"/>
  <c r="AF150" i="11" s="1"/>
  <c r="V324" i="11"/>
  <c r="AF324" i="11" s="1"/>
  <c r="Y167" i="11"/>
  <c r="V445" i="11"/>
  <c r="AF445" i="11" s="1"/>
  <c r="V210" i="11"/>
  <c r="AF210" i="11" s="1"/>
  <c r="V206" i="11"/>
  <c r="AF206" i="11" s="1"/>
  <c r="V414" i="11"/>
  <c r="AF414" i="11" s="1"/>
  <c r="V233" i="11"/>
  <c r="AF233" i="11" s="1"/>
  <c r="V88" i="11"/>
  <c r="AF88" i="11" s="1"/>
  <c r="V438" i="11"/>
  <c r="AF438" i="11" s="1"/>
  <c r="V156" i="11"/>
  <c r="AF156" i="11" s="1"/>
  <c r="V396" i="11"/>
  <c r="AF396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V90" i="11"/>
  <c r="AF90" i="11" s="1"/>
  <c r="V336" i="11"/>
  <c r="AF336" i="11" s="1"/>
  <c r="V452" i="11"/>
  <c r="AF452" i="11" s="1"/>
  <c r="V146" i="11"/>
  <c r="AF146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V314" i="11"/>
  <c r="AF314" i="11" s="1"/>
  <c r="V263" i="11"/>
  <c r="AF263" i="11" s="1"/>
  <c r="V154" i="11"/>
  <c r="AF154" i="11" s="1"/>
  <c r="H244" i="11"/>
  <c r="H354" i="11"/>
  <c r="V47" i="11"/>
  <c r="AF47" i="11" s="1"/>
  <c r="V431" i="11"/>
  <c r="AF431" i="11" s="1"/>
  <c r="V449" i="11"/>
  <c r="AF449" i="11" s="1"/>
  <c r="V119" i="11"/>
  <c r="AF119" i="11" s="1"/>
  <c r="V392" i="11"/>
  <c r="AF392" i="11" s="1"/>
  <c r="V201" i="11"/>
  <c r="AF201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V390" i="11"/>
  <c r="AF390" i="11" s="1"/>
  <c r="V440" i="11"/>
  <c r="AF440" i="11" s="1"/>
  <c r="Y434" i="11"/>
  <c r="V86" i="11"/>
  <c r="AF86" i="11" s="1"/>
  <c r="V106" i="11"/>
  <c r="AF10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H355" i="11"/>
  <c r="V298" i="11"/>
  <c r="AF298" i="11" s="1"/>
  <c r="V455" i="11"/>
  <c r="AF455" i="11" s="1"/>
  <c r="V141" i="11"/>
  <c r="AF141" i="11" s="1"/>
  <c r="V379" i="11"/>
  <c r="AF379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V32" i="11"/>
  <c r="AF32" i="11" s="1"/>
  <c r="V54" i="11"/>
  <c r="AF54" i="11" s="1"/>
  <c r="V303" i="11"/>
  <c r="AF303" i="11" s="1"/>
  <c r="V289" i="11"/>
  <c r="AF289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V112" i="11"/>
  <c r="AF112" i="11" s="1"/>
  <c r="V80" i="11"/>
  <c r="AF80" i="11" s="1"/>
  <c r="V217" i="11"/>
  <c r="AF217" i="11" s="1"/>
  <c r="V92" i="11"/>
  <c r="AF92" i="11" s="1"/>
  <c r="V433" i="11"/>
  <c r="AF433" i="11" s="1"/>
  <c r="V430" i="11"/>
  <c r="AF430" i="11" s="1"/>
  <c r="V404" i="11"/>
  <c r="AF404" i="11" s="1"/>
  <c r="V138" i="11"/>
  <c r="AF138" i="11" s="1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28" i="9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Q37" i="2" l="1"/>
  <c r="R35" i="2"/>
  <c r="Q27" i="2"/>
  <c r="Q28" i="2" s="1"/>
  <c r="R42" i="2" s="1"/>
  <c r="O26" i="2"/>
  <c r="R25" i="2"/>
  <c r="M27" i="2"/>
  <c r="P37" i="2"/>
  <c r="O36" i="2"/>
  <c r="N37" i="2"/>
  <c r="N38" i="2"/>
  <c r="M38" i="2"/>
  <c r="N43" i="2" s="1"/>
  <c r="M39" i="2"/>
  <c r="N40" i="2" s="1"/>
  <c r="L43" i="2" s="1"/>
  <c r="Q38" i="2"/>
  <c r="R43" i="2" s="1"/>
  <c r="P38" i="2"/>
  <c r="Q39" i="2"/>
  <c r="P40" i="2" s="1"/>
  <c r="P43" i="2" s="1"/>
  <c r="Q43" i="2" s="1"/>
  <c r="N28" i="2"/>
  <c r="M28" i="2"/>
  <c r="N42" i="2" s="1"/>
  <c r="M29" i="2"/>
  <c r="N30" i="2" s="1"/>
  <c r="L42" i="2" s="1"/>
  <c r="N27" i="2"/>
  <c r="P27" i="2"/>
  <c r="F84" i="11"/>
  <c r="O84" i="11" s="1"/>
  <c r="Z84" i="11" s="1"/>
  <c r="F38" i="11"/>
  <c r="O38" i="11" s="1"/>
  <c r="Z38" i="11" s="1"/>
  <c r="F26" i="11"/>
  <c r="O26" i="11" s="1"/>
  <c r="Z26" i="11" s="1"/>
  <c r="F62" i="11"/>
  <c r="O62" i="11" s="1"/>
  <c r="Z62" i="11" s="1"/>
  <c r="F69" i="11"/>
  <c r="O69" i="11" s="1"/>
  <c r="Z69" i="11" s="1"/>
  <c r="F113" i="11"/>
  <c r="O113" i="11" s="1"/>
  <c r="Z113" i="11" s="1"/>
  <c r="F28" i="11"/>
  <c r="O28" i="11" s="1"/>
  <c r="Z28" i="11" s="1"/>
  <c r="F66" i="11"/>
  <c r="O66" i="11" s="1"/>
  <c r="Z66" i="11" s="1"/>
  <c r="F81" i="11"/>
  <c r="O81" i="11" s="1"/>
  <c r="Z81" i="11" s="1"/>
  <c r="F73" i="11"/>
  <c r="O73" i="11" s="1"/>
  <c r="Z73" i="11" s="1"/>
  <c r="F91" i="11"/>
  <c r="O91" i="11" s="1"/>
  <c r="Z91" i="11" s="1"/>
  <c r="F75" i="11"/>
  <c r="O75" i="11" s="1"/>
  <c r="Z75" i="11" s="1"/>
  <c r="F36" i="11"/>
  <c r="O36" i="11" s="1"/>
  <c r="Z36" i="11" s="1"/>
  <c r="F90" i="11"/>
  <c r="O90" i="11" s="1"/>
  <c r="Z90" i="11" s="1"/>
  <c r="F121" i="11"/>
  <c r="O121" i="11" s="1"/>
  <c r="Z121" i="11" s="1"/>
  <c r="F46" i="11"/>
  <c r="O46" i="11" s="1"/>
  <c r="Z46" i="11" s="1"/>
  <c r="F34" i="11"/>
  <c r="O34" i="11" s="1"/>
  <c r="Z34" i="11" s="1"/>
  <c r="F53" i="11"/>
  <c r="O53" i="11" s="1"/>
  <c r="Z53" i="11" s="1"/>
  <c r="F41" i="11"/>
  <c r="O41" i="11" s="1"/>
  <c r="Z41" i="11" s="1"/>
  <c r="F43" i="11"/>
  <c r="O43" i="11" s="1"/>
  <c r="Z43" i="11" s="1"/>
  <c r="F32" i="11"/>
  <c r="O32" i="11" s="1"/>
  <c r="Z32" i="11" s="1"/>
  <c r="F37" i="11"/>
  <c r="O37" i="11" s="1"/>
  <c r="Z37" i="11" s="1"/>
  <c r="F112" i="11"/>
  <c r="O112" i="11" s="1"/>
  <c r="Z112" i="11" s="1"/>
  <c r="F40" i="11"/>
  <c r="O40" i="11" s="1"/>
  <c r="Z40" i="11" s="1"/>
  <c r="F59" i="11"/>
  <c r="O59" i="11" s="1"/>
  <c r="Z59" i="11" s="1"/>
  <c r="F45" i="11"/>
  <c r="O45" i="11" s="1"/>
  <c r="Z45" i="11" s="1"/>
  <c r="F39" i="11"/>
  <c r="O39" i="11" s="1"/>
  <c r="Z39" i="11" s="1"/>
  <c r="F74" i="11"/>
  <c r="O74" i="11" s="1"/>
  <c r="Z74" i="11" s="1"/>
  <c r="F95" i="11"/>
  <c r="O95" i="11" s="1"/>
  <c r="Z95" i="11" s="1"/>
  <c r="F42" i="11"/>
  <c r="O42" i="11" s="1"/>
  <c r="Z42" i="11" s="1"/>
  <c r="F76" i="11"/>
  <c r="O76" i="11" s="1"/>
  <c r="Z76" i="11" s="1"/>
  <c r="F31" i="11"/>
  <c r="O31" i="11" s="1"/>
  <c r="Z31" i="11" s="1"/>
  <c r="F120" i="11"/>
  <c r="O120" i="11" s="1"/>
  <c r="Z120" i="11" s="1"/>
  <c r="F64" i="11"/>
  <c r="O64" i="11" s="1"/>
  <c r="Z64" i="11" s="1"/>
  <c r="F102" i="11"/>
  <c r="O102" i="11" s="1"/>
  <c r="Z102" i="11" s="1"/>
  <c r="F82" i="11"/>
  <c r="O82" i="11" s="1"/>
  <c r="Z82" i="11" s="1"/>
  <c r="F117" i="11"/>
  <c r="O117" i="11" s="1"/>
  <c r="Z117" i="11" s="1"/>
  <c r="F58" i="11"/>
  <c r="O58" i="11" s="1"/>
  <c r="Z58" i="11" s="1"/>
  <c r="F27" i="11"/>
  <c r="O27" i="11" s="1"/>
  <c r="Z27" i="11" s="1"/>
  <c r="F116" i="11"/>
  <c r="O116" i="11" s="1"/>
  <c r="Z116" i="11" s="1"/>
  <c r="F52" i="11"/>
  <c r="O52" i="11" s="1"/>
  <c r="Z52" i="11" s="1"/>
  <c r="F71" i="11"/>
  <c r="O71" i="11" s="1"/>
  <c r="Z71" i="11" s="1"/>
  <c r="F57" i="11"/>
  <c r="O57" i="11" s="1"/>
  <c r="Z57" i="11" s="1"/>
  <c r="F98" i="11"/>
  <c r="O98" i="11" s="1"/>
  <c r="Z98" i="11" s="1"/>
  <c r="F48" i="11"/>
  <c r="O48" i="11" s="1"/>
  <c r="Z48" i="11" s="1"/>
  <c r="F92" i="11"/>
  <c r="O92" i="11" s="1"/>
  <c r="Z92" i="11" s="1"/>
  <c r="F78" i="11"/>
  <c r="O78" i="11" s="1"/>
  <c r="Z78" i="11" s="1"/>
  <c r="F114" i="11"/>
  <c r="O114" i="11" s="1"/>
  <c r="Z114" i="11" s="1"/>
  <c r="F86" i="11"/>
  <c r="O86" i="11" s="1"/>
  <c r="Z86" i="11" s="1"/>
  <c r="F83" i="11"/>
  <c r="O83" i="11" s="1"/>
  <c r="Z83" i="11" s="1"/>
  <c r="F65" i="11"/>
  <c r="O65" i="11" s="1"/>
  <c r="Z65" i="11" s="1"/>
  <c r="F106" i="11"/>
  <c r="O106" i="11" s="1"/>
  <c r="Z106" i="11" s="1"/>
  <c r="F80" i="11"/>
  <c r="O80" i="11" s="1"/>
  <c r="Z80" i="11" s="1"/>
  <c r="F87" i="11"/>
  <c r="O87" i="11" s="1"/>
  <c r="Z87" i="11" s="1"/>
  <c r="F54" i="11"/>
  <c r="O54" i="11" s="1"/>
  <c r="Z54" i="11" s="1"/>
  <c r="F97" i="11"/>
  <c r="O97" i="11" s="1"/>
  <c r="Z97" i="11" s="1"/>
  <c r="F50" i="11"/>
  <c r="O50" i="11" s="1"/>
  <c r="Z50" i="11" s="1"/>
  <c r="F118" i="11"/>
  <c r="O118" i="11" s="1"/>
  <c r="Z118" i="11" s="1"/>
  <c r="F77" i="11"/>
  <c r="O77" i="11" s="1"/>
  <c r="Z77" i="11" s="1"/>
  <c r="F51" i="11"/>
  <c r="O51" i="11" s="1"/>
  <c r="Z51" i="11" s="1"/>
  <c r="F115" i="11"/>
  <c r="O115" i="11" s="1"/>
  <c r="Z115" i="11" s="1"/>
  <c r="F44" i="11"/>
  <c r="O44" i="11" s="1"/>
  <c r="Z44" i="11" s="1"/>
  <c r="F30" i="11"/>
  <c r="O30" i="11" s="1"/>
  <c r="Z30" i="11" s="1"/>
  <c r="F49" i="11"/>
  <c r="O49" i="11" s="1"/>
  <c r="Z49" i="11" s="1"/>
  <c r="F108" i="11"/>
  <c r="O108" i="11" s="1"/>
  <c r="Z108" i="11" s="1"/>
  <c r="F47" i="11"/>
  <c r="O47" i="11" s="1"/>
  <c r="Z47" i="11" s="1"/>
  <c r="F122" i="11"/>
  <c r="O122" i="11" s="1"/>
  <c r="Z122" i="11" s="1"/>
  <c r="F70" i="11"/>
  <c r="O70" i="11" s="1"/>
  <c r="Z70" i="11" s="1"/>
  <c r="F79" i="11"/>
  <c r="O79" i="11" s="1"/>
  <c r="Z79" i="11" s="1"/>
  <c r="F103" i="11"/>
  <c r="O103" i="11" s="1"/>
  <c r="Z103" i="11" s="1"/>
  <c r="F99" i="11"/>
  <c r="O99" i="11" s="1"/>
  <c r="Z99" i="11" s="1"/>
  <c r="F93" i="11"/>
  <c r="O93" i="11" s="1"/>
  <c r="Z93" i="11" s="1"/>
  <c r="F61" i="11"/>
  <c r="O61" i="11" s="1"/>
  <c r="Z61" i="11" s="1"/>
  <c r="F100" i="11"/>
  <c r="O100" i="11" s="1"/>
  <c r="Z100" i="11" s="1"/>
  <c r="F72" i="11"/>
  <c r="O72" i="11" s="1"/>
  <c r="Z72" i="11" s="1"/>
  <c r="F29" i="11"/>
  <c r="O29" i="11" s="1"/>
  <c r="Z29" i="11" s="1"/>
  <c r="F110" i="11"/>
  <c r="O110" i="11" s="1"/>
  <c r="Z110" i="11" s="1"/>
  <c r="F68" i="11"/>
  <c r="O68" i="11" s="1"/>
  <c r="Z68" i="11" s="1"/>
  <c r="F56" i="11"/>
  <c r="O56" i="11" s="1"/>
  <c r="Z56" i="11" s="1"/>
  <c r="F24" i="11"/>
  <c r="O24" i="11" s="1"/>
  <c r="Z24" i="11" s="1"/>
  <c r="F119" i="11"/>
  <c r="O119" i="11" s="1"/>
  <c r="Z119" i="11" s="1"/>
  <c r="F89" i="11"/>
  <c r="O89" i="11" s="1"/>
  <c r="Z89" i="11" s="1"/>
  <c r="F94" i="11"/>
  <c r="O94" i="11" s="1"/>
  <c r="Z94" i="11" s="1"/>
  <c r="F111" i="11"/>
  <c r="O111" i="11" s="1"/>
  <c r="Z111" i="11" s="1"/>
  <c r="F33" i="11"/>
  <c r="O33" i="11" s="1"/>
  <c r="Z33" i="11" s="1"/>
  <c r="F109" i="11"/>
  <c r="O109" i="11" s="1"/>
  <c r="Z109" i="11" s="1"/>
  <c r="F60" i="11"/>
  <c r="O60" i="11" s="1"/>
  <c r="Z60" i="11" s="1"/>
  <c r="F107" i="11"/>
  <c r="O107" i="11" s="1"/>
  <c r="Z107" i="11" s="1"/>
  <c r="F35" i="11"/>
  <c r="O35" i="11" s="1"/>
  <c r="Z35" i="11" s="1"/>
  <c r="F55" i="11"/>
  <c r="O55" i="11" s="1"/>
  <c r="Z55" i="11" s="1"/>
  <c r="F104" i="11"/>
  <c r="O104" i="11" s="1"/>
  <c r="Z104" i="11" s="1"/>
  <c r="F63" i="11"/>
  <c r="O63" i="11" s="1"/>
  <c r="Z63" i="11" s="1"/>
  <c r="F67" i="11"/>
  <c r="O67" i="11" s="1"/>
  <c r="Z67" i="11" s="1"/>
  <c r="F105" i="11"/>
  <c r="O105" i="11" s="1"/>
  <c r="Z105" i="11" s="1"/>
  <c r="F96" i="11"/>
  <c r="O96" i="11" s="1"/>
  <c r="Z96" i="11" s="1"/>
  <c r="F85" i="11"/>
  <c r="O85" i="11" s="1"/>
  <c r="Z85" i="11" s="1"/>
  <c r="F101" i="11"/>
  <c r="O101" i="11" s="1"/>
  <c r="Z101" i="11" s="1"/>
  <c r="F123" i="11"/>
  <c r="O123" i="11" s="1"/>
  <c r="Z123" i="11" s="1"/>
  <c r="F25" i="11"/>
  <c r="O25" i="11" s="1"/>
  <c r="Z25" i="11" s="1"/>
  <c r="R47" i="9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V50" i="11"/>
  <c r="AF50" i="11" s="1"/>
  <c r="V61" i="11"/>
  <c r="AF61" i="11" s="1"/>
  <c r="H240" i="11"/>
  <c r="V211" i="11"/>
  <c r="AF211" i="11" s="1"/>
  <c r="H353" i="11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O25" i="9"/>
  <c r="Q25" i="9"/>
  <c r="R17" i="9"/>
  <c r="P11" i="9"/>
  <c r="R21" i="9"/>
  <c r="R13" i="9"/>
  <c r="R22" i="9"/>
  <c r="R14" i="9"/>
  <c r="P25" i="9"/>
  <c r="R10" i="9"/>
  <c r="O11" i="9"/>
  <c r="R15" i="9"/>
  <c r="Q11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37" i="2" l="1"/>
  <c r="Q29" i="2"/>
  <c r="P30" i="2" s="1"/>
  <c r="P42" i="2" s="1"/>
  <c r="P28" i="2"/>
  <c r="M47" i="2"/>
  <c r="K42" i="2"/>
  <c r="K43" i="2" s="1"/>
  <c r="O27" i="2"/>
  <c r="Q47" i="2"/>
  <c r="Q42" i="2"/>
  <c r="O42" i="2"/>
  <c r="O43" i="2" s="1"/>
  <c r="O38" i="2"/>
  <c r="M43" i="2" s="1"/>
  <c r="R37" i="2"/>
  <c r="R39" i="2" s="1"/>
  <c r="O22" i="11"/>
  <c r="O137" i="1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25" i="9"/>
  <c r="L16" i="9"/>
  <c r="L11" i="9"/>
  <c r="L14" i="9"/>
  <c r="E55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N16" i="3"/>
  <c r="N44" i="3" s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P48" i="2" l="1"/>
  <c r="P47" i="2"/>
  <c r="O28" i="2"/>
  <c r="M42" i="2" s="1"/>
  <c r="N47" i="2" s="1"/>
  <c r="R27" i="2"/>
  <c r="R29" i="2" s="1"/>
  <c r="N48" i="2"/>
  <c r="Q49" i="9"/>
  <c r="Q28" i="9"/>
  <c r="P49" i="9"/>
  <c r="P28" i="9"/>
  <c r="O49" i="9"/>
  <c r="O28" i="9"/>
  <c r="F293" i="1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43" i="9"/>
  <c r="O22" i="9"/>
  <c r="I10" i="7"/>
  <c r="Q47" i="9"/>
  <c r="P43" i="9"/>
  <c r="P22" i="9"/>
  <c r="Q50" i="9"/>
  <c r="H6" i="7"/>
  <c r="P50" i="9"/>
  <c r="O50" i="9"/>
  <c r="H10" i="7"/>
  <c r="Q43" i="9"/>
  <c r="Q22" i="9"/>
  <c r="P48" i="9"/>
  <c r="Q48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17" i="9"/>
  <c r="O24" i="9"/>
  <c r="O13" i="9"/>
  <c r="P17" i="9"/>
  <c r="O17" i="9"/>
  <c r="I6" i="7"/>
  <c r="Q23" i="9"/>
  <c r="Q12" i="9"/>
  <c r="P12" i="9"/>
  <c r="P23" i="9"/>
  <c r="O23" i="9"/>
  <c r="O12" i="9"/>
  <c r="E51" i="3"/>
  <c r="E52" i="3"/>
  <c r="E54" i="3" s="1"/>
  <c r="E53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O47" i="2" l="1"/>
  <c r="Q49" i="2" s="1"/>
  <c r="F373" i="1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52" i="3"/>
  <c r="F55" i="3"/>
  <c r="E59" i="3" s="1"/>
  <c r="F54" i="3"/>
  <c r="F51" i="3"/>
  <c r="F53" i="3"/>
  <c r="R2" i="8"/>
  <c r="S5" i="8"/>
  <c r="M17" i="4"/>
  <c r="E39" i="1"/>
  <c r="L17" i="4"/>
  <c r="O48" i="2" l="1"/>
  <c r="M49" i="2"/>
  <c r="N50" i="2" s="1"/>
  <c r="R47" i="2"/>
  <c r="P50" i="2"/>
  <c r="O363" i="11"/>
  <c r="Z363" i="11" s="1"/>
  <c r="O361" i="11"/>
  <c r="S5" i="7"/>
  <c r="E58" i="3"/>
  <c r="E57" i="3"/>
  <c r="N10" i="3"/>
  <c r="M10" i="3"/>
  <c r="M16" i="3" s="1"/>
  <c r="M44" i="3" s="1"/>
  <c r="M7" i="3"/>
  <c r="M13" i="3" s="1"/>
  <c r="P49" i="2" l="1"/>
  <c r="N49" i="2"/>
  <c r="R10" i="3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O49" i="2" l="1"/>
  <c r="M51" i="2"/>
  <c r="O50" i="2"/>
  <c r="R49" i="2"/>
  <c r="Q51" i="2"/>
  <c r="L16" i="3"/>
  <c r="L44" i="3" s="1"/>
  <c r="L12" i="3"/>
  <c r="R16" i="3"/>
  <c r="P44" i="3" s="1"/>
  <c r="N12" i="3"/>
  <c r="R13" i="3"/>
  <c r="R15" i="3"/>
  <c r="L15" i="3"/>
  <c r="F12" i="4"/>
  <c r="F14" i="4"/>
  <c r="F13" i="4"/>
  <c r="F15" i="4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P52" i="2" l="1"/>
  <c r="P51" i="2"/>
  <c r="N52" i="2"/>
  <c r="N51" i="2"/>
  <c r="O18" i="2"/>
  <c r="F16" i="4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G26" i="4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O51" i="2" l="1"/>
  <c r="O52" i="2" s="1"/>
  <c r="F24" i="4"/>
  <c r="L24" i="4" s="1"/>
  <c r="H10" i="8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L13" i="4"/>
  <c r="I8" i="8" s="1"/>
  <c r="G17" i="8" s="1"/>
  <c r="L17" i="8" s="1"/>
  <c r="L15" i="4"/>
  <c r="I10" i="8" s="1"/>
  <c r="G19" i="8" s="1"/>
  <c r="L19" i="8" s="1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R51" i="2" l="1"/>
  <c r="R52" i="2" s="1"/>
  <c r="R19" i="2" s="1"/>
  <c r="K17" i="8"/>
  <c r="F14" i="8"/>
  <c r="J14" i="8" s="1"/>
  <c r="J26" i="8" s="1"/>
  <c r="K14" i="8"/>
  <c r="K15" i="8"/>
  <c r="K18" i="8"/>
  <c r="K16" i="8"/>
  <c r="K19" i="8"/>
  <c r="K20" i="8" s="1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L28" i="9" s="1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F15" i="7"/>
  <c r="F6" i="7"/>
  <c r="F9" i="7"/>
  <c r="F11" i="7"/>
  <c r="F10" i="7"/>
  <c r="O22" i="3"/>
  <c r="O14" i="8"/>
  <c r="P18" i="8"/>
  <c r="F17" i="8"/>
  <c r="O17" i="8"/>
  <c r="P16" i="8"/>
  <c r="F15" i="8"/>
  <c r="J15" i="8" s="1"/>
  <c r="O15" i="8"/>
  <c r="F16" i="8"/>
  <c r="J16" i="8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O18" i="8"/>
  <c r="F19" i="8"/>
  <c r="J19" i="8" s="1"/>
  <c r="O19" i="8"/>
  <c r="AE19" i="4"/>
  <c r="G14" i="7" s="1"/>
  <c r="AE17" i="4"/>
  <c r="G12" i="7" s="1"/>
  <c r="AE20" i="4"/>
  <c r="V12" i="4"/>
  <c r="AE12" i="4"/>
  <c r="G7" i="7" s="1"/>
  <c r="V14" i="4"/>
  <c r="AE14" i="4"/>
  <c r="AE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L10" i="9" l="1"/>
  <c r="Z10" i="9" s="1"/>
  <c r="L21" i="9"/>
  <c r="T18" i="5"/>
  <c r="T14" i="5" s="1"/>
  <c r="S15" i="8"/>
  <c r="S14" i="8"/>
  <c r="V42" i="9" s="1"/>
  <c r="J27" i="8"/>
  <c r="K27" i="8" s="1"/>
  <c r="N29" i="4"/>
  <c r="M19" i="8"/>
  <c r="L14" i="8"/>
  <c r="S19" i="8"/>
  <c r="V17" i="9" s="1"/>
  <c r="N32" i="4"/>
  <c r="N30" i="4"/>
  <c r="J17" i="8"/>
  <c r="N31" i="4" s="1"/>
  <c r="N33" i="4"/>
  <c r="L42" i="9"/>
  <c r="N5" i="7"/>
  <c r="L23" i="9"/>
  <c r="L44" i="9"/>
  <c r="M14" i="8"/>
  <c r="N28" i="4"/>
  <c r="F14" i="5"/>
  <c r="G11" i="7"/>
  <c r="G10" i="7"/>
  <c r="G9" i="7"/>
  <c r="G15" i="7"/>
  <c r="G5" i="7"/>
  <c r="G6" i="7"/>
  <c r="K8" i="10"/>
  <c r="K7" i="10"/>
  <c r="V50" i="9"/>
  <c r="V43" i="9"/>
  <c r="V22" i="9"/>
  <c r="I14" i="10"/>
  <c r="I13" i="10"/>
  <c r="I16" i="10"/>
  <c r="I15" i="10"/>
  <c r="U28" i="9" s="1"/>
  <c r="I11" i="10"/>
  <c r="I12" i="10"/>
  <c r="I5" i="10"/>
  <c r="I6" i="10"/>
  <c r="I8" i="10"/>
  <c r="I7" i="10"/>
  <c r="V10" i="9"/>
  <c r="V21" i="9"/>
  <c r="V23" i="9"/>
  <c r="V12" i="9"/>
  <c r="T19" i="8"/>
  <c r="T15" i="8"/>
  <c r="N16" i="8"/>
  <c r="N14" i="8"/>
  <c r="R14" i="8" s="1"/>
  <c r="N23" i="3"/>
  <c r="N17" i="8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R17" i="8" l="1"/>
  <c r="V44" i="9"/>
  <c r="T16" i="5"/>
  <c r="V49" i="9"/>
  <c r="V28" i="9"/>
  <c r="W49" i="9"/>
  <c r="W28" i="9"/>
  <c r="U19" i="8"/>
  <c r="U14" i="8"/>
  <c r="X42" i="9" s="1"/>
  <c r="U49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X43" i="9"/>
  <c r="X22" i="9"/>
  <c r="U48" i="9"/>
  <c r="W50" i="9"/>
  <c r="N18" i="4"/>
  <c r="I9" i="10"/>
  <c r="I10" i="10"/>
  <c r="U12" i="9"/>
  <c r="U23" i="9"/>
  <c r="U10" i="9"/>
  <c r="Y10" i="9" s="1"/>
  <c r="Y11" i="9" s="1"/>
  <c r="U21" i="9"/>
  <c r="U17" i="9"/>
  <c r="X23" i="9"/>
  <c r="U15" i="9"/>
  <c r="W17" i="9"/>
  <c r="R16" i="8"/>
  <c r="O34" i="3"/>
  <c r="M35" i="3"/>
  <c r="N36" i="3" s="1"/>
  <c r="R33" i="3"/>
  <c r="O23" i="3"/>
  <c r="O24" i="3" s="1"/>
  <c r="P36" i="3"/>
  <c r="X21" i="9" l="1"/>
  <c r="X44" i="9"/>
  <c r="X12" i="9"/>
  <c r="X10" i="9"/>
  <c r="Z11" i="9"/>
  <c r="X17" i="9"/>
  <c r="X49" i="9"/>
  <c r="W22" i="9"/>
  <c r="W42" i="9"/>
  <c r="W12" i="9"/>
  <c r="W44" i="9"/>
  <c r="W10" i="9"/>
  <c r="W43" i="9"/>
  <c r="X50" i="9"/>
  <c r="U47" i="9"/>
  <c r="U45" i="9"/>
  <c r="U26" i="9"/>
  <c r="U24" i="9"/>
  <c r="U13" i="9"/>
  <c r="N35" i="3"/>
  <c r="P35" i="3"/>
  <c r="M25" i="3"/>
  <c r="R23" i="3"/>
  <c r="Q25" i="3"/>
  <c r="P26" i="3" s="1"/>
  <c r="O35" i="3" l="1"/>
  <c r="O36" i="3" s="1"/>
  <c r="N26" i="3"/>
  <c r="N25" i="3"/>
  <c r="P25" i="3"/>
  <c r="M37" i="3" l="1"/>
  <c r="Q37" i="3"/>
  <c r="R35" i="3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O37" i="3" l="1"/>
  <c r="O38" i="3" s="1"/>
  <c r="M43" i="3" s="1"/>
  <c r="R37" i="3" l="1"/>
  <c r="R39" i="3" s="1"/>
  <c r="Q43" i="3"/>
  <c r="O25" i="3" l="1"/>
  <c r="O26" i="3" l="1"/>
  <c r="Q27" i="3"/>
  <c r="M27" i="3"/>
  <c r="R25" i="3"/>
  <c r="M29" i="3" l="1"/>
  <c r="N30" i="3" s="1"/>
  <c r="L42" i="3" s="1"/>
  <c r="Q29" i="3"/>
  <c r="P30" i="3" s="1"/>
  <c r="P42" i="3" s="1"/>
  <c r="P28" i="3"/>
  <c r="N27" i="3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N28" i="9" s="1"/>
  <c r="M28" i="9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L14" i="5" l="1"/>
  <c r="G14" i="5"/>
  <c r="N18" i="5"/>
  <c r="V18" i="5"/>
  <c r="V14" i="5" s="1"/>
  <c r="N21" i="9"/>
  <c r="M21" i="9" s="1"/>
  <c r="N42" i="9"/>
  <c r="M42" i="9" s="1"/>
  <c r="N44" i="9"/>
  <c r="M44" i="9" s="1"/>
  <c r="N23" i="9"/>
  <c r="M23" i="9" s="1"/>
  <c r="N49" i="9"/>
  <c r="M49" i="9" s="1"/>
  <c r="N14" i="5"/>
  <c r="V19" i="5"/>
  <c r="X6" i="7"/>
  <c r="M18" i="5"/>
  <c r="N19" i="5"/>
  <c r="AJ18" i="5" l="1"/>
  <c r="U18" i="5"/>
  <c r="U19" i="5"/>
  <c r="AI19" i="5" s="1"/>
  <c r="V20" i="5"/>
  <c r="AJ20" i="5" s="1"/>
  <c r="X7" i="7"/>
  <c r="AJ19" i="5"/>
  <c r="P6" i="7"/>
  <c r="W6" i="7"/>
  <c r="O6" i="7" s="1"/>
  <c r="M19" i="5"/>
  <c r="K18" i="5" s="1"/>
  <c r="N20" i="5"/>
  <c r="AM19" i="5" l="1"/>
  <c r="U14" i="5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L25" i="5" l="1"/>
  <c r="AM26" i="5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N26" i="9"/>
  <c r="M26" i="9" s="1"/>
  <c r="N12" i="9"/>
  <c r="M12" i="9" s="1"/>
  <c r="N17" i="9"/>
  <c r="M1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M10" i="9" l="1"/>
  <c r="M7" i="9" s="1"/>
  <c r="O4" i="9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P4" i="9" l="1"/>
  <c r="A9" i="9"/>
  <c r="AL68" i="5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22" i="9" l="1"/>
  <c r="L13" i="9"/>
  <c r="L12" i="9"/>
  <c r="L24" i="9"/>
  <c r="L17" i="9"/>
  <c r="L26" i="9"/>
  <c r="V54" i="7"/>
  <c r="N54" i="7" s="1"/>
  <c r="T54" i="7" s="1"/>
  <c r="U53" i="7" s="1"/>
  <c r="T67" i="5"/>
  <c r="B18" i="5"/>
  <c r="L67" i="5"/>
  <c r="L15" i="9"/>
  <c r="AH66" i="5"/>
  <c r="AK66" i="5" s="1"/>
  <c r="AC66" i="5"/>
  <c r="AE66" i="5" s="1"/>
  <c r="AF66" i="5" s="1"/>
  <c r="Z17" i="9" l="1"/>
  <c r="Y17" i="9"/>
  <c r="Z13" i="9"/>
  <c r="Y13" i="9"/>
  <c r="AH67" i="5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Y18" i="9" l="1"/>
  <c r="Y14" i="9"/>
  <c r="L5" i="9"/>
  <c r="L4" i="9"/>
  <c r="N4" i="9" s="1"/>
  <c r="Q4" i="9" s="1"/>
  <c r="Z14" i="9"/>
  <c r="Z18" i="9"/>
  <c r="T69" i="5"/>
  <c r="V56" i="7"/>
  <c r="N56" i="7" s="1"/>
  <c r="T56" i="7" s="1"/>
  <c r="U55" i="7" s="1"/>
  <c r="L69" i="5"/>
  <c r="AC68" i="5"/>
  <c r="AE68" i="5" s="1"/>
  <c r="AF68" i="5" s="1"/>
  <c r="AH68" i="5"/>
  <c r="AK68" i="5" s="1"/>
  <c r="N5" i="9" l="1"/>
  <c r="Q5" i="9" s="1"/>
  <c r="L48" i="9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BDDD8F3-45EA-462E-AFC4-B5A0A9F72A63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I9" authorId="0" shapeId="0" xr:uid="{7801B636-C517-4706-A431-2D11F02C82F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必然绑定 战法牧</t>
        </r>
      </text>
    </commen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伤害和承伤2选一,此处标记的比例是伤害或承伤的最大比例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治疗对标伤害，换算攻击时，要扣除暴击影响（0.4*0.5）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<sst xmlns="http://schemas.openxmlformats.org/spreadsheetml/2006/main" count="990" uniqueCount="305">
  <si>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</si>
  <si>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</si>
  <si>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</si>
  <si>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</si>
  <si>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</si>
  <si>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</si>
  <si>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</si>
  <si>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</si>
  <si>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</si>
  <si>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</si>
  <si>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</si>
  <si>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</si>
  <si>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</si>
  <si>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</si>
  <si>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</si>
  <si>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</si>
  <si>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</si>
  <si>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</si>
  <si>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</si>
  <si>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</si>
  <si>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治疗能力大于输出时，有战斗限时保底，但数值一般不会设定治疗大于输出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</si>
  <si>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</si>
  <si>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</si>
  <si>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</si>
  <si>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</si>
  <si>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</si>
  <si>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</si>
  <si>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</si>
  <si>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</si>
  <si>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</si>
  <si>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</si>
  <si>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</si>
  <si>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</si>
  <si>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</si>
  <si>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</si>
  <si>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</si>
  <si>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</si>
  <si>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</si>
  <si>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</si>
  <si>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</si>
  <si>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</si>
  <si>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</si>
  <si>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</si>
  <si>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</si>
  <si>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</si>
  <si>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</si>
  <si>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</si>
  <si>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</si>
  <si>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</si>
  <si>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</si>
  <si>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</si>
  <si>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</si>
  <si>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</si>
  <si>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</si>
  <si>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</si>
  <si>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</si>
  <si>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</si>
  <si>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</si>
  <si>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</si>
  <si>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</si>
  <si>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</si>
  <si>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</si>
  <si>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</si>
  <si>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</si>
  <si>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</si>
  <si>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</si>
  <si>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</si>
  <si>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</si>
  <si>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</si>
  <si>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</si>
  <si>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</si>
  <si>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</si>
  <si>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</si>
  <si>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</si>
  <si>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</si>
  <si>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</si>
  <si>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</si>
  <si>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</si>
  <si>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</si>
  <si>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</si>
  <si>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</si>
  <si>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</si>
  <si>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</si>
  <si>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</si>
  <si>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</si>
  <si>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</si>
  <si>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</si>
  <si>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</si>
  <si>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</si>
  <si>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</si>
  <si>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</si>
  <si>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</si>
  <si>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</si>
  <si>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</si>
  <si>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</si>
  <si>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</si>
  <si>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</si>
  <si>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</si>
  <si>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</si>
  <si>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</si>
  <si>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</si>
  <si>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</si>
  <si>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</si>
  <si>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</si>
  <si>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</si>
  <si>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</si>
  <si>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</si>
  <si>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</si>
  <si>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</si>
  <si>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</si>
  <si>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</si>
  <si>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</si>
  <si>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</si>
  <si>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</si>
  <si>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</si>
  <si>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</si>
  <si>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</si>
  <si>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</si>
  <si>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</si>
  <si>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</si>
  <si>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</si>
  <si>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</si>
  <si>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</si>
  <si>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</si>
  <si>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</si>
  <si>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</si>
  <si>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</si>
  <si>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</si>
  <si>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</si>
  <si>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</si>
  <si>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</si>
  <si>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</si>
  <si>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</si>
  <si>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</si>
  <si>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</si>
  <si>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</si>
  <si>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</si>
  <si>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</si>
  <si>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</si>
  <si>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</si>
  <si>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</si>
  <si>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</si>
  <si>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</si>
  <si>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</si>
  <si>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</si>
  <si>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</si>
  <si>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</si>
  <si>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</si>
  <si>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</si>
  <si>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</si>
  <si>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</si>
  <si>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</si>
  <si>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</si>
  <si>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</si>
  <si>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</si>
  <si>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</si>
  <si>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</si>
  <si>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</si>
  <si>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</si>
  <si>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</si>
  <si>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</si>
  <si>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</si>
  <si>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</si>
  <si>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</si>
  <si>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</si>
  <si>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</si>
  <si>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</si>
  <si>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</si>
  <si>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</si>
  <si>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</si>
  <si>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</si>
  <si>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</si>
  <si>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</si>
  <si>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</si>
  <si>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</si>
  <si>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</si>
  <si>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</si>
  <si>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</si>
  <si>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</si>
  <si>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</si>
  <si>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</si>
  <si>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</si>
  <si>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</si>
  <si>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</si>
  <si>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</si>
  <si>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</si>
  <si>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</si>
  <si>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</si>
  <si>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</si>
  <si>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</si>
  <si>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</si>
  <si>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</si>
  <si>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</si>
  <si>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</si>
  <si>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</si>
  <si>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</si>
  <si>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</si>
  <si>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</si>
  <si>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</si>
  <si>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</si>
  <si>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</si>
  <si>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</si>
  <si>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</si>
  <si>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更多伤害的意思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</si>
  <si>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</si>
  <si>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</si>
  <si>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</si>
  <si>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</si>
  <si>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</si>
  <si>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</si>
  <si>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</si>
  <si>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</si>
  <si>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</si>
  <si>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</si>
  <si>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</si>
  <si>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</si>
  <si>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</si>
  <si>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</si>
  <si>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</si>
  <si>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</si>
  <si>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</si>
  <si>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</si>
  <si>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</si>
  <si>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</si>
  <si>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</si>
  <si>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</si>
  <si>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</si>
  <si>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</si>
  <si>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</si>
  <si>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</si>
  <si>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</si>
  <si>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</si>
  <si>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</si>
  <si>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</si>
  <si>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</si>
  <si>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</si>
  <si>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</si>
  <si>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</si>
  <si>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</si>
  <si>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</si>
  <si>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</si>
  <si>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</si>
  <si>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</si>
  <si>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</si>
  <si>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</si>
  <si>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</si>
  <si>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</si>
  <si>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</si>
  <si>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</si>
  <si>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</si>
  <si>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</si>
  <si>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</si>
  <si>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</si>
  <si>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</si>
  <si>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</si>
  <si>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</si>
  <si>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</si>
  <si>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</si>
  <si>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</si>
  <si>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</si>
  <si>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</si>
  <si>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</si>
  <si>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</si>
  <si>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</si>
  <si>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</si>
  <si>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</si>
  <si>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</si>
  <si>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</si>
  <si>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</si>
  <si>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</si>
  <si>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</si>
  <si>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</si>
  <si>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</si>
  <si>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</si>
  <si>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</si>
  <si>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</si>
  <si>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</si>
  <si>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</si>
  <si>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</si>
  <si>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</si>
  <si>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</si>
  <si>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</si>
  <si>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</si>
  <si>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</si>
  <si>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</si>
  <si>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</si>
  <si>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</si>
  <si>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</si>
  <si>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</si>
  <si>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</si>
  <si>
    <t>单体攻击</t>
    <phoneticPr fontId="1" type="noConversion"/>
  </si>
  <si>
    <t>单体血量</t>
    <phoneticPr fontId="1" type="noConversion"/>
  </si>
  <si>
    <t>群体血量</t>
    <phoneticPr fontId="1" type="noConversion"/>
  </si>
  <si>
    <t>综合考量，攻击力的提升效果会有一定折扣，但防御值价值恒定，攻击力没有折扣会导致防御值价值越来越低</t>
    <phoneticPr fontId="1" type="noConversion"/>
  </si>
  <si>
    <t>怪物3</t>
  </si>
  <si>
    <t>怪物2</t>
  </si>
  <si>
    <t>怪物4</t>
  </si>
  <si>
    <t>饼干2</t>
    <phoneticPr fontId="1" type="noConversion"/>
  </si>
  <si>
    <t>占比</t>
    <phoneticPr fontId="1" type="noConversion"/>
  </si>
  <si>
    <t>偏向测试</t>
    <phoneticPr fontId="1" type="noConversion"/>
  </si>
  <si>
    <t>偏向节奏</t>
    <phoneticPr fontId="1" type="noConversion"/>
  </si>
  <si>
    <t>攻击向战斗力=攻击力*（1+暴击率*(暴击倍率-1)）*（攻速*普攻威力+技能攻击威力/技能CD）*攻击力价值</t>
    <phoneticPr fontId="1" type="noConversion"/>
  </si>
  <si>
    <t>防御向战斗力=生命上限*（1+防御力价值）*生命上限价值+技能回复生命值/技能CD*30*生命上限价值</t>
    <phoneticPr fontId="1" type="noConversion"/>
  </si>
  <si>
    <t>说明</t>
    <phoneticPr fontId="1" type="noConversion"/>
  </si>
  <si>
    <t>100000/（100000+防御力*（1+防御力%））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</si>
</sst>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79" fontId="2" fillId="0" borderId="8" xfId="0" applyNumberFormat="1" applyFont="1" applyBorder="1" applyAlignment="1">
      <alignment horizontal="center" vertical="center" shrinkToFit="1"/>
    </xf>
    <xf numFmtId="2" fontId="2" fillId="0" borderId="8" xfId="0" applyNumberFormat="1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82" fontId="5" fillId="0" borderId="1" xfId="2" applyNumberFormat="1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BEBBB8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N16" sqref="N16"/>
    </sheetView>
  </sheetViews>
  <sheetFormatPr defaultRowHeight="14.25" customHeight="1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4" t="s">
        <v>15</v>
      </c>
      <c r="B1" s="115"/>
    </row>
    <row r="2" spans="1:24" ht="14.25" customHeight="1" x14ac:dyDescent="0.2">
      <c r="A2" s="116"/>
      <c r="B2" s="117"/>
      <c r="M2" s="111"/>
      <c r="Q2" s="112"/>
    </row>
    <row r="3" spans="1:24" x14ac:dyDescent="0.2">
      <c r="D3" s="2" t="s">
        <v>275</v>
      </c>
      <c r="M3" s="111"/>
      <c r="Q3" s="112"/>
    </row>
    <row r="4" spans="1:24" s="3" customFormat="1" ht="14.25" customHeight="1" x14ac:dyDescent="0.2">
      <c r="C4" s="3" t="s">
        <v>17</v>
      </c>
      <c r="J4" s="3" t="s">
        <v>18</v>
      </c>
      <c r="K4" s="2" t="s">
        <v>281</v>
      </c>
      <c r="M4" s="3">
        <v>1</v>
      </c>
      <c r="N4" s="85"/>
      <c r="O4" s="85"/>
      <c r="P4" s="85"/>
      <c r="S4" s="3">
        <f>M4</f>
        <v>1</v>
      </c>
      <c r="V4" s="3" t="s">
        <v>19</v>
      </c>
    </row>
    <row r="5" spans="1:24" ht="14.25" customHeight="1" thickBot="1" x14ac:dyDescent="0.25">
      <c r="D5" s="1" t="s">
        <v>0</v>
      </c>
      <c r="E5" s="1" t="s">
        <v>3</v>
      </c>
      <c r="F5" s="1" t="s">
        <v>12</v>
      </c>
      <c r="J5" s="87" t="s">
        <v>280</v>
      </c>
      <c r="K5" s="87" t="s">
        <v>14</v>
      </c>
      <c r="L5" s="87" t="s">
        <v>11</v>
      </c>
      <c r="M5" s="87" t="s">
        <v>12</v>
      </c>
      <c r="N5" s="87" t="s">
        <v>5</v>
      </c>
      <c r="O5" s="3"/>
      <c r="P5" s="87" t="s">
        <v>280</v>
      </c>
      <c r="Q5" s="87" t="s">
        <v>14</v>
      </c>
      <c r="R5" s="87" t="s">
        <v>11</v>
      </c>
      <c r="S5" s="87" t="s">
        <v>12</v>
      </c>
      <c r="T5" s="87" t="s">
        <v>5</v>
      </c>
      <c r="V5" s="87" t="s">
        <v>14</v>
      </c>
      <c r="W5" s="87" t="s">
        <v>198</v>
      </c>
      <c r="X5" s="87" t="s">
        <v>199</v>
      </c>
    </row>
    <row r="6" spans="1:24" ht="14.25" customHeight="1" x14ac:dyDescent="0.2">
      <c r="D6" s="1" t="s">
        <v>1</v>
      </c>
      <c r="E6" s="1" t="s">
        <v>4</v>
      </c>
      <c r="F6" s="1" t="s">
        <v>11</v>
      </c>
      <c r="J6" s="110">
        <v>1</v>
      </c>
      <c r="K6" s="110" t="s">
        <v>3</v>
      </c>
      <c r="L6" s="110">
        <f>VLOOKUP($K6,$D$16:$G$21,MATCH(L$5,$D$16:$G$16,0),0)</f>
        <v>5</v>
      </c>
      <c r="M6" s="110">
        <f>VLOOKUP($K6,$D$16:$G$21,MATCH(M$5,$D$16:$G$16,0),0)*M4</f>
        <v>100</v>
      </c>
      <c r="N6" s="110">
        <f t="shared" ref="N6" si="0">VLOOKUP($K6,$D$16:$G$21,MATCH(N$5,$D$16:$G$16,0),0)</f>
        <v>2</v>
      </c>
      <c r="P6" s="110">
        <v>1</v>
      </c>
      <c r="Q6" s="110" t="s">
        <v>111</v>
      </c>
      <c r="R6" s="110">
        <f>VLOOKUP($Q6,$D$16:$G$21,MATCH(R$5,$D$16:$G$16,0),0)*S4</f>
        <v>5</v>
      </c>
      <c r="S6" s="110">
        <f t="shared" ref="S6:T10" si="1">VLOOKUP($Q6,$D$16:$G$21,MATCH(S$5,$D$16:$G$16,0),0)</f>
        <v>100</v>
      </c>
      <c r="T6" s="110">
        <f t="shared" si="1"/>
        <v>2</v>
      </c>
      <c r="V6" s="88" t="s">
        <v>3</v>
      </c>
      <c r="W6" s="110">
        <v>2</v>
      </c>
      <c r="X6" s="110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10">
        <f>VLOOKUP($K7,$D$16:$G$21,MATCH(L$5,$D$16:$G$16,0),0)*M4</f>
        <v>10</v>
      </c>
      <c r="M7" s="110">
        <f t="shared" ref="L7:N10" si="2">VLOOKUP($K7,$D$16:$G$21,MATCH(M$5,$D$16:$G$16,0),0)</f>
        <v>40</v>
      </c>
      <c r="N7" s="110">
        <f t="shared" si="2"/>
        <v>0</v>
      </c>
      <c r="P7" s="1">
        <v>1</v>
      </c>
      <c r="Q7" s="1" t="s">
        <v>112</v>
      </c>
      <c r="R7" s="110">
        <f t="shared" ref="R7:R10" si="3">VLOOKUP($Q7,$D$16:$G$21,MATCH(R$5,$D$16:$G$16,0),0)</f>
        <v>10</v>
      </c>
      <c r="S7" s="110">
        <f>VLOOKUP($Q7,$D$16:$G$21,MATCH(S$5,$D$16:$G$16,0),0)*S4</f>
        <v>40</v>
      </c>
      <c r="T7" s="110">
        <f t="shared" si="1"/>
        <v>0</v>
      </c>
      <c r="V7" s="1" t="s">
        <v>4</v>
      </c>
      <c r="W7" s="1">
        <v>1</v>
      </c>
      <c r="X7" s="11">
        <v>3</v>
      </c>
    </row>
    <row r="8" spans="1:24" ht="14.25" customHeight="1" x14ac:dyDescent="0.2">
      <c r="D8" s="2" t="s">
        <v>276</v>
      </c>
      <c r="J8" s="1">
        <v>2</v>
      </c>
      <c r="K8" s="1" t="s">
        <v>3</v>
      </c>
      <c r="L8" s="110">
        <f t="shared" si="2"/>
        <v>5</v>
      </c>
      <c r="M8" s="110">
        <f>VLOOKUP($K8,$D$16:$G$21,MATCH(M$5,$D$16:$G$16,0),0)*M4</f>
        <v>100</v>
      </c>
      <c r="N8" s="110">
        <f t="shared" si="2"/>
        <v>2</v>
      </c>
      <c r="P8" s="1">
        <v>2</v>
      </c>
      <c r="Q8" s="1" t="s">
        <v>3</v>
      </c>
      <c r="R8" s="110">
        <f>VLOOKUP($Q8,$D$16:$G$21,MATCH(R$5,$D$16:$G$16,0),0)*S4</f>
        <v>5</v>
      </c>
      <c r="S8" s="110">
        <f t="shared" si="1"/>
        <v>100</v>
      </c>
      <c r="T8" s="110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10">
        <f>VLOOKUP($K9,$D$16:$G$21,MATCH(L$5,$D$16:$G$16,0),0)*M4</f>
        <v>10</v>
      </c>
      <c r="M9" s="110">
        <f t="shared" si="2"/>
        <v>40</v>
      </c>
      <c r="N9" s="110">
        <f t="shared" si="2"/>
        <v>0</v>
      </c>
      <c r="P9" s="1">
        <v>2</v>
      </c>
      <c r="Q9" s="1" t="s">
        <v>112</v>
      </c>
      <c r="R9" s="110">
        <f t="shared" si="3"/>
        <v>10</v>
      </c>
      <c r="S9" s="110">
        <f>VLOOKUP($Q9,$D$16:$G$21,MATCH(S$5,$D$16:$G$16,0),0)*S4</f>
        <v>40</v>
      </c>
      <c r="T9" s="110">
        <f t="shared" si="1"/>
        <v>0</v>
      </c>
      <c r="V9" s="2" t="s">
        <v>71</v>
      </c>
    </row>
    <row r="10" spans="1:24" ht="14.25" customHeight="1" thickBot="1" x14ac:dyDescent="0.25">
      <c r="D10" s="87" t="s">
        <v>14</v>
      </c>
      <c r="E10" s="87" t="s">
        <v>11</v>
      </c>
      <c r="F10" s="87" t="s">
        <v>12</v>
      </c>
      <c r="G10" s="87" t="s">
        <v>5</v>
      </c>
      <c r="J10" s="1">
        <v>0</v>
      </c>
      <c r="K10" s="1" t="s">
        <v>5</v>
      </c>
      <c r="L10" s="110">
        <f t="shared" si="2"/>
        <v>4</v>
      </c>
      <c r="M10" s="110">
        <f t="shared" si="2"/>
        <v>50</v>
      </c>
      <c r="N10" s="110">
        <f>VLOOKUP($K10,$D$16:$G$21,MATCH(N$5,$D$16:$G$16,0),0)*M4</f>
        <v>6</v>
      </c>
      <c r="P10" s="1">
        <v>0</v>
      </c>
      <c r="Q10" s="1" t="s">
        <v>113</v>
      </c>
      <c r="R10" s="110">
        <f t="shared" si="3"/>
        <v>4</v>
      </c>
      <c r="S10" s="110">
        <f t="shared" si="1"/>
        <v>50</v>
      </c>
      <c r="T10" s="110">
        <f>VLOOKUP($Q10,$D$16:$G$21,MATCH(T$5,$D$16:$G$16,0),0)*S4</f>
        <v>6</v>
      </c>
    </row>
    <row r="11" spans="1:24" ht="14.25" customHeight="1" x14ac:dyDescent="0.2">
      <c r="D11" s="110" t="s">
        <v>3</v>
      </c>
      <c r="E11" s="14">
        <v>5</v>
      </c>
      <c r="F11" s="14">
        <v>100</v>
      </c>
      <c r="G11" s="14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200</v>
      </c>
      <c r="G15" s="3">
        <v>1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7" t="s">
        <v>202</v>
      </c>
      <c r="E16" s="87" t="s">
        <v>131</v>
      </c>
      <c r="F16" s="87" t="s">
        <v>132</v>
      </c>
      <c r="G16" s="87" t="s">
        <v>113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39"/>
      <c r="D17" s="110" t="s">
        <v>111</v>
      </c>
      <c r="E17" s="110">
        <f t="shared" ref="E17:G21" si="4">VLOOKUP($D17,$D$10:$G$13,MATCH(E$16,$D$10:$G$10,0),0)</f>
        <v>5</v>
      </c>
      <c r="F17" s="110">
        <f>VLOOKUP($D17,$D$10:$G$13,MATCH(F$16,$D$10:$G$10,0),0)*G15</f>
        <v>100</v>
      </c>
      <c r="G17" s="110">
        <f t="shared" si="4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112</v>
      </c>
      <c r="E18" s="1">
        <f>VLOOKUP($D18,$D$10:$G$13,MATCH(E$16,$D$10:$G$10,0),0)*G15</f>
        <v>10</v>
      </c>
      <c r="F18" s="1">
        <f t="shared" si="4"/>
        <v>40</v>
      </c>
      <c r="G18" s="1">
        <f t="shared" si="4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111</v>
      </c>
      <c r="E19" s="1">
        <f t="shared" si="4"/>
        <v>5</v>
      </c>
      <c r="F19" s="1">
        <f>VLOOKUP($D19,$D$10:$G$13,MATCH(F$16,$D$10:$G$10,0),0)*G15</f>
        <v>100</v>
      </c>
      <c r="G19" s="1">
        <f t="shared" si="4"/>
        <v>2</v>
      </c>
      <c r="K19" s="2" t="s">
        <v>20</v>
      </c>
      <c r="R19" s="31">
        <f>MAX(R29,R39)+R52</f>
        <v>25.277777777777779</v>
      </c>
    </row>
    <row r="20" spans="3:19" ht="14.25" customHeight="1" x14ac:dyDescent="0.2">
      <c r="D20" s="1" t="s">
        <v>112</v>
      </c>
      <c r="E20" s="1">
        <f>VLOOKUP($D20,$D$10:$G$13,MATCH(E$16,$D$10:$G$10,0),0)*G15</f>
        <v>10</v>
      </c>
      <c r="F20" s="1">
        <f t="shared" si="4"/>
        <v>40</v>
      </c>
      <c r="G20" s="1">
        <f t="shared" si="4"/>
        <v>0</v>
      </c>
      <c r="L20" s="1" t="s">
        <v>121</v>
      </c>
      <c r="M20" s="1" t="s">
        <v>16</v>
      </c>
      <c r="Q20" s="1" t="s">
        <v>16</v>
      </c>
    </row>
    <row r="21" spans="3:19" ht="14.25" customHeight="1" x14ac:dyDescent="0.2">
      <c r="D21" s="1" t="s">
        <v>113</v>
      </c>
      <c r="E21" s="1">
        <f t="shared" si="4"/>
        <v>4</v>
      </c>
      <c r="F21" s="1">
        <f t="shared" si="4"/>
        <v>50</v>
      </c>
      <c r="G21" s="1">
        <f>VLOOKUP($D21,$D$10:$G$13,MATCH(G$16,$D$10:$G$10,0),0)*G15</f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3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3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3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3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89" t="s">
        <v>282</v>
      </c>
      <c r="H26" s="35">
        <f>SUM(H23:H25)</f>
        <v>25.277777777777779</v>
      </c>
      <c r="N26" s="13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3">
        <f>IFERROR(VLOOKUP(Q25,Q$12:T$13,2,0),0)</f>
        <v>0</v>
      </c>
    </row>
    <row r="27" spans="3:19" ht="14.25" customHeight="1" thickBot="1" x14ac:dyDescent="0.25">
      <c r="C27" s="3" t="s">
        <v>299</v>
      </c>
      <c r="D27" s="87" t="s">
        <v>202</v>
      </c>
      <c r="E27" s="109" t="s">
        <v>131</v>
      </c>
      <c r="F27" s="87" t="s">
        <v>132</v>
      </c>
      <c r="G27" s="87" t="s">
        <v>113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111</v>
      </c>
      <c r="E28" s="6">
        <v>0.9</v>
      </c>
      <c r="F28" s="6">
        <f>1/E28</f>
        <v>1.1111111111111112</v>
      </c>
      <c r="G28" s="6">
        <v>1</v>
      </c>
      <c r="M28" s="13">
        <f>IFERROR(VLOOKUP(M27,K$12:N$13,4,0),0)</f>
        <v>0</v>
      </c>
      <c r="N28" s="13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3">
        <f>IFERROR(VLOOKUP(Q27,Q$12:T$13,2,0),0)</f>
        <v>0</v>
      </c>
      <c r="Q28" s="13">
        <f>IFERROR(VLOOKUP(Q27,Q$12:T$13,4,0),0)</f>
        <v>0</v>
      </c>
    </row>
    <row r="29" spans="3:19" ht="14.25" customHeight="1" x14ac:dyDescent="0.2">
      <c r="D29" s="1" t="s">
        <v>112</v>
      </c>
      <c r="E29" s="6">
        <v>1.1000000000000001</v>
      </c>
      <c r="F29" s="6">
        <f t="shared" ref="F29:F31" si="5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111</v>
      </c>
      <c r="E30" s="6">
        <v>1</v>
      </c>
      <c r="F30" s="6">
        <f t="shared" si="5"/>
        <v>1</v>
      </c>
      <c r="G30" s="6">
        <v>1</v>
      </c>
      <c r="L30" s="1" t="s">
        <v>122</v>
      </c>
      <c r="M30" s="1" t="s">
        <v>16</v>
      </c>
      <c r="N30" s="13">
        <f>IFERROR(VLOOKUP(M29,K$12:N$13,2,0),0)</f>
        <v>0</v>
      </c>
      <c r="P30" s="13">
        <f>IFERROR(VLOOKUP(Q29,Q$12:T$13,2,0),0)</f>
        <v>0</v>
      </c>
      <c r="Q30" s="1" t="s">
        <v>16</v>
      </c>
    </row>
    <row r="31" spans="3:19" ht="14.25" customHeight="1" x14ac:dyDescent="0.2">
      <c r="D31" s="1" t="s">
        <v>112</v>
      </c>
      <c r="E31" s="6">
        <v>1.2</v>
      </c>
      <c r="F31" s="6">
        <f t="shared" si="5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D32" s="1" t="s">
        <v>113</v>
      </c>
      <c r="E32" s="6">
        <v>0.97</v>
      </c>
      <c r="F32" s="6">
        <f>E32</f>
        <v>0.97</v>
      </c>
      <c r="G32" s="6">
        <v>1</v>
      </c>
      <c r="N32" s="13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3">
        <f>IFERROR(VLOOKUP(Q31,Q$14:T$15,2,0),0)</f>
        <v>17</v>
      </c>
    </row>
    <row r="33" spans="3:18" ht="14.25" customHeight="1" x14ac:dyDescent="0.2"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E34" s="8">
        <f>E17*E28</f>
        <v>4.5</v>
      </c>
      <c r="F34" s="8">
        <f t="shared" ref="F34:G34" si="6">F17*F28</f>
        <v>111.11111111111111</v>
      </c>
      <c r="G34" s="8">
        <f t="shared" si="6"/>
        <v>2</v>
      </c>
      <c r="N34" s="13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3">
        <f>IFERROR(VLOOKUP(Q33,Q$14:T$15,2,0),0)</f>
        <v>12</v>
      </c>
    </row>
    <row r="35" spans="3:18" ht="14.25" customHeight="1" x14ac:dyDescent="0.2">
      <c r="E35" s="8">
        <f t="shared" ref="E35:G38" si="7">E18*E29</f>
        <v>11</v>
      </c>
      <c r="F35" s="8">
        <f t="shared" si="7"/>
        <v>36.36363636363636</v>
      </c>
      <c r="G35" s="8">
        <f t="shared" si="7"/>
        <v>0</v>
      </c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si="7"/>
        <v>5</v>
      </c>
      <c r="F36" s="8">
        <f t="shared" si="7"/>
        <v>100</v>
      </c>
      <c r="G36" s="8">
        <f t="shared" si="7"/>
        <v>2</v>
      </c>
      <c r="N36" s="13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3">
        <f>IFERROR(VLOOKUP(Q35,Q$14:T$15,2,0),0)</f>
        <v>0</v>
      </c>
    </row>
    <row r="37" spans="3:18" ht="14.25" customHeight="1" x14ac:dyDescent="0.2">
      <c r="E37" s="8">
        <f t="shared" si="7"/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si="7"/>
        <v>3.88</v>
      </c>
      <c r="F38" s="8">
        <f t="shared" si="7"/>
        <v>48.5</v>
      </c>
      <c r="G38" s="8">
        <f t="shared" si="7"/>
        <v>6</v>
      </c>
      <c r="M38" s="13">
        <f>IFERROR(VLOOKUP(M37,K$14:N$15,4,0),0)</f>
        <v>0</v>
      </c>
      <c r="N38" s="13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3">
        <f>IFERROR(VLOOKUP(Q37,Q$14:T$15,2,0),0)</f>
        <v>0</v>
      </c>
      <c r="Q38" s="13">
        <f>IFERROR(VLOOKUP(Q37,Q$14:T$15,4,0),0)</f>
        <v>0</v>
      </c>
    </row>
    <row r="39" spans="3:18" ht="14.25" customHeight="1" x14ac:dyDescent="0.2"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3">
        <f>IFERROR(VLOOKUP(M39,K$14:N$15,2,0),0)</f>
        <v>0</v>
      </c>
      <c r="P40" s="13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11</v>
      </c>
      <c r="M41" s="1" t="s">
        <v>12</v>
      </c>
      <c r="N41" s="1" t="s">
        <v>5</v>
      </c>
      <c r="O41" s="10"/>
      <c r="P41" s="1" t="s">
        <v>11</v>
      </c>
      <c r="Q41" s="1" t="s">
        <v>12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4">
        <f>IF(P42=0,0,O28)</f>
        <v>0</v>
      </c>
      <c r="R42" s="1">
        <f>Q28</f>
        <v>0</v>
      </c>
    </row>
    <row r="43" spans="3:18" x14ac:dyDescent="0.2">
      <c r="G43" s="89" t="s">
        <v>300</v>
      </c>
      <c r="H43" s="35">
        <f>SUM(H40:H42)</f>
        <v>25.090074860805352</v>
      </c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8">S16</f>
        <v>50</v>
      </c>
      <c r="R44" s="1">
        <f t="shared" si="8"/>
        <v>0</v>
      </c>
    </row>
    <row r="45" spans="3:18" ht="15" thickBot="1" x14ac:dyDescent="0.25">
      <c r="C45" s="3" t="s">
        <v>274</v>
      </c>
      <c r="D45" s="87" t="s">
        <v>277</v>
      </c>
      <c r="E45" s="87" t="s">
        <v>278</v>
      </c>
      <c r="F45" s="87" t="s">
        <v>279</v>
      </c>
    </row>
    <row r="46" spans="3:18" x14ac:dyDescent="0.2">
      <c r="D46" s="118" t="s">
        <v>5</v>
      </c>
      <c r="E46" s="110" t="s">
        <v>4</v>
      </c>
      <c r="F46" s="110" t="s">
        <v>3</v>
      </c>
      <c r="L46" s="1" t="s">
        <v>70</v>
      </c>
      <c r="M46" s="6" t="s">
        <v>16</v>
      </c>
      <c r="Q46" s="6" t="s">
        <v>16</v>
      </c>
    </row>
    <row r="47" spans="3:18" x14ac:dyDescent="0.2">
      <c r="D47" s="119"/>
      <c r="E47" s="1" t="s">
        <v>4</v>
      </c>
      <c r="F47" s="1" t="s">
        <v>3</v>
      </c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N48" s="13">
        <f>IFERROR(VLOOKUP(M47,K$14:N$15,2,0),0)</f>
        <v>12</v>
      </c>
      <c r="O48" s="6">
        <f>IFERROR(IF(O47&gt;0,O47/N47*VLOOKUP(M47,$K$41:$R$44,3,0),-O47/P47*VLOOKUP(Q47,$O$41:$R$44,3,0)),O46)</f>
        <v>0</v>
      </c>
      <c r="P48" s="13">
        <f>IFERROR(VLOOKUP(Q47,Q$14:T$15,2,0),0)</f>
        <v>12</v>
      </c>
    </row>
    <row r="49" spans="3:18" ht="14.25" customHeight="1" x14ac:dyDescent="0.2"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11</v>
      </c>
      <c r="F50" s="3"/>
      <c r="M50" s="6"/>
      <c r="N50" s="13">
        <f>IFERROR(VLOOKUP(M49,K$14:N$15,2,0),0)</f>
        <v>0</v>
      </c>
      <c r="O50" s="6">
        <f>IFERROR(IF(O49&gt;0,O49/N49*VLOOKUP(M49,$K$41:$R$44,3,0),-O49/P49*VLOOKUP(Q49,$O$41:$R$44,3,0)),O48)</f>
        <v>0</v>
      </c>
      <c r="P50" s="13">
        <f>IFERROR(VLOOKUP(Q49,Q$14:T$15,2,0),0)</f>
        <v>0</v>
      </c>
      <c r="Q50" s="6"/>
      <c r="R50" s="6"/>
    </row>
    <row r="51" spans="3:18" ht="14.25" customHeight="1" x14ac:dyDescent="0.2">
      <c r="D51" s="1" t="s">
        <v>111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112</v>
      </c>
      <c r="E52" s="8">
        <f>H24*E18+E18*H23</f>
        <v>127.77777777777779</v>
      </c>
      <c r="F52" s="5">
        <f>E52/SUM($E$51:$E$55)</f>
        <v>0.29040404040404044</v>
      </c>
      <c r="M52" s="6"/>
      <c r="N52" s="13">
        <f>IFERROR(VLOOKUP(M51,K$14:N$15,2,0),0)</f>
        <v>0</v>
      </c>
      <c r="O52" s="6">
        <f>IFERROR(IF(O51&gt;0,O51/N51*VLOOKUP(M51,$K$41:$R$44,3,0),-O51/P51*VLOOKUP(Q51,$O$41:$R$44,3,0)),O50)</f>
        <v>0</v>
      </c>
      <c r="P52" s="13">
        <f>IFERROR(VLOOKUP(Q51,Q$14:T$15,2,0),0)</f>
        <v>0</v>
      </c>
      <c r="Q52" s="6"/>
      <c r="R52" s="6">
        <f>SUM(R47:R51)</f>
        <v>12.5</v>
      </c>
    </row>
    <row r="53" spans="3:18" x14ac:dyDescent="0.2">
      <c r="D53" s="1" t="s">
        <v>111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112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113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111</v>
      </c>
      <c r="E57" s="32">
        <f>F53+F51</f>
        <v>0.18939393939393942</v>
      </c>
      <c r="H57" s="6"/>
      <c r="Q57" s="6"/>
      <c r="R57" s="6"/>
    </row>
    <row r="58" spans="3:18" x14ac:dyDescent="0.2">
      <c r="D58" s="1" t="s">
        <v>112</v>
      </c>
      <c r="E58" s="32">
        <f>F54+F52</f>
        <v>0.58080808080808088</v>
      </c>
      <c r="H58" s="6"/>
      <c r="Q58" s="10"/>
    </row>
    <row r="59" spans="3:18" x14ac:dyDescent="0.2">
      <c r="D59" s="1" t="s">
        <v>113</v>
      </c>
      <c r="E59" s="32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Q8" sqref="Q8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4" t="s">
        <v>15</v>
      </c>
      <c r="B1" s="115"/>
    </row>
    <row r="2" spans="1:24" ht="14.25" customHeight="1" x14ac:dyDescent="0.2">
      <c r="A2" s="116"/>
      <c r="B2" s="117"/>
      <c r="M2" s="77"/>
      <c r="Q2" s="78"/>
    </row>
    <row r="3" spans="1:24" x14ac:dyDescent="0.2">
      <c r="D3" s="2" t="s">
        <v>275</v>
      </c>
      <c r="M3" s="77"/>
      <c r="Q3" s="78"/>
    </row>
    <row r="4" spans="1:24" s="3" customFormat="1" ht="14.25" customHeight="1" x14ac:dyDescent="0.2">
      <c r="C4" s="3" t="s">
        <v>17</v>
      </c>
      <c r="J4" s="3" t="s">
        <v>18</v>
      </c>
      <c r="K4" s="2" t="s">
        <v>281</v>
      </c>
      <c r="N4" s="85"/>
      <c r="O4" s="85"/>
      <c r="P4" s="85"/>
      <c r="V4" s="3" t="s">
        <v>19</v>
      </c>
    </row>
    <row r="5" spans="1:24" ht="14.25" customHeight="1" thickBot="1" x14ac:dyDescent="0.25">
      <c r="D5" s="1" t="s">
        <v>0</v>
      </c>
      <c r="E5" s="1" t="s">
        <v>3</v>
      </c>
      <c r="F5" s="1" t="s">
        <v>12</v>
      </c>
      <c r="J5" s="87" t="s">
        <v>280</v>
      </c>
      <c r="K5" s="87" t="s">
        <v>14</v>
      </c>
      <c r="L5" s="87" t="s">
        <v>11</v>
      </c>
      <c r="M5" s="87" t="s">
        <v>12</v>
      </c>
      <c r="N5" s="87" t="s">
        <v>5</v>
      </c>
      <c r="O5" s="3"/>
      <c r="P5" s="87" t="s">
        <v>280</v>
      </c>
      <c r="Q5" s="87" t="s">
        <v>14</v>
      </c>
      <c r="R5" s="87" t="s">
        <v>11</v>
      </c>
      <c r="S5" s="87" t="s">
        <v>12</v>
      </c>
      <c r="T5" s="87" t="s">
        <v>5</v>
      </c>
      <c r="V5" s="87" t="s">
        <v>14</v>
      </c>
      <c r="W5" s="87" t="s">
        <v>198</v>
      </c>
      <c r="X5" s="87" t="s">
        <v>199</v>
      </c>
    </row>
    <row r="6" spans="1:24" ht="14.25" customHeight="1" x14ac:dyDescent="0.2">
      <c r="D6" s="1" t="s">
        <v>1</v>
      </c>
      <c r="E6" s="1" t="s">
        <v>4</v>
      </c>
      <c r="F6" s="1" t="s">
        <v>11</v>
      </c>
      <c r="J6" s="75">
        <v>1</v>
      </c>
      <c r="K6" s="75" t="s">
        <v>3</v>
      </c>
      <c r="L6" s="75">
        <f t="shared" ref="L6:N10" si="0">VLOOKUP($K6,$D$10:$G$13,MATCH(L$5,$D$10:$G$10,0),0)</f>
        <v>5</v>
      </c>
      <c r="M6" s="75">
        <f t="shared" si="0"/>
        <v>100</v>
      </c>
      <c r="N6" s="75">
        <f t="shared" si="0"/>
        <v>2</v>
      </c>
      <c r="P6" s="75">
        <v>1</v>
      </c>
      <c r="Q6" s="75" t="s">
        <v>111</v>
      </c>
      <c r="R6" s="75">
        <f t="shared" ref="R6:T10" si="1">VLOOKUP($Q6,$D$10:$G$13,MATCH(R$5,$D$10:$G$10,0),0)</f>
        <v>5</v>
      </c>
      <c r="S6" s="75">
        <f t="shared" si="1"/>
        <v>100</v>
      </c>
      <c r="T6" s="75">
        <f t="shared" si="1"/>
        <v>2</v>
      </c>
      <c r="V6" s="88" t="s">
        <v>3</v>
      </c>
      <c r="W6" s="75">
        <v>2</v>
      </c>
      <c r="X6" s="75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112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1">
        <v>3</v>
      </c>
    </row>
    <row r="8" spans="1:24" ht="14.25" customHeight="1" x14ac:dyDescent="0.2">
      <c r="D8" s="2" t="s">
        <v>276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112</v>
      </c>
      <c r="R8" s="1">
        <f t="shared" si="1"/>
        <v>10</v>
      </c>
      <c r="S8" s="1">
        <f t="shared" si="1"/>
        <v>40</v>
      </c>
      <c r="T8" s="1">
        <f t="shared" si="1"/>
        <v>0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112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71</v>
      </c>
    </row>
    <row r="10" spans="1:24" ht="14.25" customHeight="1" thickBot="1" x14ac:dyDescent="0.25">
      <c r="D10" s="87" t="s">
        <v>14</v>
      </c>
      <c r="E10" s="87" t="s">
        <v>11</v>
      </c>
      <c r="F10" s="87" t="s">
        <v>12</v>
      </c>
      <c r="G10" s="87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113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5" t="s">
        <v>3</v>
      </c>
      <c r="E11" s="14">
        <v>5</v>
      </c>
      <c r="F11" s="14">
        <v>100</v>
      </c>
      <c r="G11" s="14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22</v>
      </c>
      <c r="S14" s="1">
        <f>SUM(S8:S$9)</f>
        <v>80</v>
      </c>
      <c r="T14" s="1">
        <f>SUM(T8:T$9)+T$10/2</f>
        <v>3</v>
      </c>
    </row>
    <row r="15" spans="1:24" s="3" customFormat="1" ht="14.25" customHeight="1" x14ac:dyDescent="0.2">
      <c r="C15" s="3" t="s">
        <v>200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7" t="s">
        <v>202</v>
      </c>
      <c r="E16" s="87" t="s">
        <v>131</v>
      </c>
      <c r="F16" s="87" t="s">
        <v>132</v>
      </c>
      <c r="G16" s="87" t="s">
        <v>113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39"/>
      <c r="D17" s="75" t="s">
        <v>111</v>
      </c>
      <c r="E17" s="75">
        <f t="shared" ref="E17:G21" si="2">VLOOKUP($D17,$D$10:$G$13,MATCH(E$16,$D$10:$G$10,0),0)</f>
        <v>5</v>
      </c>
      <c r="F17" s="75">
        <f t="shared" si="2"/>
        <v>100</v>
      </c>
      <c r="G17" s="75">
        <f t="shared" si="2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112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2</v>
      </c>
      <c r="P18" s="3"/>
    </row>
    <row r="19" spans="3:19" ht="14.25" customHeight="1" x14ac:dyDescent="0.2">
      <c r="D19" s="1" t="s">
        <v>111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20</v>
      </c>
      <c r="R19" s="31">
        <f>MAX(R29,R39)+R52</f>
        <v>15.718954248366014</v>
      </c>
    </row>
    <row r="20" spans="3:19" ht="14.25" customHeight="1" x14ac:dyDescent="0.2">
      <c r="D20" s="1" t="s">
        <v>112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121</v>
      </c>
      <c r="M20" s="1" t="s">
        <v>16</v>
      </c>
      <c r="Q20" s="1" t="s">
        <v>16</v>
      </c>
    </row>
    <row r="21" spans="3:19" ht="14.25" customHeight="1" x14ac:dyDescent="0.2">
      <c r="D21" s="1" t="s">
        <v>113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3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3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3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3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89" t="s">
        <v>282</v>
      </c>
      <c r="H26" s="35">
        <f>SUM(H23:H25)</f>
        <v>25.277777777777779</v>
      </c>
      <c r="N26" s="13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3">
        <f>IFERROR(VLOOKUP(Q25,Q$12:T$13,2,0),0)</f>
        <v>0</v>
      </c>
    </row>
    <row r="27" spans="3:19" ht="14.25" customHeight="1" thickBot="1" x14ac:dyDescent="0.25">
      <c r="C27" s="3" t="s">
        <v>299</v>
      </c>
      <c r="D27" s="87" t="s">
        <v>202</v>
      </c>
      <c r="E27" s="109" t="s">
        <v>131</v>
      </c>
      <c r="F27" s="87" t="s">
        <v>132</v>
      </c>
      <c r="G27" s="87" t="s">
        <v>113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111</v>
      </c>
      <c r="E28" s="6">
        <v>0.9</v>
      </c>
      <c r="F28" s="6">
        <f>1/E28</f>
        <v>1.1111111111111112</v>
      </c>
      <c r="G28" s="6">
        <v>1</v>
      </c>
      <c r="M28" s="13">
        <f>IFERROR(VLOOKUP(M27,K$12:N$13,4,0),0)</f>
        <v>0</v>
      </c>
      <c r="N28" s="13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3">
        <f>IFERROR(VLOOKUP(Q27,Q$12:T$13,2,0),0)</f>
        <v>0</v>
      </c>
      <c r="Q28" s="13">
        <f>IFERROR(VLOOKUP(Q27,Q$12:T$13,4,0),0)</f>
        <v>0</v>
      </c>
    </row>
    <row r="29" spans="3:19" ht="14.25" customHeight="1" x14ac:dyDescent="0.2">
      <c r="D29" s="1" t="s">
        <v>112</v>
      </c>
      <c r="E29" s="6">
        <v>1.1000000000000001</v>
      </c>
      <c r="F29" s="6">
        <f t="shared" ref="F29:F31" si="3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111</v>
      </c>
      <c r="E30" s="6">
        <v>1</v>
      </c>
      <c r="F30" s="6">
        <f t="shared" si="3"/>
        <v>1</v>
      </c>
      <c r="G30" s="6">
        <v>1</v>
      </c>
      <c r="L30" s="1" t="s">
        <v>122</v>
      </c>
      <c r="M30" s="1" t="s">
        <v>16</v>
      </c>
      <c r="N30" s="13">
        <f>IFERROR(VLOOKUP(M29,K$12:N$13,2,0),0)</f>
        <v>0</v>
      </c>
      <c r="P30" s="13">
        <f>IFERROR(VLOOKUP(Q29,Q$12:T$13,2,0),0)</f>
        <v>0</v>
      </c>
      <c r="Q30" s="1" t="s">
        <v>16</v>
      </c>
    </row>
    <row r="31" spans="3:19" ht="14.25" customHeight="1" x14ac:dyDescent="0.2">
      <c r="D31" s="1" t="s">
        <v>112</v>
      </c>
      <c r="E31" s="6">
        <v>1.2</v>
      </c>
      <c r="F31" s="6">
        <f t="shared" si="3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5.882352941176471</v>
      </c>
      <c r="O31" s="10">
        <f>N31-P31</f>
        <v>3.0252100840336138</v>
      </c>
      <c r="P31" s="6">
        <f>INDEX($S$8:$S$9,MATCH(Q31,$K$14:$K$15,0))/MAX((VLOOKUP(M31,$K$14:$N$15,2,0)-VLOOKUP(Q31,$Q$14:$T$15,4,0)),1)</f>
        <v>2.8571428571428572</v>
      </c>
      <c r="Q31" s="1">
        <v>2</v>
      </c>
      <c r="R31" s="6">
        <f>IFERROR(IF(O31&gt;0,P31,N31),"")</f>
        <v>2.8571428571428572</v>
      </c>
    </row>
    <row r="32" spans="3:19" ht="14.25" customHeight="1" x14ac:dyDescent="0.2">
      <c r="D32" s="1" t="s">
        <v>113</v>
      </c>
      <c r="E32" s="6">
        <v>0.97</v>
      </c>
      <c r="F32" s="6">
        <f>E32</f>
        <v>0.97</v>
      </c>
      <c r="G32" s="6">
        <v>1</v>
      </c>
      <c r="N32" s="13">
        <f>IFERROR(VLOOKUP(M31,K$14:N$15,2,0),0)</f>
        <v>17</v>
      </c>
      <c r="O32" s="6">
        <f>IFERROR(IF(O31&gt;0,O31/N31*INDEX($M$8:$M$9,MATCH(M31,$K$14:$K$15,0)),-O31/P31*INDEX($S$8:$S$9,MATCH(Q31,$K$14:$K$15,0))),O30)</f>
        <v>51.428571428571438</v>
      </c>
      <c r="P32" s="13">
        <f>IFERROR(VLOOKUP(Q31,Q$14:T$15,2,0),0)</f>
        <v>22</v>
      </c>
    </row>
    <row r="33" spans="3:18" ht="14.25" customHeight="1" x14ac:dyDescent="0.2"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7.3469387755102051</v>
      </c>
      <c r="O33" s="10">
        <f>N33-P33</f>
        <v>4.4897959183673475</v>
      </c>
      <c r="P33" s="6">
        <f>IFERROR(IF(O31&lt;0,O32,INDEX($S$8:$S$9,MATCH(Q33,$K$14:$K$15,0)))/MAX((VLOOKUP(M33,$K$14:$N$15,2,0)-VLOOKUP(Q33,$Q$14:$T$15,4,0)),1),0)</f>
        <v>2.8571428571428572</v>
      </c>
      <c r="Q33" s="1">
        <f>IF($O31&lt;0,Q31,Q31-1)</f>
        <v>1</v>
      </c>
      <c r="R33" s="6">
        <f>IFERROR(IF(O33&gt;0,P33,N33),"")</f>
        <v>2.8571428571428572</v>
      </c>
    </row>
    <row r="34" spans="3:18" ht="14.25" customHeight="1" x14ac:dyDescent="0.2">
      <c r="E34" s="8">
        <f>E17*E28</f>
        <v>4.5</v>
      </c>
      <c r="F34" s="8">
        <f t="shared" ref="F34:G34" si="4">F17*F28</f>
        <v>111.11111111111111</v>
      </c>
      <c r="G34" s="8">
        <f t="shared" si="4"/>
        <v>2</v>
      </c>
      <c r="N34" s="13">
        <f>IFERROR(VLOOKUP(M33,K$14:N$15,2,0),0)</f>
        <v>17</v>
      </c>
      <c r="O34" s="6">
        <f>IFERROR(IF(O33&gt;0,O33/N33*INDEX($M$8:$M$9,MATCH(M33,$K$14:$K$15,0)),-O33/P33*INDEX($S$8:$S$9,MATCH(Q33,$K$14:$K$15,0))),O32)</f>
        <v>61.111111111111107</v>
      </c>
      <c r="P34" s="13">
        <f>IFERROR(VLOOKUP(Q33,Q$14:T$15,2,0),0)</f>
        <v>12</v>
      </c>
    </row>
    <row r="35" spans="3:18" ht="14.25" customHeight="1" x14ac:dyDescent="0.2">
      <c r="E35" s="8">
        <f t="shared" ref="E35:G35" si="5">E18*E29</f>
        <v>11</v>
      </c>
      <c r="F35" s="8">
        <f t="shared" si="5"/>
        <v>36.36363636363636</v>
      </c>
      <c r="G35" s="8">
        <f t="shared" si="5"/>
        <v>0</v>
      </c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ref="E36:G36" si="6">E19*E30</f>
        <v>5</v>
      </c>
      <c r="F36" s="8">
        <f t="shared" si="6"/>
        <v>100</v>
      </c>
      <c r="G36" s="8">
        <f t="shared" si="6"/>
        <v>2</v>
      </c>
      <c r="N36" s="13">
        <f>IFERROR(VLOOKUP(M35,K$14:N$15,2,0),0)</f>
        <v>17</v>
      </c>
      <c r="O36" s="6">
        <f>IFERROR(IF(O35&gt;0,O35/N35*INDEX($M$8:$M$9,MATCH(M35,$K$14:$K$15,0)),-O35/P35*INDEX($S$8:$S$9,MATCH(Q35,$K$14:$K$15,0))),O34)</f>
        <v>61.111111111111107</v>
      </c>
      <c r="P36" s="13">
        <f>IFERROR(VLOOKUP(Q35,Q$14:T$15,2,0),0)</f>
        <v>0</v>
      </c>
    </row>
    <row r="37" spans="3:18" ht="14.25" customHeight="1" x14ac:dyDescent="0.2">
      <c r="E37" s="8">
        <f t="shared" ref="E37:G37" si="7">E20*E31</f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ref="E38:G38" si="8">E21*E32</f>
        <v>3.88</v>
      </c>
      <c r="F38" s="8">
        <f t="shared" si="8"/>
        <v>48.5</v>
      </c>
      <c r="G38" s="8">
        <f t="shared" si="8"/>
        <v>6</v>
      </c>
      <c r="M38" s="13">
        <f>IFERROR(VLOOKUP(M37,K$14:N$15,4,0),0)</f>
        <v>3</v>
      </c>
      <c r="N38" s="13">
        <f>IFERROR(VLOOKUP(M37,K$14:N$15,2,0),0)</f>
        <v>12</v>
      </c>
      <c r="O38" s="6">
        <f>IFERROR(IF(O37&gt;0,O37/N37*INDEX($M$8:$M$9,MATCH(M37,$K$14:$K$15,0)),-O37/P37*INDEX($S$8:$S$9,MATCH(Q37,$K$14:$K$15,0))),O36)</f>
        <v>61.111111111111107</v>
      </c>
      <c r="P38" s="13">
        <f>IFERROR(VLOOKUP(Q37,Q$14:T$15,2,0),0)</f>
        <v>0</v>
      </c>
      <c r="Q38" s="13">
        <f>IFERROR(VLOOKUP(Q37,Q$14:T$15,4,0),0)</f>
        <v>0</v>
      </c>
    </row>
    <row r="39" spans="3:18" ht="14.25" customHeight="1" x14ac:dyDescent="0.2"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5.7142857142857144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3">
        <f>IFERROR(VLOOKUP(M39,K$14:N$15,2,0),0)</f>
        <v>17</v>
      </c>
      <c r="P40" s="13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11</v>
      </c>
      <c r="M41" s="1" t="s">
        <v>12</v>
      </c>
      <c r="N41" s="1" t="s">
        <v>5</v>
      </c>
      <c r="O41" s="10"/>
      <c r="P41" s="1" t="s">
        <v>11</v>
      </c>
      <c r="Q41" s="1" t="s">
        <v>12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4">
        <f>IF(P42=0,0,O28)</f>
        <v>0</v>
      </c>
      <c r="R42" s="1">
        <f>Q28</f>
        <v>0</v>
      </c>
    </row>
    <row r="43" spans="3:18" x14ac:dyDescent="0.2">
      <c r="G43" s="89" t="s">
        <v>300</v>
      </c>
      <c r="H43" s="35">
        <f>SUM(H40:H42)</f>
        <v>25.090074860805352</v>
      </c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61.111111111111107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9">S16</f>
        <v>50</v>
      </c>
      <c r="R44" s="1">
        <f t="shared" si="9"/>
        <v>0</v>
      </c>
    </row>
    <row r="45" spans="3:18" ht="15" thickBot="1" x14ac:dyDescent="0.25">
      <c r="C45" s="3" t="s">
        <v>274</v>
      </c>
      <c r="D45" s="87" t="s">
        <v>277</v>
      </c>
      <c r="E45" s="87" t="s">
        <v>278</v>
      </c>
      <c r="F45" s="87" t="s">
        <v>279</v>
      </c>
    </row>
    <row r="46" spans="3:18" x14ac:dyDescent="0.2">
      <c r="D46" s="118" t="s">
        <v>5</v>
      </c>
      <c r="E46" s="105" t="s">
        <v>4</v>
      </c>
      <c r="F46" s="105" t="s">
        <v>3</v>
      </c>
      <c r="L46" s="1" t="s">
        <v>70</v>
      </c>
      <c r="M46" s="6" t="s">
        <v>16</v>
      </c>
      <c r="Q46" s="6" t="s">
        <v>16</v>
      </c>
    </row>
    <row r="47" spans="3:18" x14ac:dyDescent="0.2">
      <c r="D47" s="119"/>
      <c r="E47" s="1" t="s">
        <v>4</v>
      </c>
      <c r="F47" s="1" t="s">
        <v>3</v>
      </c>
      <c r="M47" s="9">
        <f>COUNTIF(L42:L44,"&gt;0")</f>
        <v>2</v>
      </c>
      <c r="N47" s="6">
        <f>IFERROR(VLOOKUP(M47,$K$41:$R$44,3,0)/MAX((VLOOKUP(Q47,$O$41:$R$44,2,0)-VLOOKUP(M47,$K$41:$R$44,4,0)),1),0)</f>
        <v>61.111111111111107</v>
      </c>
      <c r="O47" s="10">
        <f>N47-P47</f>
        <v>58.169934640522868</v>
      </c>
      <c r="P47" s="6">
        <f>IFERROR(VLOOKUP(Q47,$O$41:$R$44,3,0)/MAX((VLOOKUP(M47,$K$41:$R$44,2,0)-VLOOKUP(Q47,$O$41:$R$44,4,0)),1),0)</f>
        <v>2.9411764705882355</v>
      </c>
      <c r="Q47" s="9">
        <f>COUNTIF(P42:P44,"&gt;0")</f>
        <v>1</v>
      </c>
      <c r="R47" s="6">
        <f>IFERROR(IF(O47&gt;0,P47,N47),"")</f>
        <v>2.9411764705882355</v>
      </c>
    </row>
    <row r="48" spans="3:18" ht="14.25" customHeight="1" x14ac:dyDescent="0.2">
      <c r="N48" s="13">
        <f>IFERROR(VLOOKUP(M47,K$14:N$15,2,0),0)</f>
        <v>17</v>
      </c>
      <c r="O48" s="6">
        <f>IFERROR(IF(O47&gt;0,O47/N47*VLOOKUP(M47,$K$41:$R$44,3,0),-O47/P47*VLOOKUP(Q47,$O$41:$R$44,3,0)),O46)</f>
        <v>58.169934640522868</v>
      </c>
      <c r="P48" s="13">
        <f>IFERROR(VLOOKUP(Q47,Q$14:T$15,2,0),0)</f>
        <v>12</v>
      </c>
    </row>
    <row r="49" spans="3:18" ht="14.25" customHeight="1" x14ac:dyDescent="0.2">
      <c r="M49" s="1">
        <f>IF($O47&gt;0,M47,M47-1)</f>
        <v>2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11</v>
      </c>
      <c r="F50" s="3"/>
      <c r="M50" s="6"/>
      <c r="N50" s="13">
        <f>IFERROR(VLOOKUP(M49,K$14:N$15,2,0),0)</f>
        <v>17</v>
      </c>
      <c r="O50" s="6">
        <f>IFERROR(IF(O49&gt;0,O49/N49*VLOOKUP(M49,$K$41:$R$44,3,0),-O49/P49*VLOOKUP(Q49,$O$41:$R$44,3,0)),O48)</f>
        <v>58.169934640522868</v>
      </c>
      <c r="P50" s="13">
        <f>IFERROR(VLOOKUP(Q49,Q$14:T$15,2,0),0)</f>
        <v>0</v>
      </c>
      <c r="Q50" s="6"/>
      <c r="R50" s="6"/>
    </row>
    <row r="51" spans="3:18" ht="14.25" customHeight="1" x14ac:dyDescent="0.2">
      <c r="D51" s="1" t="s">
        <v>111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112</v>
      </c>
      <c r="E52" s="8">
        <f>H24*E18+E18*H23</f>
        <v>127.77777777777779</v>
      </c>
      <c r="F52" s="5">
        <f>E52/SUM($E$51:$E$55)</f>
        <v>0.29040404040404044</v>
      </c>
      <c r="M52" s="6"/>
      <c r="N52" s="13">
        <f>IFERROR(VLOOKUP(M51,K$14:N$15,2,0),0)</f>
        <v>12</v>
      </c>
      <c r="O52" s="6">
        <f>IFERROR(IF(O51&gt;0,O51/N51*VLOOKUP(M51,$K$41:$R$44,3,0),-O51/P51*VLOOKUP(Q51,$O$41:$R$44,3,0)),O50)</f>
        <v>58.169934640522868</v>
      </c>
      <c r="P52" s="13">
        <f>IFERROR(VLOOKUP(Q51,Q$14:T$15,2,0),0)</f>
        <v>0</v>
      </c>
      <c r="Q52" s="6"/>
      <c r="R52" s="6">
        <f>SUM(R47:R51)</f>
        <v>2.9411764705882355</v>
      </c>
    </row>
    <row r="53" spans="3:18" x14ac:dyDescent="0.2">
      <c r="D53" s="1" t="s">
        <v>111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112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113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111</v>
      </c>
      <c r="E57" s="32">
        <f>F53+F51</f>
        <v>0.18939393939393942</v>
      </c>
      <c r="H57" s="6"/>
      <c r="Q57" s="6"/>
      <c r="R57" s="6"/>
    </row>
    <row r="58" spans="3:18" x14ac:dyDescent="0.2">
      <c r="D58" s="1" t="s">
        <v>112</v>
      </c>
      <c r="E58" s="32">
        <f>F54+F52</f>
        <v>0.58080808080808088</v>
      </c>
      <c r="H58" s="6"/>
      <c r="Q58" s="10"/>
    </row>
    <row r="59" spans="3:18" x14ac:dyDescent="0.2">
      <c r="D59" s="1" t="s">
        <v>113</v>
      </c>
      <c r="E59" s="32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tabSelected="1" workbookViewId="0">
      <pane xSplit="3" ySplit="8" topLeftCell="D15" activePane="bottomRight" state="frozen"/>
      <selection pane="topRight" activeCell="D1" sqref="D1"/>
      <selection pane="bottomLeft" activeCell="A10" sqref="A10"/>
      <selection pane="bottomRight" activeCell="K35" sqref="K35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14" t="s">
        <v>21</v>
      </c>
      <c r="B1" s="115"/>
    </row>
    <row r="2" spans="1:17" ht="14.25" customHeight="1" x14ac:dyDescent="0.2">
      <c r="A2" s="116"/>
      <c r="B2" s="117"/>
    </row>
    <row r="3" spans="1:17" ht="14.25" customHeight="1" x14ac:dyDescent="0.2">
      <c r="C3" s="90" t="s">
        <v>6</v>
      </c>
      <c r="D3" s="2"/>
    </row>
    <row r="4" spans="1:17" ht="14.25" customHeight="1" x14ac:dyDescent="0.2">
      <c r="C4" s="2" t="s">
        <v>7</v>
      </c>
      <c r="D4" s="2"/>
    </row>
    <row r="5" spans="1:17" ht="14.25" customHeight="1" x14ac:dyDescent="0.2">
      <c r="C5" s="90" t="s">
        <v>8</v>
      </c>
    </row>
    <row r="6" spans="1:17" ht="14.25" customHeight="1" x14ac:dyDescent="0.2">
      <c r="C6" s="2" t="s">
        <v>283</v>
      </c>
    </row>
    <row r="7" spans="1:17" ht="14.25" customHeight="1" x14ac:dyDescent="0.2">
      <c r="C7" s="2"/>
    </row>
    <row r="9" spans="1:17" ht="14.25" customHeight="1" thickBot="1" x14ac:dyDescent="0.25">
      <c r="D9" s="87" t="s">
        <v>22</v>
      </c>
      <c r="E9" s="87" t="s">
        <v>33</v>
      </c>
      <c r="F9" s="87" t="s">
        <v>37</v>
      </c>
      <c r="G9" s="86" t="s">
        <v>44</v>
      </c>
      <c r="H9" s="131" t="s">
        <v>39</v>
      </c>
      <c r="I9" s="132"/>
      <c r="J9" s="132"/>
      <c r="K9" s="132"/>
      <c r="L9" s="132"/>
      <c r="M9" s="132"/>
      <c r="N9" s="132"/>
      <c r="O9" s="132"/>
      <c r="P9" s="132"/>
      <c r="Q9" s="133"/>
    </row>
    <row r="10" spans="1:17" ht="14.25" customHeight="1" x14ac:dyDescent="0.2">
      <c r="C10" s="120" t="s">
        <v>23</v>
      </c>
      <c r="D10" s="75" t="s">
        <v>24</v>
      </c>
      <c r="E10" s="75" t="s">
        <v>34</v>
      </c>
      <c r="F10" s="75" t="s">
        <v>38</v>
      </c>
      <c r="G10" s="76" t="s">
        <v>53</v>
      </c>
      <c r="H10" s="128" t="s">
        <v>40</v>
      </c>
      <c r="I10" s="129"/>
      <c r="J10" s="129"/>
      <c r="K10" s="129"/>
      <c r="L10" s="129"/>
      <c r="M10" s="129"/>
      <c r="N10" s="129"/>
      <c r="O10" s="129"/>
      <c r="P10" s="129"/>
      <c r="Q10" s="130"/>
    </row>
    <row r="11" spans="1:17" ht="14.25" customHeight="1" x14ac:dyDescent="0.2">
      <c r="C11" s="121"/>
      <c r="D11" s="1" t="s">
        <v>25</v>
      </c>
      <c r="E11" s="1" t="s">
        <v>34</v>
      </c>
      <c r="F11" s="1" t="s">
        <v>38</v>
      </c>
      <c r="G11" s="12" t="s">
        <v>53</v>
      </c>
      <c r="H11" s="134" t="s">
        <v>41</v>
      </c>
      <c r="I11" s="135"/>
      <c r="J11" s="135"/>
      <c r="K11" s="135"/>
      <c r="L11" s="135"/>
      <c r="M11" s="135"/>
      <c r="N11" s="135"/>
      <c r="O11" s="135"/>
      <c r="P11" s="135"/>
      <c r="Q11" s="136"/>
    </row>
    <row r="12" spans="1:17" ht="14.25" customHeight="1" x14ac:dyDescent="0.2">
      <c r="C12" s="121"/>
      <c r="D12" s="1" t="s">
        <v>26</v>
      </c>
      <c r="E12" s="1" t="s">
        <v>34</v>
      </c>
      <c r="F12" s="1" t="s">
        <v>38</v>
      </c>
      <c r="G12" s="12" t="s">
        <v>53</v>
      </c>
      <c r="H12" s="134" t="s">
        <v>42</v>
      </c>
      <c r="I12" s="135"/>
      <c r="J12" s="135"/>
      <c r="K12" s="135"/>
      <c r="L12" s="135"/>
      <c r="M12" s="135"/>
      <c r="N12" s="135"/>
      <c r="O12" s="135"/>
      <c r="P12" s="135"/>
      <c r="Q12" s="136"/>
    </row>
    <row r="13" spans="1:17" ht="14.25" customHeight="1" x14ac:dyDescent="0.2">
      <c r="C13" s="121"/>
      <c r="D13" s="1" t="s">
        <v>27</v>
      </c>
      <c r="E13" s="1" t="s">
        <v>34</v>
      </c>
      <c r="F13" s="1" t="s">
        <v>38</v>
      </c>
      <c r="G13" s="12" t="s">
        <v>45</v>
      </c>
      <c r="H13" s="134" t="s">
        <v>43</v>
      </c>
      <c r="I13" s="135"/>
      <c r="J13" s="135"/>
      <c r="K13" s="135"/>
      <c r="L13" s="135"/>
      <c r="M13" s="135"/>
      <c r="N13" s="135"/>
      <c r="O13" s="135"/>
      <c r="P13" s="135"/>
      <c r="Q13" s="136"/>
    </row>
    <row r="14" spans="1:17" ht="14.25" customHeight="1" x14ac:dyDescent="0.2">
      <c r="C14" s="121"/>
      <c r="D14" s="1" t="s">
        <v>47</v>
      </c>
      <c r="E14" s="1" t="s">
        <v>34</v>
      </c>
      <c r="F14" s="1" t="s">
        <v>38</v>
      </c>
      <c r="G14" s="12" t="s">
        <v>46</v>
      </c>
      <c r="H14" s="134" t="s">
        <v>48</v>
      </c>
      <c r="I14" s="135"/>
      <c r="J14" s="135"/>
      <c r="K14" s="135"/>
      <c r="L14" s="135"/>
      <c r="M14" s="135"/>
      <c r="N14" s="135"/>
      <c r="O14" s="135"/>
      <c r="P14" s="135"/>
      <c r="Q14" s="136"/>
    </row>
    <row r="15" spans="1:17" ht="14.25" customHeight="1" x14ac:dyDescent="0.2">
      <c r="C15" s="119"/>
      <c r="D15" s="1" t="s">
        <v>9</v>
      </c>
      <c r="E15" s="1" t="s">
        <v>34</v>
      </c>
      <c r="F15" s="1" t="s">
        <v>38</v>
      </c>
      <c r="G15" s="12" t="s">
        <v>49</v>
      </c>
      <c r="H15" s="134" t="s">
        <v>50</v>
      </c>
      <c r="I15" s="135"/>
      <c r="J15" s="135"/>
      <c r="K15" s="135"/>
      <c r="L15" s="135"/>
      <c r="M15" s="135"/>
      <c r="N15" s="135"/>
      <c r="O15" s="135"/>
      <c r="P15" s="135"/>
      <c r="Q15" s="136"/>
    </row>
    <row r="16" spans="1:17" ht="14.25" customHeight="1" x14ac:dyDescent="0.2">
      <c r="C16" s="120" t="s">
        <v>28</v>
      </c>
      <c r="D16" s="1" t="s">
        <v>29</v>
      </c>
      <c r="E16" s="1" t="s">
        <v>35</v>
      </c>
      <c r="F16" s="1" t="s">
        <v>38</v>
      </c>
      <c r="G16" s="12" t="s">
        <v>54</v>
      </c>
      <c r="H16" s="122" t="s">
        <v>52</v>
      </c>
      <c r="I16" s="123"/>
      <c r="J16" s="123"/>
      <c r="K16" s="123"/>
      <c r="L16" s="123"/>
      <c r="M16" s="123"/>
      <c r="N16" s="123"/>
      <c r="O16" s="123"/>
      <c r="P16" s="123"/>
      <c r="Q16" s="124"/>
    </row>
    <row r="17" spans="3:17" ht="14.25" customHeight="1" x14ac:dyDescent="0.2">
      <c r="C17" s="121"/>
      <c r="D17" s="1" t="s">
        <v>30</v>
      </c>
      <c r="E17" s="1" t="s">
        <v>35</v>
      </c>
      <c r="F17" s="1" t="s">
        <v>38</v>
      </c>
      <c r="G17" s="12" t="s">
        <v>54</v>
      </c>
      <c r="H17" s="125"/>
      <c r="I17" s="126"/>
      <c r="J17" s="126"/>
      <c r="K17" s="126"/>
      <c r="L17" s="126"/>
      <c r="M17" s="126"/>
      <c r="N17" s="126"/>
      <c r="O17" s="126"/>
      <c r="P17" s="126"/>
      <c r="Q17" s="127"/>
    </row>
    <row r="18" spans="3:17" ht="14.25" customHeight="1" x14ac:dyDescent="0.2">
      <c r="C18" s="119"/>
      <c r="D18" s="1" t="s">
        <v>31</v>
      </c>
      <c r="E18" s="1" t="s">
        <v>35</v>
      </c>
      <c r="F18" s="1" t="s">
        <v>38</v>
      </c>
      <c r="G18" s="12" t="s">
        <v>54</v>
      </c>
      <c r="H18" s="128"/>
      <c r="I18" s="129"/>
      <c r="J18" s="129"/>
      <c r="K18" s="129"/>
      <c r="L18" s="129"/>
      <c r="M18" s="129"/>
      <c r="N18" s="129"/>
      <c r="O18" s="129"/>
      <c r="P18" s="129"/>
      <c r="Q18" s="130"/>
    </row>
    <row r="19" spans="3:17" ht="14.25" customHeight="1" x14ac:dyDescent="0.2">
      <c r="C19" s="120" t="s">
        <v>32</v>
      </c>
      <c r="D19" s="1" t="s">
        <v>61</v>
      </c>
      <c r="E19" s="1" t="s">
        <v>35</v>
      </c>
      <c r="F19" s="1" t="s">
        <v>38</v>
      </c>
      <c r="G19" s="1" t="s">
        <v>55</v>
      </c>
      <c r="H19" s="122" t="s">
        <v>56</v>
      </c>
      <c r="I19" s="123"/>
      <c r="J19" s="123"/>
      <c r="K19" s="123"/>
      <c r="L19" s="123"/>
      <c r="M19" s="123"/>
      <c r="N19" s="123"/>
      <c r="O19" s="123"/>
      <c r="P19" s="123"/>
      <c r="Q19" s="124"/>
    </row>
    <row r="20" spans="3:17" ht="14.25" customHeight="1" x14ac:dyDescent="0.2">
      <c r="C20" s="121"/>
      <c r="D20" s="1" t="s">
        <v>116</v>
      </c>
      <c r="E20" s="1" t="s">
        <v>35</v>
      </c>
      <c r="F20" s="1" t="s">
        <v>38</v>
      </c>
      <c r="G20" s="1" t="s">
        <v>110</v>
      </c>
      <c r="H20" s="125"/>
      <c r="I20" s="126"/>
      <c r="J20" s="126"/>
      <c r="K20" s="126"/>
      <c r="L20" s="126"/>
      <c r="M20" s="126"/>
      <c r="N20" s="126"/>
      <c r="O20" s="126"/>
      <c r="P20" s="126"/>
      <c r="Q20" s="127"/>
    </row>
    <row r="21" spans="3:17" ht="14.25" customHeight="1" x14ac:dyDescent="0.2">
      <c r="C21" s="119"/>
      <c r="D21" s="1" t="s">
        <v>109</v>
      </c>
      <c r="E21" s="1" t="s">
        <v>35</v>
      </c>
      <c r="F21" s="1" t="s">
        <v>38</v>
      </c>
      <c r="G21" s="1" t="s">
        <v>110</v>
      </c>
      <c r="H21" s="128"/>
      <c r="I21" s="129"/>
      <c r="J21" s="129"/>
      <c r="K21" s="129"/>
      <c r="L21" s="129"/>
      <c r="M21" s="129"/>
      <c r="N21" s="129"/>
      <c r="O21" s="129"/>
      <c r="P21" s="129"/>
      <c r="Q21" s="130"/>
    </row>
    <row r="22" spans="3:17" ht="14.25" customHeight="1" x14ac:dyDescent="0.2">
      <c r="C22" s="25"/>
      <c r="H22" s="26"/>
      <c r="I22" s="27"/>
      <c r="J22" s="27"/>
      <c r="K22" s="27"/>
      <c r="L22" s="27"/>
      <c r="M22" s="27"/>
      <c r="N22" s="27"/>
      <c r="O22" s="27"/>
      <c r="P22" s="27"/>
      <c r="Q22" s="28"/>
    </row>
    <row r="23" spans="3:17" ht="14.25" customHeight="1" x14ac:dyDescent="0.2">
      <c r="D23" s="15"/>
    </row>
    <row r="24" spans="3:17" ht="14.25" customHeight="1" x14ac:dyDescent="0.2">
      <c r="C24" s="91" t="s">
        <v>284</v>
      </c>
      <c r="D24" s="2" t="s">
        <v>51</v>
      </c>
      <c r="Q24" s="15" t="s">
        <v>36</v>
      </c>
    </row>
    <row r="26" spans="3:17" s="3" customFormat="1" ht="14.25" customHeight="1" x14ac:dyDescent="0.2">
      <c r="C26" s="3" t="s">
        <v>21</v>
      </c>
      <c r="D26" s="2" t="s">
        <v>66</v>
      </c>
      <c r="L26" s="3" t="s">
        <v>14</v>
      </c>
      <c r="M26" s="3" t="s">
        <v>117</v>
      </c>
    </row>
    <row r="27" spans="3:17" ht="14.25" customHeight="1" x14ac:dyDescent="0.2">
      <c r="D27" s="3" t="s">
        <v>57</v>
      </c>
      <c r="E27" s="3" t="s">
        <v>303</v>
      </c>
      <c r="L27" s="1" t="s">
        <v>3</v>
      </c>
      <c r="M27" s="7" t="s">
        <v>118</v>
      </c>
    </row>
    <row r="28" spans="3:17" ht="14.25" customHeight="1" x14ac:dyDescent="0.2">
      <c r="D28" s="1" t="s">
        <v>10</v>
      </c>
      <c r="E28" s="7"/>
      <c r="L28" s="1" t="s">
        <v>4</v>
      </c>
      <c r="M28" s="7" t="s">
        <v>119</v>
      </c>
    </row>
    <row r="29" spans="3:17" ht="14.25" customHeight="1" x14ac:dyDescent="0.2">
      <c r="D29" s="1" t="s">
        <v>60</v>
      </c>
      <c r="E29" s="7" t="s">
        <v>58</v>
      </c>
      <c r="L29" s="1" t="s">
        <v>5</v>
      </c>
      <c r="M29" s="7" t="s">
        <v>120</v>
      </c>
    </row>
    <row r="30" spans="3:17" ht="14.25" customHeight="1" x14ac:dyDescent="0.2">
      <c r="D30" s="1" t="s">
        <v>59</v>
      </c>
      <c r="E30" s="7" t="s">
        <v>304</v>
      </c>
      <c r="I30" s="2" t="s">
        <v>293</v>
      </c>
    </row>
    <row r="31" spans="3:17" ht="14.25" customHeight="1" x14ac:dyDescent="0.2">
      <c r="D31" s="1" t="s">
        <v>11</v>
      </c>
      <c r="E31" s="7" t="s">
        <v>62</v>
      </c>
    </row>
    <row r="32" spans="3:17" ht="14.25" customHeight="1" x14ac:dyDescent="0.2">
      <c r="D32" s="3" t="s">
        <v>63</v>
      </c>
      <c r="E32" s="7" t="s">
        <v>64</v>
      </c>
    </row>
    <row r="33" spans="3:6" ht="14.25" customHeight="1" x14ac:dyDescent="0.2">
      <c r="D33" s="3" t="s">
        <v>68</v>
      </c>
      <c r="E33" s="7" t="s">
        <v>65</v>
      </c>
    </row>
    <row r="34" spans="3:6" ht="14.25" customHeight="1" x14ac:dyDescent="0.2">
      <c r="D34" s="3" t="s">
        <v>67</v>
      </c>
      <c r="E34" s="7" t="s">
        <v>69</v>
      </c>
    </row>
    <row r="36" spans="3:6" ht="14.25" customHeight="1" x14ac:dyDescent="0.2">
      <c r="C36" s="3" t="s">
        <v>72</v>
      </c>
      <c r="D36" s="1" t="s">
        <v>114</v>
      </c>
      <c r="E36" s="1">
        <v>25</v>
      </c>
    </row>
    <row r="37" spans="3:6" ht="14.25" customHeight="1" thickBot="1" x14ac:dyDescent="0.25">
      <c r="D37" s="87" t="s">
        <v>22</v>
      </c>
      <c r="E37" s="87" t="s">
        <v>74</v>
      </c>
    </row>
    <row r="38" spans="3:6" ht="14.25" customHeight="1" x14ac:dyDescent="0.2">
      <c r="D38" s="75" t="s">
        <v>24</v>
      </c>
      <c r="E38" s="75">
        <f>E40*E36</f>
        <v>25</v>
      </c>
    </row>
    <row r="39" spans="3:6" ht="14.25" customHeight="1" x14ac:dyDescent="0.2">
      <c r="D39" s="1" t="s">
        <v>25</v>
      </c>
      <c r="E39" s="29">
        <f>1/100000</f>
        <v>1.0000000000000001E-5</v>
      </c>
      <c r="F39" s="7" t="s">
        <v>285</v>
      </c>
    </row>
    <row r="40" spans="3:6" ht="14.25" customHeight="1" x14ac:dyDescent="0.2">
      <c r="D40" s="1" t="s">
        <v>26</v>
      </c>
      <c r="E40" s="16">
        <v>1</v>
      </c>
    </row>
    <row r="41" spans="3:6" ht="14.25" customHeight="1" x14ac:dyDescent="0.2">
      <c r="D41" s="1" t="s">
        <v>27</v>
      </c>
      <c r="E41" s="4">
        <f>0.5*0.01</f>
        <v>5.0000000000000001E-3</v>
      </c>
      <c r="F41" s="7" t="s">
        <v>286</v>
      </c>
    </row>
    <row r="42" spans="3:6" ht="14.25" customHeight="1" x14ac:dyDescent="0.2">
      <c r="D42" s="1" t="s">
        <v>73</v>
      </c>
      <c r="E42" s="5">
        <f>0.75*0.01</f>
        <v>7.4999999999999997E-3</v>
      </c>
      <c r="F42" s="7" t="s">
        <v>286</v>
      </c>
    </row>
    <row r="43" spans="3:6" ht="14.25" customHeight="1" x14ac:dyDescent="0.2">
      <c r="E43" s="5"/>
      <c r="F43" s="7"/>
    </row>
    <row r="44" spans="3:6" ht="14.25" customHeight="1" x14ac:dyDescent="0.2">
      <c r="E44" s="5"/>
      <c r="F44" s="7"/>
    </row>
    <row r="45" spans="3:6" ht="14.25" customHeight="1" x14ac:dyDescent="0.2">
      <c r="D45" s="2" t="s">
        <v>288</v>
      </c>
    </row>
    <row r="46" spans="3:6" ht="14.25" customHeight="1" x14ac:dyDescent="0.2">
      <c r="D46" s="7" t="s">
        <v>301</v>
      </c>
    </row>
    <row r="47" spans="3:6" ht="14.25" customHeight="1" x14ac:dyDescent="0.2">
      <c r="D47" s="7" t="s">
        <v>302</v>
      </c>
    </row>
    <row r="48" spans="3:6" ht="14.25" customHeight="1" x14ac:dyDescent="0.2">
      <c r="D48" s="7" t="s">
        <v>287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N16" activePane="bottomRight" state="frozen"/>
      <selection pane="topRight" activeCell="D1" sqref="D1"/>
      <selection pane="bottomLeft" activeCell="A16" sqref="A16"/>
      <selection pane="bottomRight" activeCell="AD10" sqref="AD10:AJ21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7"/>
    <col min="37" max="16384" width="9" style="1"/>
  </cols>
  <sheetData>
    <row r="1" spans="1:36" ht="14.25" customHeight="1" x14ac:dyDescent="0.2">
      <c r="A1" s="114" t="s">
        <v>75</v>
      </c>
      <c r="B1" s="115"/>
    </row>
    <row r="2" spans="1:36" ht="14.25" customHeight="1" x14ac:dyDescent="0.2">
      <c r="A2" s="116"/>
      <c r="B2" s="117"/>
      <c r="C2" s="2" t="s">
        <v>289</v>
      </c>
      <c r="D2" s="2"/>
    </row>
    <row r="3" spans="1:36" ht="14.25" customHeight="1" x14ac:dyDescent="0.2">
      <c r="C3" s="3" t="s">
        <v>101</v>
      </c>
    </row>
    <row r="4" spans="1:36" s="3" customFormat="1" ht="14.25" customHeight="1" x14ac:dyDescent="0.2">
      <c r="D4" s="3" t="s">
        <v>77</v>
      </c>
      <c r="E4" s="3" t="s">
        <v>11</v>
      </c>
      <c r="F4" s="3" t="s">
        <v>12</v>
      </c>
      <c r="G4" s="3" t="s">
        <v>298</v>
      </c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98</v>
      </c>
      <c r="Q8" s="94" t="s">
        <v>134</v>
      </c>
      <c r="AB8" s="94" t="s">
        <v>123</v>
      </c>
    </row>
    <row r="9" spans="1:36" s="3" customFormat="1" ht="14.25" customHeight="1" x14ac:dyDescent="0.2">
      <c r="D9" s="3" t="s">
        <v>76</v>
      </c>
      <c r="E9" s="3" t="s">
        <v>77</v>
      </c>
      <c r="F9" s="3" t="s">
        <v>11</v>
      </c>
      <c r="G9" s="3" t="s">
        <v>12</v>
      </c>
      <c r="I9" s="23" t="s">
        <v>79</v>
      </c>
      <c r="J9" s="3" t="s">
        <v>80</v>
      </c>
      <c r="K9" s="3" t="s">
        <v>81</v>
      </c>
      <c r="L9" s="3" t="s">
        <v>82</v>
      </c>
      <c r="M9" s="23" t="s">
        <v>143</v>
      </c>
      <c r="Q9" s="94"/>
      <c r="R9" s="94" t="s">
        <v>135</v>
      </c>
      <c r="S9" s="94" t="s">
        <v>76</v>
      </c>
      <c r="T9" s="94" t="s">
        <v>142</v>
      </c>
      <c r="U9" s="95" t="s">
        <v>79</v>
      </c>
      <c r="V9" s="94" t="s">
        <v>80</v>
      </c>
      <c r="W9" s="94" t="s">
        <v>81</v>
      </c>
      <c r="X9" s="94" t="s">
        <v>82</v>
      </c>
      <c r="Y9" s="94" t="s">
        <v>142</v>
      </c>
      <c r="Z9" s="95" t="s">
        <v>25</v>
      </c>
      <c r="AA9" s="103" t="s">
        <v>153</v>
      </c>
      <c r="AB9" s="94"/>
      <c r="AC9" s="94" t="s">
        <v>129</v>
      </c>
      <c r="AD9" s="94" t="s">
        <v>131</v>
      </c>
      <c r="AE9" s="94" t="s">
        <v>132</v>
      </c>
      <c r="AF9" s="94" t="s">
        <v>124</v>
      </c>
      <c r="AG9" s="94" t="s">
        <v>125</v>
      </c>
      <c r="AH9" s="94" t="s">
        <v>126</v>
      </c>
      <c r="AI9" s="94" t="s">
        <v>127</v>
      </c>
      <c r="AJ9" s="94" t="s">
        <v>152</v>
      </c>
    </row>
    <row r="10" spans="1:36" ht="14.25" customHeight="1" x14ac:dyDescent="0.2">
      <c r="C10" s="17" t="s">
        <v>87</v>
      </c>
      <c r="D10" s="1" t="s">
        <v>59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7" t="s">
        <v>229</v>
      </c>
      <c r="S10" s="67" t="s">
        <v>136</v>
      </c>
      <c r="T10" s="67" t="str">
        <f>MIN(VLOOKUP(S10,$D$9:$M$15,6,0),VLOOKUP(S10,$D$9:$M$15,10,0))&amp;"~"&amp;MAX(VLOOKUP(S10,$D$9:$M$15,6,0),VLOOKUP(S10,$D$9:$M$15,10,0))</f>
        <v>0.9~1</v>
      </c>
      <c r="U10" s="92">
        <v>0.9</v>
      </c>
      <c r="V10" s="92">
        <f>X10/VLOOKUP(S10,$D$9:$L$15,4,0)</f>
        <v>1.1111111111111112</v>
      </c>
      <c r="W10" s="92">
        <f>VLOOKUP(S10,$D$9:$L$15,3,0)*U10</f>
        <v>4.5</v>
      </c>
      <c r="X10" s="92">
        <f>VLOOKUP(S10,$D$9:$L$15,5,0)/W10</f>
        <v>111.11111111111111</v>
      </c>
      <c r="Y10" s="92" t="str">
        <f>MIN(VLOOKUP(S10,$D$18:$O$24,4,0),VLOOKUP(S10,$D$18:$O$24,12,0))&amp;"~"&amp;MAX(VLOOKUP(S10,$D$18:$O$24,4,0),VLOOKUP(S10,$D$18:$O$24,12,0))</f>
        <v>7.6~11</v>
      </c>
      <c r="Z10" s="92">
        <v>11</v>
      </c>
      <c r="AA10" s="67">
        <f>VLOOKUP(S10,$D$27:$M$33,MATCH(AA$9,$D$27:$M$27,0),0)</f>
        <v>0.75</v>
      </c>
      <c r="AB10" s="67" t="str">
        <f>R10</f>
        <v>饼干1</v>
      </c>
      <c r="AC10" s="67" t="str">
        <f>VLOOKUP($S10,$D$27:$L$33,MATCH(AC$9,$D$27:$L$27,0),0)</f>
        <v>承伤</v>
      </c>
      <c r="AD10" s="104">
        <f>W10/INDEX($G$26:$L$26,MATCH(AD$9,$G$27:$L$27,0))</f>
        <v>0.45</v>
      </c>
      <c r="AE10" s="104">
        <f>X10/INDEX($G$26:$L$26,MATCH(AE$9,$G$27:$L$27,0))</f>
        <v>1.1111111111111112</v>
      </c>
      <c r="AF10" s="104">
        <f>Z10/INDEX($G$26:$L$26,MATCH(AF$9,$G$27:$L$27,0))</f>
        <v>1</v>
      </c>
      <c r="AG10" s="104">
        <f>VLOOKUP($S10,$D$18:$O$24,MATCH(AG$9,$D$18:$O$18,0),0)/INDEX($G$26:$L$26,MATCH(AG$9,$G$27:$L$27,0))</f>
        <v>1</v>
      </c>
      <c r="AH10" s="104">
        <f t="shared" ref="AH10:AI21" si="1">VLOOKUP($S10,$D$18:$O$24,MATCH(AH$9,$D$18:$O$18,0),0)/INDEX($G$26:$L$26,MATCH(AH$9,$G$27:$L$27,0))</f>
        <v>1</v>
      </c>
      <c r="AI10" s="104">
        <f>VLOOKUP($S10,$D$18:$O$24,MATCH(AI$9,$D$18:$O$18,0),0)/INDEX($G$26:$L$26,MATCH(AI$9,$G$27:$L$27,0))</f>
        <v>0.9</v>
      </c>
      <c r="AJ10" s="67">
        <f>AA10</f>
        <v>0.75</v>
      </c>
    </row>
    <row r="11" spans="1:36" ht="14.25" customHeight="1" x14ac:dyDescent="0.2">
      <c r="C11" s="17" t="s">
        <v>88</v>
      </c>
      <c r="D11" s="1" t="s">
        <v>78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7" t="s">
        <v>230</v>
      </c>
      <c r="S11" s="67" t="s">
        <v>136</v>
      </c>
      <c r="T11" s="67" t="str">
        <f t="shared" ref="T11:T21" si="2">MIN(VLOOKUP(S11,$D$9:$M$15,6,0),VLOOKUP(S11,$D$9:$M$15,10,0))&amp;"~"&amp;MAX(VLOOKUP(S11,$D$9:$M$15,6,0),VLOOKUP(S11,$D$9:$M$15,10,0))</f>
        <v>0.9~1</v>
      </c>
      <c r="U11" s="92">
        <v>1</v>
      </c>
      <c r="V11" s="92">
        <f t="shared" ref="V11:V19" si="3">X11/VLOOKUP(S11,$D$9:$L$15,4,0)</f>
        <v>1</v>
      </c>
      <c r="W11" s="92">
        <f t="shared" ref="W11:W21" si="4">VLOOKUP(S11,$D$9:$L$15,3,0)*U11</f>
        <v>5</v>
      </c>
      <c r="X11" s="92">
        <f t="shared" ref="X11:X21" si="5">VLOOKUP(S11,$D$9:$L$15,5,0)/W11</f>
        <v>100</v>
      </c>
      <c r="Y11" s="92" t="str">
        <f t="shared" ref="Y11:Y21" si="6">MIN(VLOOKUP(S11,$D$18:$O$24,4,0),VLOOKUP(S11,$D$18:$O$24,12,0))&amp;"~"&amp;MAX(VLOOKUP(S11,$D$18:$O$24,4,0),VLOOKUP(S11,$D$18:$O$24,12,0))</f>
        <v>7.6~11</v>
      </c>
      <c r="Z11" s="92">
        <v>11</v>
      </c>
      <c r="AA11" s="67">
        <f t="shared" ref="AA11:AA21" si="7">VLOOKUP(S11,$D$27:$M$33,MATCH(AA$9,$D$27:$M$27,0),0)</f>
        <v>0.75</v>
      </c>
      <c r="AB11" s="67" t="str">
        <f t="shared" ref="AB11:AB21" si="8">R11</f>
        <v>饼干2</v>
      </c>
      <c r="AC11" s="67" t="str">
        <f t="shared" ref="AC11:AC21" si="9">VLOOKUP($S11,$D$27:$L$33,MATCH(AC$9,$D$27:$L$27,0),0)</f>
        <v>承伤</v>
      </c>
      <c r="AD11" s="104">
        <f t="shared" ref="AD11:AD21" si="10">W11/INDEX($G$26:$L$26,MATCH(AD$9,$G$27:$L$27,0))</f>
        <v>0.5</v>
      </c>
      <c r="AE11" s="104">
        <f t="shared" ref="AE11:AE21" si="11">X11/INDEX($G$26:$L$26,MATCH(AE$9,$G$27:$L$27,0))</f>
        <v>1</v>
      </c>
      <c r="AF11" s="104">
        <f t="shared" ref="AF11:AF21" si="12">Z11/INDEX($G$26:$L$26,MATCH(AF$9,$G$27:$L$27,0))</f>
        <v>1</v>
      </c>
      <c r="AG11" s="104">
        <f t="shared" ref="AG11:AG21" si="13">VLOOKUP($S11,$D$18:$O$24,MATCH(AG$9,$D$18:$O$18,0),0)/INDEX($G$26:$L$26,MATCH(AG$9,$G$27:$L$27,0))</f>
        <v>1</v>
      </c>
      <c r="AH11" s="104">
        <f t="shared" si="1"/>
        <v>1</v>
      </c>
      <c r="AI11" s="104">
        <f t="shared" si="1"/>
        <v>0.9</v>
      </c>
      <c r="AJ11" s="67">
        <f t="shared" ref="AJ11:AJ21" si="14">AA11</f>
        <v>0.75</v>
      </c>
    </row>
    <row r="12" spans="1:36" ht="14.25" customHeight="1" x14ac:dyDescent="0.2">
      <c r="C12" s="17" t="s">
        <v>89</v>
      </c>
      <c r="D12" s="1" t="s">
        <v>83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1.2</v>
      </c>
      <c r="J12" s="6">
        <f t="shared" ref="J12:J14" si="16">L12/G12</f>
        <v>0.83333333333333337</v>
      </c>
      <c r="K12" s="6">
        <f t="shared" ref="K12:K15" si="17">F12*I12</f>
        <v>12</v>
      </c>
      <c r="L12" s="6">
        <f t="shared" ref="L12:L15" si="18">H12/K12</f>
        <v>33.333333333333336</v>
      </c>
      <c r="M12" s="1">
        <v>1.1499999999999999</v>
      </c>
      <c r="R12" s="67" t="s">
        <v>231</v>
      </c>
      <c r="S12" s="67" t="s">
        <v>137</v>
      </c>
      <c r="T12" s="67" t="str">
        <f t="shared" si="2"/>
        <v>1~1.2</v>
      </c>
      <c r="U12" s="92">
        <v>1.2</v>
      </c>
      <c r="V12" s="92">
        <f t="shared" si="3"/>
        <v>0.83333333333333326</v>
      </c>
      <c r="W12" s="92">
        <f t="shared" si="4"/>
        <v>6</v>
      </c>
      <c r="X12" s="92">
        <f t="shared" si="5"/>
        <v>83.333333333333329</v>
      </c>
      <c r="Y12" s="92" t="str">
        <f t="shared" si="6"/>
        <v>5~9</v>
      </c>
      <c r="Z12" s="92">
        <v>9</v>
      </c>
      <c r="AA12" s="67">
        <f t="shared" si="7"/>
        <v>0.751</v>
      </c>
      <c r="AB12" s="67" t="str">
        <f t="shared" si="8"/>
        <v>饼干3</v>
      </c>
      <c r="AC12" s="67" t="str">
        <f t="shared" si="9"/>
        <v>伤害</v>
      </c>
      <c r="AD12" s="104">
        <f t="shared" si="10"/>
        <v>0.6</v>
      </c>
      <c r="AE12" s="104">
        <f t="shared" si="11"/>
        <v>0.83333333333333326</v>
      </c>
      <c r="AF12" s="104">
        <f t="shared" si="12"/>
        <v>0.81818181818181823</v>
      </c>
      <c r="AG12" s="104">
        <f t="shared" si="13"/>
        <v>1</v>
      </c>
      <c r="AH12" s="104">
        <f t="shared" si="1"/>
        <v>1</v>
      </c>
      <c r="AI12" s="104">
        <f t="shared" si="1"/>
        <v>0.95</v>
      </c>
      <c r="AJ12" s="67">
        <f t="shared" si="14"/>
        <v>0.751</v>
      </c>
    </row>
    <row r="13" spans="1:36" ht="14.25" customHeight="1" x14ac:dyDescent="0.2">
      <c r="C13" s="17" t="s">
        <v>90</v>
      </c>
      <c r="D13" s="1" t="s">
        <v>84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1.1499999999999999</v>
      </c>
      <c r="J13" s="6">
        <f t="shared" si="16"/>
        <v>0.86956521739130432</v>
      </c>
      <c r="K13" s="6">
        <f t="shared" si="17"/>
        <v>11.5</v>
      </c>
      <c r="L13" s="6">
        <f t="shared" si="18"/>
        <v>34.782608695652172</v>
      </c>
      <c r="M13" s="1">
        <v>1.1000000000000001</v>
      </c>
      <c r="R13" s="67" t="s">
        <v>232</v>
      </c>
      <c r="S13" s="67" t="s">
        <v>137</v>
      </c>
      <c r="T13" s="67" t="str">
        <f t="shared" si="2"/>
        <v>1~1.2</v>
      </c>
      <c r="U13" s="92">
        <v>1.1499999999999999</v>
      </c>
      <c r="V13" s="92">
        <f t="shared" si="3"/>
        <v>0.86956521739130432</v>
      </c>
      <c r="W13" s="92">
        <f t="shared" si="4"/>
        <v>5.75</v>
      </c>
      <c r="X13" s="92">
        <f t="shared" si="5"/>
        <v>86.956521739130437</v>
      </c>
      <c r="Y13" s="92" t="str">
        <f t="shared" si="6"/>
        <v>5~9</v>
      </c>
      <c r="Z13" s="92">
        <v>9</v>
      </c>
      <c r="AA13" s="67">
        <f t="shared" si="7"/>
        <v>0.751</v>
      </c>
      <c r="AB13" s="67" t="str">
        <f t="shared" si="8"/>
        <v>饼干4</v>
      </c>
      <c r="AC13" s="67" t="str">
        <f t="shared" si="9"/>
        <v>伤害</v>
      </c>
      <c r="AD13" s="104">
        <f t="shared" si="10"/>
        <v>0.57499999999999996</v>
      </c>
      <c r="AE13" s="104">
        <f t="shared" si="11"/>
        <v>0.86956521739130432</v>
      </c>
      <c r="AF13" s="104">
        <f t="shared" si="12"/>
        <v>0.81818181818181823</v>
      </c>
      <c r="AG13" s="104">
        <f t="shared" si="13"/>
        <v>1</v>
      </c>
      <c r="AH13" s="104">
        <f t="shared" si="1"/>
        <v>1</v>
      </c>
      <c r="AI13" s="104">
        <f t="shared" si="1"/>
        <v>0.95</v>
      </c>
      <c r="AJ13" s="67">
        <f t="shared" si="14"/>
        <v>0.751</v>
      </c>
    </row>
    <row r="14" spans="1:36" ht="14.25" customHeight="1" x14ac:dyDescent="0.2">
      <c r="C14" s="17" t="s">
        <v>91</v>
      </c>
      <c r="D14" s="1" t="s">
        <v>85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1.1000000000000001</v>
      </c>
      <c r="J14" s="6">
        <f t="shared" si="16"/>
        <v>0.90909090909090917</v>
      </c>
      <c r="K14" s="6">
        <f t="shared" si="17"/>
        <v>11</v>
      </c>
      <c r="L14" s="6">
        <f t="shared" si="18"/>
        <v>36.363636363636367</v>
      </c>
      <c r="M14" s="1">
        <v>1</v>
      </c>
      <c r="R14" s="67" t="s">
        <v>233</v>
      </c>
      <c r="S14" s="67" t="s">
        <v>138</v>
      </c>
      <c r="T14" s="67" t="str">
        <f t="shared" si="2"/>
        <v>1.15~1.2</v>
      </c>
      <c r="U14" s="92">
        <v>1.18</v>
      </c>
      <c r="V14" s="92">
        <f t="shared" si="3"/>
        <v>0.84745762711864414</v>
      </c>
      <c r="W14" s="92">
        <f t="shared" si="4"/>
        <v>11.799999999999999</v>
      </c>
      <c r="X14" s="92">
        <f t="shared" si="5"/>
        <v>33.898305084745765</v>
      </c>
      <c r="Y14" s="92" t="str">
        <f t="shared" si="6"/>
        <v>3~5</v>
      </c>
      <c r="Z14" s="92">
        <v>5</v>
      </c>
      <c r="AA14" s="67">
        <f t="shared" si="7"/>
        <v>0.8</v>
      </c>
      <c r="AB14" s="67" t="str">
        <f t="shared" si="8"/>
        <v>饼干5</v>
      </c>
      <c r="AC14" s="67" t="str">
        <f t="shared" si="9"/>
        <v>伤害</v>
      </c>
      <c r="AD14" s="104">
        <f t="shared" si="10"/>
        <v>1.18</v>
      </c>
      <c r="AE14" s="104">
        <f t="shared" si="11"/>
        <v>0.33898305084745767</v>
      </c>
      <c r="AF14" s="104">
        <f t="shared" si="12"/>
        <v>0.45454545454545453</v>
      </c>
      <c r="AG14" s="104">
        <f t="shared" si="13"/>
        <v>1</v>
      </c>
      <c r="AH14" s="104">
        <f t="shared" si="1"/>
        <v>1</v>
      </c>
      <c r="AI14" s="104">
        <f t="shared" si="1"/>
        <v>1</v>
      </c>
      <c r="AJ14" s="67">
        <f t="shared" si="14"/>
        <v>0.8</v>
      </c>
    </row>
    <row r="15" spans="1:36" ht="14.25" customHeight="1" x14ac:dyDescent="0.2">
      <c r="C15" s="17" t="s">
        <v>92</v>
      </c>
      <c r="D15" s="1" t="s">
        <v>86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>I15</f>
        <v>0.9</v>
      </c>
      <c r="K15" s="6">
        <f t="shared" si="17"/>
        <v>3.6</v>
      </c>
      <c r="L15" s="6">
        <f t="shared" si="18"/>
        <v>55.555555555555557</v>
      </c>
      <c r="M15" s="1">
        <v>1.03</v>
      </c>
      <c r="R15" s="67" t="s">
        <v>234</v>
      </c>
      <c r="S15" s="67" t="s">
        <v>138</v>
      </c>
      <c r="T15" s="67" t="str">
        <f t="shared" si="2"/>
        <v>1.15~1.2</v>
      </c>
      <c r="U15" s="92">
        <v>1.2</v>
      </c>
      <c r="V15" s="92">
        <f t="shared" si="3"/>
        <v>0.83333333333333337</v>
      </c>
      <c r="W15" s="92">
        <f t="shared" si="4"/>
        <v>12</v>
      </c>
      <c r="X15" s="92">
        <f t="shared" si="5"/>
        <v>33.333333333333336</v>
      </c>
      <c r="Y15" s="92" t="str">
        <f t="shared" si="6"/>
        <v>3~5</v>
      </c>
      <c r="Z15" s="92">
        <v>5</v>
      </c>
      <c r="AA15" s="67">
        <f t="shared" si="7"/>
        <v>0.8</v>
      </c>
      <c r="AB15" s="67" t="str">
        <f t="shared" si="8"/>
        <v>饼干6</v>
      </c>
      <c r="AC15" s="67" t="str">
        <f t="shared" si="9"/>
        <v>伤害</v>
      </c>
      <c r="AD15" s="104">
        <f t="shared" si="10"/>
        <v>1.2</v>
      </c>
      <c r="AE15" s="104">
        <f t="shared" si="11"/>
        <v>0.33333333333333337</v>
      </c>
      <c r="AF15" s="104">
        <f t="shared" si="12"/>
        <v>0.45454545454545453</v>
      </c>
      <c r="AG15" s="104">
        <f t="shared" si="13"/>
        <v>1</v>
      </c>
      <c r="AH15" s="104">
        <f t="shared" si="1"/>
        <v>1</v>
      </c>
      <c r="AI15" s="104">
        <f t="shared" si="1"/>
        <v>1</v>
      </c>
      <c r="AJ15" s="67">
        <f t="shared" si="14"/>
        <v>0.8</v>
      </c>
    </row>
    <row r="16" spans="1:36" ht="14.25" customHeight="1" x14ac:dyDescent="0.2">
      <c r="C16" s="67"/>
      <c r="D16" s="67"/>
      <c r="E16" s="67"/>
      <c r="F16" s="92">
        <f>MAX(F10:F15)</f>
        <v>10</v>
      </c>
      <c r="G16" s="92">
        <f>MAX(G10:G15)</f>
        <v>100</v>
      </c>
      <c r="H16" s="92">
        <f>MAX(G19:G24)</f>
        <v>11</v>
      </c>
      <c r="I16" s="67"/>
      <c r="J16" s="67"/>
      <c r="K16" s="93"/>
      <c r="L16" s="93"/>
      <c r="M16" s="67"/>
      <c r="N16" s="67"/>
      <c r="O16" s="67"/>
      <c r="P16" s="67"/>
      <c r="R16" s="67" t="s">
        <v>235</v>
      </c>
      <c r="S16" s="67" t="s">
        <v>139</v>
      </c>
      <c r="T16" s="67" t="str">
        <f t="shared" si="2"/>
        <v>1.1~1.15</v>
      </c>
      <c r="U16" s="92">
        <v>1.1399999999999999</v>
      </c>
      <c r="V16" s="92">
        <f t="shared" si="3"/>
        <v>0.87719298245614041</v>
      </c>
      <c r="W16" s="92">
        <f t="shared" si="4"/>
        <v>11.399999999999999</v>
      </c>
      <c r="X16" s="92">
        <f t="shared" si="5"/>
        <v>35.087719298245617</v>
      </c>
      <c r="Y16" s="92" t="str">
        <f t="shared" si="6"/>
        <v>4~5</v>
      </c>
      <c r="Z16" s="92">
        <v>4.5</v>
      </c>
      <c r="AA16" s="67">
        <f t="shared" si="7"/>
        <v>0.80500000000000005</v>
      </c>
      <c r="AB16" s="67" t="str">
        <f t="shared" si="8"/>
        <v>饼干7</v>
      </c>
      <c r="AC16" s="67" t="str">
        <f t="shared" si="9"/>
        <v>伤害</v>
      </c>
      <c r="AD16" s="104">
        <f t="shared" si="10"/>
        <v>1.1399999999999999</v>
      </c>
      <c r="AE16" s="104">
        <f t="shared" si="11"/>
        <v>0.35087719298245618</v>
      </c>
      <c r="AF16" s="104">
        <f t="shared" si="12"/>
        <v>0.40909090909090912</v>
      </c>
      <c r="AG16" s="104">
        <f t="shared" si="13"/>
        <v>1</v>
      </c>
      <c r="AH16" s="104">
        <f t="shared" si="1"/>
        <v>1</v>
      </c>
      <c r="AI16" s="104">
        <f t="shared" si="1"/>
        <v>1.1000000000000001</v>
      </c>
      <c r="AJ16" s="67">
        <f t="shared" si="14"/>
        <v>0.80500000000000005</v>
      </c>
    </row>
    <row r="17" spans="3:36" ht="14.25" customHeight="1" x14ac:dyDescent="0.2">
      <c r="C17" s="94" t="s">
        <v>99</v>
      </c>
      <c r="D17" s="67"/>
      <c r="E17" s="67"/>
      <c r="F17" s="67"/>
      <c r="G17" s="92">
        <v>100000</v>
      </c>
      <c r="H17" s="92"/>
      <c r="I17" s="67"/>
      <c r="J17" s="67"/>
      <c r="K17" s="67"/>
      <c r="L17" s="67">
        <f>战斗公式!E38</f>
        <v>25</v>
      </c>
      <c r="M17" s="67">
        <f>战斗公式!E40</f>
        <v>1</v>
      </c>
      <c r="N17" s="67"/>
      <c r="O17" s="67"/>
      <c r="P17" s="67"/>
      <c r="R17" s="67" t="s">
        <v>236</v>
      </c>
      <c r="S17" s="67" t="s">
        <v>139</v>
      </c>
      <c r="T17" s="67" t="str">
        <f t="shared" si="2"/>
        <v>1.1~1.15</v>
      </c>
      <c r="U17" s="92">
        <v>1.1200000000000001</v>
      </c>
      <c r="V17" s="92">
        <f t="shared" si="3"/>
        <v>0.89285714285714268</v>
      </c>
      <c r="W17" s="92">
        <f t="shared" si="4"/>
        <v>11.200000000000001</v>
      </c>
      <c r="X17" s="92">
        <f t="shared" si="5"/>
        <v>35.714285714285708</v>
      </c>
      <c r="Y17" s="92" t="str">
        <f t="shared" si="6"/>
        <v>4~5</v>
      </c>
      <c r="Z17" s="92">
        <v>4.5</v>
      </c>
      <c r="AA17" s="67">
        <f t="shared" si="7"/>
        <v>0.80500000000000005</v>
      </c>
      <c r="AB17" s="67" t="str">
        <f t="shared" si="8"/>
        <v>饼干8</v>
      </c>
      <c r="AC17" s="67" t="str">
        <f t="shared" si="9"/>
        <v>伤害</v>
      </c>
      <c r="AD17" s="104">
        <f t="shared" si="10"/>
        <v>1.1200000000000001</v>
      </c>
      <c r="AE17" s="104">
        <f t="shared" si="11"/>
        <v>0.3571428571428571</v>
      </c>
      <c r="AF17" s="104">
        <f t="shared" si="12"/>
        <v>0.40909090909090912</v>
      </c>
      <c r="AG17" s="104">
        <f t="shared" si="13"/>
        <v>1</v>
      </c>
      <c r="AH17" s="104">
        <f t="shared" si="1"/>
        <v>1</v>
      </c>
      <c r="AI17" s="104">
        <f t="shared" si="1"/>
        <v>1.1000000000000001</v>
      </c>
      <c r="AJ17" s="67">
        <f t="shared" si="14"/>
        <v>0.80500000000000005</v>
      </c>
    </row>
    <row r="18" spans="3:36" s="3" customFormat="1" ht="14.25" customHeight="1" x14ac:dyDescent="0.2">
      <c r="C18" s="94"/>
      <c r="D18" s="94" t="s">
        <v>76</v>
      </c>
      <c r="E18" s="94" t="s">
        <v>77</v>
      </c>
      <c r="F18" s="94" t="s">
        <v>24</v>
      </c>
      <c r="G18" s="95" t="s">
        <v>25</v>
      </c>
      <c r="H18" s="94" t="s">
        <v>26</v>
      </c>
      <c r="I18" s="95" t="s">
        <v>27</v>
      </c>
      <c r="J18" s="95" t="s">
        <v>73</v>
      </c>
      <c r="K18" s="95" t="s">
        <v>9</v>
      </c>
      <c r="L18" s="94" t="s">
        <v>93</v>
      </c>
      <c r="M18" s="94" t="s">
        <v>94</v>
      </c>
      <c r="N18" s="96">
        <f>MAX(N19:N23)/MIN(N19:N23)</f>
        <v>1.218274111675127</v>
      </c>
      <c r="O18" s="95" t="s">
        <v>144</v>
      </c>
      <c r="P18" s="94"/>
      <c r="Q18" s="94"/>
      <c r="R18" s="67" t="s">
        <v>237</v>
      </c>
      <c r="S18" s="67" t="s">
        <v>140</v>
      </c>
      <c r="T18" s="67" t="str">
        <f t="shared" si="2"/>
        <v>1~1.1</v>
      </c>
      <c r="U18" s="92">
        <v>1.05</v>
      </c>
      <c r="V18" s="92">
        <f t="shared" si="3"/>
        <v>0.95238095238095233</v>
      </c>
      <c r="W18" s="92">
        <f t="shared" si="4"/>
        <v>10.5</v>
      </c>
      <c r="X18" s="92">
        <f t="shared" si="5"/>
        <v>38.095238095238095</v>
      </c>
      <c r="Y18" s="92" t="str">
        <f t="shared" si="6"/>
        <v>5~9</v>
      </c>
      <c r="Z18" s="92">
        <v>7</v>
      </c>
      <c r="AA18" s="67">
        <f t="shared" si="7"/>
        <v>0.77400000000000002</v>
      </c>
      <c r="AB18" s="67" t="str">
        <f t="shared" si="8"/>
        <v>饼干9</v>
      </c>
      <c r="AC18" s="67" t="str">
        <f t="shared" si="9"/>
        <v>伤害</v>
      </c>
      <c r="AD18" s="104">
        <f t="shared" si="10"/>
        <v>1.05</v>
      </c>
      <c r="AE18" s="104">
        <f t="shared" si="11"/>
        <v>0.38095238095238093</v>
      </c>
      <c r="AF18" s="104">
        <f t="shared" si="12"/>
        <v>0.63636363636363635</v>
      </c>
      <c r="AG18" s="104">
        <f t="shared" si="13"/>
        <v>1</v>
      </c>
      <c r="AH18" s="104">
        <f t="shared" si="1"/>
        <v>1</v>
      </c>
      <c r="AI18" s="104">
        <f t="shared" si="1"/>
        <v>1.2</v>
      </c>
      <c r="AJ18" s="67">
        <f t="shared" si="14"/>
        <v>0.77400000000000002</v>
      </c>
    </row>
    <row r="19" spans="3:36" ht="14.25" customHeight="1" x14ac:dyDescent="0.2">
      <c r="C19" s="67"/>
      <c r="D19" s="67" t="s">
        <v>59</v>
      </c>
      <c r="E19" s="67" t="s">
        <v>3</v>
      </c>
      <c r="F19" s="92">
        <f>K10/K19/(1+I19*(J19-1))</f>
        <v>4.166666666666667</v>
      </c>
      <c r="G19" s="67">
        <v>11</v>
      </c>
      <c r="H19" s="92">
        <f>L10/(G19/$G$17+1)</f>
        <v>111.09889023318546</v>
      </c>
      <c r="I19" s="97">
        <v>0.4</v>
      </c>
      <c r="J19" s="97">
        <v>1.5</v>
      </c>
      <c r="K19" s="67">
        <v>0.9</v>
      </c>
      <c r="L19" s="92">
        <f>F19*$L$17*(1+I19*(J19-1))*K19</f>
        <v>112.5</v>
      </c>
      <c r="M19" s="92">
        <f>H19*$M$17*(1+G19*战斗公式!$E$39)+$M$17*基础模型!$G$17*$L$17</f>
        <v>161.11111111111111</v>
      </c>
      <c r="N19" s="98">
        <f>L19+M19</f>
        <v>273.61111111111109</v>
      </c>
      <c r="O19" s="67">
        <v>7.6</v>
      </c>
      <c r="P19" s="99"/>
      <c r="R19" s="67" t="s">
        <v>238</v>
      </c>
      <c r="S19" s="67" t="s">
        <v>140</v>
      </c>
      <c r="T19" s="67" t="str">
        <f t="shared" si="2"/>
        <v>1~1.1</v>
      </c>
      <c r="U19" s="92">
        <v>1.05</v>
      </c>
      <c r="V19" s="92">
        <f t="shared" si="3"/>
        <v>0.95238095238095233</v>
      </c>
      <c r="W19" s="92">
        <f t="shared" si="4"/>
        <v>10.5</v>
      </c>
      <c r="X19" s="92">
        <f t="shared" si="5"/>
        <v>38.095238095238095</v>
      </c>
      <c r="Y19" s="92" t="str">
        <f t="shared" si="6"/>
        <v>5~9</v>
      </c>
      <c r="Z19" s="92">
        <v>7</v>
      </c>
      <c r="AA19" s="67">
        <f t="shared" si="7"/>
        <v>0.77400000000000002</v>
      </c>
      <c r="AB19" s="67" t="str">
        <f t="shared" si="8"/>
        <v>饼干10</v>
      </c>
      <c r="AC19" s="67" t="str">
        <f t="shared" si="9"/>
        <v>伤害</v>
      </c>
      <c r="AD19" s="104">
        <f t="shared" si="10"/>
        <v>1.05</v>
      </c>
      <c r="AE19" s="104">
        <f t="shared" si="11"/>
        <v>0.38095238095238093</v>
      </c>
      <c r="AF19" s="104">
        <f t="shared" si="12"/>
        <v>0.63636363636363635</v>
      </c>
      <c r="AG19" s="104">
        <f t="shared" si="13"/>
        <v>1</v>
      </c>
      <c r="AH19" s="104">
        <f t="shared" si="1"/>
        <v>1</v>
      </c>
      <c r="AI19" s="104">
        <f t="shared" si="1"/>
        <v>1.2</v>
      </c>
      <c r="AJ19" s="67">
        <f t="shared" si="14"/>
        <v>0.77400000000000002</v>
      </c>
    </row>
    <row r="20" spans="3:36" ht="14.25" customHeight="1" x14ac:dyDescent="0.2">
      <c r="C20" s="67"/>
      <c r="D20" s="67" t="s">
        <v>78</v>
      </c>
      <c r="E20" s="67" t="s">
        <v>3</v>
      </c>
      <c r="F20" s="92">
        <f t="shared" ref="F20:F24" si="19">K11/K20/(1+I20*(J20-1))</f>
        <v>5.2631578947368425</v>
      </c>
      <c r="G20" s="67">
        <v>9</v>
      </c>
      <c r="H20" s="92">
        <f t="shared" ref="H20:H24" si="20">L11/(G20/$G$17+1)</f>
        <v>83.325834008272594</v>
      </c>
      <c r="I20" s="97">
        <v>0.4</v>
      </c>
      <c r="J20" s="97">
        <v>1.5</v>
      </c>
      <c r="K20" s="67">
        <v>0.95</v>
      </c>
      <c r="L20" s="92">
        <f t="shared" ref="L20:L23" si="21">F20*$L$17*(1+I20*(J20-1))*K20</f>
        <v>150.00000000000003</v>
      </c>
      <c r="M20" s="92">
        <f>H20*$M$17*(1+G20*战斗公式!$E$39)+$M$17*基础模型!$G$17*$L$17</f>
        <v>133.33333333333331</v>
      </c>
      <c r="N20" s="98">
        <f t="shared" ref="N20:N23" si="22">L20+M20</f>
        <v>283.33333333333337</v>
      </c>
      <c r="O20" s="67">
        <v>5</v>
      </c>
      <c r="P20" s="99"/>
      <c r="R20" s="67" t="s">
        <v>239</v>
      </c>
      <c r="S20" s="67" t="s">
        <v>141</v>
      </c>
      <c r="T20" s="67" t="str">
        <f t="shared" si="2"/>
        <v>0.9~1.03</v>
      </c>
      <c r="U20" s="92">
        <v>1</v>
      </c>
      <c r="V20" s="92">
        <f>U20</f>
        <v>1</v>
      </c>
      <c r="W20" s="92">
        <f t="shared" si="4"/>
        <v>4</v>
      </c>
      <c r="X20" s="92">
        <f t="shared" si="5"/>
        <v>50</v>
      </c>
      <c r="Y20" s="92" t="str">
        <f t="shared" si="6"/>
        <v>2.5~3</v>
      </c>
      <c r="Z20" s="92">
        <v>2.8</v>
      </c>
      <c r="AA20" s="67">
        <f t="shared" si="7"/>
        <v>0.79800000000000004</v>
      </c>
      <c r="AB20" s="67" t="str">
        <f t="shared" si="8"/>
        <v>饼干11</v>
      </c>
      <c r="AC20" s="67" t="str">
        <f t="shared" si="9"/>
        <v>无</v>
      </c>
      <c r="AD20" s="104">
        <f t="shared" si="10"/>
        <v>0.4</v>
      </c>
      <c r="AE20" s="104">
        <f t="shared" si="11"/>
        <v>0.5</v>
      </c>
      <c r="AF20" s="104">
        <f t="shared" si="12"/>
        <v>0.25454545454545452</v>
      </c>
      <c r="AG20" s="104">
        <f t="shared" si="13"/>
        <v>1</v>
      </c>
      <c r="AH20" s="104">
        <f t="shared" si="1"/>
        <v>1</v>
      </c>
      <c r="AI20" s="104">
        <f t="shared" si="1"/>
        <v>0.9</v>
      </c>
      <c r="AJ20" s="67">
        <f t="shared" si="14"/>
        <v>0.79800000000000004</v>
      </c>
    </row>
    <row r="21" spans="3:36" ht="14.25" customHeight="1" x14ac:dyDescent="0.2">
      <c r="C21" s="67"/>
      <c r="D21" s="67" t="s">
        <v>83</v>
      </c>
      <c r="E21" s="67" t="s">
        <v>4</v>
      </c>
      <c r="F21" s="92">
        <f t="shared" si="19"/>
        <v>10</v>
      </c>
      <c r="G21" s="67">
        <v>3</v>
      </c>
      <c r="H21" s="92">
        <f t="shared" si="20"/>
        <v>33.332333363332438</v>
      </c>
      <c r="I21" s="97">
        <v>0.4</v>
      </c>
      <c r="J21" s="97">
        <v>1.5</v>
      </c>
      <c r="K21" s="67">
        <v>1</v>
      </c>
      <c r="L21" s="92">
        <f>F21*$L$17*(1+I21*(J21-1))*K21</f>
        <v>300</v>
      </c>
      <c r="M21" s="92">
        <f>H21*$M$17*(1+G21*战斗公式!$E$39)</f>
        <v>33.333333333333336</v>
      </c>
      <c r="N21" s="98">
        <f>L21+M21</f>
        <v>333.33333333333331</v>
      </c>
      <c r="O21" s="67">
        <v>5</v>
      </c>
      <c r="P21" s="99"/>
      <c r="R21" s="67" t="s">
        <v>240</v>
      </c>
      <c r="S21" s="67" t="s">
        <v>141</v>
      </c>
      <c r="T21" s="67" t="str">
        <f t="shared" si="2"/>
        <v>0.9~1.03</v>
      </c>
      <c r="U21" s="92">
        <v>1</v>
      </c>
      <c r="V21" s="92">
        <f>U21</f>
        <v>1</v>
      </c>
      <c r="W21" s="92">
        <f t="shared" si="4"/>
        <v>4</v>
      </c>
      <c r="X21" s="92">
        <f t="shared" si="5"/>
        <v>50</v>
      </c>
      <c r="Y21" s="92" t="str">
        <f t="shared" si="6"/>
        <v>2.5~3</v>
      </c>
      <c r="Z21" s="92">
        <v>2.8</v>
      </c>
      <c r="AA21" s="67">
        <f t="shared" si="7"/>
        <v>0.79800000000000004</v>
      </c>
      <c r="AB21" s="67" t="str">
        <f t="shared" si="8"/>
        <v>饼干12</v>
      </c>
      <c r="AC21" s="67" t="str">
        <f t="shared" si="9"/>
        <v>无</v>
      </c>
      <c r="AD21" s="104">
        <f t="shared" si="10"/>
        <v>0.4</v>
      </c>
      <c r="AE21" s="104">
        <f t="shared" si="11"/>
        <v>0.5</v>
      </c>
      <c r="AF21" s="104">
        <f t="shared" si="12"/>
        <v>0.25454545454545452</v>
      </c>
      <c r="AG21" s="104">
        <f t="shared" si="13"/>
        <v>1</v>
      </c>
      <c r="AH21" s="104">
        <f t="shared" si="1"/>
        <v>1</v>
      </c>
      <c r="AI21" s="104">
        <f t="shared" si="1"/>
        <v>0.9</v>
      </c>
      <c r="AJ21" s="67">
        <f t="shared" si="14"/>
        <v>0.79800000000000004</v>
      </c>
    </row>
    <row r="22" spans="3:36" ht="14.25" customHeight="1" x14ac:dyDescent="0.2">
      <c r="C22" s="67"/>
      <c r="D22" s="67" t="s">
        <v>84</v>
      </c>
      <c r="E22" s="67" t="s">
        <v>4</v>
      </c>
      <c r="F22" s="92">
        <f t="shared" si="19"/>
        <v>8.712121212121211</v>
      </c>
      <c r="G22" s="67">
        <v>4</v>
      </c>
      <c r="H22" s="92">
        <f t="shared" si="20"/>
        <v>34.781217446954294</v>
      </c>
      <c r="I22" s="97">
        <v>0.4</v>
      </c>
      <c r="J22" s="97">
        <v>1.5</v>
      </c>
      <c r="K22" s="67">
        <v>1.1000000000000001</v>
      </c>
      <c r="L22" s="92">
        <f t="shared" si="21"/>
        <v>287.5</v>
      </c>
      <c r="M22" s="92">
        <f>H22*$M$17*(1+G22*战斗公式!$E$39)</f>
        <v>34.782608695652172</v>
      </c>
      <c r="N22" s="98">
        <f>L22+M22</f>
        <v>322.28260869565219</v>
      </c>
      <c r="O22" s="67">
        <v>5</v>
      </c>
      <c r="P22" s="99"/>
    </row>
    <row r="23" spans="3:36" ht="14.25" customHeight="1" x14ac:dyDescent="0.2">
      <c r="C23" s="67"/>
      <c r="D23" s="67" t="s">
        <v>85</v>
      </c>
      <c r="E23" s="67" t="s">
        <v>4</v>
      </c>
      <c r="F23" s="92">
        <f t="shared" si="19"/>
        <v>7.6388888888888902</v>
      </c>
      <c r="G23" s="67">
        <v>5</v>
      </c>
      <c r="H23" s="92">
        <f t="shared" si="20"/>
        <v>36.361818272722729</v>
      </c>
      <c r="I23" s="97">
        <v>0.4</v>
      </c>
      <c r="J23" s="97">
        <v>1.5</v>
      </c>
      <c r="K23" s="67">
        <v>1.2</v>
      </c>
      <c r="L23" s="92">
        <f t="shared" si="21"/>
        <v>275.00000000000006</v>
      </c>
      <c r="M23" s="92">
        <f>H23*$M$17*(1+G23*战斗公式!$E$39)</f>
        <v>36.363636363636367</v>
      </c>
      <c r="N23" s="98">
        <f t="shared" si="22"/>
        <v>311.36363636363643</v>
      </c>
      <c r="O23" s="67">
        <v>9</v>
      </c>
      <c r="P23" s="99"/>
    </row>
    <row r="24" spans="3:36" ht="14.25" customHeight="1" x14ac:dyDescent="0.2">
      <c r="C24" s="67"/>
      <c r="D24" s="67" t="s">
        <v>86</v>
      </c>
      <c r="E24" s="67" t="s">
        <v>5</v>
      </c>
      <c r="F24" s="92">
        <f t="shared" si="19"/>
        <v>3.3333333333333335</v>
      </c>
      <c r="G24" s="67">
        <v>2.5</v>
      </c>
      <c r="H24" s="92">
        <f t="shared" si="20"/>
        <v>55.554166701388027</v>
      </c>
      <c r="I24" s="97">
        <v>0.4</v>
      </c>
      <c r="J24" s="97">
        <v>1.5</v>
      </c>
      <c r="K24" s="67">
        <v>0.9</v>
      </c>
      <c r="L24" s="92">
        <f>F24*$L$17*(1+I24*(J24-1))*K24</f>
        <v>90.000000000000014</v>
      </c>
      <c r="M24" s="92">
        <f>H24*$M$17*(1+G24*战斗公式!$E$39)+$M$17*基础模型!$G$13*$L$17</f>
        <v>205.55555555555554</v>
      </c>
      <c r="N24" s="98">
        <f>L24+M24</f>
        <v>295.55555555555554</v>
      </c>
      <c r="O24" s="67">
        <v>3</v>
      </c>
      <c r="P24" s="99"/>
    </row>
    <row r="25" spans="3:36" ht="14.25" customHeight="1" x14ac:dyDescent="0.2"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</row>
    <row r="26" spans="3:36" ht="14.25" customHeight="1" x14ac:dyDescent="0.2">
      <c r="C26" s="94" t="s">
        <v>123</v>
      </c>
      <c r="D26" s="67"/>
      <c r="E26" s="97"/>
      <c r="F26" s="67" t="s">
        <v>128</v>
      </c>
      <c r="G26" s="92">
        <f>F16</f>
        <v>10</v>
      </c>
      <c r="H26" s="92">
        <f>G16</f>
        <v>100</v>
      </c>
      <c r="I26" s="92">
        <f>H16</f>
        <v>11</v>
      </c>
      <c r="J26" s="100">
        <v>0.4</v>
      </c>
      <c r="K26" s="100">
        <v>1.5</v>
      </c>
      <c r="L26" s="101">
        <v>1</v>
      </c>
      <c r="M26" s="67"/>
      <c r="N26" s="67"/>
      <c r="O26" s="67"/>
      <c r="P26" s="67"/>
    </row>
    <row r="27" spans="3:36" ht="14.25" customHeight="1" x14ac:dyDescent="0.2">
      <c r="C27" s="67"/>
      <c r="D27" s="94" t="s">
        <v>76</v>
      </c>
      <c r="E27" s="94" t="s">
        <v>77</v>
      </c>
      <c r="F27" s="94" t="s">
        <v>130</v>
      </c>
      <c r="G27" s="94" t="s">
        <v>11</v>
      </c>
      <c r="H27" s="94" t="s">
        <v>12</v>
      </c>
      <c r="I27" s="94" t="s">
        <v>124</v>
      </c>
      <c r="J27" s="94" t="s">
        <v>125</v>
      </c>
      <c r="K27" s="94" t="s">
        <v>126</v>
      </c>
      <c r="L27" s="94" t="s">
        <v>127</v>
      </c>
      <c r="M27" s="95" t="s">
        <v>153</v>
      </c>
      <c r="N27" s="67"/>
      <c r="O27" s="67"/>
      <c r="P27" s="67"/>
    </row>
    <row r="28" spans="3:36" ht="14.25" customHeight="1" x14ac:dyDescent="0.2">
      <c r="C28" s="67"/>
      <c r="D28" s="67" t="s">
        <v>59</v>
      </c>
      <c r="E28" s="67" t="s">
        <v>3</v>
      </c>
      <c r="F28" s="67" t="s">
        <v>12</v>
      </c>
      <c r="G28" s="92">
        <f>K10/G$26</f>
        <v>0.45</v>
      </c>
      <c r="H28" s="92">
        <f t="shared" ref="G28:H33" si="23">L10/H$26</f>
        <v>1.1111111111111112</v>
      </c>
      <c r="I28" s="92">
        <f>G19/I$26</f>
        <v>1</v>
      </c>
      <c r="J28" s="92">
        <f>0.05/J$26</f>
        <v>0.125</v>
      </c>
      <c r="K28" s="92">
        <f t="shared" ref="K28:L33" si="24">J19/K$26</f>
        <v>1</v>
      </c>
      <c r="L28" s="92">
        <f t="shared" si="24"/>
        <v>0.9</v>
      </c>
      <c r="M28" s="67">
        <v>0.75</v>
      </c>
      <c r="N28" s="102">
        <f>技能模板!J14</f>
        <v>3.333333333333333</v>
      </c>
      <c r="O28" s="67"/>
      <c r="P28" s="67"/>
    </row>
    <row r="29" spans="3:36" ht="14.25" customHeight="1" x14ac:dyDescent="0.2">
      <c r="C29" s="67"/>
      <c r="D29" s="67" t="s">
        <v>78</v>
      </c>
      <c r="E29" s="67" t="s">
        <v>3</v>
      </c>
      <c r="F29" s="67" t="s">
        <v>11</v>
      </c>
      <c r="G29" s="92">
        <f t="shared" si="23"/>
        <v>0.6</v>
      </c>
      <c r="H29" s="92">
        <f t="shared" si="23"/>
        <v>0.83333333333333326</v>
      </c>
      <c r="I29" s="92">
        <f t="shared" ref="I29:I33" si="25">G20/I$26</f>
        <v>0.81818181818181823</v>
      </c>
      <c r="J29" s="92">
        <f t="shared" ref="J29:J33" si="26">0.05/J$26</f>
        <v>0.125</v>
      </c>
      <c r="K29" s="92">
        <f t="shared" si="24"/>
        <v>1</v>
      </c>
      <c r="L29" s="92">
        <f t="shared" si="24"/>
        <v>0.95</v>
      </c>
      <c r="M29" s="67">
        <v>0.751</v>
      </c>
      <c r="N29" s="102">
        <f>技能模板!J15</f>
        <v>2.6524633821571233</v>
      </c>
      <c r="O29" s="67"/>
      <c r="P29" s="67"/>
    </row>
    <row r="30" spans="3:36" ht="14.25" customHeight="1" x14ac:dyDescent="0.2">
      <c r="C30" s="67"/>
      <c r="D30" s="67" t="s">
        <v>83</v>
      </c>
      <c r="E30" s="67" t="s">
        <v>4</v>
      </c>
      <c r="F30" s="67" t="s">
        <v>11</v>
      </c>
      <c r="G30" s="92">
        <f t="shared" si="23"/>
        <v>1.2</v>
      </c>
      <c r="H30" s="92">
        <f t="shared" si="23"/>
        <v>0.33333333333333337</v>
      </c>
      <c r="I30" s="92">
        <f t="shared" si="25"/>
        <v>0.27272727272727271</v>
      </c>
      <c r="J30" s="92">
        <f t="shared" si="26"/>
        <v>0.125</v>
      </c>
      <c r="K30" s="92">
        <f t="shared" si="24"/>
        <v>1</v>
      </c>
      <c r="L30" s="92">
        <f t="shared" si="24"/>
        <v>1</v>
      </c>
      <c r="M30" s="67">
        <v>0.8</v>
      </c>
      <c r="N30" s="102">
        <f>技能模板!J16</f>
        <v>4.9999999999999982</v>
      </c>
      <c r="O30" s="67"/>
      <c r="P30" s="67"/>
    </row>
    <row r="31" spans="3:36" ht="14.25" customHeight="1" x14ac:dyDescent="0.2">
      <c r="C31" s="67"/>
      <c r="D31" s="67" t="s">
        <v>84</v>
      </c>
      <c r="E31" s="67" t="s">
        <v>4</v>
      </c>
      <c r="F31" s="67" t="s">
        <v>11</v>
      </c>
      <c r="G31" s="92">
        <f t="shared" si="23"/>
        <v>1.1499999999999999</v>
      </c>
      <c r="H31" s="92">
        <f t="shared" si="23"/>
        <v>0.34782608695652173</v>
      </c>
      <c r="I31" s="92">
        <f t="shared" si="25"/>
        <v>0.36363636363636365</v>
      </c>
      <c r="J31" s="92">
        <f t="shared" si="26"/>
        <v>0.125</v>
      </c>
      <c r="K31" s="92">
        <f t="shared" si="24"/>
        <v>1</v>
      </c>
      <c r="L31" s="92">
        <f t="shared" si="24"/>
        <v>1.1000000000000001</v>
      </c>
      <c r="M31" s="67">
        <v>0.80500000000000005</v>
      </c>
      <c r="N31" s="102">
        <f>技能模板!J17</f>
        <v>3.6335403726708058</v>
      </c>
      <c r="O31" s="67"/>
      <c r="P31" s="67"/>
    </row>
    <row r="32" spans="3:36" ht="14.25" customHeight="1" x14ac:dyDescent="0.2">
      <c r="C32" s="67"/>
      <c r="D32" s="67" t="s">
        <v>85</v>
      </c>
      <c r="E32" s="67" t="s">
        <v>4</v>
      </c>
      <c r="F32" s="67" t="s">
        <v>11</v>
      </c>
      <c r="G32" s="92">
        <f t="shared" si="23"/>
        <v>1.1000000000000001</v>
      </c>
      <c r="H32" s="92">
        <f t="shared" si="23"/>
        <v>0.36363636363636365</v>
      </c>
      <c r="I32" s="92">
        <f t="shared" si="25"/>
        <v>0.45454545454545453</v>
      </c>
      <c r="J32" s="92">
        <f t="shared" si="26"/>
        <v>0.125</v>
      </c>
      <c r="K32" s="92">
        <f t="shared" si="24"/>
        <v>1</v>
      </c>
      <c r="L32" s="92">
        <f t="shared" si="24"/>
        <v>1.2</v>
      </c>
      <c r="M32" s="67">
        <v>0.77400000000000002</v>
      </c>
      <c r="N32" s="102">
        <f>技能模板!J18</f>
        <v>2.9198966408268743</v>
      </c>
      <c r="O32" s="67"/>
      <c r="P32" s="67"/>
    </row>
    <row r="33" spans="3:16" ht="14.25" customHeight="1" x14ac:dyDescent="0.2">
      <c r="C33" s="67"/>
      <c r="D33" s="67" t="s">
        <v>86</v>
      </c>
      <c r="E33" s="67" t="s">
        <v>5</v>
      </c>
      <c r="F33" s="67" t="s">
        <v>133</v>
      </c>
      <c r="G33" s="92">
        <f t="shared" si="23"/>
        <v>0.36</v>
      </c>
      <c r="H33" s="92">
        <f t="shared" si="23"/>
        <v>0.55555555555555558</v>
      </c>
      <c r="I33" s="92">
        <f t="shared" si="25"/>
        <v>0.22727272727272727</v>
      </c>
      <c r="J33" s="92">
        <f t="shared" si="26"/>
        <v>0.125</v>
      </c>
      <c r="K33" s="92">
        <f t="shared" si="24"/>
        <v>1</v>
      </c>
      <c r="L33" s="92">
        <f t="shared" si="24"/>
        <v>0.9</v>
      </c>
      <c r="M33" s="67">
        <v>0.79800000000000004</v>
      </c>
      <c r="N33" s="102">
        <f>技能模板!J19</f>
        <v>2.7844611528822045</v>
      </c>
      <c r="O33" s="67"/>
      <c r="P33" s="67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J16" sqref="J16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14" t="s">
        <v>100</v>
      </c>
      <c r="B1" s="115"/>
      <c r="AB1" s="1" t="s">
        <v>136</v>
      </c>
      <c r="AC1" s="1">
        <v>1</v>
      </c>
      <c r="AD1" s="9">
        <v>4612980.6323862216</v>
      </c>
    </row>
    <row r="2" spans="1:35" ht="14.25" customHeight="1" x14ac:dyDescent="0.2">
      <c r="A2" s="116"/>
      <c r="B2" s="117"/>
      <c r="AB2" s="1" t="s">
        <v>136</v>
      </c>
      <c r="AC2" s="1">
        <v>2</v>
      </c>
      <c r="AD2" s="9">
        <v>4508614.5547304247</v>
      </c>
    </row>
    <row r="3" spans="1:35" ht="14.25" customHeight="1" x14ac:dyDescent="0.2">
      <c r="C3" s="3" t="s">
        <v>102</v>
      </c>
      <c r="D3" s="2" t="s">
        <v>168</v>
      </c>
      <c r="AB3" s="1" t="s">
        <v>137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57</v>
      </c>
      <c r="E4" s="3" t="s">
        <v>103</v>
      </c>
      <c r="F4" s="3" t="s">
        <v>272</v>
      </c>
      <c r="G4" s="1"/>
      <c r="H4" s="79" t="s">
        <v>146</v>
      </c>
      <c r="I4" s="13"/>
      <c r="J4" s="2" t="s">
        <v>271</v>
      </c>
      <c r="K4" s="1"/>
      <c r="L4" s="1"/>
      <c r="M4" s="1"/>
      <c r="N4" s="1"/>
      <c r="O4" s="1"/>
      <c r="W4" s="1"/>
      <c r="X4" s="1"/>
      <c r="AB4" s="1" t="s">
        <v>137</v>
      </c>
      <c r="AC4" s="1">
        <v>4</v>
      </c>
      <c r="AD4" s="9">
        <v>4445994.9081369452</v>
      </c>
    </row>
    <row r="5" spans="1:35" ht="14.25" customHeight="1" x14ac:dyDescent="0.2">
      <c r="D5" s="1" t="s">
        <v>104</v>
      </c>
      <c r="E5" s="1">
        <v>30</v>
      </c>
      <c r="F5" s="22">
        <f>E5/SUM($E$5:$E$8)</f>
        <v>0.3</v>
      </c>
      <c r="H5" s="80">
        <f>E5/SUM($E$5:$E$7)</f>
        <v>0.35294117647058826</v>
      </c>
      <c r="I5" s="81"/>
      <c r="J5" s="18"/>
      <c r="K5" s="18"/>
      <c r="L5" s="18"/>
      <c r="M5" s="18"/>
      <c r="N5" s="18"/>
      <c r="AB5" s="1" t="s">
        <v>138</v>
      </c>
      <c r="AC5" s="1">
        <v>5</v>
      </c>
      <c r="AD5" s="9">
        <v>5449698.3863924081</v>
      </c>
    </row>
    <row r="6" spans="1:35" ht="14.25" customHeight="1" x14ac:dyDescent="0.2">
      <c r="D6" s="1" t="s">
        <v>160</v>
      </c>
      <c r="E6" s="1">
        <v>30</v>
      </c>
      <c r="F6" s="22">
        <f>E6/SUM($E$5:$E$8)</f>
        <v>0.3</v>
      </c>
      <c r="G6" s="4">
        <f>F6/F5</f>
        <v>1</v>
      </c>
      <c r="H6" s="80">
        <f t="shared" ref="H6:H7" si="0">E6/SUM($E$5:$E$7)</f>
        <v>0.35294117647058826</v>
      </c>
      <c r="I6" s="82">
        <f>H6/H5</f>
        <v>1</v>
      </c>
      <c r="J6" s="32"/>
      <c r="K6" s="32"/>
      <c r="AB6" s="1" t="s">
        <v>138</v>
      </c>
      <c r="AC6" s="1">
        <v>6</v>
      </c>
      <c r="AD6" s="9">
        <v>5260050.3138521584</v>
      </c>
    </row>
    <row r="7" spans="1:35" ht="14.25" customHeight="1" x14ac:dyDescent="0.2">
      <c r="D7" s="1" t="s">
        <v>105</v>
      </c>
      <c r="E7" s="1">
        <v>25</v>
      </c>
      <c r="F7" s="22">
        <f>E7/SUM($E$5:$E$8)</f>
        <v>0.25</v>
      </c>
      <c r="G7" s="4">
        <f>F7/SUM($F$5:$F$6)</f>
        <v>0.41666666666666669</v>
      </c>
      <c r="H7" s="80">
        <f t="shared" si="0"/>
        <v>0.29411764705882354</v>
      </c>
      <c r="I7" s="82">
        <f>H7/SUM($H$5:$H$6)</f>
        <v>0.41666666666666663</v>
      </c>
      <c r="J7" s="32"/>
      <c r="K7" s="32"/>
      <c r="O7" s="1">
        <v>1.05</v>
      </c>
      <c r="AB7" s="1" t="s">
        <v>139</v>
      </c>
      <c r="AC7" s="1">
        <v>7</v>
      </c>
      <c r="AD7" s="9">
        <v>5111015.5549596818</v>
      </c>
    </row>
    <row r="8" spans="1:35" ht="14.25" customHeight="1" x14ac:dyDescent="0.2">
      <c r="D8" s="1" t="s">
        <v>106</v>
      </c>
      <c r="E8" s="1">
        <v>15</v>
      </c>
      <c r="F8" s="22">
        <f>E8/SUM($E$5:$E$8)</f>
        <v>0.15</v>
      </c>
      <c r="G8" s="4">
        <f>F8/SUM($F$5:$F$6)</f>
        <v>0.25</v>
      </c>
      <c r="H8" s="13"/>
      <c r="I8" s="83"/>
      <c r="J8" s="32"/>
      <c r="K8" s="32"/>
      <c r="O8" s="6">
        <f>POWER(O7,99)</f>
        <v>125.23929318695586</v>
      </c>
      <c r="AB8" s="1" t="s">
        <v>139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140</v>
      </c>
      <c r="AC9" s="1">
        <v>9</v>
      </c>
      <c r="AD9" s="9">
        <v>5037497.4251931254</v>
      </c>
    </row>
    <row r="10" spans="1:35" ht="14.25" customHeight="1" x14ac:dyDescent="0.2">
      <c r="E10" s="2" t="s">
        <v>95</v>
      </c>
      <c r="P10" s="24"/>
      <c r="AB10" s="1" t="s">
        <v>140</v>
      </c>
      <c r="AC10" s="1">
        <v>10</v>
      </c>
      <c r="AD10" s="9">
        <v>4892681.7205037549</v>
      </c>
    </row>
    <row r="11" spans="1:35" ht="14.25" customHeight="1" x14ac:dyDescent="0.2">
      <c r="E11" s="2" t="s">
        <v>96</v>
      </c>
      <c r="AB11" s="1" t="s">
        <v>141</v>
      </c>
      <c r="AC11" s="1">
        <v>11</v>
      </c>
      <c r="AD11" s="9">
        <v>3788488.6189054241</v>
      </c>
    </row>
    <row r="12" spans="1:35" ht="14.25" customHeight="1" x14ac:dyDescent="0.2">
      <c r="E12" s="2" t="s">
        <v>97</v>
      </c>
      <c r="K12" s="2" t="s">
        <v>108</v>
      </c>
      <c r="AB12" s="1" t="s">
        <v>141</v>
      </c>
      <c r="AC12" s="1">
        <v>12</v>
      </c>
      <c r="AD12" s="9">
        <v>3945037.7353891199</v>
      </c>
    </row>
    <row r="13" spans="1:35" ht="14.25" customHeight="1" x14ac:dyDescent="0.2">
      <c r="C13" s="3" t="s">
        <v>147</v>
      </c>
      <c r="D13" s="2" t="s">
        <v>176</v>
      </c>
      <c r="E13" s="2"/>
      <c r="L13" s="2"/>
      <c r="R13" s="3" t="s">
        <v>148</v>
      </c>
      <c r="S13" s="1" t="s">
        <v>229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115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0">
        <f>MAX($U$18:$U$117)</f>
        <v>513303.34971270675</v>
      </c>
      <c r="V15" s="30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4">
        <v>1.05</v>
      </c>
      <c r="F16" s="24">
        <v>1.05</v>
      </c>
      <c r="G16" s="24">
        <v>1.05</v>
      </c>
      <c r="L16" s="1">
        <v>0.7</v>
      </c>
      <c r="N16" s="30">
        <v>100000</v>
      </c>
      <c r="T16" s="1">
        <f>T18*H5</f>
        <v>82.720588235294116</v>
      </c>
      <c r="U16" s="19">
        <f>U18*F5</f>
        <v>2479.5437639474335</v>
      </c>
      <c r="W16" s="18">
        <f>角色设定!J26</f>
        <v>0.4</v>
      </c>
      <c r="X16" s="18">
        <f>角色设定!K26</f>
        <v>1.5</v>
      </c>
      <c r="AE16" s="20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149</v>
      </c>
      <c r="E17" s="1" t="s">
        <v>11</v>
      </c>
      <c r="F17" s="1" t="s">
        <v>12</v>
      </c>
      <c r="G17" s="1" t="s">
        <v>25</v>
      </c>
      <c r="H17" s="1" t="s">
        <v>27</v>
      </c>
      <c r="I17" s="1" t="s">
        <v>73</v>
      </c>
      <c r="J17" s="1" t="s">
        <v>9</v>
      </c>
      <c r="L17" s="1" t="s">
        <v>24</v>
      </c>
      <c r="M17" s="1" t="s">
        <v>26</v>
      </c>
      <c r="N17" s="1" t="s">
        <v>25</v>
      </c>
      <c r="O17" s="1" t="s">
        <v>27</v>
      </c>
      <c r="P17" s="1" t="s">
        <v>73</v>
      </c>
      <c r="Q17" s="1" t="s">
        <v>9</v>
      </c>
      <c r="S17" s="1" t="s">
        <v>149</v>
      </c>
      <c r="T17" s="1" t="s">
        <v>150</v>
      </c>
      <c r="U17" s="1" t="s">
        <v>151</v>
      </c>
      <c r="V17" s="1" t="s">
        <v>124</v>
      </c>
      <c r="W17" s="1" t="s">
        <v>125</v>
      </c>
      <c r="X17" s="1" t="s">
        <v>126</v>
      </c>
      <c r="Y17" s="1" t="s">
        <v>127</v>
      </c>
      <c r="Z17" s="1" t="s">
        <v>153</v>
      </c>
      <c r="AE17" s="1" t="s">
        <v>154</v>
      </c>
      <c r="AF17" s="1" t="s">
        <v>155</v>
      </c>
      <c r="AH17" s="1" t="s">
        <v>156</v>
      </c>
      <c r="AI17" s="1" t="s">
        <v>157</v>
      </c>
      <c r="AJ17" s="1" t="s">
        <v>158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4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4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0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4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4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0">
        <f t="shared" ref="AE19:AE82" si="12">AC19+AD19</f>
        <v>15394.53125</v>
      </c>
      <c r="AF19" s="20">
        <f>AE19-AE18</f>
        <v>733.07291666666606</v>
      </c>
      <c r="AG19" s="20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4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4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0">
        <f t="shared" si="12"/>
        <v>16164.2578125</v>
      </c>
      <c r="AF20" s="20">
        <f t="shared" ref="AF20:AF83" si="16">AE20-AE19</f>
        <v>769.7265625</v>
      </c>
      <c r="AG20" s="20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4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4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0">
        <f t="shared" si="12"/>
        <v>16972.470703125</v>
      </c>
      <c r="AF21" s="20">
        <f t="shared" si="16"/>
        <v>808.212890625</v>
      </c>
      <c r="AG21" s="20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4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4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0">
        <f t="shared" si="12"/>
        <v>17821.09423828125</v>
      </c>
      <c r="AF22" s="20">
        <f t="shared" si="16"/>
        <v>848.62353515625</v>
      </c>
      <c r="AG22" s="20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4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4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0">
        <f t="shared" si="12"/>
        <v>18712.148950195318</v>
      </c>
      <c r="AF23" s="20">
        <f t="shared" si="16"/>
        <v>891.05471191406832</v>
      </c>
      <c r="AG23" s="20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4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4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0">
        <f t="shared" si="12"/>
        <v>19647.756397705081</v>
      </c>
      <c r="AF24" s="20">
        <f t="shared" si="16"/>
        <v>935.60744750976301</v>
      </c>
      <c r="AG24" s="20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0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4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4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0">
        <f t="shared" si="12"/>
        <v>20630.144217590336</v>
      </c>
      <c r="AF25" s="20">
        <f t="shared" si="16"/>
        <v>982.38781988525443</v>
      </c>
      <c r="AG25" s="20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0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4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4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0">
        <f t="shared" si="12"/>
        <v>21661.65142846985</v>
      </c>
      <c r="AF26" s="20">
        <f t="shared" si="16"/>
        <v>1031.5072108795139</v>
      </c>
      <c r="AG26" s="20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0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4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4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0">
        <f t="shared" si="12"/>
        <v>22744.733999893342</v>
      </c>
      <c r="AF27" s="20">
        <f t="shared" si="16"/>
        <v>1083.0825714234925</v>
      </c>
      <c r="AG27" s="20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0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4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4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0">
        <f t="shared" si="12"/>
        <v>23881.970699888014</v>
      </c>
      <c r="AF28" s="20">
        <f t="shared" si="16"/>
        <v>1137.2366999946717</v>
      </c>
      <c r="AG28" s="20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0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4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4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0">
        <f t="shared" si="12"/>
        <v>25076.069234882416</v>
      </c>
      <c r="AF29" s="20">
        <f t="shared" si="16"/>
        <v>1194.0985349944021</v>
      </c>
      <c r="AG29" s="20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0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4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4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0">
        <f t="shared" si="12"/>
        <v>26329.872696626531</v>
      </c>
      <c r="AF30" s="20">
        <f t="shared" si="16"/>
        <v>1253.8034617441153</v>
      </c>
      <c r="AG30" s="20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4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4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0">
        <f t="shared" si="12"/>
        <v>27646.366331457866</v>
      </c>
      <c r="AF31" s="20">
        <f t="shared" si="16"/>
        <v>1316.4936348313349</v>
      </c>
      <c r="AG31" s="20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4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4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0">
        <f t="shared" si="12"/>
        <v>29028.684648030747</v>
      </c>
      <c r="AF32" s="20">
        <f t="shared" si="16"/>
        <v>1382.3183165728806</v>
      </c>
      <c r="AG32" s="20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4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4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0">
        <f t="shared" si="12"/>
        <v>30480.118880432296</v>
      </c>
      <c r="AF33" s="20">
        <f t="shared" si="16"/>
        <v>1451.4342324015488</v>
      </c>
      <c r="AG33" s="20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4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4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0">
        <f t="shared" si="12"/>
        <v>32004.124824453906</v>
      </c>
      <c r="AF34" s="20">
        <f t="shared" si="16"/>
        <v>1524.00594402161</v>
      </c>
      <c r="AG34" s="20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4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4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0">
        <f t="shared" si="12"/>
        <v>33604.331065676612</v>
      </c>
      <c r="AF35" s="20">
        <f t="shared" si="16"/>
        <v>1600.206241222706</v>
      </c>
      <c r="AG35" s="20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4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4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0">
        <f t="shared" si="12"/>
        <v>35284.547618960438</v>
      </c>
      <c r="AF36" s="20">
        <f t="shared" si="16"/>
        <v>1680.2165532838262</v>
      </c>
      <c r="AG36" s="20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4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4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0">
        <f t="shared" si="12"/>
        <v>37048.774999908463</v>
      </c>
      <c r="AF37" s="20">
        <f t="shared" si="16"/>
        <v>1764.2273809480248</v>
      </c>
      <c r="AG37" s="20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4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4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0">
        <f t="shared" si="12"/>
        <v>38901.21374990388</v>
      </c>
      <c r="AF38" s="20">
        <f t="shared" si="16"/>
        <v>1852.4387499954173</v>
      </c>
      <c r="AG38" s="20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4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4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0">
        <f t="shared" si="12"/>
        <v>40846.274437399072</v>
      </c>
      <c r="AF39" s="20">
        <f t="shared" si="16"/>
        <v>1945.0606874951918</v>
      </c>
      <c r="AG39" s="20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4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4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0">
        <f t="shared" si="12"/>
        <v>42888.588159269013</v>
      </c>
      <c r="AF40" s="20">
        <f t="shared" si="16"/>
        <v>2042.3137218699412</v>
      </c>
      <c r="AG40" s="20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4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4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0">
        <f t="shared" si="12"/>
        <v>45033.017567232484</v>
      </c>
      <c r="AF41" s="20">
        <f t="shared" si="16"/>
        <v>2144.429407963471</v>
      </c>
      <c r="AG41" s="20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4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4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0">
        <f t="shared" si="12"/>
        <v>47284.668445594107</v>
      </c>
      <c r="AF42" s="20">
        <f t="shared" si="16"/>
        <v>2251.6508783616227</v>
      </c>
      <c r="AG42" s="20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4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4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0">
        <f t="shared" si="12"/>
        <v>49648.901867873807</v>
      </c>
      <c r="AF43" s="20">
        <f t="shared" si="16"/>
        <v>2364.2334222796999</v>
      </c>
      <c r="AG43" s="20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4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4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0">
        <f t="shared" si="12"/>
        <v>52131.346961267496</v>
      </c>
      <c r="AF44" s="20">
        <f t="shared" si="16"/>
        <v>2482.4450933936896</v>
      </c>
      <c r="AG44" s="20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4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4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0">
        <f t="shared" si="12"/>
        <v>54737.914309330881</v>
      </c>
      <c r="AF45" s="20">
        <f t="shared" si="16"/>
        <v>2606.567348063385</v>
      </c>
      <c r="AG45" s="20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4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4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0">
        <f t="shared" si="12"/>
        <v>57474.810024797422</v>
      </c>
      <c r="AF46" s="20">
        <f t="shared" si="16"/>
        <v>2736.8957154665404</v>
      </c>
      <c r="AG46" s="20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4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4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0">
        <f t="shared" si="12"/>
        <v>60348.550526037296</v>
      </c>
      <c r="AF47" s="20">
        <f t="shared" si="16"/>
        <v>2873.740501239874</v>
      </c>
      <c r="AG47" s="20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4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4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0">
        <f t="shared" si="12"/>
        <v>63365.978052339138</v>
      </c>
      <c r="AF48" s="20">
        <f t="shared" si="16"/>
        <v>3017.4275263018426</v>
      </c>
      <c r="AG48" s="20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4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4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0">
        <f t="shared" si="12"/>
        <v>66534.276954956134</v>
      </c>
      <c r="AF49" s="20">
        <f t="shared" si="16"/>
        <v>3168.2989026169962</v>
      </c>
      <c r="AG49" s="20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4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4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0">
        <f t="shared" si="12"/>
        <v>69860.990802703935</v>
      </c>
      <c r="AF50" s="20">
        <f t="shared" si="16"/>
        <v>3326.7138477478002</v>
      </c>
      <c r="AG50" s="20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4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4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0">
        <f t="shared" si="12"/>
        <v>73354.040342839129</v>
      </c>
      <c r="AF51" s="20">
        <f t="shared" si="16"/>
        <v>3493.0495401351945</v>
      </c>
      <c r="AG51" s="20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4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4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0">
        <f t="shared" si="12"/>
        <v>77021.742359981072</v>
      </c>
      <c r="AF52" s="20">
        <f t="shared" si="16"/>
        <v>3667.7020171419426</v>
      </c>
      <c r="AG52" s="20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4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4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0">
        <f t="shared" si="12"/>
        <v>80872.829477980151</v>
      </c>
      <c r="AF53" s="20">
        <f t="shared" si="16"/>
        <v>3851.0871179990791</v>
      </c>
      <c r="AG53" s="20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4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4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0">
        <f t="shared" si="12"/>
        <v>84916.470951879135</v>
      </c>
      <c r="AF54" s="20">
        <f t="shared" si="16"/>
        <v>4043.6414738989843</v>
      </c>
      <c r="AG54" s="20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4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4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0">
        <f t="shared" si="12"/>
        <v>89162.294499473093</v>
      </c>
      <c r="AF55" s="20">
        <f t="shared" si="16"/>
        <v>4245.8235475939582</v>
      </c>
      <c r="AG55" s="20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4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4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0">
        <f t="shared" si="12"/>
        <v>93620.409224446747</v>
      </c>
      <c r="AF56" s="20">
        <f t="shared" si="16"/>
        <v>4458.1147249736532</v>
      </c>
      <c r="AG56" s="20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4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4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0">
        <f t="shared" si="12"/>
        <v>98301.429685669107</v>
      </c>
      <c r="AF57" s="20">
        <f t="shared" si="16"/>
        <v>4681.0204612223606</v>
      </c>
      <c r="AG57" s="20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4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4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0">
        <f t="shared" si="12"/>
        <v>103216.50116995255</v>
      </c>
      <c r="AF58" s="20">
        <f t="shared" si="16"/>
        <v>4915.0714842834423</v>
      </c>
      <c r="AG58" s="20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4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4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0">
        <f t="shared" si="12"/>
        <v>108377.32622845017</v>
      </c>
      <c r="AF59" s="20">
        <f t="shared" si="16"/>
        <v>5160.8250584976195</v>
      </c>
      <c r="AG59" s="20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4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4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0">
        <f t="shared" si="12"/>
        <v>113796.19253987269</v>
      </c>
      <c r="AF60" s="20">
        <f t="shared" si="16"/>
        <v>5418.8663114225201</v>
      </c>
      <c r="AG60" s="20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4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4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0">
        <f t="shared" si="12"/>
        <v>119486.00216686635</v>
      </c>
      <c r="AF61" s="20">
        <f t="shared" si="16"/>
        <v>5689.809626993665</v>
      </c>
      <c r="AG61" s="20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4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4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0">
        <f t="shared" si="12"/>
        <v>125460.3022752096</v>
      </c>
      <c r="AF62" s="20">
        <f t="shared" si="16"/>
        <v>5974.3001083432464</v>
      </c>
      <c r="AG62" s="20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4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4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0">
        <f t="shared" si="12"/>
        <v>131733.31738897014</v>
      </c>
      <c r="AF63" s="20">
        <f t="shared" si="16"/>
        <v>6273.0151137605426</v>
      </c>
      <c r="AG63" s="20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4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4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0">
        <f t="shared" si="12"/>
        <v>138319.98325841862</v>
      </c>
      <c r="AF64" s="20">
        <f t="shared" si="16"/>
        <v>6586.6658694484795</v>
      </c>
      <c r="AG64" s="20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4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4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0">
        <f t="shared" si="12"/>
        <v>145235.98242133961</v>
      </c>
      <c r="AF65" s="20">
        <f t="shared" si="16"/>
        <v>6915.9991629209835</v>
      </c>
      <c r="AG65" s="20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4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4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0">
        <f t="shared" si="12"/>
        <v>152497.78154240653</v>
      </c>
      <c r="AF66" s="20">
        <f t="shared" si="16"/>
        <v>7261.7991210669279</v>
      </c>
      <c r="AG66" s="20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4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4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0">
        <f t="shared" si="12"/>
        <v>160122.67061952691</v>
      </c>
      <c r="AF67" s="20">
        <f t="shared" si="16"/>
        <v>7624.8890771203733</v>
      </c>
      <c r="AG67" s="20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4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4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0">
        <f t="shared" si="12"/>
        <v>168128.80415050325</v>
      </c>
      <c r="AF68" s="20">
        <f t="shared" si="16"/>
        <v>8006.1335309763381</v>
      </c>
      <c r="AG68" s="20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4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4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0">
        <f t="shared" si="12"/>
        <v>176535.2443580284</v>
      </c>
      <c r="AF69" s="20">
        <f t="shared" si="16"/>
        <v>8406.4402075251564</v>
      </c>
      <c r="AG69" s="20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4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4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0">
        <f t="shared" si="12"/>
        <v>185362.00657592982</v>
      </c>
      <c r="AF70" s="20">
        <f t="shared" si="16"/>
        <v>8826.7622179014143</v>
      </c>
      <c r="AG70" s="20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4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4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0">
        <f t="shared" si="12"/>
        <v>194630.1069047263</v>
      </c>
      <c r="AF71" s="20">
        <f t="shared" si="16"/>
        <v>9268.100328796485</v>
      </c>
      <c r="AG71" s="20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4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4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0">
        <f t="shared" si="12"/>
        <v>204361.61224996261</v>
      </c>
      <c r="AF72" s="20">
        <f t="shared" si="16"/>
        <v>9731.5053452363063</v>
      </c>
      <c r="AG72" s="20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4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4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0">
        <f t="shared" si="12"/>
        <v>214579.6928624608</v>
      </c>
      <c r="AF73" s="20">
        <f t="shared" si="16"/>
        <v>10218.08061249819</v>
      </c>
      <c r="AG73" s="20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4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4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0">
        <f t="shared" si="12"/>
        <v>225308.67750558374</v>
      </c>
      <c r="AF74" s="20">
        <f t="shared" si="16"/>
        <v>10728.984643122938</v>
      </c>
      <c r="AG74" s="20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4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4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0">
        <f t="shared" si="12"/>
        <v>236574.11138086297</v>
      </c>
      <c r="AF75" s="20">
        <f t="shared" si="16"/>
        <v>11265.433875279239</v>
      </c>
      <c r="AG75" s="20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4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4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0">
        <f t="shared" si="12"/>
        <v>248402.81694990618</v>
      </c>
      <c r="AF76" s="20">
        <f t="shared" si="16"/>
        <v>11828.705569043203</v>
      </c>
      <c r="AG76" s="20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4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4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0">
        <f t="shared" si="12"/>
        <v>260822.95779740153</v>
      </c>
      <c r="AF77" s="20">
        <f t="shared" si="16"/>
        <v>12420.14084749535</v>
      </c>
      <c r="AG77" s="20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4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4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0">
        <f t="shared" si="12"/>
        <v>273864.10568727151</v>
      </c>
      <c r="AF78" s="20">
        <f t="shared" si="16"/>
        <v>13041.147889869986</v>
      </c>
      <c r="AG78" s="20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4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4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0">
        <f t="shared" si="12"/>
        <v>287557.31097163516</v>
      </c>
      <c r="AF79" s="20">
        <f t="shared" si="16"/>
        <v>13693.205284363648</v>
      </c>
      <c r="AG79" s="20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4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4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0">
        <f t="shared" si="12"/>
        <v>301935.17652021686</v>
      </c>
      <c r="AF80" s="20">
        <f t="shared" si="16"/>
        <v>14377.8655485817</v>
      </c>
      <c r="AG80" s="20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4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4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0">
        <f t="shared" si="12"/>
        <v>317031.93534622772</v>
      </c>
      <c r="AF81" s="20">
        <f t="shared" si="16"/>
        <v>15096.758826010861</v>
      </c>
      <c r="AG81" s="20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4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4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0">
        <f t="shared" si="12"/>
        <v>332883.53211353911</v>
      </c>
      <c r="AF82" s="20">
        <f t="shared" si="16"/>
        <v>15851.596767311392</v>
      </c>
      <c r="AG82" s="20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4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4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0">
        <f t="shared" ref="AE83:AE117" si="35">AC83+AD83</f>
        <v>349527.70871921617</v>
      </c>
      <c r="AF83" s="20">
        <f t="shared" si="16"/>
        <v>16644.176605677058</v>
      </c>
      <c r="AG83" s="20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4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4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0">
        <f t="shared" si="35"/>
        <v>367004.09415517689</v>
      </c>
      <c r="AF84" s="20">
        <f t="shared" ref="AF84:AF117" si="39">AE84-AE83</f>
        <v>17476.385435960721</v>
      </c>
      <c r="AG84" s="20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4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4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0">
        <f t="shared" si="35"/>
        <v>385354.2988629358</v>
      </c>
      <c r="AF85" s="20">
        <f t="shared" si="39"/>
        <v>18350.204707758909</v>
      </c>
      <c r="AG85" s="20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4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4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0">
        <f t="shared" si="35"/>
        <v>404622.01380608254</v>
      </c>
      <c r="AF86" s="20">
        <f t="shared" si="39"/>
        <v>19267.714943146741</v>
      </c>
      <c r="AG86" s="20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4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4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0">
        <f t="shared" si="35"/>
        <v>424853.11449638667</v>
      </c>
      <c r="AF87" s="20">
        <f t="shared" si="39"/>
        <v>20231.100690304127</v>
      </c>
      <c r="AG87" s="20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4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4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0">
        <f t="shared" si="35"/>
        <v>446095.77022120601</v>
      </c>
      <c r="AF88" s="20">
        <f t="shared" si="39"/>
        <v>21242.655724819342</v>
      </c>
      <c r="AG88" s="20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4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4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0">
        <f t="shared" si="35"/>
        <v>468400.55873226636</v>
      </c>
      <c r="AF89" s="20">
        <f t="shared" si="39"/>
        <v>22304.788511060353</v>
      </c>
      <c r="AG89" s="20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4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4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0">
        <f t="shared" si="35"/>
        <v>491820.58666887973</v>
      </c>
      <c r="AF90" s="20">
        <f t="shared" si="39"/>
        <v>23420.027936613362</v>
      </c>
      <c r="AG90" s="20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4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4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0">
        <f t="shared" si="35"/>
        <v>516411.61600232357</v>
      </c>
      <c r="AF91" s="20">
        <f t="shared" si="39"/>
        <v>24591.029333443847</v>
      </c>
      <c r="AG91" s="20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4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4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0">
        <f t="shared" si="35"/>
        <v>542232.19680243975</v>
      </c>
      <c r="AF92" s="20">
        <f t="shared" si="39"/>
        <v>25820.580800116179</v>
      </c>
      <c r="AG92" s="20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4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4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0">
        <f t="shared" si="35"/>
        <v>569343.8066425618</v>
      </c>
      <c r="AF93" s="20">
        <f t="shared" si="39"/>
        <v>27111.609840122052</v>
      </c>
      <c r="AG93" s="20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4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4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0">
        <f t="shared" si="35"/>
        <v>597810.99697468989</v>
      </c>
      <c r="AF94" s="20">
        <f t="shared" si="39"/>
        <v>28467.190332128084</v>
      </c>
      <c r="AG94" s="20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4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4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0">
        <f t="shared" si="35"/>
        <v>627701.54682342452</v>
      </c>
      <c r="AF95" s="20">
        <f t="shared" si="39"/>
        <v>29890.549848734634</v>
      </c>
      <c r="AG95" s="20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4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4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0">
        <f t="shared" si="35"/>
        <v>659086.6241645955</v>
      </c>
      <c r="AF96" s="20">
        <f t="shared" si="39"/>
        <v>31385.077341170982</v>
      </c>
      <c r="AG96" s="20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4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4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0">
        <f t="shared" si="35"/>
        <v>692040.9553728255</v>
      </c>
      <c r="AF97" s="20">
        <f t="shared" si="39"/>
        <v>32954.331208229996</v>
      </c>
      <c r="AG97" s="20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4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4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0">
        <f t="shared" si="35"/>
        <v>726643.00314146676</v>
      </c>
      <c r="AF98" s="20">
        <f t="shared" si="39"/>
        <v>34602.047768641263</v>
      </c>
      <c r="AG98" s="20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4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4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0">
        <f t="shared" si="35"/>
        <v>762975.15329854016</v>
      </c>
      <c r="AF99" s="20">
        <f t="shared" si="39"/>
        <v>36332.150157073396</v>
      </c>
      <c r="AG99" s="20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4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4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0">
        <f t="shared" si="35"/>
        <v>801123.91096346732</v>
      </c>
      <c r="AF100" s="20">
        <f t="shared" si="39"/>
        <v>38148.757664927165</v>
      </c>
      <c r="AG100" s="20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4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4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0">
        <f t="shared" si="35"/>
        <v>841180.10651164036</v>
      </c>
      <c r="AF101" s="20">
        <f t="shared" si="39"/>
        <v>40056.19554817304</v>
      </c>
      <c r="AG101" s="20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4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4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0">
        <f t="shared" si="35"/>
        <v>883239.11183722271</v>
      </c>
      <c r="AF102" s="20">
        <f t="shared" si="39"/>
        <v>42059.005325582344</v>
      </c>
      <c r="AG102" s="20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4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4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0">
        <f t="shared" si="35"/>
        <v>927401.06742908363</v>
      </c>
      <c r="AF103" s="20">
        <f t="shared" si="39"/>
        <v>44161.955591860926</v>
      </c>
      <c r="AG103" s="20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4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4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0">
        <f t="shared" si="35"/>
        <v>973771.12080053776</v>
      </c>
      <c r="AF104" s="20">
        <f t="shared" si="39"/>
        <v>46370.053371454123</v>
      </c>
      <c r="AG104" s="20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4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4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0">
        <f t="shared" si="35"/>
        <v>1022459.6768405649</v>
      </c>
      <c r="AF105" s="20">
        <f t="shared" si="39"/>
        <v>48688.556040027179</v>
      </c>
      <c r="AG105" s="20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4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4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0">
        <f t="shared" si="35"/>
        <v>1073582.6606825928</v>
      </c>
      <c r="AF106" s="20">
        <f t="shared" si="39"/>
        <v>51122.983842027839</v>
      </c>
      <c r="AG106" s="20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4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4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0">
        <f t="shared" si="35"/>
        <v>1127261.7937167226</v>
      </c>
      <c r="AF107" s="20">
        <f t="shared" si="39"/>
        <v>53679.13303412986</v>
      </c>
      <c r="AG107" s="20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4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4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0">
        <f t="shared" si="35"/>
        <v>1183624.883402559</v>
      </c>
      <c r="AF108" s="20">
        <f t="shared" si="39"/>
        <v>56363.089685836341</v>
      </c>
      <c r="AG108" s="20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4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4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0">
        <f t="shared" si="35"/>
        <v>1242806.1275726869</v>
      </c>
      <c r="AF109" s="20">
        <f t="shared" si="39"/>
        <v>59181.244170127902</v>
      </c>
      <c r="AG109" s="20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4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4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0">
        <f t="shared" si="35"/>
        <v>1304946.4339513211</v>
      </c>
      <c r="AF110" s="20">
        <f t="shared" si="39"/>
        <v>62140.306378634181</v>
      </c>
      <c r="AG110" s="20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4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4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0">
        <f t="shared" si="35"/>
        <v>1370193.7556488875</v>
      </c>
      <c r="AF111" s="20">
        <f t="shared" si="39"/>
        <v>65247.321697566425</v>
      </c>
      <c r="AG111" s="20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4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4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0">
        <f t="shared" si="35"/>
        <v>1438703.4434313313</v>
      </c>
      <c r="AF112" s="20">
        <f t="shared" si="39"/>
        <v>68509.687782443827</v>
      </c>
      <c r="AG112" s="20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4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4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0">
        <f t="shared" si="35"/>
        <v>1510638.6156028984</v>
      </c>
      <c r="AF113" s="20">
        <f t="shared" si="39"/>
        <v>71935.172171567101</v>
      </c>
      <c r="AG113" s="20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4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4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0">
        <f t="shared" si="35"/>
        <v>1586170.5463830428</v>
      </c>
      <c r="AF114" s="20">
        <f t="shared" si="39"/>
        <v>75531.930780144408</v>
      </c>
      <c r="AG114" s="20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4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4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0">
        <f t="shared" si="35"/>
        <v>1665479.0737021952</v>
      </c>
      <c r="AF115" s="20">
        <f t="shared" si="39"/>
        <v>79308.527319152374</v>
      </c>
      <c r="AG115" s="20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4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4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0">
        <f t="shared" si="35"/>
        <v>1748753.0273873052</v>
      </c>
      <c r="AF116" s="20">
        <f t="shared" si="39"/>
        <v>83273.953685109969</v>
      </c>
      <c r="AG116" s="20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4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4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0">
        <f t="shared" si="35"/>
        <v>1836190.6787566706</v>
      </c>
      <c r="AF117" s="20">
        <f t="shared" si="39"/>
        <v>87437.651369365398</v>
      </c>
      <c r="AG117" s="20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14" t="s">
        <v>162</v>
      </c>
      <c r="B1" s="115"/>
      <c r="AB1" s="9"/>
    </row>
    <row r="2" spans="1:33" ht="14.25" customHeight="1" x14ac:dyDescent="0.2">
      <c r="A2" s="116"/>
      <c r="B2" s="117"/>
      <c r="E2" s="22"/>
      <c r="AB2" s="9"/>
    </row>
    <row r="3" spans="1:33" ht="14.25" customHeight="1" x14ac:dyDescent="0.2">
      <c r="C3" s="3" t="s">
        <v>161</v>
      </c>
      <c r="D3" s="23" t="s">
        <v>103</v>
      </c>
      <c r="E3" s="3" t="s">
        <v>107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8"/>
      <c r="G6" s="18"/>
      <c r="H6" s="18"/>
      <c r="I6" s="18"/>
      <c r="J6" s="18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2"/>
      <c r="G7" s="32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2"/>
      <c r="G8" s="32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2"/>
      <c r="G9" s="32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4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29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5" t="s">
        <v>164</v>
      </c>
      <c r="D16" s="36" t="s">
        <v>163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145</v>
      </c>
      <c r="D17" s="1">
        <v>0.6</v>
      </c>
      <c r="E17" s="24"/>
      <c r="AC17" s="20"/>
    </row>
    <row r="18" spans="2:37" ht="14.25" customHeight="1" x14ac:dyDescent="0.2">
      <c r="C18" s="6" t="s">
        <v>165</v>
      </c>
      <c r="D18" s="1">
        <v>0.8</v>
      </c>
    </row>
    <row r="19" spans="2:37" ht="14.25" customHeight="1" x14ac:dyDescent="0.2">
      <c r="C19" s="6" t="s">
        <v>166</v>
      </c>
      <c r="D19" s="1">
        <v>1</v>
      </c>
      <c r="E19" s="6"/>
      <c r="F19" s="6"/>
      <c r="G19" s="6"/>
      <c r="H19" s="6"/>
      <c r="I19" s="24"/>
      <c r="J19" s="6"/>
      <c r="K19" s="6"/>
      <c r="L19" s="6"/>
      <c r="M19" s="6"/>
      <c r="N19" s="6"/>
      <c r="O19" s="6"/>
      <c r="P19" s="6"/>
      <c r="Q19" s="3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0"/>
      <c r="AF19" s="9"/>
      <c r="AG19" s="9"/>
      <c r="AH19" s="9"/>
    </row>
    <row r="20" spans="2:37" ht="14.25" customHeight="1" x14ac:dyDescent="0.2">
      <c r="C20" s="6" t="s">
        <v>167</v>
      </c>
      <c r="D20" s="1">
        <v>1.2</v>
      </c>
      <c r="E20" s="6"/>
      <c r="F20" s="6"/>
      <c r="G20" s="6"/>
      <c r="H20" s="6"/>
      <c r="I20" s="24"/>
      <c r="J20" s="6"/>
      <c r="K20" s="6"/>
      <c r="L20" s="6"/>
      <c r="M20" s="6"/>
      <c r="N20" s="6"/>
      <c r="O20" s="6"/>
      <c r="P20" s="6"/>
      <c r="Q20" s="3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0"/>
      <c r="AD20" s="20"/>
      <c r="AE20" s="20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4"/>
      <c r="J21" s="6"/>
      <c r="K21" s="6"/>
      <c r="L21" s="6"/>
      <c r="M21" s="6"/>
      <c r="N21" s="6"/>
      <c r="O21" s="6"/>
      <c r="P21" s="6"/>
      <c r="Q21" s="34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0"/>
      <c r="AD21" s="20"/>
      <c r="AE21" s="20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4"/>
      <c r="J22" s="6"/>
      <c r="K22" s="6"/>
      <c r="L22" s="6"/>
      <c r="M22" s="6"/>
      <c r="N22" s="6"/>
      <c r="O22" s="6"/>
      <c r="P22" s="6"/>
      <c r="Q22" s="3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0"/>
      <c r="AD22" s="20"/>
      <c r="AE22" s="20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4"/>
      <c r="J23" s="6"/>
      <c r="K23" s="6"/>
      <c r="L23" s="6"/>
      <c r="M23" s="6"/>
      <c r="N23" s="6"/>
      <c r="O23" s="6"/>
      <c r="P23" s="6"/>
      <c r="Q23" s="3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0"/>
      <c r="AD23" s="20"/>
      <c r="AE23" s="20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4"/>
      <c r="J24" s="6"/>
      <c r="K24" s="6"/>
      <c r="L24" s="6"/>
      <c r="M24" s="6"/>
      <c r="N24" s="6"/>
      <c r="O24" s="6"/>
      <c r="P24" s="6"/>
      <c r="Q24" s="34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0"/>
      <c r="AD24" s="20"/>
      <c r="AE24" s="20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4"/>
      <c r="J25" s="6"/>
      <c r="K25" s="6"/>
      <c r="L25" s="6"/>
      <c r="M25" s="6"/>
      <c r="N25" s="6"/>
      <c r="O25" s="6"/>
      <c r="P25" s="6"/>
      <c r="Q25" s="34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0"/>
      <c r="AD25" s="20"/>
      <c r="AE25" s="20"/>
      <c r="AF25" s="9"/>
      <c r="AG25" s="9"/>
      <c r="AH25" s="9"/>
      <c r="AI25" s="9"/>
      <c r="AJ25" s="9"/>
      <c r="AK25" s="9"/>
    </row>
    <row r="26" spans="2:37" ht="14.25" customHeight="1" x14ac:dyDescent="0.2">
      <c r="B26" s="30"/>
      <c r="C26" s="6"/>
      <c r="E26" s="6"/>
      <c r="F26" s="6"/>
      <c r="G26" s="6"/>
      <c r="H26" s="6"/>
      <c r="I26" s="24"/>
      <c r="J26" s="6"/>
      <c r="K26" s="6"/>
      <c r="L26" s="6"/>
      <c r="M26" s="6"/>
      <c r="N26" s="6"/>
      <c r="O26" s="6"/>
      <c r="P26" s="6"/>
      <c r="Q26" s="34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0"/>
      <c r="AD26" s="20"/>
      <c r="AE26" s="20"/>
      <c r="AF26" s="9"/>
      <c r="AG26" s="9"/>
      <c r="AH26" s="9"/>
      <c r="AI26" s="9"/>
      <c r="AJ26" s="9"/>
      <c r="AK26" s="9"/>
    </row>
    <row r="27" spans="2:37" ht="14.25" customHeight="1" x14ac:dyDescent="0.2">
      <c r="B27" s="30"/>
      <c r="C27" s="6"/>
      <c r="E27" s="6"/>
      <c r="F27" s="6"/>
      <c r="G27" s="6"/>
      <c r="H27" s="6"/>
      <c r="I27" s="24"/>
      <c r="J27" s="6"/>
      <c r="K27" s="6"/>
      <c r="L27" s="6"/>
      <c r="M27" s="6"/>
      <c r="N27" s="6"/>
      <c r="O27" s="6"/>
      <c r="P27" s="6"/>
      <c r="Q27" s="34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0"/>
      <c r="AD27" s="20"/>
      <c r="AE27" s="20"/>
      <c r="AF27" s="9"/>
      <c r="AG27" s="9"/>
      <c r="AH27" s="9"/>
      <c r="AI27" s="9"/>
      <c r="AJ27" s="9"/>
      <c r="AK27" s="9"/>
    </row>
    <row r="28" spans="2:37" ht="14.25" customHeight="1" x14ac:dyDescent="0.2">
      <c r="B28" s="30"/>
      <c r="C28" s="6"/>
      <c r="E28" s="6"/>
      <c r="F28" s="6"/>
      <c r="G28" s="6"/>
      <c r="H28" s="6"/>
      <c r="I28" s="24"/>
      <c r="J28" s="6"/>
      <c r="K28" s="6"/>
      <c r="L28" s="6"/>
      <c r="M28" s="6"/>
      <c r="N28" s="6"/>
      <c r="O28" s="6"/>
      <c r="P28" s="6"/>
      <c r="Q28" s="34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0"/>
      <c r="AD28" s="20"/>
      <c r="AE28" s="20"/>
      <c r="AF28" s="9"/>
      <c r="AG28" s="9"/>
      <c r="AH28" s="9"/>
      <c r="AI28" s="9"/>
      <c r="AJ28" s="9"/>
      <c r="AK28" s="9"/>
    </row>
    <row r="29" spans="2:37" ht="14.25" customHeight="1" x14ac:dyDescent="0.2">
      <c r="B29" s="30"/>
      <c r="C29" s="6"/>
      <c r="E29" s="6"/>
      <c r="F29" s="6"/>
      <c r="G29" s="6"/>
      <c r="H29" s="6"/>
      <c r="I29" s="24"/>
      <c r="J29" s="6"/>
      <c r="K29" s="6"/>
      <c r="L29" s="6"/>
      <c r="M29" s="6"/>
      <c r="N29" s="6"/>
      <c r="O29" s="6"/>
      <c r="P29" s="6"/>
      <c r="Q29" s="34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0"/>
      <c r="AD29" s="20"/>
      <c r="AE29" s="20"/>
      <c r="AF29" s="9"/>
      <c r="AG29" s="9"/>
      <c r="AH29" s="9"/>
      <c r="AI29" s="9"/>
      <c r="AJ29" s="9"/>
      <c r="AK29" s="9"/>
    </row>
    <row r="30" spans="2:37" ht="14.25" customHeight="1" x14ac:dyDescent="0.2">
      <c r="B30" s="30"/>
      <c r="C30" s="6"/>
      <c r="E30" s="6"/>
      <c r="F30" s="6"/>
      <c r="G30" s="6"/>
      <c r="H30" s="6"/>
      <c r="I30" s="24"/>
      <c r="J30" s="6"/>
      <c r="K30" s="6"/>
      <c r="L30" s="6"/>
      <c r="M30" s="6"/>
      <c r="N30" s="6"/>
      <c r="O30" s="6"/>
      <c r="P30" s="6"/>
      <c r="Q30" s="34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0"/>
      <c r="AD30" s="20"/>
      <c r="AE30" s="20"/>
      <c r="AF30" s="9"/>
      <c r="AG30" s="9"/>
      <c r="AH30" s="9"/>
      <c r="AI30" s="9"/>
      <c r="AJ30" s="9"/>
      <c r="AK30" s="9"/>
    </row>
    <row r="31" spans="2:37" ht="14.25" customHeight="1" x14ac:dyDescent="0.2">
      <c r="B31" s="30"/>
      <c r="C31" s="6"/>
      <c r="E31" s="6"/>
      <c r="F31" s="6"/>
      <c r="G31" s="6"/>
      <c r="H31" s="6"/>
      <c r="I31" s="24"/>
      <c r="J31" s="6"/>
      <c r="K31" s="6"/>
      <c r="L31" s="6"/>
      <c r="M31" s="6"/>
      <c r="N31" s="6"/>
      <c r="O31" s="6"/>
      <c r="P31" s="6"/>
      <c r="Q31" s="34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0"/>
      <c r="AD31" s="20"/>
      <c r="AE31" s="20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4"/>
      <c r="J32" s="6"/>
      <c r="K32" s="6"/>
      <c r="L32" s="6"/>
      <c r="M32" s="6"/>
      <c r="N32" s="6"/>
      <c r="O32" s="6"/>
      <c r="P32" s="6"/>
      <c r="Q32" s="34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0"/>
      <c r="AD32" s="20"/>
      <c r="AE32" s="20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4"/>
      <c r="J33" s="6"/>
      <c r="K33" s="6"/>
      <c r="L33" s="6"/>
      <c r="M33" s="6"/>
      <c r="N33" s="6"/>
      <c r="O33" s="6"/>
      <c r="P33" s="6"/>
      <c r="Q33" s="34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0"/>
      <c r="AD33" s="20"/>
      <c r="AE33" s="20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4"/>
      <c r="J34" s="6"/>
      <c r="K34" s="6"/>
      <c r="L34" s="6"/>
      <c r="M34" s="6"/>
      <c r="N34" s="6"/>
      <c r="O34" s="6"/>
      <c r="P34" s="6"/>
      <c r="Q34" s="34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0"/>
      <c r="AD34" s="20"/>
      <c r="AE34" s="20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4"/>
      <c r="J35" s="6"/>
      <c r="K35" s="6"/>
      <c r="L35" s="6"/>
      <c r="M35" s="6"/>
      <c r="N35" s="6"/>
      <c r="O35" s="6"/>
      <c r="P35" s="6"/>
      <c r="Q35" s="34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0"/>
      <c r="AD35" s="20"/>
      <c r="AE35" s="20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4"/>
      <c r="J36" s="6"/>
      <c r="K36" s="6"/>
      <c r="L36" s="6"/>
      <c r="M36" s="6"/>
      <c r="N36" s="6"/>
      <c r="O36" s="6"/>
      <c r="P36" s="6"/>
      <c r="Q36" s="34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0"/>
      <c r="AD36" s="20"/>
      <c r="AE36" s="20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4"/>
      <c r="J37" s="6"/>
      <c r="K37" s="6"/>
      <c r="L37" s="6"/>
      <c r="M37" s="6"/>
      <c r="N37" s="6"/>
      <c r="O37" s="6"/>
      <c r="P37" s="6"/>
      <c r="Q37" s="34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0"/>
      <c r="AD37" s="20"/>
      <c r="AE37" s="20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4"/>
      <c r="J38" s="6"/>
      <c r="K38" s="6"/>
      <c r="L38" s="6"/>
      <c r="M38" s="6"/>
      <c r="N38" s="6"/>
      <c r="O38" s="6"/>
      <c r="P38" s="6"/>
      <c r="Q38" s="34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0"/>
      <c r="AD38" s="20"/>
      <c r="AE38" s="20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4"/>
      <c r="J39" s="6"/>
      <c r="K39" s="6"/>
      <c r="L39" s="6"/>
      <c r="M39" s="6"/>
      <c r="N39" s="6"/>
      <c r="O39" s="6"/>
      <c r="P39" s="6"/>
      <c r="Q39" s="34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0"/>
      <c r="AD39" s="20"/>
      <c r="AE39" s="20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4"/>
      <c r="J40" s="6"/>
      <c r="K40" s="6"/>
      <c r="L40" s="6"/>
      <c r="M40" s="6"/>
      <c r="N40" s="6"/>
      <c r="O40" s="6"/>
      <c r="P40" s="6"/>
      <c r="Q40" s="34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0"/>
      <c r="AD40" s="20"/>
      <c r="AE40" s="20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4"/>
      <c r="J41" s="6"/>
      <c r="K41" s="6"/>
      <c r="L41" s="6"/>
      <c r="M41" s="6"/>
      <c r="N41" s="6"/>
      <c r="O41" s="6"/>
      <c r="P41" s="6"/>
      <c r="Q41" s="34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0"/>
      <c r="AD41" s="20"/>
      <c r="AE41" s="20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4"/>
      <c r="J42" s="6"/>
      <c r="K42" s="6"/>
      <c r="L42" s="6"/>
      <c r="M42" s="6"/>
      <c r="N42" s="6"/>
      <c r="O42" s="6"/>
      <c r="P42" s="6"/>
      <c r="Q42" s="34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0"/>
      <c r="AD42" s="20"/>
      <c r="AE42" s="20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4"/>
      <c r="J43" s="6"/>
      <c r="K43" s="6"/>
      <c r="L43" s="6"/>
      <c r="M43" s="6"/>
      <c r="N43" s="6"/>
      <c r="O43" s="6"/>
      <c r="P43" s="6"/>
      <c r="Q43" s="34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0"/>
      <c r="AD43" s="20"/>
      <c r="AE43" s="20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4"/>
      <c r="J44" s="6"/>
      <c r="K44" s="6"/>
      <c r="L44" s="6"/>
      <c r="M44" s="6"/>
      <c r="N44" s="6"/>
      <c r="O44" s="6"/>
      <c r="P44" s="6"/>
      <c r="Q44" s="34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0"/>
      <c r="AD44" s="20"/>
      <c r="AE44" s="20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4"/>
      <c r="J45" s="6"/>
      <c r="K45" s="6"/>
      <c r="L45" s="6"/>
      <c r="M45" s="6"/>
      <c r="N45" s="6"/>
      <c r="O45" s="6"/>
      <c r="P45" s="6"/>
      <c r="Q45" s="34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0"/>
      <c r="AD45" s="20"/>
      <c r="AE45" s="20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4"/>
      <c r="J46" s="6"/>
      <c r="K46" s="6"/>
      <c r="L46" s="6"/>
      <c r="M46" s="6"/>
      <c r="N46" s="6"/>
      <c r="O46" s="6"/>
      <c r="P46" s="6"/>
      <c r="Q46" s="34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0"/>
      <c r="AD46" s="20"/>
      <c r="AE46" s="20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4"/>
      <c r="J47" s="6"/>
      <c r="K47" s="6"/>
      <c r="L47" s="6"/>
      <c r="M47" s="6"/>
      <c r="N47" s="6"/>
      <c r="O47" s="6"/>
      <c r="P47" s="6"/>
      <c r="Q47" s="34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0"/>
      <c r="AD47" s="20"/>
      <c r="AE47" s="20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4"/>
      <c r="J48" s="6"/>
      <c r="K48" s="6"/>
      <c r="L48" s="6"/>
      <c r="M48" s="6"/>
      <c r="N48" s="6"/>
      <c r="O48" s="6"/>
      <c r="P48" s="6"/>
      <c r="Q48" s="34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0"/>
      <c r="AD48" s="20"/>
      <c r="AE48" s="20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4"/>
      <c r="J49" s="6"/>
      <c r="K49" s="6"/>
      <c r="L49" s="6"/>
      <c r="M49" s="6"/>
      <c r="N49" s="6"/>
      <c r="O49" s="6"/>
      <c r="P49" s="6"/>
      <c r="Q49" s="34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0"/>
      <c r="AD49" s="20"/>
      <c r="AE49" s="20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4"/>
      <c r="J50" s="6"/>
      <c r="K50" s="6"/>
      <c r="L50" s="6"/>
      <c r="M50" s="6"/>
      <c r="N50" s="6"/>
      <c r="O50" s="6"/>
      <c r="P50" s="6"/>
      <c r="Q50" s="34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0"/>
      <c r="AD50" s="20"/>
      <c r="AE50" s="20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4"/>
      <c r="J51" s="6"/>
      <c r="K51" s="6"/>
      <c r="L51" s="6"/>
      <c r="M51" s="6"/>
      <c r="N51" s="6"/>
      <c r="O51" s="6"/>
      <c r="P51" s="6"/>
      <c r="Q51" s="3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0"/>
      <c r="AD51" s="20"/>
      <c r="AE51" s="20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4"/>
      <c r="J52" s="6"/>
      <c r="K52" s="6"/>
      <c r="L52" s="6"/>
      <c r="M52" s="6"/>
      <c r="N52" s="6"/>
      <c r="O52" s="6"/>
      <c r="P52" s="6"/>
      <c r="Q52" s="34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0"/>
      <c r="AD52" s="20"/>
      <c r="AE52" s="20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4"/>
      <c r="J53" s="6"/>
      <c r="K53" s="6"/>
      <c r="L53" s="6"/>
      <c r="M53" s="6"/>
      <c r="N53" s="6"/>
      <c r="O53" s="6"/>
      <c r="P53" s="6"/>
      <c r="Q53" s="34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0"/>
      <c r="AD53" s="20"/>
      <c r="AE53" s="20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4"/>
      <c r="J54" s="6"/>
      <c r="K54" s="6"/>
      <c r="L54" s="6"/>
      <c r="M54" s="6"/>
      <c r="N54" s="6"/>
      <c r="O54" s="6"/>
      <c r="P54" s="6"/>
      <c r="Q54" s="34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0"/>
      <c r="AD54" s="20"/>
      <c r="AE54" s="20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4"/>
      <c r="J55" s="6"/>
      <c r="K55" s="6"/>
      <c r="L55" s="6"/>
      <c r="M55" s="6"/>
      <c r="N55" s="6"/>
      <c r="O55" s="6"/>
      <c r="P55" s="6"/>
      <c r="Q55" s="34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0"/>
      <c r="AD55" s="20"/>
      <c r="AE55" s="20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4"/>
      <c r="J56" s="6"/>
      <c r="K56" s="6"/>
      <c r="L56" s="6"/>
      <c r="M56" s="6"/>
      <c r="N56" s="6"/>
      <c r="O56" s="6"/>
      <c r="P56" s="6"/>
      <c r="Q56" s="34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0"/>
      <c r="AD56" s="20"/>
      <c r="AE56" s="20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4"/>
      <c r="J57" s="6"/>
      <c r="K57" s="6"/>
      <c r="L57" s="6"/>
      <c r="M57" s="6"/>
      <c r="N57" s="6"/>
      <c r="O57" s="6"/>
      <c r="P57" s="6"/>
      <c r="Q57" s="34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0"/>
      <c r="AD57" s="20"/>
      <c r="AE57" s="20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4"/>
      <c r="J58" s="6"/>
      <c r="K58" s="6"/>
      <c r="L58" s="6"/>
      <c r="M58" s="6"/>
      <c r="N58" s="6"/>
      <c r="O58" s="6"/>
      <c r="P58" s="6"/>
      <c r="Q58" s="34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0"/>
      <c r="AD58" s="20"/>
      <c r="AE58" s="20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4"/>
      <c r="J59" s="6"/>
      <c r="K59" s="6"/>
      <c r="L59" s="6"/>
      <c r="M59" s="6"/>
      <c r="N59" s="6"/>
      <c r="O59" s="6"/>
      <c r="P59" s="6"/>
      <c r="Q59" s="34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0"/>
      <c r="AD59" s="20"/>
      <c r="AE59" s="20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4"/>
      <c r="J60" s="6"/>
      <c r="K60" s="6"/>
      <c r="L60" s="6"/>
      <c r="M60" s="6"/>
      <c r="N60" s="6"/>
      <c r="O60" s="6"/>
      <c r="P60" s="6"/>
      <c r="Q60" s="34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0"/>
      <c r="AD60" s="20"/>
      <c r="AE60" s="20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4"/>
      <c r="J61" s="6"/>
      <c r="K61" s="6"/>
      <c r="L61" s="6"/>
      <c r="M61" s="6"/>
      <c r="N61" s="6"/>
      <c r="O61" s="6"/>
      <c r="P61" s="6"/>
      <c r="Q61" s="34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0"/>
      <c r="AD61" s="20"/>
      <c r="AE61" s="20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4"/>
      <c r="J62" s="6"/>
      <c r="K62" s="6"/>
      <c r="L62" s="6"/>
      <c r="M62" s="6"/>
      <c r="N62" s="6"/>
      <c r="O62" s="6"/>
      <c r="P62" s="6"/>
      <c r="Q62" s="34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0"/>
      <c r="AD62" s="20"/>
      <c r="AE62" s="20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4"/>
      <c r="J63" s="6"/>
      <c r="K63" s="6"/>
      <c r="L63" s="6"/>
      <c r="M63" s="6"/>
      <c r="N63" s="6"/>
      <c r="O63" s="6"/>
      <c r="P63" s="6"/>
      <c r="Q63" s="34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0"/>
      <c r="AD63" s="20"/>
      <c r="AE63" s="20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4"/>
      <c r="J64" s="6"/>
      <c r="K64" s="6"/>
      <c r="L64" s="6"/>
      <c r="M64" s="6"/>
      <c r="N64" s="6"/>
      <c r="O64" s="6"/>
      <c r="P64" s="6"/>
      <c r="Q64" s="34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0"/>
      <c r="AD64" s="20"/>
      <c r="AE64" s="20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4"/>
      <c r="J65" s="6"/>
      <c r="K65" s="6"/>
      <c r="L65" s="6"/>
      <c r="M65" s="6"/>
      <c r="N65" s="6"/>
      <c r="O65" s="6"/>
      <c r="P65" s="6"/>
      <c r="Q65" s="34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0"/>
      <c r="AD65" s="20"/>
      <c r="AE65" s="20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4"/>
      <c r="J66" s="6"/>
      <c r="K66" s="6"/>
      <c r="L66" s="6"/>
      <c r="M66" s="6"/>
      <c r="N66" s="6"/>
      <c r="O66" s="6"/>
      <c r="P66" s="6"/>
      <c r="Q66" s="34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0"/>
      <c r="AD66" s="20"/>
      <c r="AE66" s="20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4"/>
      <c r="J67" s="6"/>
      <c r="K67" s="6"/>
      <c r="L67" s="6"/>
      <c r="M67" s="6"/>
      <c r="N67" s="6"/>
      <c r="O67" s="6"/>
      <c r="P67" s="6"/>
      <c r="Q67" s="34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0"/>
      <c r="AD67" s="20"/>
      <c r="AE67" s="20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4"/>
      <c r="J68" s="6"/>
      <c r="K68" s="6"/>
      <c r="L68" s="6"/>
      <c r="M68" s="6"/>
      <c r="N68" s="6"/>
      <c r="O68" s="6"/>
      <c r="P68" s="6"/>
      <c r="Q68" s="34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0"/>
      <c r="AD68" s="20"/>
      <c r="AE68" s="20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4"/>
      <c r="J69" s="6"/>
      <c r="K69" s="6"/>
      <c r="L69" s="6"/>
      <c r="M69" s="6"/>
      <c r="N69" s="6"/>
      <c r="O69" s="6"/>
      <c r="P69" s="6"/>
      <c r="Q69" s="34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0"/>
      <c r="AD69" s="20"/>
      <c r="AE69" s="20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4"/>
      <c r="J70" s="6"/>
      <c r="K70" s="6"/>
      <c r="L70" s="6"/>
      <c r="M70" s="6"/>
      <c r="N70" s="6"/>
      <c r="O70" s="6"/>
      <c r="P70" s="6"/>
      <c r="Q70" s="34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0"/>
      <c r="AD70" s="20"/>
      <c r="AE70" s="20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4"/>
      <c r="J71" s="6"/>
      <c r="K71" s="6"/>
      <c r="L71" s="6"/>
      <c r="M71" s="6"/>
      <c r="N71" s="6"/>
      <c r="O71" s="6"/>
      <c r="P71" s="6"/>
      <c r="Q71" s="34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0"/>
      <c r="AD71" s="20"/>
      <c r="AE71" s="20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4"/>
      <c r="J72" s="6"/>
      <c r="K72" s="6"/>
      <c r="L72" s="6"/>
      <c r="M72" s="6"/>
      <c r="N72" s="6"/>
      <c r="O72" s="6"/>
      <c r="P72" s="6"/>
      <c r="Q72" s="34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0"/>
      <c r="AD72" s="20"/>
      <c r="AE72" s="20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4"/>
      <c r="J73" s="6"/>
      <c r="K73" s="6"/>
      <c r="L73" s="6"/>
      <c r="M73" s="6"/>
      <c r="N73" s="6"/>
      <c r="O73" s="6"/>
      <c r="P73" s="6"/>
      <c r="Q73" s="34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0"/>
      <c r="AD73" s="20"/>
      <c r="AE73" s="20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4"/>
      <c r="J74" s="6"/>
      <c r="K74" s="6"/>
      <c r="L74" s="6"/>
      <c r="M74" s="6"/>
      <c r="N74" s="6"/>
      <c r="O74" s="6"/>
      <c r="P74" s="6"/>
      <c r="Q74" s="34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0"/>
      <c r="AD74" s="20"/>
      <c r="AE74" s="20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4"/>
      <c r="J75" s="6"/>
      <c r="K75" s="6"/>
      <c r="L75" s="6"/>
      <c r="M75" s="6"/>
      <c r="N75" s="6"/>
      <c r="O75" s="6"/>
      <c r="P75" s="6"/>
      <c r="Q75" s="34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0"/>
      <c r="AD75" s="20"/>
      <c r="AE75" s="20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4"/>
      <c r="J76" s="6"/>
      <c r="K76" s="6"/>
      <c r="L76" s="6"/>
      <c r="M76" s="6"/>
      <c r="N76" s="6"/>
      <c r="O76" s="6"/>
      <c r="P76" s="6"/>
      <c r="Q76" s="34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0"/>
      <c r="AD76" s="20"/>
      <c r="AE76" s="20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4"/>
      <c r="J77" s="6"/>
      <c r="K77" s="6"/>
      <c r="L77" s="6"/>
      <c r="M77" s="6"/>
      <c r="N77" s="6"/>
      <c r="O77" s="6"/>
      <c r="P77" s="6"/>
      <c r="Q77" s="34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0"/>
      <c r="AD77" s="20"/>
      <c r="AE77" s="20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4"/>
      <c r="J78" s="6"/>
      <c r="K78" s="6"/>
      <c r="L78" s="6"/>
      <c r="M78" s="6"/>
      <c r="N78" s="6"/>
      <c r="O78" s="6"/>
      <c r="P78" s="6"/>
      <c r="Q78" s="34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0"/>
      <c r="AD78" s="20"/>
      <c r="AE78" s="20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4"/>
      <c r="J79" s="6"/>
      <c r="K79" s="6"/>
      <c r="L79" s="6"/>
      <c r="M79" s="6"/>
      <c r="N79" s="6"/>
      <c r="O79" s="6"/>
      <c r="P79" s="6"/>
      <c r="Q79" s="34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0"/>
      <c r="AD79" s="20"/>
      <c r="AE79" s="20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4"/>
      <c r="J80" s="6"/>
      <c r="K80" s="6"/>
      <c r="L80" s="6"/>
      <c r="M80" s="6"/>
      <c r="N80" s="6"/>
      <c r="O80" s="6"/>
      <c r="P80" s="6"/>
      <c r="Q80" s="34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0"/>
      <c r="AD80" s="20"/>
      <c r="AE80" s="20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4"/>
      <c r="J81" s="6"/>
      <c r="K81" s="6"/>
      <c r="L81" s="6"/>
      <c r="M81" s="6"/>
      <c r="N81" s="6"/>
      <c r="O81" s="6"/>
      <c r="P81" s="6"/>
      <c r="Q81" s="34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0"/>
      <c r="AD81" s="20"/>
      <c r="AE81" s="20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4"/>
      <c r="J82" s="6"/>
      <c r="K82" s="6"/>
      <c r="L82" s="6"/>
      <c r="M82" s="6"/>
      <c r="N82" s="6"/>
      <c r="O82" s="6"/>
      <c r="P82" s="6"/>
      <c r="Q82" s="34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0"/>
      <c r="AD82" s="20"/>
      <c r="AE82" s="20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4"/>
      <c r="J83" s="6"/>
      <c r="K83" s="6"/>
      <c r="L83" s="6"/>
      <c r="M83" s="6"/>
      <c r="N83" s="6"/>
      <c r="O83" s="6"/>
      <c r="P83" s="6"/>
      <c r="Q83" s="34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0"/>
      <c r="AD83" s="20"/>
      <c r="AE83" s="20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4"/>
      <c r="J84" s="6"/>
      <c r="K84" s="6"/>
      <c r="L84" s="6"/>
      <c r="M84" s="6"/>
      <c r="N84" s="6"/>
      <c r="O84" s="6"/>
      <c r="P84" s="6"/>
      <c r="Q84" s="34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0"/>
      <c r="AD84" s="20"/>
      <c r="AE84" s="20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4"/>
      <c r="J85" s="6"/>
      <c r="K85" s="6"/>
      <c r="L85" s="6"/>
      <c r="M85" s="6"/>
      <c r="N85" s="6"/>
      <c r="O85" s="6"/>
      <c r="P85" s="6"/>
      <c r="Q85" s="34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0"/>
      <c r="AD85" s="20"/>
      <c r="AE85" s="20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4"/>
      <c r="J86" s="6"/>
      <c r="K86" s="6"/>
      <c r="L86" s="6"/>
      <c r="M86" s="6"/>
      <c r="N86" s="6"/>
      <c r="O86" s="6"/>
      <c r="P86" s="6"/>
      <c r="Q86" s="34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0"/>
      <c r="AD86" s="20"/>
      <c r="AE86" s="20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4"/>
      <c r="J87" s="6"/>
      <c r="K87" s="6"/>
      <c r="L87" s="6"/>
      <c r="M87" s="6"/>
      <c r="N87" s="6"/>
      <c r="O87" s="6"/>
      <c r="P87" s="6"/>
      <c r="Q87" s="34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0"/>
      <c r="AD87" s="20"/>
      <c r="AE87" s="20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4"/>
      <c r="J88" s="6"/>
      <c r="K88" s="6"/>
      <c r="L88" s="6"/>
      <c r="M88" s="6"/>
      <c r="N88" s="6"/>
      <c r="O88" s="6"/>
      <c r="P88" s="6"/>
      <c r="Q88" s="34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0"/>
      <c r="AD88" s="20"/>
      <c r="AE88" s="20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4"/>
      <c r="J89" s="6"/>
      <c r="K89" s="6"/>
      <c r="L89" s="6"/>
      <c r="M89" s="6"/>
      <c r="N89" s="6"/>
      <c r="O89" s="6"/>
      <c r="P89" s="6"/>
      <c r="Q89" s="34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0"/>
      <c r="AD89" s="20"/>
      <c r="AE89" s="20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4"/>
      <c r="J90" s="6"/>
      <c r="K90" s="6"/>
      <c r="L90" s="6"/>
      <c r="M90" s="6"/>
      <c r="N90" s="6"/>
      <c r="O90" s="6"/>
      <c r="P90" s="6"/>
      <c r="Q90" s="34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0"/>
      <c r="AD90" s="20"/>
      <c r="AE90" s="20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4"/>
      <c r="J91" s="6"/>
      <c r="K91" s="6"/>
      <c r="L91" s="6"/>
      <c r="M91" s="6"/>
      <c r="N91" s="6"/>
      <c r="O91" s="6"/>
      <c r="P91" s="6"/>
      <c r="Q91" s="34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0"/>
      <c r="AD91" s="20"/>
      <c r="AE91" s="20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4"/>
      <c r="J92" s="6"/>
      <c r="K92" s="6"/>
      <c r="L92" s="6"/>
      <c r="M92" s="6"/>
      <c r="N92" s="6"/>
      <c r="O92" s="6"/>
      <c r="P92" s="6"/>
      <c r="Q92" s="34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0"/>
      <c r="AD92" s="20"/>
      <c r="AE92" s="20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4"/>
      <c r="J93" s="6"/>
      <c r="K93" s="6"/>
      <c r="L93" s="6"/>
      <c r="M93" s="6"/>
      <c r="N93" s="6"/>
      <c r="O93" s="6"/>
      <c r="P93" s="6"/>
      <c r="Q93" s="34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0"/>
      <c r="AD93" s="20"/>
      <c r="AE93" s="20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4"/>
      <c r="J94" s="6"/>
      <c r="K94" s="6"/>
      <c r="L94" s="6"/>
      <c r="M94" s="6"/>
      <c r="N94" s="6"/>
      <c r="O94" s="6"/>
      <c r="P94" s="6"/>
      <c r="Q94" s="34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0"/>
      <c r="AD94" s="20"/>
      <c r="AE94" s="20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4"/>
      <c r="J95" s="6"/>
      <c r="K95" s="6"/>
      <c r="L95" s="6"/>
      <c r="M95" s="6"/>
      <c r="N95" s="6"/>
      <c r="O95" s="6"/>
      <c r="P95" s="6"/>
      <c r="Q95" s="34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0"/>
      <c r="AD95" s="20"/>
      <c r="AE95" s="20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4"/>
      <c r="J96" s="6"/>
      <c r="K96" s="6"/>
      <c r="L96" s="6"/>
      <c r="M96" s="6"/>
      <c r="N96" s="6"/>
      <c r="O96" s="6"/>
      <c r="P96" s="6"/>
      <c r="Q96" s="34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0"/>
      <c r="AD96" s="20"/>
      <c r="AE96" s="20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4"/>
      <c r="J97" s="6"/>
      <c r="K97" s="6"/>
      <c r="L97" s="6"/>
      <c r="M97" s="6"/>
      <c r="N97" s="6"/>
      <c r="O97" s="6"/>
      <c r="P97" s="6"/>
      <c r="Q97" s="34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0"/>
      <c r="AD97" s="20"/>
      <c r="AE97" s="20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4"/>
      <c r="J98" s="6"/>
      <c r="K98" s="6"/>
      <c r="L98" s="6"/>
      <c r="M98" s="6"/>
      <c r="N98" s="6"/>
      <c r="O98" s="6"/>
      <c r="P98" s="6"/>
      <c r="Q98" s="34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0"/>
      <c r="AD98" s="20"/>
      <c r="AE98" s="20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4"/>
      <c r="J99" s="6"/>
      <c r="K99" s="6"/>
      <c r="L99" s="6"/>
      <c r="M99" s="6"/>
      <c r="N99" s="6"/>
      <c r="O99" s="6"/>
      <c r="P99" s="6"/>
      <c r="Q99" s="34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0"/>
      <c r="AD99" s="20"/>
      <c r="AE99" s="20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4"/>
      <c r="J100" s="6"/>
      <c r="K100" s="6"/>
      <c r="L100" s="6"/>
      <c r="M100" s="6"/>
      <c r="N100" s="6"/>
      <c r="O100" s="6"/>
      <c r="P100" s="6"/>
      <c r="Q100" s="34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0"/>
      <c r="AD100" s="20"/>
      <c r="AE100" s="20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4"/>
      <c r="J101" s="6"/>
      <c r="K101" s="6"/>
      <c r="L101" s="6"/>
      <c r="M101" s="6"/>
      <c r="N101" s="6"/>
      <c r="O101" s="6"/>
      <c r="P101" s="6"/>
      <c r="Q101" s="34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0"/>
      <c r="AD101" s="20"/>
      <c r="AE101" s="20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4"/>
      <c r="J102" s="6"/>
      <c r="K102" s="6"/>
      <c r="L102" s="6"/>
      <c r="M102" s="6"/>
      <c r="N102" s="6"/>
      <c r="O102" s="6"/>
      <c r="P102" s="6"/>
      <c r="Q102" s="34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0"/>
      <c r="AD102" s="20"/>
      <c r="AE102" s="20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4"/>
      <c r="J103" s="6"/>
      <c r="K103" s="6"/>
      <c r="L103" s="6"/>
      <c r="M103" s="6"/>
      <c r="N103" s="6"/>
      <c r="O103" s="6"/>
      <c r="P103" s="6"/>
      <c r="Q103" s="34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0"/>
      <c r="AD103" s="20"/>
      <c r="AE103" s="20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4"/>
      <c r="J104" s="6"/>
      <c r="K104" s="6"/>
      <c r="L104" s="6"/>
      <c r="M104" s="6"/>
      <c r="N104" s="6"/>
      <c r="O104" s="6"/>
      <c r="P104" s="6"/>
      <c r="Q104" s="34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0"/>
      <c r="AD104" s="20"/>
      <c r="AE104" s="20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4"/>
      <c r="J105" s="6"/>
      <c r="K105" s="6"/>
      <c r="L105" s="6"/>
      <c r="M105" s="6"/>
      <c r="N105" s="6"/>
      <c r="O105" s="6"/>
      <c r="P105" s="6"/>
      <c r="Q105" s="34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0"/>
      <c r="AD105" s="20"/>
      <c r="AE105" s="20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4"/>
      <c r="J106" s="6"/>
      <c r="K106" s="6"/>
      <c r="L106" s="6"/>
      <c r="M106" s="6"/>
      <c r="N106" s="6"/>
      <c r="O106" s="6"/>
      <c r="P106" s="6"/>
      <c r="Q106" s="3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0"/>
      <c r="AD106" s="20"/>
      <c r="AE106" s="20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4"/>
      <c r="J107" s="6"/>
      <c r="K107" s="6"/>
      <c r="L107" s="6"/>
      <c r="M107" s="6"/>
      <c r="N107" s="6"/>
      <c r="O107" s="6"/>
      <c r="P107" s="6"/>
      <c r="Q107" s="3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0"/>
      <c r="AD107" s="20"/>
      <c r="AE107" s="20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4"/>
      <c r="J108" s="6"/>
      <c r="K108" s="6"/>
      <c r="L108" s="6"/>
      <c r="M108" s="6"/>
      <c r="N108" s="6"/>
      <c r="O108" s="6"/>
      <c r="P108" s="6"/>
      <c r="Q108" s="3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0"/>
      <c r="AD108" s="20"/>
      <c r="AE108" s="20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4"/>
      <c r="J109" s="6"/>
      <c r="K109" s="6"/>
      <c r="L109" s="6"/>
      <c r="M109" s="6"/>
      <c r="N109" s="6"/>
      <c r="O109" s="6"/>
      <c r="P109" s="6"/>
      <c r="Q109" s="3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0"/>
      <c r="AD109" s="20"/>
      <c r="AE109" s="20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4"/>
      <c r="J110" s="6"/>
      <c r="K110" s="6"/>
      <c r="L110" s="6"/>
      <c r="M110" s="6"/>
      <c r="N110" s="6"/>
      <c r="O110" s="6"/>
      <c r="P110" s="6"/>
      <c r="Q110" s="3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0"/>
      <c r="AD110" s="20"/>
      <c r="AE110" s="20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4"/>
      <c r="J111" s="6"/>
      <c r="K111" s="6"/>
      <c r="L111" s="6"/>
      <c r="M111" s="6"/>
      <c r="N111" s="6"/>
      <c r="O111" s="6"/>
      <c r="P111" s="6"/>
      <c r="Q111" s="34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0"/>
      <c r="AD111" s="20"/>
      <c r="AE111" s="20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4"/>
      <c r="J112" s="6"/>
      <c r="K112" s="6"/>
      <c r="L112" s="6"/>
      <c r="M112" s="6"/>
      <c r="N112" s="6"/>
      <c r="O112" s="6"/>
      <c r="P112" s="6"/>
      <c r="Q112" s="34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0"/>
      <c r="AD112" s="20"/>
      <c r="AE112" s="20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4"/>
      <c r="J113" s="6"/>
      <c r="K113" s="6"/>
      <c r="L113" s="6"/>
      <c r="M113" s="6"/>
      <c r="N113" s="6"/>
      <c r="O113" s="6"/>
      <c r="P113" s="6"/>
      <c r="Q113" s="34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0"/>
      <c r="AD113" s="20"/>
      <c r="AE113" s="20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4"/>
      <c r="J114" s="6"/>
      <c r="K114" s="6"/>
      <c r="L114" s="6"/>
      <c r="M114" s="6"/>
      <c r="N114" s="6"/>
      <c r="O114" s="6"/>
      <c r="P114" s="6"/>
      <c r="Q114" s="34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0"/>
      <c r="AD114" s="20"/>
      <c r="AE114" s="20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4"/>
      <c r="J115" s="6"/>
      <c r="K115" s="6"/>
      <c r="L115" s="6"/>
      <c r="M115" s="6"/>
      <c r="N115" s="6"/>
      <c r="O115" s="6"/>
      <c r="P115" s="6"/>
      <c r="Q115" s="34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0"/>
      <c r="AD115" s="20"/>
      <c r="AE115" s="20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4"/>
      <c r="J116" s="6"/>
      <c r="K116" s="6"/>
      <c r="L116" s="6"/>
      <c r="M116" s="6"/>
      <c r="N116" s="6"/>
      <c r="O116" s="6"/>
      <c r="P116" s="6"/>
      <c r="Q116" s="34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0"/>
      <c r="AD116" s="20"/>
      <c r="AE116" s="20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4"/>
      <c r="J117" s="6"/>
      <c r="K117" s="6"/>
      <c r="L117" s="6"/>
      <c r="M117" s="6"/>
      <c r="N117" s="6"/>
      <c r="O117" s="6"/>
      <c r="P117" s="6"/>
      <c r="Q117" s="34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0"/>
      <c r="AD117" s="20"/>
      <c r="AE117" s="20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4"/>
      <c r="J118" s="6"/>
      <c r="K118" s="6"/>
      <c r="L118" s="6"/>
      <c r="M118" s="6"/>
      <c r="N118" s="6"/>
      <c r="O118" s="6"/>
      <c r="P118" s="6"/>
      <c r="Q118" s="34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0"/>
      <c r="AD118" s="20"/>
      <c r="AE118" s="20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24" sqref="E24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14" t="s">
        <v>159</v>
      </c>
      <c r="B1" s="115"/>
      <c r="M1" s="3" t="s">
        <v>135</v>
      </c>
      <c r="N1" s="1" t="s">
        <v>229</v>
      </c>
      <c r="AC1" s="9"/>
    </row>
    <row r="2" spans="1:34" ht="14.25" customHeight="1" x14ac:dyDescent="0.2">
      <c r="A2" s="116"/>
      <c r="B2" s="117"/>
      <c r="M2" s="3" t="s">
        <v>164</v>
      </c>
      <c r="N2" s="1" t="s">
        <v>172</v>
      </c>
      <c r="O2" s="2" t="s">
        <v>177</v>
      </c>
      <c r="Y2" s="18">
        <f>角色设定!J26</f>
        <v>0.4</v>
      </c>
      <c r="Z2" s="18">
        <f>角色设定!K26</f>
        <v>1.5</v>
      </c>
      <c r="AC2" s="9"/>
    </row>
    <row r="3" spans="1:34" ht="14.25" customHeight="1" x14ac:dyDescent="0.2">
      <c r="C3" s="3" t="s">
        <v>169</v>
      </c>
      <c r="D3" s="2" t="s">
        <v>175</v>
      </c>
      <c r="L3" s="3" t="s">
        <v>170</v>
      </c>
      <c r="M3" s="3" t="s">
        <v>161</v>
      </c>
      <c r="N3" s="1">
        <v>0</v>
      </c>
      <c r="O3" s="134" t="str">
        <f>N2</f>
        <v>SSR</v>
      </c>
      <c r="P3" s="135"/>
      <c r="Q3" s="135"/>
      <c r="R3" s="135"/>
      <c r="S3" s="135"/>
      <c r="T3" s="33"/>
      <c r="U3" s="33"/>
      <c r="V3" s="134" t="s">
        <v>173</v>
      </c>
      <c r="W3" s="135"/>
      <c r="X3" s="135"/>
      <c r="Y3" s="135"/>
      <c r="Z3" s="135"/>
      <c r="AA3" s="135"/>
      <c r="AB3" s="136"/>
      <c r="AC3" s="9"/>
    </row>
    <row r="4" spans="1:34" s="3" customFormat="1" ht="14.25" customHeight="1" x14ac:dyDescent="0.2">
      <c r="D4" s="3" t="s">
        <v>135</v>
      </c>
      <c r="E4" s="3" t="s">
        <v>129</v>
      </c>
      <c r="F4" s="3" t="s">
        <v>131</v>
      </c>
      <c r="G4" s="3" t="s">
        <v>132</v>
      </c>
      <c r="H4" s="3" t="s">
        <v>124</v>
      </c>
      <c r="I4" s="3" t="s">
        <v>127</v>
      </c>
      <c r="J4" s="3" t="s">
        <v>152</v>
      </c>
      <c r="K4" s="1"/>
      <c r="L4" s="6">
        <f>MIN(L5:L104)</f>
        <v>1.4903929811649099</v>
      </c>
      <c r="M4" s="3" t="s">
        <v>171</v>
      </c>
      <c r="N4" s="3" t="s">
        <v>150</v>
      </c>
      <c r="O4" s="3" t="s">
        <v>151</v>
      </c>
      <c r="P4" s="3" t="s">
        <v>124</v>
      </c>
      <c r="Q4" s="3" t="s">
        <v>125</v>
      </c>
      <c r="R4" s="3" t="s">
        <v>126</v>
      </c>
      <c r="S4" s="3" t="s">
        <v>127</v>
      </c>
      <c r="T4" s="3" t="s">
        <v>72</v>
      </c>
      <c r="U4" s="3" t="s">
        <v>174</v>
      </c>
      <c r="V4" s="3" t="s">
        <v>150</v>
      </c>
      <c r="W4" s="3" t="s">
        <v>151</v>
      </c>
      <c r="X4" s="3" t="s">
        <v>124</v>
      </c>
      <c r="Y4" s="23" t="s">
        <v>125</v>
      </c>
      <c r="Z4" s="23" t="s">
        <v>126</v>
      </c>
      <c r="AA4" s="3" t="s">
        <v>127</v>
      </c>
      <c r="AB4" s="3" t="s">
        <v>152</v>
      </c>
      <c r="AC4" s="9"/>
    </row>
    <row r="5" spans="1:34" ht="14.25" customHeight="1" x14ac:dyDescent="0.2">
      <c r="D5" s="29" t="s">
        <v>229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41.360294117647058</v>
      </c>
      <c r="O5" s="6">
        <f>VLOOKUP($N$2,角色品星!$C$16:$D$20,2,0)*VLOOKUP($N$3,角色品星!$C$3:$E$14,3,0)*W5</f>
        <v>1239.7718819737165</v>
      </c>
      <c r="P5" s="6">
        <f>VLOOKUP($N$2,角色品星!$C$16:$D$20,2,0)*VLOOKUP($N$3,角色品星!$C$3:$E$14,3,0)*X5</f>
        <v>412.5</v>
      </c>
      <c r="Q5" s="22">
        <f>Y5</f>
        <v>0.05</v>
      </c>
      <c r="R5" s="22">
        <f t="shared" ref="R5:S5" si="0">Z5</f>
        <v>1.5</v>
      </c>
      <c r="S5" s="22">
        <f t="shared" si="0"/>
        <v>0.9</v>
      </c>
      <c r="T5" s="37">
        <f>N5*(1+Q5*(R5-1))*S5*战斗公式!$E$38+(P5*战斗公式!$E$39+1)*O5*战斗公式!$E$40</f>
        <v>2198.7577240750934</v>
      </c>
      <c r="U5" s="37">
        <f>T6-T5</f>
        <v>109.67170390968749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29" t="s">
        <v>230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3.0042784680733448</v>
      </c>
      <c r="M6" s="1">
        <v>2</v>
      </c>
      <c r="N6" s="6">
        <f>VLOOKUP($N$2,角色品星!$C$16:$D$20,2,0)*VLOOKUP($N$3,角色品星!$C$3:$E$14,3,0)*V6</f>
        <v>43.428308823529413</v>
      </c>
      <c r="O6" s="6">
        <f>VLOOKUP($N$2,角色品星!$C$16:$D$20,2,0)*VLOOKUP($N$3,角色品星!$C$3:$E$14,3,0)*W6</f>
        <v>1301.2281114842674</v>
      </c>
      <c r="P6" s="6">
        <f>VLOOKUP($N$2,角色品星!$C$16:$D$20,2,0)*VLOOKUP($N$3,角色品星!$C$3:$E$14,3,0)*X6</f>
        <v>433.125</v>
      </c>
      <c r="Q6" s="22">
        <f t="shared" ref="Q6:Q69" si="3">Y6</f>
        <v>0.05</v>
      </c>
      <c r="R6" s="22">
        <f t="shared" ref="R6:R69" si="4">Z6</f>
        <v>1.5</v>
      </c>
      <c r="S6" s="22">
        <f t="shared" ref="S6:S69" si="5">AA6</f>
        <v>0.9</v>
      </c>
      <c r="T6" s="37">
        <f>N6*(1+Q6*(R6-1))*S6*战斗公式!$E$38+(P6*战斗公式!$E$39+1)*O6*战斗公式!$E$40</f>
        <v>2308.4294279847809</v>
      </c>
      <c r="U6" s="37">
        <f t="shared" ref="U6:U69" si="6">T7-T6</f>
        <v>115.12825134535342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29" t="s">
        <v>231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0.18</v>
      </c>
      <c r="G7" s="6">
        <f>VLOOKUP($D7,角色设定!$AB:$AJ,MATCH(G$4,角色设定!$AB$9:$AJ$9,0),0)*IF($E7=G$4,角色成长!$F$5,角色成长!$H$5)</f>
        <v>0.29411764705882354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45.599724264705891</v>
      </c>
      <c r="O7" s="6">
        <f>VLOOKUP($N$2,角色品星!$C$16:$D$20,2,0)*VLOOKUP($N$3,角色品星!$C$3:$E$14,3,0)*W7</f>
        <v>1365.7030769507101</v>
      </c>
      <c r="P7" s="6">
        <f>VLOOKUP($N$2,角色品星!$C$16:$D$20,2,0)*VLOOKUP($N$3,角色品星!$C$3:$E$14,3,0)*X7</f>
        <v>454.78125000000006</v>
      </c>
      <c r="Q7" s="22">
        <f t="shared" si="3"/>
        <v>0.05</v>
      </c>
      <c r="R7" s="22">
        <f t="shared" si="4"/>
        <v>1.5</v>
      </c>
      <c r="S7" s="22">
        <f t="shared" si="5"/>
        <v>0.9</v>
      </c>
      <c r="T7" s="37">
        <f>N7*(1+Q7*(R7-1))*S7*战斗公式!$E$38+(P7*战斗公式!$E$39+1)*O7*战斗公式!$E$40</f>
        <v>2423.5576793301343</v>
      </c>
      <c r="U7" s="37">
        <f t="shared" si="6"/>
        <v>120.85489317969223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29" t="s">
        <v>232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0.17249999999999999</v>
      </c>
      <c r="G8" s="6">
        <f>VLOOKUP($D8,角色设定!$AB:$AJ,MATCH(G$4,角色设定!$AB$9:$AJ$9,0),0)*IF($E8=G$4,角色成长!$F$5,角色成长!$H$5)</f>
        <v>0.30690537084398978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3.0016361853185383</v>
      </c>
      <c r="M8" s="1">
        <v>4</v>
      </c>
      <c r="N8" s="6">
        <f>VLOOKUP($N$2,角色品星!$C$16:$D$20,2,0)*VLOOKUP($N$3,角色品星!$C$3:$E$14,3,0)*V8</f>
        <v>47.879710477941188</v>
      </c>
      <c r="O8" s="6">
        <f>VLOOKUP($N$2,角色品星!$C$16:$D$20,2,0)*VLOOKUP($N$3,角色品星!$C$3:$E$14,3,0)*W8</f>
        <v>1433.3422492246164</v>
      </c>
      <c r="P8" s="6">
        <f>VLOOKUP($N$2,角色品星!$C$16:$D$20,2,0)*VLOOKUP($N$3,角色品星!$C$3:$E$14,3,0)*X8</f>
        <v>477.52031250000005</v>
      </c>
      <c r="Q8" s="22">
        <f t="shared" si="3"/>
        <v>0.05</v>
      </c>
      <c r="R8" s="22">
        <f t="shared" si="4"/>
        <v>1.5</v>
      </c>
      <c r="S8" s="22">
        <f t="shared" si="5"/>
        <v>0.9</v>
      </c>
      <c r="T8" s="37">
        <f>N8*(1+Q8*(R8-1))*S8*战斗公式!$E$38+(P8*战斗公式!$E$39+1)*O8*战斗公式!$E$40</f>
        <v>2544.4125725098265</v>
      </c>
      <c r="U8" s="37">
        <f t="shared" si="6"/>
        <v>126.86485997701766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29" t="s">
        <v>233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0.35399999999999998</v>
      </c>
      <c r="G9" s="6">
        <f>VLOOKUP($D9,角色设定!$AB:$AJ,MATCH(G$4,角色设定!$AB$9:$AJ$9,0),0)*IF($E9=G$4,角色成长!$F$5,角色成长!$H$5)</f>
        <v>0.11964107676969095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3.0002170738152518</v>
      </c>
      <c r="M9" s="1">
        <v>5</v>
      </c>
      <c r="N9" s="6">
        <f>VLOOKUP($N$2,角色品星!$C$16:$D$20,2,0)*VLOOKUP($N$3,角色品星!$C$3:$E$14,3,0)*V9</f>
        <v>50.273696001838239</v>
      </c>
      <c r="O9" s="6">
        <f>VLOOKUP($N$2,角色品星!$C$16:$D$20,2,0)*VLOOKUP($N$3,角色品星!$C$3:$E$14,3,0)*W9</f>
        <v>1504.2978243888995</v>
      </c>
      <c r="P9" s="6">
        <f>VLOOKUP($N$2,角色品星!$C$16:$D$20,2,0)*VLOOKUP($N$3,角色品星!$C$3:$E$14,3,0)*X9</f>
        <v>501.39632812500003</v>
      </c>
      <c r="Q9" s="22">
        <f t="shared" si="3"/>
        <v>0.05</v>
      </c>
      <c r="R9" s="22">
        <f t="shared" si="4"/>
        <v>1.5</v>
      </c>
      <c r="S9" s="22">
        <f t="shared" si="5"/>
        <v>0.9</v>
      </c>
      <c r="T9" s="37">
        <f>N9*(1+Q9*(R9-1))*S9*战斗公式!$E$38+(P9*战斗公式!$E$39+1)*O9*战斗公式!$E$40</f>
        <v>2671.2774324868442</v>
      </c>
      <c r="U9" s="37">
        <f t="shared" si="6"/>
        <v>133.17201665393623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29" t="s">
        <v>234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0.36</v>
      </c>
      <c r="G10" s="6">
        <f>VLOOKUP($D10,角色设定!$AB:$AJ,MATCH(G$4,角色设定!$AB$9:$AJ$9,0),0)*IF($E10=G$4,角色成长!$F$5,角色成长!$H$5)</f>
        <v>0.11764705882352944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52.787380801930162</v>
      </c>
      <c r="O10" s="6">
        <f>VLOOKUP($N$2,角色品星!$C$16:$D$20,2,0)*VLOOKUP($N$3,角色品星!$C$3:$E$14,3,0)*W10</f>
        <v>1578.7290056675315</v>
      </c>
      <c r="P10" s="6">
        <f>VLOOKUP($N$2,角色品星!$C$16:$D$20,2,0)*VLOOKUP($N$3,角色品星!$C$3:$E$14,3,0)*X10</f>
        <v>526.46614453125005</v>
      </c>
      <c r="Q10" s="22">
        <f t="shared" si="3"/>
        <v>0.05</v>
      </c>
      <c r="R10" s="22">
        <f t="shared" si="4"/>
        <v>1.5</v>
      </c>
      <c r="S10" s="22">
        <f t="shared" si="5"/>
        <v>0.9</v>
      </c>
      <c r="T10" s="37">
        <f>N10*(1+Q10*(R10-1))*S10*战斗公式!$E$38+(P10*战斗公式!$E$39+1)*O10*战斗公式!$E$40</f>
        <v>2804.4494491407804</v>
      </c>
      <c r="U10" s="37">
        <f t="shared" si="6"/>
        <v>139.79089155369866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29" t="s">
        <v>235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0.34199999999999997</v>
      </c>
      <c r="G11" s="6">
        <f>VLOOKUP($D11,角色设定!$AB:$AJ,MATCH(G$4,角色设定!$AB$9:$AJ$9,0),0)*IF($E11=G$4,角色成长!$F$5,角色成长!$H$5)</f>
        <v>0.12383900928792571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55.426749842026659</v>
      </c>
      <c r="O11" s="6">
        <f>VLOOKUP($N$2,角色品星!$C$16:$D$20,2,0)*VLOOKUP($N$3,角色品星!$C$3:$E$14,3,0)*W11</f>
        <v>1656.8022941442287</v>
      </c>
      <c r="P11" s="6">
        <f>VLOOKUP($N$2,角色品星!$C$16:$D$20,2,0)*VLOOKUP($N$3,角色品星!$C$3:$E$14,3,0)*X11</f>
        <v>552.78945175781246</v>
      </c>
      <c r="Q11" s="22">
        <f t="shared" si="3"/>
        <v>0.05</v>
      </c>
      <c r="R11" s="22">
        <f t="shared" si="4"/>
        <v>1.5</v>
      </c>
      <c r="S11" s="22">
        <f t="shared" si="5"/>
        <v>0.9</v>
      </c>
      <c r="T11" s="37">
        <f>N11*(1+Q11*(R11-1))*S11*战斗公式!$E$38+(P11*战斗公式!$E$39+1)*O11*战斗公式!$E$40</f>
        <v>2944.2403406944791</v>
      </c>
      <c r="U11" s="37">
        <f t="shared" si="6"/>
        <v>146.7367067250384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29" t="s">
        <v>236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0.33600000000000002</v>
      </c>
      <c r="G12" s="6">
        <f>VLOOKUP($D12,角色设定!$AB:$AJ,MATCH(G$4,角色设定!$AB$9:$AJ$9,0),0)*IF($E12=G$4,角色成长!$F$5,角色成长!$H$5)</f>
        <v>0.12605042016806722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2.9955291945383884</v>
      </c>
      <c r="M12" s="1">
        <v>8</v>
      </c>
      <c r="N12" s="6">
        <f>VLOOKUP($N$2,角色品星!$C$16:$D$20,2,0)*VLOOKUP($N$3,角色品星!$C$3:$E$14,3,0)*V12</f>
        <v>58.198087334128019</v>
      </c>
      <c r="O12" s="6">
        <f>VLOOKUP($N$2,角色品星!$C$16:$D$20,2,0)*VLOOKUP($N$3,角色品星!$C$3:$E$14,3,0)*W12</f>
        <v>1738.6917882320679</v>
      </c>
      <c r="P12" s="6">
        <f>VLOOKUP($N$2,角色品星!$C$16:$D$20,2,0)*VLOOKUP($N$3,角色品星!$C$3:$E$14,3,0)*X12</f>
        <v>580.42892434570331</v>
      </c>
      <c r="Q12" s="22">
        <f t="shared" si="3"/>
        <v>0.05</v>
      </c>
      <c r="R12" s="22">
        <f t="shared" si="4"/>
        <v>1.5</v>
      </c>
      <c r="S12" s="22">
        <f t="shared" si="5"/>
        <v>0.9</v>
      </c>
      <c r="T12" s="37">
        <f>N12*(1+Q12*(R12-1))*S12*战斗公式!$E$38+(P12*战斗公式!$E$39+1)*O12*战斗公式!$E$40</f>
        <v>3090.9770474195175</v>
      </c>
      <c r="U12" s="37">
        <f t="shared" si="6"/>
        <v>154.02540944338307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29" t="s">
        <v>237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0.315</v>
      </c>
      <c r="G13" s="6">
        <f>VLOOKUP($D13,角色设定!$AB:$AJ,MATCH(G$4,角色设定!$AB$9:$AJ$9,0),0)*IF($E13=G$4,角色成长!$F$5,角色成长!$H$5)</f>
        <v>0.13445378151260504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2.9938114404672609</v>
      </c>
      <c r="M13" s="1">
        <v>9</v>
      </c>
      <c r="N13" s="6">
        <f>VLOOKUP($N$2,角色品星!$C$16:$D$20,2,0)*VLOOKUP($N$3,角色品星!$C$3:$E$14,3,0)*V13</f>
        <v>61.107991700834404</v>
      </c>
      <c r="O13" s="6">
        <f>VLOOKUP($N$2,角色品星!$C$16:$D$20,2,0)*VLOOKUP($N$3,角色品星!$C$3:$E$14,3,0)*W13</f>
        <v>1824.5794917884857</v>
      </c>
      <c r="P13" s="6">
        <f>VLOOKUP($N$2,角色品星!$C$16:$D$20,2,0)*VLOOKUP($N$3,角色品星!$C$3:$E$14,3,0)*X13</f>
        <v>609.45037056298827</v>
      </c>
      <c r="Q13" s="22">
        <f t="shared" si="3"/>
        <v>0.05</v>
      </c>
      <c r="R13" s="22">
        <f t="shared" si="4"/>
        <v>1.5</v>
      </c>
      <c r="S13" s="22">
        <f t="shared" si="5"/>
        <v>0.9</v>
      </c>
      <c r="T13" s="37">
        <f>N13*(1+Q13*(R13-1))*S13*战斗公式!$E$38+(P13*战斗公式!$E$39+1)*O13*战斗公式!$E$40</f>
        <v>3245.0024568629005</v>
      </c>
      <c r="U13" s="37">
        <f t="shared" si="6"/>
        <v>161.6737050125339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29" t="s">
        <v>238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0.315</v>
      </c>
      <c r="G14" s="6">
        <f>VLOOKUP($D14,角色设定!$AB:$AJ,MATCH(G$4,角色设定!$AB$9:$AJ$9,0),0)*IF($E14=G$4,角色成长!$F$5,角色成长!$H$5)</f>
        <v>0.13445378151260504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64.163391285876131</v>
      </c>
      <c r="O14" s="6">
        <f>VLOOKUP($N$2,角色品星!$C$16:$D$20,2,0)*VLOOKUP($N$3,角色品星!$C$3:$E$14,3,0)*W14</f>
        <v>1914.6556307166877</v>
      </c>
      <c r="P14" s="6">
        <f>VLOOKUP($N$2,角色品星!$C$16:$D$20,2,0)*VLOOKUP($N$3,角色品星!$C$3:$E$14,3,0)*X14</f>
        <v>639.92288909113779</v>
      </c>
      <c r="Q14" s="22">
        <f t="shared" si="3"/>
        <v>0.05</v>
      </c>
      <c r="R14" s="22">
        <f t="shared" si="4"/>
        <v>1.5</v>
      </c>
      <c r="S14" s="22">
        <f t="shared" si="5"/>
        <v>0.9</v>
      </c>
      <c r="T14" s="37">
        <f>N14*(1+Q14*(R14-1))*S14*战斗公式!$E$38+(P14*战斗公式!$E$39+1)*O14*战斗公式!$E$40</f>
        <v>3406.6761618754344</v>
      </c>
      <c r="U14" s="37">
        <f t="shared" si="6"/>
        <v>169.69909088476288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29" t="s">
        <v>239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0.14117647058823532</v>
      </c>
      <c r="G15" s="6">
        <f>VLOOKUP($D15,角色设定!$AB:$AJ,MATCH(G$4,角色设定!$AB$9:$AJ$9,0),0)*IF($E15=G$4,角色成长!$F$5,角色成长!$H$5)</f>
        <v>0.17647058823529413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67.371560850169942</v>
      </c>
      <c r="O15" s="6">
        <f>VLOOKUP($N$2,角色品星!$C$16:$D$20,2,0)*VLOOKUP($N$3,角色品星!$C$3:$E$14,3,0)*W15</f>
        <v>2009.1189778345042</v>
      </c>
      <c r="P15" s="6">
        <f>VLOOKUP($N$2,角色品星!$C$16:$D$20,2,0)*VLOOKUP($N$3,角色品星!$C$3:$E$14,3,0)*X15</f>
        <v>671.91903354569467</v>
      </c>
      <c r="Q15" s="22">
        <f t="shared" si="3"/>
        <v>0.05</v>
      </c>
      <c r="R15" s="22">
        <f t="shared" si="4"/>
        <v>1.5</v>
      </c>
      <c r="S15" s="22">
        <f t="shared" si="5"/>
        <v>0.9</v>
      </c>
      <c r="T15" s="37">
        <f>N15*(1+Q15*(R15-1))*S15*战斗公式!$E$38+(P15*战斗公式!$E$39+1)*O15*战斗公式!$E$40</f>
        <v>3576.3752527601973</v>
      </c>
      <c r="U15" s="37">
        <f t="shared" si="6"/>
        <v>178.11989213725155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4"/>
      <c r="F16" s="24"/>
      <c r="G16" s="24"/>
      <c r="L16" s="6">
        <f t="shared" si="2"/>
        <v>2.9881394865885369</v>
      </c>
      <c r="M16" s="1">
        <v>12</v>
      </c>
      <c r="N16" s="6">
        <f>VLOOKUP($N$2,角色品星!$C$16:$D$20,2,0)*VLOOKUP($N$3,角色品星!$C$3:$E$14,3,0)*V16</f>
        <v>70.740138892678445</v>
      </c>
      <c r="O16" s="6">
        <f>VLOOKUP($N$2,角色品星!$C$16:$D$20,2,0)*VLOOKUP($N$3,角色品星!$C$3:$E$14,3,0)*W16</f>
        <v>2108.1771857247127</v>
      </c>
      <c r="P16" s="6">
        <f>VLOOKUP($N$2,角色品星!$C$16:$D$20,2,0)*VLOOKUP($N$3,角色品星!$C$3:$E$14,3,0)*X16</f>
        <v>705.51498522297936</v>
      </c>
      <c r="Q16" s="22">
        <f t="shared" si="3"/>
        <v>0.05</v>
      </c>
      <c r="R16" s="22">
        <f t="shared" si="4"/>
        <v>1.5</v>
      </c>
      <c r="S16" s="22">
        <f t="shared" si="5"/>
        <v>0.9</v>
      </c>
      <c r="T16" s="37">
        <f>N16*(1+Q16*(R16-1))*S16*战斗公式!$E$38+(P16*战斗公式!$E$39+1)*O16*战斗公式!$E$40</f>
        <v>3754.4951448974489</v>
      </c>
      <c r="U16" s="37">
        <f t="shared" si="6"/>
        <v>186.95529834246281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0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74.277145837312361</v>
      </c>
      <c r="O17" s="6">
        <f>VLOOKUP($N$2,角色品星!$C$16:$D$20,2,0)*VLOOKUP($N$3,角色品星!$C$3:$E$14,3,0)*W17</f>
        <v>2212.0471272061304</v>
      </c>
      <c r="P17" s="6">
        <f>VLOOKUP($N$2,角色品星!$C$16:$D$20,2,0)*VLOOKUP($N$3,角色品星!$C$3:$E$14,3,0)*X17</f>
        <v>740.79073448412828</v>
      </c>
      <c r="Q17" s="22">
        <f t="shared" si="3"/>
        <v>0.05</v>
      </c>
      <c r="R17" s="22">
        <f t="shared" si="4"/>
        <v>1.5</v>
      </c>
      <c r="S17" s="22">
        <f t="shared" si="5"/>
        <v>0.9</v>
      </c>
      <c r="T17" s="37">
        <f>N17*(1+Q17*(R17-1))*S17*战斗公式!$E$38+(P17*战斗公式!$E$39+1)*O17*战斗公式!$E$40</f>
        <v>3941.4504432399117</v>
      </c>
      <c r="U17" s="37">
        <f t="shared" si="6"/>
        <v>196.22540186968945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4"/>
      <c r="J18" s="6"/>
      <c r="K18" s="6"/>
      <c r="L18" s="6">
        <f t="shared" si="2"/>
        <v>2.9838839254433935</v>
      </c>
      <c r="M18" s="1">
        <v>14</v>
      </c>
      <c r="N18" s="6">
        <f>VLOOKUP($N$2,角色品星!$C$16:$D$20,2,0)*VLOOKUP($N$3,角色品星!$C$3:$E$14,3,0)*V18</f>
        <v>77.991003129177969</v>
      </c>
      <c r="O18" s="6">
        <f>VLOOKUP($N$2,角色品星!$C$16:$D$20,2,0)*VLOOKUP($N$3,角色品星!$C$3:$E$14,3,0)*W18</f>
        <v>2320.9552429818254</v>
      </c>
      <c r="P18" s="6">
        <f>VLOOKUP($N$2,角色品星!$C$16:$D$20,2,0)*VLOOKUP($N$3,角色品星!$C$3:$E$14,3,0)*X18</f>
        <v>777.83027120833481</v>
      </c>
      <c r="Q18" s="22">
        <f t="shared" si="3"/>
        <v>0.05</v>
      </c>
      <c r="R18" s="22">
        <f t="shared" si="4"/>
        <v>1.5</v>
      </c>
      <c r="S18" s="22">
        <f t="shared" si="5"/>
        <v>0.9</v>
      </c>
      <c r="T18" s="37">
        <f>N18*(1+Q18*(R18-1))*S18*战斗公式!$E$38+(P18*战斗公式!$E$39+1)*O18*战斗公式!$E$40</f>
        <v>4137.6758451096011</v>
      </c>
      <c r="U18" s="37">
        <f t="shared" si="6"/>
        <v>205.95123765443441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0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4"/>
      <c r="J19" s="6"/>
      <c r="K19" s="6"/>
      <c r="L19" s="6">
        <f t="shared" si="2"/>
        <v>2.9816002723844535</v>
      </c>
      <c r="M19" s="1">
        <v>15</v>
      </c>
      <c r="N19" s="6">
        <f>VLOOKUP($N$2,角色品星!$C$16:$D$20,2,0)*VLOOKUP($N$3,角色品星!$C$3:$E$14,3,0)*V19</f>
        <v>81.890553285636841</v>
      </c>
      <c r="O19" s="6">
        <f>VLOOKUP($N$2,角色品星!$C$16:$D$20,2,0)*VLOOKUP($N$3,角色品星!$C$3:$E$14,3,0)*W19</f>
        <v>2435.1378959288263</v>
      </c>
      <c r="P19" s="6">
        <f>VLOOKUP($N$2,角色品星!$C$16:$D$20,2,0)*VLOOKUP($N$3,角色品星!$C$3:$E$14,3,0)*X19</f>
        <v>816.72178476875149</v>
      </c>
      <c r="Q19" s="22">
        <f t="shared" si="3"/>
        <v>0.05</v>
      </c>
      <c r="R19" s="22">
        <f t="shared" si="4"/>
        <v>1.5</v>
      </c>
      <c r="S19" s="22">
        <f t="shared" si="5"/>
        <v>0.9</v>
      </c>
      <c r="T19" s="37">
        <f>N19*(1+Q19*(R19-1))*S19*战斗公式!$E$38+(P19*战斗公式!$E$39+1)*O19*战斗公式!$E$40</f>
        <v>4343.6270827640355</v>
      </c>
      <c r="U19" s="37">
        <f t="shared" si="6"/>
        <v>216.1548244716987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0"/>
      <c r="AE19" s="20"/>
      <c r="AF19" s="20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4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85.985080949918697</v>
      </c>
      <c r="O20" s="6">
        <f>VLOOKUP($N$2,角色品星!$C$16:$D$20,2,0)*VLOOKUP($N$3,角色品星!$C$3:$E$14,3,0)*W20</f>
        <v>2554.8417313922582</v>
      </c>
      <c r="P20" s="6">
        <f>VLOOKUP($N$2,角色品星!$C$16:$D$20,2,0)*VLOOKUP($N$3,角色品星!$C$3:$E$14,3,0)*X20</f>
        <v>857.5578740071893</v>
      </c>
      <c r="Q20" s="22">
        <f t="shared" si="3"/>
        <v>0.05</v>
      </c>
      <c r="R20" s="22">
        <f t="shared" si="4"/>
        <v>1.5</v>
      </c>
      <c r="S20" s="22">
        <f t="shared" si="5"/>
        <v>0.9</v>
      </c>
      <c r="T20" s="37">
        <f>N20*(1+Q20*(R20-1))*S20*战斗公式!$E$38+(P20*战斗公式!$E$39+1)*O20*战斗公式!$E$40</f>
        <v>4559.7819072357343</v>
      </c>
      <c r="U20" s="37">
        <f t="shared" si="6"/>
        <v>226.85920774830993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0"/>
      <c r="AE20" s="20"/>
      <c r="AF20" s="20"/>
      <c r="AG20" s="9"/>
      <c r="AH20" s="9"/>
      <c r="AI20" s="9"/>
      <c r="AJ20" s="9"/>
      <c r="AK20" s="9"/>
      <c r="AL20" s="9"/>
    </row>
    <row r="21" spans="2:38" ht="14.25" customHeight="1" x14ac:dyDescent="0.2">
      <c r="B21" s="35"/>
      <c r="C21" s="6"/>
      <c r="D21" s="7"/>
      <c r="E21" s="6"/>
      <c r="F21" s="6"/>
      <c r="G21" s="6"/>
      <c r="H21" s="6"/>
      <c r="I21" s="24"/>
      <c r="J21" s="6"/>
      <c r="K21" s="6"/>
      <c r="L21" s="6">
        <f t="shared" si="2"/>
        <v>2.9766965494483313</v>
      </c>
      <c r="M21" s="1">
        <v>17</v>
      </c>
      <c r="N21" s="6">
        <f>VLOOKUP($N$2,角色品星!$C$16:$D$20,2,0)*VLOOKUP($N$3,角色品星!$C$3:$E$14,3,0)*V21</f>
        <v>90.284334997414632</v>
      </c>
      <c r="O21" s="6">
        <f>VLOOKUP($N$2,角色品星!$C$16:$D$20,2,0)*VLOOKUP($N$3,角色品星!$C$3:$E$14,3,0)*W21</f>
        <v>2680.3240427349192</v>
      </c>
      <c r="P21" s="6">
        <f>VLOOKUP($N$2,角色品星!$C$16:$D$20,2,0)*VLOOKUP($N$3,角色品星!$C$3:$E$14,3,0)*X21</f>
        <v>900.43576770754862</v>
      </c>
      <c r="Q21" s="22">
        <f t="shared" si="3"/>
        <v>0.05</v>
      </c>
      <c r="R21" s="22">
        <f t="shared" si="4"/>
        <v>1.5</v>
      </c>
      <c r="S21" s="22">
        <f t="shared" si="5"/>
        <v>0.9</v>
      </c>
      <c r="T21" s="37">
        <f>N21*(1+Q21*(R21-1))*S21*战斗公式!$E$38+(P21*战斗公式!$E$39+1)*O21*战斗公式!$E$40</f>
        <v>4786.6411149840442</v>
      </c>
      <c r="U21" s="37">
        <f t="shared" si="6"/>
        <v>238.08850394863839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0"/>
      <c r="AE21" s="20"/>
      <c r="AF21" s="20"/>
      <c r="AG21" s="9"/>
      <c r="AH21" s="9"/>
      <c r="AI21" s="9"/>
      <c r="AJ21" s="9"/>
      <c r="AK21" s="9"/>
      <c r="AL21" s="9"/>
    </row>
    <row r="22" spans="2:38" ht="14.25" customHeight="1" x14ac:dyDescent="0.2">
      <c r="B22" s="113"/>
      <c r="D22" s="7"/>
      <c r="E22" s="6"/>
      <c r="F22" s="6"/>
      <c r="G22" s="6"/>
      <c r="H22" s="6"/>
      <c r="I22" s="24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94.798551747285401</v>
      </c>
      <c r="O22" s="6">
        <f>VLOOKUP($N$2,角色品星!$C$16:$D$20,2,0)*VLOOKUP($N$3,角色品星!$C$3:$E$14,3,0)*W22</f>
        <v>2811.8531412705343</v>
      </c>
      <c r="P22" s="6">
        <f>VLOOKUP($N$2,角色品星!$C$16:$D$20,2,0)*VLOOKUP($N$3,角色品星!$C$3:$E$14,3,0)*X22</f>
        <v>945.4575560929261</v>
      </c>
      <c r="Q22" s="22">
        <f t="shared" si="3"/>
        <v>0.05</v>
      </c>
      <c r="R22" s="22">
        <f t="shared" si="4"/>
        <v>1.5</v>
      </c>
      <c r="S22" s="22">
        <f t="shared" si="5"/>
        <v>0.9</v>
      </c>
      <c r="T22" s="37">
        <f>N22*(1+Q22*(R22-1))*S22*战斗公式!$E$38+(P22*战斗公式!$E$39+1)*O22*战斗公式!$E$40</f>
        <v>5024.7296189326826</v>
      </c>
      <c r="U22" s="37">
        <f t="shared" si="6"/>
        <v>249.86794656671555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0"/>
      <c r="AE22" s="20"/>
      <c r="AF22" s="20"/>
      <c r="AG22" s="9"/>
      <c r="AH22" s="9"/>
      <c r="AI22" s="9"/>
      <c r="AJ22" s="9"/>
      <c r="AK22" s="9"/>
      <c r="AL22" s="9"/>
    </row>
    <row r="23" spans="2:38" ht="14.25" customHeight="1" x14ac:dyDescent="0.2">
      <c r="B23" s="3"/>
      <c r="C23" s="6"/>
      <c r="D23" s="7"/>
      <c r="E23" s="6"/>
      <c r="F23" s="6"/>
      <c r="G23" s="6"/>
      <c r="H23" s="6"/>
      <c r="I23" s="24"/>
      <c r="J23" s="6"/>
      <c r="K23" s="6"/>
      <c r="L23" s="6">
        <f t="shared" si="2"/>
        <v>2.9713088557115457</v>
      </c>
      <c r="M23" s="1">
        <v>19</v>
      </c>
      <c r="N23" s="6">
        <f>VLOOKUP($N$2,角色品星!$C$16:$D$20,2,0)*VLOOKUP($N$3,角色品星!$C$3:$E$14,3,0)*V23</f>
        <v>99.538479334649679</v>
      </c>
      <c r="O23" s="6">
        <f>VLOOKUP($N$2,角色品星!$C$16:$D$20,2,0)*VLOOKUP($N$3,角色品星!$C$3:$E$14,3,0)*W23</f>
        <v>2949.7087295742226</v>
      </c>
      <c r="P23" s="6">
        <f>VLOOKUP($N$2,角色品星!$C$16:$D$20,2,0)*VLOOKUP($N$3,角色品星!$C$3:$E$14,3,0)*X23</f>
        <v>992.73043389757254</v>
      </c>
      <c r="Q23" s="22">
        <f t="shared" si="3"/>
        <v>0.05</v>
      </c>
      <c r="R23" s="22">
        <f t="shared" si="4"/>
        <v>1.5</v>
      </c>
      <c r="S23" s="22">
        <f t="shared" si="5"/>
        <v>0.9</v>
      </c>
      <c r="T23" s="37">
        <f>N23*(1+Q23*(R23-1))*S23*战斗公式!$E$38+(P23*战斗公式!$E$39+1)*O23*战斗公式!$E$40</f>
        <v>5274.5975654993981</v>
      </c>
      <c r="U23" s="37">
        <f t="shared" si="6"/>
        <v>262.22393375685533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0"/>
      <c r="AE23" s="20"/>
      <c r="AF23" s="20"/>
      <c r="AG23" s="9"/>
      <c r="AH23" s="9"/>
      <c r="AI23" s="9"/>
      <c r="AJ23" s="9"/>
      <c r="AK23" s="9"/>
      <c r="AL23" s="9"/>
    </row>
    <row r="24" spans="2:38" ht="14.25" customHeight="1" x14ac:dyDescent="0.2">
      <c r="B24" s="3"/>
      <c r="C24" s="6"/>
      <c r="D24" s="6"/>
      <c r="E24" s="6"/>
      <c r="F24" s="6"/>
      <c r="G24" s="6"/>
      <c r="H24" s="6"/>
      <c r="I24" s="24"/>
      <c r="J24" s="6"/>
      <c r="K24" s="6"/>
      <c r="L24" s="6">
        <f t="shared" si="2"/>
        <v>2.9684193847626954</v>
      </c>
      <c r="M24" s="1">
        <v>20</v>
      </c>
      <c r="N24" s="6">
        <f>VLOOKUP($N$2,角色品星!$C$16:$D$20,2,0)*VLOOKUP($N$3,角色品星!$C$3:$E$14,3,0)*V24</f>
        <v>104.51540330138214</v>
      </c>
      <c r="O24" s="6">
        <f>VLOOKUP($N$2,角色品星!$C$16:$D$20,2,0)*VLOOKUP($N$3,角色品星!$C$3:$E$14,3,0)*W24</f>
        <v>3094.1822770167078</v>
      </c>
      <c r="P24" s="6">
        <f>VLOOKUP($N$2,角色品星!$C$16:$D$20,2,0)*VLOOKUP($N$3,角色品星!$C$3:$E$14,3,0)*X24</f>
        <v>1042.3669555924512</v>
      </c>
      <c r="Q24" s="22">
        <f t="shared" si="3"/>
        <v>0.05</v>
      </c>
      <c r="R24" s="22">
        <f t="shared" si="4"/>
        <v>1.5</v>
      </c>
      <c r="S24" s="22">
        <f t="shared" si="5"/>
        <v>0.9</v>
      </c>
      <c r="T24" s="37">
        <f>N24*(1+Q24*(R24-1))*S24*战斗公式!$E$38+(P24*战斗公式!$E$39+1)*O24*战斗公式!$E$40</f>
        <v>5536.8214992562534</v>
      </c>
      <c r="U24" s="37">
        <f t="shared" si="6"/>
        <v>275.1840776332383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0"/>
      <c r="AE24" s="20"/>
      <c r="AF24" s="20"/>
      <c r="AG24" s="9"/>
      <c r="AH24" s="9"/>
      <c r="AI24" s="9"/>
      <c r="AJ24" s="9"/>
      <c r="AK24" s="9"/>
      <c r="AL24" s="9"/>
    </row>
    <row r="25" spans="2:38" ht="14.25" customHeight="1" x14ac:dyDescent="0.2">
      <c r="B25" s="30"/>
      <c r="C25" s="6"/>
      <c r="D25" s="6"/>
      <c r="E25" s="6"/>
      <c r="F25" s="6"/>
      <c r="G25" s="6"/>
      <c r="H25" s="6"/>
      <c r="I25" s="24"/>
      <c r="J25" s="6"/>
      <c r="K25" s="6"/>
      <c r="L25" s="6">
        <f t="shared" si="2"/>
        <v>2.9653914823788625</v>
      </c>
      <c r="M25" s="1">
        <v>21</v>
      </c>
      <c r="N25" s="6">
        <f>VLOOKUP($N$2,角色品星!$C$16:$D$20,2,0)*VLOOKUP($N$3,角色品星!$C$3:$E$14,3,0)*V25</f>
        <v>109.74117346645126</v>
      </c>
      <c r="O25" s="6">
        <f>VLOOKUP($N$2,角色品星!$C$16:$D$20,2,0)*VLOOKUP($N$3,角色品星!$C$3:$E$14,3,0)*W25</f>
        <v>3245.5773962083927</v>
      </c>
      <c r="P25" s="6">
        <f>VLOOKUP($N$2,角色品星!$C$16:$D$20,2,0)*VLOOKUP($N$3,角色品星!$C$3:$E$14,3,0)*X25</f>
        <v>1094.4853033720738</v>
      </c>
      <c r="Q25" s="22">
        <f t="shared" si="3"/>
        <v>0.05</v>
      </c>
      <c r="R25" s="22">
        <f t="shared" si="4"/>
        <v>1.5</v>
      </c>
      <c r="S25" s="22">
        <f t="shared" si="5"/>
        <v>0.9</v>
      </c>
      <c r="T25" s="37">
        <f>N25*(1+Q25*(R25-1))*S25*战斗公式!$E$38+(P25*战斗公式!$E$39+1)*O25*战斗公式!$E$40</f>
        <v>5812.0055768894917</v>
      </c>
      <c r="U25" s="37">
        <f t="shared" si="6"/>
        <v>288.77725526765516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0"/>
      <c r="AE25" s="20"/>
      <c r="AF25" s="20"/>
      <c r="AG25" s="9"/>
      <c r="AH25" s="9"/>
      <c r="AI25" s="9"/>
      <c r="AJ25" s="9"/>
      <c r="AK25" s="9"/>
      <c r="AL25" s="9"/>
    </row>
    <row r="26" spans="2:38" ht="14.25" customHeight="1" x14ac:dyDescent="0.2">
      <c r="B26" s="30"/>
      <c r="D26" s="6"/>
      <c r="E26" s="6"/>
      <c r="F26" s="6"/>
      <c r="G26" s="6"/>
      <c r="H26" s="6"/>
      <c r="I26" s="24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115.22823213977381</v>
      </c>
      <c r="O26" s="6">
        <f>VLOOKUP($N$2,角色品星!$C$16:$D$20,2,0)*VLOOKUP($N$3,角色品星!$C$3:$E$14,3,0)*W26</f>
        <v>3404.2102188651756</v>
      </c>
      <c r="P26" s="6">
        <f>VLOOKUP($N$2,角色品星!$C$16:$D$20,2,0)*VLOOKUP($N$3,角色品星!$C$3:$E$14,3,0)*X26</f>
        <v>1149.2095685406773</v>
      </c>
      <c r="Q26" s="22">
        <f t="shared" si="3"/>
        <v>0.05</v>
      </c>
      <c r="R26" s="22">
        <f t="shared" si="4"/>
        <v>1.5</v>
      </c>
      <c r="S26" s="22">
        <f t="shared" si="5"/>
        <v>0.9</v>
      </c>
      <c r="T26" s="37">
        <f>N26*(1+Q26*(R26-1))*S26*战斗公式!$E$38+(P26*战斗公式!$E$39+1)*O26*战斗公式!$E$40</f>
        <v>6100.7828321571469</v>
      </c>
      <c r="U26" s="37">
        <f t="shared" si="6"/>
        <v>303.03366141313018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0"/>
      <c r="AE26" s="20"/>
      <c r="AF26" s="20"/>
      <c r="AG26" s="9"/>
      <c r="AH26" s="9"/>
      <c r="AI26" s="9"/>
      <c r="AJ26" s="9"/>
      <c r="AK26" s="9"/>
      <c r="AL26" s="9"/>
    </row>
    <row r="27" spans="2:38" ht="14.25" customHeight="1" x14ac:dyDescent="0.2">
      <c r="B27" s="3"/>
      <c r="D27" s="6"/>
      <c r="E27" s="6"/>
      <c r="F27" s="6"/>
      <c r="G27" s="6"/>
      <c r="H27" s="6"/>
      <c r="I27" s="24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120.98964374676248</v>
      </c>
      <c r="O27" s="6">
        <f>VLOOKUP($N$2,角色品星!$C$16:$D$20,2,0)*VLOOKUP($N$3,角色品星!$C$3:$E$14,3,0)*W27</f>
        <v>3570.4097694189795</v>
      </c>
      <c r="P27" s="6">
        <f>VLOOKUP($N$2,角色品星!$C$16:$D$20,2,0)*VLOOKUP($N$3,角色品星!$C$3:$E$14,3,0)*X27</f>
        <v>1206.670046967711</v>
      </c>
      <c r="Q27" s="22">
        <f t="shared" si="3"/>
        <v>0.05</v>
      </c>
      <c r="R27" s="22">
        <f t="shared" si="4"/>
        <v>1.5</v>
      </c>
      <c r="S27" s="22">
        <f t="shared" si="5"/>
        <v>0.9</v>
      </c>
      <c r="T27" s="37">
        <f>N27*(1+Q27*(R27-1))*S27*战斗公式!$E$38+(P27*战斗公式!$E$39+1)*O27*战斗公式!$E$40</f>
        <v>6403.8164935702771</v>
      </c>
      <c r="U27" s="37">
        <f t="shared" si="6"/>
        <v>317.98486297938143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0"/>
      <c r="AE27" s="20"/>
      <c r="AF27" s="20"/>
      <c r="AG27" s="9"/>
      <c r="AH27" s="9"/>
      <c r="AI27" s="9"/>
      <c r="AJ27" s="9"/>
      <c r="AK27" s="9"/>
      <c r="AL27" s="9"/>
    </row>
    <row r="28" spans="2:38" ht="14.25" customHeight="1" x14ac:dyDescent="0.2">
      <c r="B28" s="3"/>
      <c r="D28" s="6"/>
      <c r="G28" s="6"/>
      <c r="H28" s="6"/>
      <c r="I28" s="24"/>
      <c r="J28" s="6"/>
      <c r="K28" s="6"/>
      <c r="L28" s="6">
        <f t="shared" si="2"/>
        <v>2.9554126636131968</v>
      </c>
      <c r="M28" s="1">
        <v>24</v>
      </c>
      <c r="N28" s="6">
        <f>VLOOKUP($N$2,角色品星!$C$16:$D$20,2,0)*VLOOKUP($N$3,角色品星!$C$3:$E$14,3,0)*V28</f>
        <v>127.03912593410065</v>
      </c>
      <c r="O28" s="6">
        <f>VLOOKUP($N$2,角色品星!$C$16:$D$20,2,0)*VLOOKUP($N$3,角色品星!$C$3:$E$14,3,0)*W28</f>
        <v>3744.5183344916604</v>
      </c>
      <c r="P28" s="6">
        <f>VLOOKUP($N$2,角色品星!$C$16:$D$20,2,0)*VLOOKUP($N$3,角色品星!$C$3:$E$14,3,0)*X28</f>
        <v>1267.003549316097</v>
      </c>
      <c r="Q28" s="22">
        <f t="shared" si="3"/>
        <v>0.05</v>
      </c>
      <c r="R28" s="22">
        <f t="shared" si="4"/>
        <v>1.5</v>
      </c>
      <c r="S28" s="22">
        <f t="shared" si="5"/>
        <v>0.9</v>
      </c>
      <c r="T28" s="37">
        <f>N28*(1+Q28*(R28-1))*S28*战斗公式!$E$38+(P28*战斗公式!$E$39+1)*O28*战斗公式!$E$40</f>
        <v>6721.8013565496585</v>
      </c>
      <c r="U28" s="37">
        <f t="shared" si="6"/>
        <v>333.66385528479623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0"/>
      <c r="AE28" s="20"/>
      <c r="AF28" s="20"/>
      <c r="AG28" s="9"/>
      <c r="AH28" s="9"/>
      <c r="AI28" s="9"/>
      <c r="AJ28" s="9"/>
      <c r="AK28" s="9"/>
      <c r="AL28" s="9"/>
    </row>
    <row r="29" spans="2:38" ht="14.25" customHeight="1" x14ac:dyDescent="0.2">
      <c r="B29" s="3"/>
      <c r="D29" s="6"/>
      <c r="E29" s="6"/>
      <c r="F29" s="6"/>
      <c r="G29" s="6"/>
      <c r="H29" s="6"/>
      <c r="I29" s="24"/>
      <c r="J29" s="6"/>
      <c r="K29" s="6"/>
      <c r="L29" s="6">
        <f t="shared" si="2"/>
        <v>2.951765193780413</v>
      </c>
      <c r="M29" s="1">
        <v>25</v>
      </c>
      <c r="N29" s="6">
        <f>VLOOKUP($N$2,角色品星!$C$16:$D$20,2,0)*VLOOKUP($N$3,角色品星!$C$3:$E$14,3,0)*V29</f>
        <v>133.39108223080564</v>
      </c>
      <c r="O29" s="6">
        <f>VLOOKUP($N$2,角色品星!$C$16:$D$20,2,0)*VLOOKUP($N$3,角色品星!$C$3:$E$14,3,0)*W29</f>
        <v>3926.8918261308741</v>
      </c>
      <c r="P29" s="6">
        <f>VLOOKUP($N$2,角色品星!$C$16:$D$20,2,0)*VLOOKUP($N$3,角色品星!$C$3:$E$14,3,0)*X29</f>
        <v>1330.3537267819015</v>
      </c>
      <c r="Q29" s="22">
        <f t="shared" si="3"/>
        <v>0.05</v>
      </c>
      <c r="R29" s="22">
        <f t="shared" si="4"/>
        <v>1.5</v>
      </c>
      <c r="S29" s="22">
        <f t="shared" si="5"/>
        <v>0.9</v>
      </c>
      <c r="T29" s="37">
        <f>N29*(1+Q29*(R29-1))*S29*战斗公式!$E$38+(P29*战斗公式!$E$39+1)*O29*战斗公式!$E$40</f>
        <v>7055.4652118344547</v>
      </c>
      <c r="U29" s="37">
        <f t="shared" si="6"/>
        <v>350.10512010791354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0"/>
      <c r="AE29" s="20"/>
      <c r="AF29" s="20"/>
      <c r="AG29" s="9"/>
      <c r="AH29" s="9"/>
      <c r="AI29" s="9"/>
      <c r="AJ29" s="9"/>
      <c r="AK29" s="9"/>
      <c r="AL29" s="9"/>
    </row>
    <row r="30" spans="2:38" ht="14.25" customHeight="1" x14ac:dyDescent="0.2">
      <c r="B30" s="30"/>
      <c r="C30" s="6"/>
      <c r="D30" s="6"/>
      <c r="E30" s="6"/>
      <c r="F30" s="6"/>
      <c r="G30" s="6"/>
      <c r="H30" s="6"/>
      <c r="I30" s="24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140.06063634234593</v>
      </c>
      <c r="O30" s="6">
        <f>VLOOKUP($N$2,角色品星!$C$16:$D$20,2,0)*VLOOKUP($N$3,角色品星!$C$3:$E$14,3,0)*W30</f>
        <v>4117.9001364697979</v>
      </c>
      <c r="P30" s="6">
        <f>VLOOKUP($N$2,角色品星!$C$16:$D$20,2,0)*VLOOKUP($N$3,角色品星!$C$3:$E$14,3,0)*X30</f>
        <v>1396.8714131209965</v>
      </c>
      <c r="Q30" s="22">
        <f t="shared" si="3"/>
        <v>0.05</v>
      </c>
      <c r="R30" s="22">
        <f t="shared" si="4"/>
        <v>1.5</v>
      </c>
      <c r="S30" s="22">
        <f t="shared" si="5"/>
        <v>0.9</v>
      </c>
      <c r="T30" s="37">
        <f>N30*(1+Q30*(R30-1))*S30*战斗公式!$E$38+(P30*战斗公式!$E$39+1)*O30*战斗公式!$E$40</f>
        <v>7405.5703319423683</v>
      </c>
      <c r="U30" s="37">
        <f t="shared" si="6"/>
        <v>367.34468556002867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0"/>
      <c r="AE30" s="20"/>
      <c r="AF30" s="20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C31" s="6"/>
      <c r="D31" s="6"/>
      <c r="E31" s="6"/>
      <c r="F31" s="6"/>
      <c r="G31" s="6"/>
      <c r="H31" s="6"/>
      <c r="I31" s="24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147.06366815946322</v>
      </c>
      <c r="O31" s="6">
        <f>VLOOKUP($N$2,角色品星!$C$16:$D$20,2,0)*VLOOKUP($N$3,角色品星!$C$3:$E$14,3,0)*W31</f>
        <v>4317.9274812191088</v>
      </c>
      <c r="P31" s="6">
        <f>VLOOKUP($N$2,角色品星!$C$16:$D$20,2,0)*VLOOKUP($N$3,角色品星!$C$3:$E$14,3,0)*X31</f>
        <v>1466.7149837770467</v>
      </c>
      <c r="Q31" s="22">
        <f t="shared" si="3"/>
        <v>0.05</v>
      </c>
      <c r="R31" s="22">
        <f t="shared" si="4"/>
        <v>1.5</v>
      </c>
      <c r="S31" s="22">
        <f t="shared" si="5"/>
        <v>0.9</v>
      </c>
      <c r="T31" s="37">
        <f>N31*(1+Q31*(R31-1))*S31*战斗公式!$E$38+(P31*战斗公式!$E$39+1)*O31*战斗公式!$E$40</f>
        <v>7772.9150175023969</v>
      </c>
      <c r="U31" s="37">
        <f t="shared" si="6"/>
        <v>385.42018779952377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0"/>
      <c r="AE31" s="20"/>
      <c r="AF31" s="20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C32" s="6"/>
      <c r="D32" s="6"/>
      <c r="G32" s="6"/>
      <c r="H32" s="6"/>
      <c r="I32" s="24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154.41685156743642</v>
      </c>
      <c r="O32" s="6">
        <f>VLOOKUP($N$2,角色品星!$C$16:$D$20,2,0)*VLOOKUP($N$3,角色品星!$C$3:$E$14,3,0)*W32</f>
        <v>4527.3727291288715</v>
      </c>
      <c r="P32" s="6">
        <f>VLOOKUP($N$2,角色品星!$C$16:$D$20,2,0)*VLOOKUP($N$3,角色品星!$C$3:$E$14,3,0)*X32</f>
        <v>1540.050732965899</v>
      </c>
      <c r="Q32" s="22">
        <f t="shared" si="3"/>
        <v>0.05</v>
      </c>
      <c r="R32" s="22">
        <f t="shared" si="4"/>
        <v>1.5</v>
      </c>
      <c r="S32" s="22">
        <f t="shared" si="5"/>
        <v>0.9</v>
      </c>
      <c r="T32" s="37">
        <f>N32*(1+Q32*(R32-1))*S32*战斗公式!$E$38+(P32*战斗公式!$E$39+1)*O32*战斗公式!$E$40</f>
        <v>8158.3352053019207</v>
      </c>
      <c r="U32" s="37">
        <f t="shared" si="6"/>
        <v>404.37093460736105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0"/>
      <c r="AE32" s="20"/>
      <c r="AF32" s="20"/>
      <c r="AG32" s="9"/>
      <c r="AH32" s="9"/>
      <c r="AI32" s="9"/>
      <c r="AJ32" s="9"/>
      <c r="AK32" s="9"/>
      <c r="AL32" s="9"/>
    </row>
    <row r="33" spans="2:38" ht="14.25" customHeight="1" x14ac:dyDescent="0.2">
      <c r="B33" s="7"/>
      <c r="C33" s="6"/>
      <c r="D33" s="6"/>
      <c r="E33" s="6"/>
      <c r="F33" s="6"/>
      <c r="G33" s="6"/>
      <c r="H33" s="6"/>
      <c r="I33" s="24"/>
      <c r="J33" s="6"/>
      <c r="K33" s="6"/>
      <c r="L33" s="6">
        <f t="shared" si="2"/>
        <v>2.9353700360176331</v>
      </c>
      <c r="M33" s="1">
        <v>29</v>
      </c>
      <c r="N33" s="6">
        <f>VLOOKUP($N$2,角色品星!$C$16:$D$20,2,0)*VLOOKUP($N$3,角色品星!$C$3:$E$14,3,0)*V33</f>
        <v>162.13769414580821</v>
      </c>
      <c r="O33" s="6">
        <f>VLOOKUP($N$2,角色品星!$C$16:$D$20,2,0)*VLOOKUP($N$3,角色品星!$C$3:$E$14,3,0)*W33</f>
        <v>4746.6497142698472</v>
      </c>
      <c r="P33" s="6">
        <f>VLOOKUP($N$2,角色品星!$C$16:$D$20,2,0)*VLOOKUP($N$3,角色品星!$C$3:$E$14,3,0)*X33</f>
        <v>1617.0532696141938</v>
      </c>
      <c r="Q33" s="22">
        <f t="shared" si="3"/>
        <v>0.05</v>
      </c>
      <c r="R33" s="22">
        <f t="shared" si="4"/>
        <v>1.5</v>
      </c>
      <c r="S33" s="22">
        <f t="shared" si="5"/>
        <v>0.9</v>
      </c>
      <c r="T33" s="37">
        <f>N33*(1+Q33*(R33-1))*S33*战斗公式!$E$38+(P33*战斗公式!$E$39+1)*O33*战斗公式!$E$40</f>
        <v>8562.7061399092818</v>
      </c>
      <c r="U33" s="37">
        <f t="shared" si="6"/>
        <v>424.23797084291073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0"/>
      <c r="AE33" s="20"/>
      <c r="AF33" s="20"/>
      <c r="AG33" s="9"/>
      <c r="AH33" s="9"/>
      <c r="AI33" s="9"/>
      <c r="AJ33" s="9"/>
      <c r="AK33" s="9"/>
      <c r="AL33" s="9"/>
    </row>
    <row r="34" spans="2:38" ht="14.25" customHeight="1" x14ac:dyDescent="0.2">
      <c r="B34" s="7"/>
      <c r="F34" s="6"/>
      <c r="G34" s="6"/>
      <c r="H34" s="6"/>
      <c r="I34" s="24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170.24457885309869</v>
      </c>
      <c r="O34" s="6">
        <f>VLOOKUP($N$2,角色品星!$C$16:$D$20,2,0)*VLOOKUP($N$3,角色品星!$C$3:$E$14,3,0)*W34</f>
        <v>4976.1875276782266</v>
      </c>
      <c r="P34" s="6">
        <f>VLOOKUP($N$2,角色品星!$C$16:$D$20,2,0)*VLOOKUP($N$3,角色品星!$C$3:$E$14,3,0)*X34</f>
        <v>1697.9059330949037</v>
      </c>
      <c r="Q34" s="22">
        <f t="shared" si="3"/>
        <v>0.05</v>
      </c>
      <c r="R34" s="22">
        <f t="shared" si="4"/>
        <v>1.5</v>
      </c>
      <c r="S34" s="22">
        <f t="shared" si="5"/>
        <v>0.9</v>
      </c>
      <c r="T34" s="37">
        <f>N34*(1+Q34*(R34-1))*S34*战斗公式!$E$38+(P34*战斗公式!$E$39+1)*O34*战斗公式!$E$40</f>
        <v>8986.9441107521925</v>
      </c>
      <c r="U34" s="37">
        <f t="shared" si="6"/>
        <v>445.06414579907869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0"/>
      <c r="AE34" s="20"/>
      <c r="AF34" s="20"/>
      <c r="AG34" s="9"/>
      <c r="AH34" s="9"/>
      <c r="AI34" s="9"/>
      <c r="AJ34" s="9"/>
      <c r="AK34" s="9"/>
      <c r="AL34" s="9"/>
    </row>
    <row r="35" spans="2:38" ht="14.25" customHeight="1" x14ac:dyDescent="0.2">
      <c r="B35" s="7"/>
      <c r="E35" s="6"/>
      <c r="F35" s="6"/>
      <c r="G35" s="6"/>
      <c r="H35" s="6"/>
      <c r="I35" s="24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178.75680779575353</v>
      </c>
      <c r="O35" s="6">
        <f>VLOOKUP($N$2,角色品星!$C$16:$D$20,2,0)*VLOOKUP($N$3,角色品星!$C$3:$E$14,3,0)*W35</f>
        <v>5216.4307845850826</v>
      </c>
      <c r="P35" s="6">
        <f>VLOOKUP($N$2,角色品星!$C$16:$D$20,2,0)*VLOOKUP($N$3,角色品星!$C$3:$E$14,3,0)*X35</f>
        <v>1782.8012297496482</v>
      </c>
      <c r="Q35" s="22">
        <f t="shared" si="3"/>
        <v>0.05</v>
      </c>
      <c r="R35" s="22">
        <f t="shared" si="4"/>
        <v>1.5</v>
      </c>
      <c r="S35" s="22">
        <f t="shared" si="5"/>
        <v>0.9</v>
      </c>
      <c r="T35" s="37">
        <f>N35*(1+Q35*(R35-1))*S35*战斗公式!$E$38+(P35*战斗公式!$E$39+1)*O35*战斗公式!$E$40</f>
        <v>9432.0082565512712</v>
      </c>
      <c r="U35" s="37">
        <f t="shared" si="6"/>
        <v>466.89418247669346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0"/>
      <c r="AE35" s="20"/>
      <c r="AF35" s="20"/>
      <c r="AG35" s="9"/>
      <c r="AH35" s="9"/>
      <c r="AI35" s="9"/>
      <c r="AJ35" s="9"/>
      <c r="AK35" s="9"/>
      <c r="AL35" s="9"/>
    </row>
    <row r="36" spans="2:38" ht="14.25" customHeight="1" x14ac:dyDescent="0.2">
      <c r="D36" s="3"/>
      <c r="G36" s="6"/>
      <c r="H36" s="6"/>
      <c r="I36" s="24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187.69464818554127</v>
      </c>
      <c r="O36" s="6">
        <f>VLOOKUP($N$2,角色品星!$C$16:$D$20,2,0)*VLOOKUP($N$3,角色品星!$C$3:$E$14,3,0)*W36</f>
        <v>5467.8398631125901</v>
      </c>
      <c r="P36" s="6">
        <f>VLOOKUP($N$2,角色品星!$C$16:$D$20,2,0)*VLOOKUP($N$3,角色品星!$C$3:$E$14,3,0)*X36</f>
        <v>1871.9412912371313</v>
      </c>
      <c r="Q36" s="22">
        <f t="shared" si="3"/>
        <v>0.05</v>
      </c>
      <c r="R36" s="22">
        <f t="shared" si="4"/>
        <v>1.5</v>
      </c>
      <c r="S36" s="22">
        <f t="shared" si="5"/>
        <v>0.9</v>
      </c>
      <c r="T36" s="37">
        <f>N36*(1+Q36*(R36-1))*S36*战斗公式!$E$38+(P36*战斗公式!$E$39+1)*O36*战斗公式!$E$40</f>
        <v>9898.9024390279646</v>
      </c>
      <c r="U36" s="37">
        <f t="shared" si="6"/>
        <v>489.77474879913098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0"/>
      <c r="AE36" s="20"/>
      <c r="AF36" s="20"/>
      <c r="AG36" s="9"/>
      <c r="AH36" s="9"/>
      <c r="AI36" s="9"/>
      <c r="AJ36" s="9"/>
      <c r="AK36" s="9"/>
      <c r="AL36" s="9"/>
    </row>
    <row r="37" spans="2:38" ht="14.25" customHeight="1" x14ac:dyDescent="0.2">
      <c r="E37" s="6"/>
      <c r="F37" s="6"/>
      <c r="G37" s="6"/>
      <c r="H37" s="6"/>
      <c r="I37" s="24"/>
      <c r="J37" s="6"/>
      <c r="K37" s="6"/>
      <c r="L37" s="6">
        <f t="shared" si="2"/>
        <v>2.9156852081037563</v>
      </c>
      <c r="M37" s="1">
        <v>33</v>
      </c>
      <c r="N37" s="6">
        <f>VLOOKUP($N$2,角色品星!$C$16:$D$20,2,0)*VLOOKUP($N$3,角色品星!$C$3:$E$14,3,0)*V37</f>
        <v>197.07938059481833</v>
      </c>
      <c r="O37" s="6">
        <f>VLOOKUP($N$2,角色品星!$C$16:$D$20,2,0)*VLOOKUP($N$3,角色品星!$C$3:$E$14,3,0)*W37</f>
        <v>5730.8911099636871</v>
      </c>
      <c r="P37" s="6">
        <f>VLOOKUP($N$2,角色品星!$C$16:$D$20,2,0)*VLOOKUP($N$3,角色品星!$C$3:$E$14,3,0)*X37</f>
        <v>1965.5383557989878</v>
      </c>
      <c r="Q37" s="22">
        <f t="shared" si="3"/>
        <v>0.05</v>
      </c>
      <c r="R37" s="22">
        <f t="shared" si="4"/>
        <v>1.5</v>
      </c>
      <c r="S37" s="22">
        <f t="shared" si="5"/>
        <v>0.9</v>
      </c>
      <c r="T37" s="37">
        <f>N37*(1+Q37*(R37-1))*S37*战斗公式!$E$38+(P37*战斗公式!$E$39+1)*O37*战斗公式!$E$40</f>
        <v>10388.677187827096</v>
      </c>
      <c r="U37" s="37">
        <f t="shared" si="6"/>
        <v>513.75453079150611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0"/>
      <c r="AE37" s="20"/>
      <c r="AF37" s="20"/>
      <c r="AG37" s="9"/>
      <c r="AH37" s="9"/>
      <c r="AI37" s="9"/>
      <c r="AJ37" s="9"/>
      <c r="AK37" s="9"/>
      <c r="AL37" s="9"/>
    </row>
    <row r="38" spans="2:38" ht="14.25" customHeight="1" x14ac:dyDescent="0.2">
      <c r="D38" s="3"/>
      <c r="E38" s="6"/>
      <c r="F38" s="6"/>
      <c r="G38" s="6"/>
      <c r="H38" s="6"/>
      <c r="I38" s="24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206.93334962455921</v>
      </c>
      <c r="O38" s="6">
        <f>VLOOKUP($N$2,角色品星!$C$16:$D$20,2,0)*VLOOKUP($N$3,角色品星!$C$3:$E$14,3,0)*W38</f>
        <v>6006.0770082621766</v>
      </c>
      <c r="P38" s="6">
        <f>VLOOKUP($N$2,角色品星!$C$16:$D$20,2,0)*VLOOKUP($N$3,角色品星!$C$3:$E$14,3,0)*X38</f>
        <v>2063.8152735889375</v>
      </c>
      <c r="Q38" s="22">
        <f t="shared" si="3"/>
        <v>0.05</v>
      </c>
      <c r="R38" s="22">
        <f t="shared" si="4"/>
        <v>1.5</v>
      </c>
      <c r="S38" s="22">
        <f t="shared" si="5"/>
        <v>0.9</v>
      </c>
      <c r="T38" s="37">
        <f>N38*(1+Q38*(R38-1))*S38*战斗公式!$E$38+(P38*战斗公式!$E$39+1)*O38*战斗公式!$E$40</f>
        <v>10902.431718618602</v>
      </c>
      <c r="U38" s="37">
        <f t="shared" si="6"/>
        <v>538.88430775173765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0"/>
      <c r="AE38" s="20"/>
      <c r="AF38" s="20"/>
      <c r="AG38" s="9"/>
      <c r="AH38" s="9"/>
      <c r="AI38" s="9"/>
      <c r="AJ38" s="9"/>
      <c r="AK38" s="9"/>
      <c r="AL38" s="9"/>
    </row>
    <row r="39" spans="2:38" ht="14.25" customHeight="1" x14ac:dyDescent="0.2">
      <c r="E39" s="6"/>
      <c r="F39" s="6"/>
      <c r="G39" s="6"/>
      <c r="H39" s="6"/>
      <c r="I39" s="24"/>
      <c r="J39" s="6"/>
      <c r="K39" s="6"/>
      <c r="L39" s="6">
        <f t="shared" si="2"/>
        <v>2.9044249042566923</v>
      </c>
      <c r="M39" s="1">
        <v>35</v>
      </c>
      <c r="N39" s="6">
        <f>VLOOKUP($N$2,角色品星!$C$16:$D$20,2,0)*VLOOKUP($N$3,角色品星!$C$3:$E$14,3,0)*V39</f>
        <v>217.28001710578715</v>
      </c>
      <c r="O39" s="6">
        <f>VLOOKUP($N$2,角色品星!$C$16:$D$20,2,0)*VLOOKUP($N$3,角色品星!$C$3:$E$14,3,0)*W39</f>
        <v>6293.9063023169001</v>
      </c>
      <c r="P39" s="6">
        <f>VLOOKUP($N$2,角色品星!$C$16:$D$20,2,0)*VLOOKUP($N$3,角色品星!$C$3:$E$14,3,0)*X39</f>
        <v>2167.0060372683838</v>
      </c>
      <c r="Q39" s="22">
        <f t="shared" si="3"/>
        <v>0.05</v>
      </c>
      <c r="R39" s="22">
        <f t="shared" si="4"/>
        <v>1.5</v>
      </c>
      <c r="S39" s="22">
        <f t="shared" si="5"/>
        <v>0.9</v>
      </c>
      <c r="T39" s="37">
        <f>N39*(1+Q39*(R39-1))*S39*战斗公式!$E$38+(P39*战斗公式!$E$39+1)*O39*战斗公式!$E$40</f>
        <v>11441.316026370339</v>
      </c>
      <c r="U39" s="37">
        <f t="shared" si="6"/>
        <v>565.21702944694516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0"/>
      <c r="AE39" s="20"/>
      <c r="AF39" s="20"/>
      <c r="AG39" s="9"/>
      <c r="AH39" s="9"/>
      <c r="AI39" s="9"/>
      <c r="AJ39" s="9"/>
      <c r="AK39" s="9"/>
      <c r="AL39" s="9"/>
    </row>
    <row r="40" spans="2:38" ht="14.25" customHeight="1" x14ac:dyDescent="0.2">
      <c r="E40" s="6"/>
      <c r="F40" s="6"/>
      <c r="G40" s="6"/>
      <c r="H40" s="6"/>
      <c r="I40" s="24"/>
      <c r="J40" s="6"/>
      <c r="K40" s="6"/>
      <c r="L40" s="6">
        <f t="shared" si="2"/>
        <v>2.898404948829238</v>
      </c>
      <c r="M40" s="1">
        <v>36</v>
      </c>
      <c r="N40" s="6">
        <f>VLOOKUP($N$2,角色品星!$C$16:$D$20,2,0)*VLOOKUP($N$3,角色品星!$C$3:$E$14,3,0)*V40</f>
        <v>228.1440179610766</v>
      </c>
      <c r="O40" s="6">
        <f>VLOOKUP($N$2,角色品星!$C$16:$D$20,2,0)*VLOOKUP($N$3,角色品星!$C$3:$E$14,3,0)*W40</f>
        <v>6594.9040736895977</v>
      </c>
      <c r="P40" s="6">
        <f>VLOOKUP($N$2,角色品星!$C$16:$D$20,2,0)*VLOOKUP($N$3,角色品星!$C$3:$E$14,3,0)*X40</f>
        <v>2275.3563391318035</v>
      </c>
      <c r="Q40" s="22">
        <f t="shared" si="3"/>
        <v>0.05</v>
      </c>
      <c r="R40" s="22">
        <f t="shared" si="4"/>
        <v>1.5</v>
      </c>
      <c r="S40" s="22">
        <f t="shared" si="5"/>
        <v>0.9</v>
      </c>
      <c r="T40" s="37">
        <f>N40*(1+Q40*(R40-1))*S40*战斗公式!$E$38+(P40*战斗公式!$E$39+1)*O40*战斗公式!$E$40</f>
        <v>12006.533055817285</v>
      </c>
      <c r="U40" s="37">
        <f t="shared" si="6"/>
        <v>592.80789537539204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0"/>
      <c r="AE40" s="20"/>
      <c r="AF40" s="20"/>
      <c r="AG40" s="9"/>
      <c r="AH40" s="9"/>
      <c r="AI40" s="9"/>
      <c r="AJ40" s="9"/>
      <c r="AK40" s="9"/>
      <c r="AL40" s="9"/>
    </row>
    <row r="41" spans="2:38" ht="14.25" customHeight="1" x14ac:dyDescent="0.2">
      <c r="E41" s="6"/>
      <c r="F41" s="6"/>
      <c r="G41" s="6"/>
      <c r="H41" s="6"/>
      <c r="I41" s="24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239.55121885913036</v>
      </c>
      <c r="O41" s="6">
        <f>VLOOKUP($N$2,角色品星!$C$16:$D$20,2,0)*VLOOKUP($N$3,角色品星!$C$3:$E$14,3,0)*W41</f>
        <v>6909.6117625431407</v>
      </c>
      <c r="P41" s="6">
        <f>VLOOKUP($N$2,角色品星!$C$16:$D$20,2,0)*VLOOKUP($N$3,角色品星!$C$3:$E$14,3,0)*X41</f>
        <v>2389.1241560883936</v>
      </c>
      <c r="Q41" s="22">
        <f t="shared" si="3"/>
        <v>0.05</v>
      </c>
      <c r="R41" s="22">
        <f t="shared" si="4"/>
        <v>1.5</v>
      </c>
      <c r="S41" s="22">
        <f t="shared" si="5"/>
        <v>0.9</v>
      </c>
      <c r="T41" s="37">
        <f>N41*(1+Q41*(R41-1))*S41*战斗公式!$E$38+(P41*战斗公式!$E$39+1)*O41*战斗公式!$E$40</f>
        <v>12599.340951192677</v>
      </c>
      <c r="U41" s="37">
        <f t="shared" si="6"/>
        <v>621.71443614379132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0"/>
      <c r="AE41" s="20"/>
      <c r="AF41" s="20"/>
      <c r="AG41" s="9"/>
      <c r="AH41" s="9"/>
      <c r="AI41" s="9"/>
      <c r="AJ41" s="9"/>
      <c r="AK41" s="9"/>
      <c r="AL41" s="9"/>
    </row>
    <row r="42" spans="2:38" ht="14.25" customHeight="1" x14ac:dyDescent="0.2">
      <c r="E42" s="6"/>
      <c r="F42" s="6"/>
      <c r="G42" s="6"/>
      <c r="H42" s="6"/>
      <c r="I42" s="24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251.52877980208692</v>
      </c>
      <c r="O42" s="6">
        <f>VLOOKUP($N$2,角色品星!$C$16:$D$20,2,0)*VLOOKUP($N$3,角色品星!$C$3:$E$14,3,0)*W42</f>
        <v>7238.5871278386066</v>
      </c>
      <c r="P42" s="6">
        <f>VLOOKUP($N$2,角色品星!$C$16:$D$20,2,0)*VLOOKUP($N$3,角色品星!$C$3:$E$14,3,0)*X42</f>
        <v>2508.5803638928132</v>
      </c>
      <c r="Q42" s="22">
        <f t="shared" si="3"/>
        <v>0.05</v>
      </c>
      <c r="R42" s="22">
        <f t="shared" si="4"/>
        <v>1.5</v>
      </c>
      <c r="S42" s="22">
        <f t="shared" si="5"/>
        <v>0.9</v>
      </c>
      <c r="T42" s="37">
        <f>N42*(1+Q42*(R42-1))*S42*战斗公式!$E$38+(P42*战斗公式!$E$39+1)*O42*战斗公式!$E$40</f>
        <v>13221.055387336468</v>
      </c>
      <c r="U42" s="37">
        <f t="shared" si="6"/>
        <v>651.99659702139979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0"/>
      <c r="AE42" s="20"/>
      <c r="AF42" s="20"/>
      <c r="AG42" s="9"/>
      <c r="AH42" s="9"/>
      <c r="AI42" s="9"/>
      <c r="AJ42" s="9"/>
      <c r="AK42" s="9"/>
      <c r="AL42" s="9"/>
    </row>
    <row r="43" spans="2:38" ht="14.25" customHeight="1" x14ac:dyDescent="0.2">
      <c r="E43" s="6"/>
      <c r="F43" s="6"/>
      <c r="G43" s="6"/>
      <c r="H43" s="6"/>
      <c r="I43" s="24"/>
      <c r="J43" s="6"/>
      <c r="K43" s="6"/>
      <c r="L43" s="6">
        <f t="shared" si="2"/>
        <v>2.8786549475122363</v>
      </c>
      <c r="M43" s="1">
        <v>39</v>
      </c>
      <c r="N43" s="6">
        <f>VLOOKUP($N$2,角色品星!$C$16:$D$20,2,0)*VLOOKUP($N$3,角色品星!$C$3:$E$14,3,0)*V43</f>
        <v>264.10521879219118</v>
      </c>
      <c r="O43" s="6">
        <f>VLOOKUP($N$2,角色品星!$C$16:$D$20,2,0)*VLOOKUP($N$3,角色品星!$C$3:$E$14,3,0)*W43</f>
        <v>7582.4041395396971</v>
      </c>
      <c r="P43" s="6">
        <f>VLOOKUP($N$2,角色品星!$C$16:$D$20,2,0)*VLOOKUP($N$3,角色品星!$C$3:$E$14,3,0)*X43</f>
        <v>2634.0093820874536</v>
      </c>
      <c r="Q43" s="22">
        <f t="shared" si="3"/>
        <v>0.05</v>
      </c>
      <c r="R43" s="22">
        <f t="shared" si="4"/>
        <v>1.5</v>
      </c>
      <c r="S43" s="22">
        <f t="shared" si="5"/>
        <v>0.9</v>
      </c>
      <c r="T43" s="37">
        <f>N43*(1+Q43*(R43-1))*S43*战斗公式!$E$38+(P43*战斗公式!$E$39+1)*O43*战斗公式!$E$40</f>
        <v>13873.051984357868</v>
      </c>
      <c r="U43" s="37">
        <f t="shared" si="6"/>
        <v>683.71682374762713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0"/>
      <c r="AE43" s="20"/>
      <c r="AF43" s="20"/>
      <c r="AG43" s="9"/>
      <c r="AH43" s="9"/>
      <c r="AI43" s="9"/>
      <c r="AJ43" s="9"/>
      <c r="AK43" s="9"/>
      <c r="AL43" s="9"/>
    </row>
    <row r="44" spans="2:38" ht="14.25" customHeight="1" x14ac:dyDescent="0.2">
      <c r="E44" s="6"/>
      <c r="F44" s="6"/>
      <c r="G44" s="6"/>
      <c r="H44" s="6"/>
      <c r="I44" s="24"/>
      <c r="J44" s="6"/>
      <c r="K44" s="6"/>
      <c r="L44" s="6">
        <f t="shared" si="2"/>
        <v>2.8714699743915078</v>
      </c>
      <c r="M44" s="1">
        <v>40</v>
      </c>
      <c r="N44" s="6">
        <f>VLOOKUP($N$2,角色品星!$C$16:$D$20,2,0)*VLOOKUP($N$3,角色品星!$C$3:$E$14,3,0)*V44</f>
        <v>277.31047973180085</v>
      </c>
      <c r="O44" s="6">
        <f>VLOOKUP($N$2,角色品星!$C$16:$D$20,2,0)*VLOOKUP($N$3,角色品星!$C$3:$E$14,3,0)*W44</f>
        <v>7941.6527955761367</v>
      </c>
      <c r="P44" s="6">
        <f>VLOOKUP($N$2,角色品星!$C$16:$D$20,2,0)*VLOOKUP($N$3,角色品星!$C$3:$E$14,3,0)*X44</f>
        <v>2765.7098511918271</v>
      </c>
      <c r="Q44" s="22">
        <f t="shared" si="3"/>
        <v>0.05</v>
      </c>
      <c r="R44" s="22">
        <f t="shared" si="4"/>
        <v>1.5</v>
      </c>
      <c r="S44" s="22">
        <f t="shared" si="5"/>
        <v>0.9</v>
      </c>
      <c r="T44" s="37">
        <f>N44*(1+Q44*(R44-1))*S44*战斗公式!$E$38+(P44*战斗公式!$E$39+1)*O44*战斗公式!$E$40</f>
        <v>14556.768808105495</v>
      </c>
      <c r="U44" s="37">
        <f t="shared" si="6"/>
        <v>716.94015068717272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0"/>
      <c r="AE44" s="20"/>
      <c r="AF44" s="20"/>
      <c r="AG44" s="9"/>
      <c r="AH44" s="9"/>
      <c r="AI44" s="9"/>
      <c r="AJ44" s="9"/>
      <c r="AK44" s="9"/>
      <c r="AL44" s="9"/>
    </row>
    <row r="45" spans="2:38" ht="14.25" customHeight="1" x14ac:dyDescent="0.2">
      <c r="E45" s="6"/>
      <c r="F45" s="6"/>
      <c r="G45" s="6"/>
      <c r="H45" s="6"/>
      <c r="I45" s="24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291.17600371839092</v>
      </c>
      <c r="O45" s="6">
        <f>VLOOKUP($N$2,角色品星!$C$16:$D$20,2,0)*VLOOKUP($N$3,角色品星!$C$3:$E$14,3,0)*W45</f>
        <v>8316.9388559187446</v>
      </c>
      <c r="P45" s="6">
        <f>VLOOKUP($N$2,角色品星!$C$16:$D$20,2,0)*VLOOKUP($N$3,角色品星!$C$3:$E$14,3,0)*X45</f>
        <v>2903.9953437514182</v>
      </c>
      <c r="Q45" s="22">
        <f t="shared" si="3"/>
        <v>0.05</v>
      </c>
      <c r="R45" s="22">
        <f t="shared" si="4"/>
        <v>1.5</v>
      </c>
      <c r="S45" s="22">
        <f t="shared" si="5"/>
        <v>0.9</v>
      </c>
      <c r="T45" s="37">
        <f>N45*(1+Q45*(R45-1))*S45*战斗公式!$E$38+(P45*战斗公式!$E$39+1)*O45*战斗公式!$E$40</f>
        <v>15273.708958792668</v>
      </c>
      <c r="U45" s="37">
        <f t="shared" si="6"/>
        <v>751.73429144969487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0"/>
      <c r="AE45" s="20"/>
      <c r="AF45" s="20"/>
      <c r="AG45" s="9"/>
      <c r="AH45" s="9"/>
      <c r="AI45" s="9"/>
      <c r="AJ45" s="9"/>
      <c r="AK45" s="9"/>
      <c r="AL45" s="9"/>
    </row>
    <row r="46" spans="2:38" ht="14.25" customHeight="1" x14ac:dyDescent="0.2">
      <c r="E46" s="6"/>
      <c r="F46" s="6"/>
      <c r="G46" s="6"/>
      <c r="H46" s="6"/>
      <c r="I46" s="24"/>
      <c r="J46" s="6"/>
      <c r="K46" s="6"/>
      <c r="L46" s="6">
        <f t="shared" si="2"/>
        <v>2.8561253605883348</v>
      </c>
      <c r="M46" s="1">
        <v>42</v>
      </c>
      <c r="N46" s="6">
        <f>VLOOKUP($N$2,角色品星!$C$16:$D$20,2,0)*VLOOKUP($N$3,角色品星!$C$3:$E$14,3,0)*V46</f>
        <v>305.73480390431035</v>
      </c>
      <c r="O46" s="6">
        <f>VLOOKUP($N$2,角色品星!$C$16:$D$20,2,0)*VLOOKUP($N$3,角色品星!$C$3:$E$14,3,0)*W46</f>
        <v>8708.8834857348065</v>
      </c>
      <c r="P46" s="6">
        <f>VLOOKUP($N$2,角色品星!$C$16:$D$20,2,0)*VLOOKUP($N$3,角色品星!$C$3:$E$14,3,0)*X46</f>
        <v>3049.1951109389888</v>
      </c>
      <c r="Q46" s="22">
        <f t="shared" si="3"/>
        <v>0.05</v>
      </c>
      <c r="R46" s="22">
        <f t="shared" si="4"/>
        <v>1.5</v>
      </c>
      <c r="S46" s="22">
        <f t="shared" si="5"/>
        <v>0.9</v>
      </c>
      <c r="T46" s="37">
        <f>N46*(1+Q46*(R46-1))*S46*战斗公式!$E$38+(P46*战斗公式!$E$39+1)*O46*战斗公式!$E$40</f>
        <v>16025.443250242362</v>
      </c>
      <c r="U46" s="37">
        <f t="shared" si="6"/>
        <v>788.16973211604272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0"/>
      <c r="AE46" s="20"/>
      <c r="AF46" s="20"/>
      <c r="AG46" s="9"/>
      <c r="AH46" s="9"/>
      <c r="AI46" s="9"/>
      <c r="AJ46" s="9"/>
      <c r="AK46" s="9"/>
      <c r="AL46" s="9"/>
    </row>
    <row r="47" spans="2:38" ht="14.25" customHeight="1" x14ac:dyDescent="0.2">
      <c r="E47" s="6"/>
      <c r="F47" s="6"/>
      <c r="G47" s="6"/>
      <c r="H47" s="6"/>
      <c r="I47" s="24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321.02154409952601</v>
      </c>
      <c r="O47" s="6">
        <f>VLOOKUP($N$2,角色品星!$C$16:$D$20,2,0)*VLOOKUP($N$3,角色品星!$C$3:$E$14,3,0)*W47</f>
        <v>9118.1227992293971</v>
      </c>
      <c r="P47" s="6">
        <f>VLOOKUP($N$2,角色品星!$C$16:$D$20,2,0)*VLOOKUP($N$3,角色品星!$C$3:$E$14,3,0)*X47</f>
        <v>3201.6548664859383</v>
      </c>
      <c r="Q47" s="22">
        <f t="shared" si="3"/>
        <v>0.05</v>
      </c>
      <c r="R47" s="22">
        <f t="shared" si="4"/>
        <v>1.5</v>
      </c>
      <c r="S47" s="22">
        <f t="shared" si="5"/>
        <v>0.9</v>
      </c>
      <c r="T47" s="37">
        <f>N47*(1+Q47*(R47-1))*S47*战斗公式!$E$38+(P47*战斗公式!$E$39+1)*O47*战斗公式!$E$40</f>
        <v>16813.612982358405</v>
      </c>
      <c r="U47" s="37">
        <f t="shared" si="6"/>
        <v>826.319827245341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0"/>
      <c r="AE47" s="20"/>
      <c r="AF47" s="20"/>
      <c r="AG47" s="9"/>
      <c r="AH47" s="9"/>
      <c r="AI47" s="9"/>
      <c r="AJ47" s="9"/>
      <c r="AK47" s="9"/>
      <c r="AL47" s="9"/>
    </row>
    <row r="48" spans="2:38" ht="14.25" customHeight="1" x14ac:dyDescent="0.2">
      <c r="E48" s="6"/>
      <c r="F48" s="6"/>
      <c r="G48" s="6"/>
      <c r="H48" s="6"/>
      <c r="I48" s="24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337.07262130450232</v>
      </c>
      <c r="O48" s="6">
        <f>VLOOKUP($N$2,角色品星!$C$16:$D$20,2,0)*VLOOKUP($N$3,角色品星!$C$3:$E$14,3,0)*W48</f>
        <v>9545.3072954457039</v>
      </c>
      <c r="P48" s="6">
        <f>VLOOKUP($N$2,角色品星!$C$16:$D$20,2,0)*VLOOKUP($N$3,角色品星!$C$3:$E$14,3,0)*X48</f>
        <v>3361.7376098102354</v>
      </c>
      <c r="Q48" s="22">
        <f t="shared" si="3"/>
        <v>0.05</v>
      </c>
      <c r="R48" s="22">
        <f t="shared" si="4"/>
        <v>1.5</v>
      </c>
      <c r="S48" s="22">
        <f t="shared" si="5"/>
        <v>0.9</v>
      </c>
      <c r="T48" s="37">
        <f>N48*(1+Q48*(R48-1))*S48*战斗公式!$E$38+(P48*战斗公式!$E$39+1)*O48*战斗公式!$E$40</f>
        <v>17639.932809603746</v>
      </c>
      <c r="U48" s="37">
        <f t="shared" si="6"/>
        <v>866.26089887271519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0"/>
      <c r="AE48" s="20"/>
      <c r="AF48" s="20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4"/>
      <c r="J49" s="6"/>
      <c r="K49" s="6"/>
      <c r="L49" s="6">
        <f t="shared" si="2"/>
        <v>2.8304810067629695</v>
      </c>
      <c r="M49" s="1">
        <v>45</v>
      </c>
      <c r="N49" s="6">
        <f>VLOOKUP($N$2,角色品星!$C$16:$D$20,2,0)*VLOOKUP($N$3,角色品星!$C$3:$E$14,3,0)*V49</f>
        <v>353.92625236972742</v>
      </c>
      <c r="O49" s="6">
        <f>VLOOKUP($N$2,角色品星!$C$16:$D$20,2,0)*VLOOKUP($N$3,角色品星!$C$3:$E$14,3,0)*W49</f>
        <v>9991.1011770030436</v>
      </c>
      <c r="P49" s="6">
        <f>VLOOKUP($N$2,角色品星!$C$16:$D$20,2,0)*VLOOKUP($N$3,角色品星!$C$3:$E$14,3,0)*X49</f>
        <v>3529.8244903007467</v>
      </c>
      <c r="Q49" s="22">
        <f t="shared" si="3"/>
        <v>0.05</v>
      </c>
      <c r="R49" s="22">
        <f t="shared" si="4"/>
        <v>1.5</v>
      </c>
      <c r="S49" s="22">
        <f t="shared" si="5"/>
        <v>0.9</v>
      </c>
      <c r="T49" s="37">
        <f>N49*(1+Q49*(R49-1))*S49*战斗公式!$E$38+(P49*战斗公式!$E$39+1)*O49*战斗公式!$E$40</f>
        <v>18506.193708476461</v>
      </c>
      <c r="U49" s="37">
        <f t="shared" si="6"/>
        <v>908.07233875063321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0"/>
      <c r="AE49" s="20"/>
      <c r="AF49" s="20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4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371.62256498821375</v>
      </c>
      <c r="O50" s="6">
        <f>VLOOKUP($N$2,角色品星!$C$16:$D$20,2,0)*VLOOKUP($N$3,角色品星!$C$3:$E$14,3,0)*W50</f>
        <v>10456.181542506818</v>
      </c>
      <c r="P50" s="6">
        <f>VLOOKUP($N$2,角色品星!$C$16:$D$20,2,0)*VLOOKUP($N$3,角色品星!$C$3:$E$14,3,0)*X50</f>
        <v>3706.3157148157852</v>
      </c>
      <c r="Q50" s="22">
        <f t="shared" si="3"/>
        <v>0.05</v>
      </c>
      <c r="R50" s="22">
        <f t="shared" si="4"/>
        <v>1.5</v>
      </c>
      <c r="S50" s="22">
        <f t="shared" si="5"/>
        <v>0.9</v>
      </c>
      <c r="T50" s="37">
        <f>N50*(1+Q50*(R50-1))*S50*战斗公式!$E$38+(P50*战斗公式!$E$39+1)*O50*战斗公式!$E$40</f>
        <v>19414.266047227095</v>
      </c>
      <c r="U50" s="37">
        <f t="shared" si="6"/>
        <v>951.83671413543925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0"/>
      <c r="AE50" s="20"/>
      <c r="AF50" s="20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4"/>
      <c r="J51" s="6"/>
      <c r="K51" s="6"/>
      <c r="L51" s="6">
        <f t="shared" si="2"/>
        <v>2.8114782814394244</v>
      </c>
      <c r="M51" s="1">
        <v>47</v>
      </c>
      <c r="N51" s="6">
        <f>VLOOKUP($N$2,角色品星!$C$16:$D$20,2,0)*VLOOKUP($N$3,角色品星!$C$3:$E$14,3,0)*V51</f>
        <v>390.20369323762446</v>
      </c>
      <c r="O51" s="6">
        <f>VLOOKUP($N$2,角色品星!$C$16:$D$20,2,0)*VLOOKUP($N$3,角色品星!$C$3:$E$14,3,0)*W51</f>
        <v>10941.237443180322</v>
      </c>
      <c r="P51" s="6">
        <f>VLOOKUP($N$2,角色品星!$C$16:$D$20,2,0)*VLOOKUP($N$3,角色品星!$C$3:$E$14,3,0)*X51</f>
        <v>3891.631500556573</v>
      </c>
      <c r="Q51" s="22">
        <f t="shared" si="3"/>
        <v>0.05</v>
      </c>
      <c r="R51" s="22">
        <f t="shared" si="4"/>
        <v>1.5</v>
      </c>
      <c r="S51" s="22">
        <f t="shared" si="5"/>
        <v>0.9</v>
      </c>
      <c r="T51" s="37">
        <f>N51*(1+Q51*(R51-1))*S51*战斗公式!$E$38+(P51*战斗公式!$E$39+1)*O51*战斗公式!$E$40</f>
        <v>20366.102761362534</v>
      </c>
      <c r="U51" s="37">
        <f t="shared" si="6"/>
        <v>997.63987747717329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0"/>
      <c r="AE51" s="20"/>
      <c r="AF51" s="20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4"/>
      <c r="J52" s="6"/>
      <c r="K52" s="6"/>
      <c r="L52" s="6">
        <f t="shared" si="2"/>
        <v>2.8013636544198817</v>
      </c>
      <c r="M52" s="1">
        <v>48</v>
      </c>
      <c r="N52" s="6">
        <f>VLOOKUP($N$2,角色品星!$C$16:$D$20,2,0)*VLOOKUP($N$3,角色品星!$C$3:$E$14,3,0)*V52</f>
        <v>409.71387789950575</v>
      </c>
      <c r="O52" s="6">
        <f>VLOOKUP($N$2,角色品星!$C$16:$D$20,2,0)*VLOOKUP($N$3,角色品星!$C$3:$E$14,3,0)*W52</f>
        <v>11446.968794157428</v>
      </c>
      <c r="P52" s="6">
        <f>VLOOKUP($N$2,角色品星!$C$16:$D$20,2,0)*VLOOKUP($N$3,角色品星!$C$3:$E$14,3,0)*X52</f>
        <v>4086.2130755844037</v>
      </c>
      <c r="Q52" s="22">
        <f t="shared" si="3"/>
        <v>0.05</v>
      </c>
      <c r="R52" s="22">
        <f t="shared" si="4"/>
        <v>1.5</v>
      </c>
      <c r="S52" s="22">
        <f t="shared" si="5"/>
        <v>0.9</v>
      </c>
      <c r="T52" s="37">
        <f>N52*(1+Q52*(R52-1))*S52*战斗公式!$E$38+(P52*战斗公式!$E$39+1)*O52*战斗公式!$E$40</f>
        <v>21363.742638839707</v>
      </c>
      <c r="U52" s="37">
        <f t="shared" si="6"/>
        <v>1045.5710804347982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0"/>
      <c r="AE52" s="20"/>
      <c r="AF52" s="20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4"/>
      <c r="J53" s="6"/>
      <c r="K53" s="6"/>
      <c r="L53" s="6">
        <f t="shared" si="2"/>
        <v>2.7908213276860114</v>
      </c>
      <c r="M53" s="1">
        <v>49</v>
      </c>
      <c r="N53" s="6">
        <f>VLOOKUP($N$2,角色品星!$C$16:$D$20,2,0)*VLOOKUP($N$3,角色品星!$C$3:$E$14,3,0)*V53</f>
        <v>430.19957179448107</v>
      </c>
      <c r="O53" s="6">
        <f>VLOOKUP($N$2,角色品星!$C$16:$D$20,2,0)*VLOOKUP($N$3,角色品星!$C$3:$E$14,3,0)*W53</f>
        <v>11974.085130850923</v>
      </c>
      <c r="P53" s="6">
        <f>VLOOKUP($N$2,角色品星!$C$16:$D$20,2,0)*VLOOKUP($N$3,角色品星!$C$3:$E$14,3,0)*X53</f>
        <v>4290.5237293636228</v>
      </c>
      <c r="Q53" s="22">
        <f t="shared" si="3"/>
        <v>0.05</v>
      </c>
      <c r="R53" s="22">
        <f t="shared" si="4"/>
        <v>1.5</v>
      </c>
      <c r="S53" s="22">
        <f t="shared" si="5"/>
        <v>0.9</v>
      </c>
      <c r="T53" s="37">
        <f>N53*(1+Q53*(R53-1))*S53*战斗公式!$E$38+(P53*战斗公式!$E$39+1)*O53*战斗公式!$E$40</f>
        <v>22409.313719274505</v>
      </c>
      <c r="U53" s="37">
        <f t="shared" si="6"/>
        <v>1095.7230927112614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0"/>
      <c r="AE53" s="20"/>
      <c r="AF53" s="20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4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451.7095503842051</v>
      </c>
      <c r="O54" s="6">
        <f>VLOOKUP($N$2,角色品星!$C$16:$D$20,2,0)*VLOOKUP($N$3,角色品星!$C$3:$E$14,3,0)*W54</f>
        <v>12523.30420088855</v>
      </c>
      <c r="P54" s="6">
        <f>VLOOKUP($N$2,角色品星!$C$16:$D$20,2,0)*VLOOKUP($N$3,角色品星!$C$3:$E$14,3,0)*X54</f>
        <v>4505.0499158318044</v>
      </c>
      <c r="Q54" s="22">
        <f t="shared" si="3"/>
        <v>0.05</v>
      </c>
      <c r="R54" s="22">
        <f t="shared" si="4"/>
        <v>1.5</v>
      </c>
      <c r="S54" s="22">
        <f t="shared" si="5"/>
        <v>0.9</v>
      </c>
      <c r="T54" s="37">
        <f>N54*(1+Q54*(R54-1))*S54*战斗公式!$E$38+(P54*战斗公式!$E$39+1)*O54*战斗公式!$E$40</f>
        <v>23505.036811985767</v>
      </c>
      <c r="U54" s="37">
        <f t="shared" si="6"/>
        <v>1148.1923262842465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0"/>
      <c r="AE54" s="20"/>
      <c r="AF54" s="20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4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474.29502790341542</v>
      </c>
      <c r="O55" s="6">
        <f>VLOOKUP($N$2,角色品星!$C$16:$D$20,2,0)*VLOOKUP($N$3,角色品星!$C$3:$E$14,3,0)*W55</f>
        <v>13095.35038230289</v>
      </c>
      <c r="P55" s="6">
        <f>VLOOKUP($N$2,角色品星!$C$16:$D$20,2,0)*VLOOKUP($N$3,角色品星!$C$3:$E$14,3,0)*X55</f>
        <v>4730.3024116233946</v>
      </c>
      <c r="Q55" s="22">
        <f t="shared" si="3"/>
        <v>0.05</v>
      </c>
      <c r="R55" s="22">
        <f t="shared" si="4"/>
        <v>1.5</v>
      </c>
      <c r="S55" s="22">
        <f t="shared" si="5"/>
        <v>0.9</v>
      </c>
      <c r="T55" s="37">
        <f>N55*(1+Q55*(R55-1))*S55*战斗公式!$E$38+(P55*战斗公式!$E$39+1)*O55*战斗公式!$E$40</f>
        <v>24653.229138270013</v>
      </c>
      <c r="U55" s="37">
        <f t="shared" si="6"/>
        <v>1203.078965699111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0"/>
      <c r="AE55" s="20"/>
      <c r="AF55" s="20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4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498.00977929858618</v>
      </c>
      <c r="O56" s="6">
        <f>VLOOKUP($N$2,角色品星!$C$16:$D$20,2,0)*VLOOKUP($N$3,角色品星!$C$3:$E$14,3,0)*W56</f>
        <v>13690.952918989251</v>
      </c>
      <c r="P56" s="6">
        <f>VLOOKUP($N$2,角色品星!$C$16:$D$20,2,0)*VLOOKUP($N$3,角色品星!$C$3:$E$14,3,0)*X56</f>
        <v>4966.8175322045645</v>
      </c>
      <c r="Q56" s="22">
        <f t="shared" si="3"/>
        <v>0.05</v>
      </c>
      <c r="R56" s="22">
        <f t="shared" si="4"/>
        <v>1.5</v>
      </c>
      <c r="S56" s="22">
        <f t="shared" si="5"/>
        <v>0.9</v>
      </c>
      <c r="T56" s="37">
        <f>N56*(1+Q56*(R56-1))*S56*战斗公式!$E$38+(P56*战斗公式!$E$39+1)*O56*战斗公式!$E$40</f>
        <v>25856.308103969124</v>
      </c>
      <c r="U56" s="37">
        <f t="shared" si="6"/>
        <v>1260.487105190914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0"/>
      <c r="AE56" s="20"/>
      <c r="AF56" s="20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4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522.91026826351538</v>
      </c>
      <c r="O57" s="6">
        <f>VLOOKUP($N$2,角色品星!$C$16:$D$20,2,0)*VLOOKUP($N$3,角色品星!$C$3:$E$14,3,0)*W57</f>
        <v>14310.843964923637</v>
      </c>
      <c r="P57" s="6">
        <f>VLOOKUP($N$2,角色品星!$C$16:$D$20,2,0)*VLOOKUP($N$3,角色品星!$C$3:$E$14,3,0)*X57</f>
        <v>5215.1584088147929</v>
      </c>
      <c r="Q57" s="22">
        <f t="shared" si="3"/>
        <v>0.05</v>
      </c>
      <c r="R57" s="22">
        <f t="shared" si="4"/>
        <v>1.5</v>
      </c>
      <c r="S57" s="22">
        <f t="shared" si="5"/>
        <v>0.9</v>
      </c>
      <c r="T57" s="37">
        <f>N57*(1+Q57*(R57-1))*S57*战斗公式!$E$38+(P57*战斗公式!$E$39+1)*O57*战斗公式!$E$40</f>
        <v>27116.795209160038</v>
      </c>
      <c r="U57" s="37">
        <f t="shared" si="6"/>
        <v>1320.5248935129239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0"/>
      <c r="AE57" s="20"/>
      <c r="AF57" s="20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4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549.05578167669125</v>
      </c>
      <c r="O58" s="6">
        <f>VLOOKUP($N$2,角色品星!$C$16:$D$20,2,0)*VLOOKUP($N$3,角色品星!$C$3:$E$14,3,0)*W58</f>
        <v>14955.756429279663</v>
      </c>
      <c r="P58" s="6">
        <f>VLOOKUP($N$2,角色品星!$C$16:$D$20,2,0)*VLOOKUP($N$3,角色品星!$C$3:$E$14,3,0)*X58</f>
        <v>5475.9163292555322</v>
      </c>
      <c r="Q58" s="22">
        <f t="shared" si="3"/>
        <v>0.05</v>
      </c>
      <c r="R58" s="22">
        <f t="shared" si="4"/>
        <v>1.5</v>
      </c>
      <c r="S58" s="22">
        <f t="shared" si="5"/>
        <v>0.9</v>
      </c>
      <c r="T58" s="37">
        <f>N58*(1+Q58*(R58-1))*S58*战斗公式!$E$38+(P58*战斗公式!$E$39+1)*O58*战斗公式!$E$40</f>
        <v>28437.320102672962</v>
      </c>
      <c r="U58" s="37">
        <f t="shared" si="6"/>
        <v>1383.3046874693209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0"/>
      <c r="AE58" s="20"/>
      <c r="AF58" s="20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4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576.50857076052569</v>
      </c>
      <c r="O59" s="6">
        <f>VLOOKUP($N$2,角色品星!$C$16:$D$20,2,0)*VLOOKUP($N$3,角色品星!$C$3:$E$14,3,0)*W59</f>
        <v>15626.421615414994</v>
      </c>
      <c r="P59" s="6">
        <f>VLOOKUP($N$2,角色品星!$C$16:$D$20,2,0)*VLOOKUP($N$3,角色品星!$C$3:$E$14,3,0)*X59</f>
        <v>5749.7121457183084</v>
      </c>
      <c r="Q59" s="22">
        <f t="shared" si="3"/>
        <v>0.05</v>
      </c>
      <c r="R59" s="22">
        <f t="shared" si="4"/>
        <v>1.5</v>
      </c>
      <c r="S59" s="22">
        <f t="shared" si="5"/>
        <v>0.9</v>
      </c>
      <c r="T59" s="37">
        <f>N59*(1+Q59*(R59-1))*S59*战斗公式!$E$38+(P59*战斗公式!$E$39+1)*O59*战斗公式!$E$40</f>
        <v>29820.624790142283</v>
      </c>
      <c r="U59" s="37">
        <f t="shared" si="6"/>
        <v>1448.9432152808295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0"/>
      <c r="AE59" s="20"/>
      <c r="AF59" s="20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4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605.33399929855204</v>
      </c>
      <c r="O60" s="6">
        <f>VLOOKUP($N$2,角色品星!$C$16:$D$20,2,0)*VLOOKUP($N$3,角色品星!$C$3:$E$14,3,0)*W60</f>
        <v>16323.566647733163</v>
      </c>
      <c r="P60" s="6">
        <f>VLOOKUP($N$2,角色品星!$C$16:$D$20,2,0)*VLOOKUP($N$3,角色品星!$C$3:$E$14,3,0)*X60</f>
        <v>6037.197753004225</v>
      </c>
      <c r="Q60" s="22">
        <f t="shared" si="3"/>
        <v>0.05</v>
      </c>
      <c r="R60" s="22">
        <f t="shared" si="4"/>
        <v>1.5</v>
      </c>
      <c r="S60" s="22">
        <f t="shared" si="5"/>
        <v>0.9</v>
      </c>
      <c r="T60" s="37">
        <f>N60*(1+Q60*(R60-1))*S60*战斗公式!$E$38+(P60*战斗公式!$E$39+1)*O60*战斗公式!$E$40</f>
        <v>31269.568005423112</v>
      </c>
      <c r="U60" s="37">
        <f t="shared" si="6"/>
        <v>1517.5617510519442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0"/>
      <c r="AE60" s="20"/>
      <c r="AF60" s="20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4"/>
      <c r="J61" s="6"/>
      <c r="K61" s="6"/>
      <c r="L61" s="6">
        <f t="shared" si="2"/>
        <v>2.6893447966694013</v>
      </c>
      <c r="M61" s="1">
        <v>57</v>
      </c>
      <c r="N61" s="6">
        <f>VLOOKUP($N$2,角色品星!$C$16:$D$20,2,0)*VLOOKUP($N$3,角色品星!$C$3:$E$14,3,0)*V61</f>
        <v>635.60069926347956</v>
      </c>
      <c r="O61" s="6">
        <f>VLOOKUP($N$2,角色品星!$C$16:$D$20,2,0)*VLOOKUP($N$3,角色品星!$C$3:$E$14,3,0)*W61</f>
        <v>17047.911681681417</v>
      </c>
      <c r="P61" s="6">
        <f>VLOOKUP($N$2,角色品星!$C$16:$D$20,2,0)*VLOOKUP($N$3,角色品星!$C$3:$E$14,3,0)*X61</f>
        <v>6339.0576406544351</v>
      </c>
      <c r="Q61" s="22">
        <f t="shared" si="3"/>
        <v>0.05</v>
      </c>
      <c r="R61" s="22">
        <f t="shared" si="4"/>
        <v>1.5</v>
      </c>
      <c r="S61" s="22">
        <f t="shared" si="5"/>
        <v>0.9</v>
      </c>
      <c r="T61" s="37">
        <f>N61*(1+Q61*(R61-1))*S61*战斗公式!$E$38+(P61*战斗公式!$E$39+1)*O61*战斗公式!$E$40</f>
        <v>32787.129756475057</v>
      </c>
      <c r="U61" s="37">
        <f t="shared" si="6"/>
        <v>1589.2863017586496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0"/>
      <c r="AE61" s="20"/>
      <c r="AF61" s="20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4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667.38073422665354</v>
      </c>
      <c r="O62" s="6">
        <f>VLOOKUP($N$2,角色品星!$C$16:$D$20,2,0)*VLOOKUP($N$3,角色品星!$C$3:$E$14,3,0)*W62</f>
        <v>17800.166893635269</v>
      </c>
      <c r="P62" s="6">
        <f>VLOOKUP($N$2,角色品星!$C$16:$D$20,2,0)*VLOOKUP($N$3,角色品星!$C$3:$E$14,3,0)*X62</f>
        <v>6656.0105226871583</v>
      </c>
      <c r="Q62" s="22">
        <f t="shared" si="3"/>
        <v>0.05</v>
      </c>
      <c r="R62" s="22">
        <f t="shared" si="4"/>
        <v>1.5</v>
      </c>
      <c r="S62" s="22">
        <f t="shared" si="5"/>
        <v>0.9</v>
      </c>
      <c r="T62" s="37">
        <f>N62*(1+Q62*(R62-1))*S62*战斗公式!$E$38+(P62*战斗公式!$E$39+1)*O62*战斗公式!$E$40</f>
        <v>34376.416058233706</v>
      </c>
      <c r="U62" s="37">
        <f t="shared" si="6"/>
        <v>1664.2478083327442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0"/>
      <c r="AE62" s="20"/>
      <c r="AF62" s="20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4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700.74977093798634</v>
      </c>
      <c r="O63" s="6">
        <f>VLOOKUP($N$2,角色品星!$C$16:$D$20,2,0)*VLOOKUP($N$3,角色品星!$C$3:$E$14,3,0)*W63</f>
        <v>18581.029249159154</v>
      </c>
      <c r="P63" s="6">
        <f>VLOOKUP($N$2,角色品星!$C$16:$D$20,2,0)*VLOOKUP($N$3,角色品星!$C$3:$E$14,3,0)*X63</f>
        <v>6988.8110488215161</v>
      </c>
      <c r="Q63" s="22">
        <f t="shared" si="3"/>
        <v>0.05</v>
      </c>
      <c r="R63" s="22">
        <f t="shared" si="4"/>
        <v>1.5</v>
      </c>
      <c r="S63" s="22">
        <f t="shared" si="5"/>
        <v>0.9</v>
      </c>
      <c r="T63" s="37">
        <f>N63*(1+Q63*(R63-1))*S63*战斗公式!$E$38+(P63*战斗公式!$E$39+1)*O63*战斗公式!$E$40</f>
        <v>36040.66386656645</v>
      </c>
      <c r="U63" s="37">
        <f t="shared" si="6"/>
        <v>1742.5823625858102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0"/>
      <c r="AE63" s="20"/>
      <c r="AF63" s="20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4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735.78725948488568</v>
      </c>
      <c r="O64" s="6">
        <f>VLOOKUP($N$2,角色品星!$C$16:$D$20,2,0)*VLOOKUP($N$3,角色品星!$C$3:$E$14,3,0)*W64</f>
        <v>19391.179050132072</v>
      </c>
      <c r="P64" s="6">
        <f>VLOOKUP($N$2,角色品星!$C$16:$D$20,2,0)*VLOOKUP($N$3,角色品星!$C$3:$E$14,3,0)*X64</f>
        <v>7338.251601262592</v>
      </c>
      <c r="Q64" s="22">
        <f t="shared" si="3"/>
        <v>0.05</v>
      </c>
      <c r="R64" s="22">
        <f t="shared" si="4"/>
        <v>1.5</v>
      </c>
      <c r="S64" s="22">
        <f t="shared" si="5"/>
        <v>0.9</v>
      </c>
      <c r="T64" s="37">
        <f>N64*(1+Q64*(R64-1))*S64*战斗公式!$E$38+(P64*战斗公式!$E$39+1)*O64*战斗公式!$E$40</f>
        <v>37783.246229152261</v>
      </c>
      <c r="U64" s="37">
        <f t="shared" si="6"/>
        <v>1824.4314418853246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0"/>
      <c r="AE64" s="20"/>
      <c r="AF64" s="20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4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772.57662245912979</v>
      </c>
      <c r="O65" s="6">
        <f>VLOOKUP($N$2,角色品星!$C$16:$D$20,2,0)*VLOOKUP($N$3,角色品星!$C$3:$E$14,3,0)*W65</f>
        <v>20231.276263494099</v>
      </c>
      <c r="P65" s="6">
        <f>VLOOKUP($N$2,角色品星!$C$16:$D$20,2,0)*VLOOKUP($N$3,角色品星!$C$3:$E$14,3,0)*X65</f>
        <v>7705.1641813257211</v>
      </c>
      <c r="Q65" s="22">
        <f t="shared" si="3"/>
        <v>0.05</v>
      </c>
      <c r="R65" s="22">
        <f t="shared" si="4"/>
        <v>1.5</v>
      </c>
      <c r="S65" s="22">
        <f t="shared" si="5"/>
        <v>0.9</v>
      </c>
      <c r="T65" s="37">
        <f>N65*(1+Q65*(R65-1))*S65*战斗公式!$E$38+(P65*战斗公式!$E$39+1)*O65*战斗公式!$E$40</f>
        <v>39607.677671037585</v>
      </c>
      <c r="U65" s="37">
        <f t="shared" si="6"/>
        <v>1909.94216367232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0"/>
      <c r="AE65" s="20"/>
      <c r="AF65" s="20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4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811.20545358208653</v>
      </c>
      <c r="O66" s="6">
        <f>VLOOKUP($N$2,角色品星!$C$16:$D$20,2,0)*VLOOKUP($N$3,角色品星!$C$3:$E$14,3,0)*W66</f>
        <v>21101.956636909683</v>
      </c>
      <c r="P66" s="6">
        <f>VLOOKUP($N$2,角色品星!$C$16:$D$20,2,0)*VLOOKUP($N$3,角色品星!$C$3:$E$14,3,0)*X66</f>
        <v>8090.4223903920083</v>
      </c>
      <c r="Q66" s="22">
        <f t="shared" si="3"/>
        <v>0.05</v>
      </c>
      <c r="R66" s="22">
        <f t="shared" si="4"/>
        <v>1.5</v>
      </c>
      <c r="S66" s="22">
        <f t="shared" si="5"/>
        <v>0.9</v>
      </c>
      <c r="T66" s="37">
        <f>N66*(1+Q66*(R66-1))*S66*战斗公式!$E$38+(P66*战斗公式!$E$39+1)*O66*战斗公式!$E$40</f>
        <v>41517.619834709905</v>
      </c>
      <c r="U66" s="37">
        <f t="shared" si="6"/>
        <v>1999.2675620854498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0"/>
      <c r="AE66" s="20"/>
      <c r="AF66" s="20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4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851.76572626119048</v>
      </c>
      <c r="O67" s="6">
        <f>VLOOKUP($N$2,角色品星!$C$16:$D$20,2,0)*VLOOKUP($N$3,角色品星!$C$3:$E$14,3,0)*W67</f>
        <v>22003.827609455107</v>
      </c>
      <c r="P67" s="6">
        <f>VLOOKUP($N$2,角色品星!$C$16:$D$20,2,0)*VLOOKUP($N$3,角色品星!$C$3:$E$14,3,0)*X67</f>
        <v>8494.9435099116054</v>
      </c>
      <c r="Q67" s="22">
        <f t="shared" si="3"/>
        <v>0.05</v>
      </c>
      <c r="R67" s="22">
        <f t="shared" si="4"/>
        <v>1.5</v>
      </c>
      <c r="S67" s="22">
        <f t="shared" si="5"/>
        <v>0.9</v>
      </c>
      <c r="T67" s="37">
        <f>N67*(1+Q67*(R67-1))*S67*战斗公式!$E$38+(P67*战斗公式!$E$39+1)*O67*战斗公式!$E$40</f>
        <v>43516.887396795355</v>
      </c>
      <c r="U67" s="37">
        <f t="shared" si="6"/>
        <v>2092.5668891333407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0"/>
      <c r="AE67" s="20"/>
      <c r="AF67" s="20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4"/>
      <c r="J68" s="6"/>
      <c r="K68" s="6"/>
      <c r="L68" s="6">
        <f t="shared" si="2"/>
        <v>2.5715537497327312</v>
      </c>
      <c r="M68" s="1">
        <v>64</v>
      </c>
      <c r="N68" s="6">
        <f>VLOOKUP($N$2,角色品星!$C$16:$D$20,2,0)*VLOOKUP($N$3,角色品星!$C$3:$E$14,3,0)*V68</f>
        <v>894.35401257425031</v>
      </c>
      <c r="O68" s="6">
        <f>VLOOKUP($N$2,角色品星!$C$16:$D$20,2,0)*VLOOKUP($N$3,角色品星!$C$3:$E$14,3,0)*W68</f>
        <v>22937.464028514973</v>
      </c>
      <c r="P68" s="6">
        <f>VLOOKUP($N$2,角色品星!$C$16:$D$20,2,0)*VLOOKUP($N$3,角色品星!$C$3:$E$14,3,0)*X68</f>
        <v>8919.6906854071894</v>
      </c>
      <c r="Q68" s="22">
        <f t="shared" si="3"/>
        <v>0.05</v>
      </c>
      <c r="R68" s="22">
        <f t="shared" si="4"/>
        <v>1.5</v>
      </c>
      <c r="S68" s="22">
        <f t="shared" si="5"/>
        <v>0.9</v>
      </c>
      <c r="T68" s="37">
        <f>N68*(1+Q68*(R68-1))*S68*战斗公式!$E$38+(P68*战斗公式!$E$39+1)*O68*战斗公式!$E$40</f>
        <v>45609.454285928696</v>
      </c>
      <c r="U68" s="37">
        <f t="shared" si="6"/>
        <v>2190.0059430270194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0"/>
      <c r="AE68" s="20"/>
      <c r="AF68" s="20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4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939.071713202963</v>
      </c>
      <c r="O69" s="6">
        <f>VLOOKUP($N$2,角色品星!$C$16:$D$20,2,0)*VLOOKUP($N$3,角色品星!$C$3:$E$14,3,0)*W69</f>
        <v>23903.403687401893</v>
      </c>
      <c r="P69" s="6">
        <f>VLOOKUP($N$2,角色品星!$C$16:$D$20,2,0)*VLOOKUP($N$3,角色品星!$C$3:$E$14,3,0)*X69</f>
        <v>9365.6752196775487</v>
      </c>
      <c r="Q69" s="22">
        <f t="shared" si="3"/>
        <v>0.05</v>
      </c>
      <c r="R69" s="22">
        <f t="shared" si="4"/>
        <v>1.5</v>
      </c>
      <c r="S69" s="22">
        <f t="shared" si="5"/>
        <v>0.9</v>
      </c>
      <c r="T69" s="37">
        <f>N69*(1+Q69*(R69-1))*S69*战斗公式!$E$38+(P69*战斗公式!$E$39+1)*O69*战斗公式!$E$40</f>
        <v>47799.460228955715</v>
      </c>
      <c r="U69" s="37">
        <f t="shared" si="6"/>
        <v>2291.7574264502837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0"/>
      <c r="AE69" s="20"/>
      <c r="AF69" s="20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4"/>
      <c r="J70" s="6"/>
      <c r="K70" s="6"/>
      <c r="L70" s="6">
        <f t="shared" ref="L70:L104" si="9">O70/P70</f>
        <v>2.5322601762674903</v>
      </c>
      <c r="M70" s="1">
        <v>66</v>
      </c>
      <c r="N70" s="6">
        <f>VLOOKUP($N$2,角色品星!$C$16:$D$20,2,0)*VLOOKUP($N$3,角色品星!$C$3:$E$14,3,0)*V70</f>
        <v>986.02529886311117</v>
      </c>
      <c r="O70" s="6">
        <f>VLOOKUP($N$2,角色品星!$C$16:$D$20,2,0)*VLOOKUP($N$3,角色品星!$C$3:$E$14,3,0)*W70</f>
        <v>24902.142701776978</v>
      </c>
      <c r="P70" s="6">
        <f>VLOOKUP($N$2,角色品星!$C$16:$D$20,2,0)*VLOOKUP($N$3,角色品星!$C$3:$E$14,3,0)*X70</f>
        <v>9833.9589806614276</v>
      </c>
      <c r="Q70" s="22">
        <f t="shared" ref="Q70:Q104" si="10">Y70</f>
        <v>0.05</v>
      </c>
      <c r="R70" s="22">
        <f t="shared" ref="R70:R104" si="11">Z70</f>
        <v>1.5</v>
      </c>
      <c r="S70" s="22">
        <f t="shared" ref="S70:S104" si="12">AA70</f>
        <v>0.9</v>
      </c>
      <c r="T70" s="37">
        <f>N70*(1+Q70*(R70-1))*S70*战斗公式!$E$38+(P70*战斗公式!$E$39+1)*O70*战斗公式!$E$40</f>
        <v>50091.217655405999</v>
      </c>
      <c r="U70" s="37">
        <f t="shared" ref="U70:U104" si="13">T71-T70</f>
        <v>2398.0013376946008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0"/>
      <c r="AE70" s="20"/>
      <c r="AF70" s="20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4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1035.3265638062667</v>
      </c>
      <c r="O71" s="6">
        <f>VLOOKUP($N$2,角色品星!$C$16:$D$20,2,0)*VLOOKUP($N$3,角色品星!$C$3:$E$14,3,0)*W71</f>
        <v>25934.130746714429</v>
      </c>
      <c r="P71" s="6">
        <f>VLOOKUP($N$2,角色品星!$C$16:$D$20,2,0)*VLOOKUP($N$3,角色品星!$C$3:$E$14,3,0)*X71</f>
        <v>10325.656929694498</v>
      </c>
      <c r="Q71" s="22">
        <f t="shared" si="10"/>
        <v>0.05</v>
      </c>
      <c r="R71" s="22">
        <f t="shared" si="11"/>
        <v>1.5</v>
      </c>
      <c r="S71" s="22">
        <f t="shared" si="12"/>
        <v>0.9</v>
      </c>
      <c r="T71" s="37">
        <f>N71*(1+Q71*(R71-1))*S71*战斗公式!$E$38+(P71*战斗公式!$E$39+1)*O71*战斗公式!$E$40</f>
        <v>52489.2189931006</v>
      </c>
      <c r="U71" s="37">
        <f t="shared" si="13"/>
        <v>2508.925397724146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0"/>
      <c r="AE71" s="20"/>
      <c r="AF71" s="20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4"/>
      <c r="J72" s="6"/>
      <c r="K72" s="6"/>
      <c r="L72" s="6">
        <f t="shared" si="9"/>
        <v>2.4903077066992623</v>
      </c>
      <c r="M72" s="1">
        <v>68</v>
      </c>
      <c r="N72" s="6">
        <f>VLOOKUP($N$2,角色品星!$C$16:$D$20,2,0)*VLOOKUP($N$3,角色品星!$C$3:$E$14,3,0)*V72</f>
        <v>1087.09289199658</v>
      </c>
      <c r="O72" s="6">
        <f>VLOOKUP($N$2,角色品星!$C$16:$D$20,2,0)*VLOOKUP($N$3,角色品星!$C$3:$E$14,3,0)*W72</f>
        <v>26999.766180188395</v>
      </c>
      <c r="P72" s="6">
        <f>VLOOKUP($N$2,角色品星!$C$16:$D$20,2,0)*VLOOKUP($N$3,角色品星!$C$3:$E$14,3,0)*X72</f>
        <v>10841.939776179224</v>
      </c>
      <c r="Q72" s="22">
        <f t="shared" si="10"/>
        <v>0.05</v>
      </c>
      <c r="R72" s="22">
        <f t="shared" si="11"/>
        <v>1.5</v>
      </c>
      <c r="S72" s="22">
        <f t="shared" si="12"/>
        <v>0.9</v>
      </c>
      <c r="T72" s="37">
        <f>N72*(1+Q72*(R72-1))*S72*战斗公式!$E$38+(P72*战斗公式!$E$39+1)*O72*战斗公式!$E$40</f>
        <v>54998.144390824746</v>
      </c>
      <c r="U72" s="37">
        <f t="shared" si="13"/>
        <v>2624.7255163493683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0"/>
      <c r="AE72" s="20"/>
      <c r="AF72" s="20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4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1141.4475365964092</v>
      </c>
      <c r="O73" s="6">
        <f>VLOOKUP($N$2,角色品星!$C$16:$D$20,2,0)*VLOOKUP($N$3,角色品星!$C$3:$E$14,3,0)*W73</f>
        <v>28099.391082814065</v>
      </c>
      <c r="P73" s="6">
        <f>VLOOKUP($N$2,角色品星!$C$16:$D$20,2,0)*VLOOKUP($N$3,角色品星!$C$3:$E$14,3,0)*X73</f>
        <v>11384.036764988185</v>
      </c>
      <c r="Q73" s="22">
        <f t="shared" si="10"/>
        <v>0.05</v>
      </c>
      <c r="R73" s="22">
        <f t="shared" si="11"/>
        <v>1.5</v>
      </c>
      <c r="S73" s="22">
        <f t="shared" si="12"/>
        <v>0.9</v>
      </c>
      <c r="T73" s="37">
        <f>N73*(1+Q73*(R73-1))*S73*战斗公式!$E$38+(P73*战斗公式!$E$39+1)*O73*战斗公式!$E$40</f>
        <v>57622.869907174114</v>
      </c>
      <c r="U73" s="37">
        <f t="shared" si="13"/>
        <v>2745.6063007781195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0"/>
      <c r="AE73" s="20"/>
      <c r="AF73" s="20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4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1198.5199134262293</v>
      </c>
      <c r="O74" s="6">
        <f>VLOOKUP($N$2,角色品星!$C$16:$D$20,2,0)*VLOOKUP($N$3,角色品星!$C$3:$E$14,3,0)*W74</f>
        <v>29233.286247793611</v>
      </c>
      <c r="P74" s="6">
        <f>VLOOKUP($N$2,角色品星!$C$16:$D$20,2,0)*VLOOKUP($N$3,角色品星!$C$3:$E$14,3,0)*X74</f>
        <v>11953.238603237593</v>
      </c>
      <c r="Q74" s="22">
        <f t="shared" si="10"/>
        <v>0.05</v>
      </c>
      <c r="R74" s="22">
        <f t="shared" si="11"/>
        <v>1.5</v>
      </c>
      <c r="S74" s="22">
        <f t="shared" si="12"/>
        <v>0.9</v>
      </c>
      <c r="T74" s="37">
        <f>N74*(1+Q74*(R74-1))*S74*战斗公式!$E$38+(P74*战斗公式!$E$39+1)*O74*战斗公式!$E$40</f>
        <v>60368.476207952233</v>
      </c>
      <c r="U74" s="37">
        <f t="shared" si="13"/>
        <v>2871.78160987304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0"/>
      <c r="AE74" s="20"/>
      <c r="AF74" s="20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4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1258.4459090975408</v>
      </c>
      <c r="O75" s="6">
        <f>VLOOKUP($N$2,角色品星!$C$16:$D$20,2,0)*VLOOKUP($N$3,角色品星!$C$3:$E$14,3,0)*W75</f>
        <v>30401.666159134154</v>
      </c>
      <c r="P75" s="6">
        <f>VLOOKUP($N$2,角色品星!$C$16:$D$20,2,0)*VLOOKUP($N$3,角色品星!$C$3:$E$14,3,0)*X75</f>
        <v>12550.900533399472</v>
      </c>
      <c r="Q75" s="22">
        <f t="shared" si="10"/>
        <v>0.05</v>
      </c>
      <c r="R75" s="22">
        <f t="shared" si="11"/>
        <v>1.5</v>
      </c>
      <c r="S75" s="22">
        <f t="shared" si="12"/>
        <v>0.9</v>
      </c>
      <c r="T75" s="37">
        <f>N75*(1+Q75*(R75-1))*S75*战斗公式!$E$38+(P75*战斗公式!$E$39+1)*O75*战斗公式!$E$40</f>
        <v>63240.257817825273</v>
      </c>
      <c r="U75" s="37">
        <f t="shared" si="13"/>
        <v>3003.4751574673865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0"/>
      <c r="AE75" s="20"/>
      <c r="AF75" s="20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4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1321.3682045524181</v>
      </c>
      <c r="O76" s="6">
        <f>VLOOKUP($N$2,角色品星!$C$16:$D$20,2,0)*VLOOKUP($N$3,角色品星!$C$3:$E$14,3,0)*W76</f>
        <v>31604.674000243056</v>
      </c>
      <c r="P76" s="6">
        <f>VLOOKUP($N$2,角色品星!$C$16:$D$20,2,0)*VLOOKUP($N$3,角色品星!$C$3:$E$14,3,0)*X76</f>
        <v>13178.445560069447</v>
      </c>
      <c r="Q76" s="22">
        <f t="shared" si="10"/>
        <v>0.05</v>
      </c>
      <c r="R76" s="22">
        <f t="shared" si="11"/>
        <v>1.5</v>
      </c>
      <c r="S76" s="22">
        <f t="shared" si="12"/>
        <v>0.9</v>
      </c>
      <c r="T76" s="37">
        <f>N76*(1+Q76*(R76-1))*S76*战斗公式!$E$38+(P76*战斗公式!$E$39+1)*O76*战斗公式!$E$40</f>
        <v>66243.73297529266</v>
      </c>
      <c r="U76" s="37">
        <f t="shared" si="13"/>
        <v>3140.921168077417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0"/>
      <c r="AE76" s="20"/>
      <c r="AF76" s="20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4"/>
      <c r="J77" s="6"/>
      <c r="K77" s="6"/>
      <c r="L77" s="6">
        <f t="shared" si="9"/>
        <v>2.3734554955254143</v>
      </c>
      <c r="M77" s="1">
        <v>73</v>
      </c>
      <c r="N77" s="6">
        <f>VLOOKUP($N$2,角色品星!$C$16:$D$20,2,0)*VLOOKUP($N$3,角色品星!$C$3:$E$14,3,0)*V77</f>
        <v>1387.4366147800388</v>
      </c>
      <c r="O77" s="6">
        <f>VLOOKUP($N$2,角色品星!$C$16:$D$20,2,0)*VLOOKUP($N$3,角色品星!$C$3:$E$14,3,0)*W77</f>
        <v>32842.37673888079</v>
      </c>
      <c r="P77" s="6">
        <f>VLOOKUP($N$2,角色品星!$C$16:$D$20,2,0)*VLOOKUP($N$3,角色品星!$C$3:$E$14,3,0)*X77</f>
        <v>13837.367838072918</v>
      </c>
      <c r="Q77" s="22">
        <f t="shared" si="10"/>
        <v>0.05</v>
      </c>
      <c r="R77" s="22">
        <f t="shared" si="11"/>
        <v>1.5</v>
      </c>
      <c r="S77" s="22">
        <f t="shared" si="12"/>
        <v>0.9</v>
      </c>
      <c r="T77" s="37">
        <f>N77*(1+Q77*(R77-1))*S77*战斗公式!$E$38+(P77*战斗公式!$E$39+1)*O77*战斗公式!$E$40</f>
        <v>69384.654143370077</v>
      </c>
      <c r="U77" s="37">
        <f t="shared" si="13"/>
        <v>3284.3650882908842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0"/>
      <c r="AE77" s="20"/>
      <c r="AF77" s="20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4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1456.8084455190408</v>
      </c>
      <c r="O78" s="6">
        <f>VLOOKUP($N$2,角色品星!$C$16:$D$20,2,0)*VLOOKUP($N$3,角色品星!$C$3:$E$14,3,0)*W78</f>
        <v>34114.760338069595</v>
      </c>
      <c r="P78" s="6">
        <f>VLOOKUP($N$2,角色品星!$C$16:$D$20,2,0)*VLOOKUP($N$3,角色品星!$C$3:$E$14,3,0)*X78</f>
        <v>14529.236229976563</v>
      </c>
      <c r="Q78" s="22">
        <f t="shared" si="10"/>
        <v>0.05</v>
      </c>
      <c r="R78" s="22">
        <f t="shared" si="11"/>
        <v>1.5</v>
      </c>
      <c r="S78" s="22">
        <f t="shared" si="12"/>
        <v>0.9</v>
      </c>
      <c r="T78" s="37">
        <f>N78*(1+Q78*(R78-1))*S78*战斗公式!$E$38+(P78*战斗公式!$E$39+1)*O78*战斗公式!$E$40</f>
        <v>72669.019231660961</v>
      </c>
      <c r="U78" s="37">
        <f t="shared" si="13"/>
        <v>3434.0643570047978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0"/>
      <c r="AE78" s="20"/>
      <c r="AF78" s="20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4"/>
      <c r="J79" s="6"/>
      <c r="K79" s="6"/>
      <c r="L79" s="6">
        <f t="shared" si="9"/>
        <v>2.3218685273866986</v>
      </c>
      <c r="M79" s="1">
        <v>75</v>
      </c>
      <c r="N79" s="6">
        <f>VLOOKUP($N$2,角色品星!$C$16:$D$20,2,0)*VLOOKUP($N$3,角色品星!$C$3:$E$14,3,0)*V79</f>
        <v>1529.6488677949928</v>
      </c>
      <c r="O79" s="6">
        <f>VLOOKUP($N$2,角色品星!$C$16:$D$20,2,0)*VLOOKUP($N$3,角色品星!$C$3:$E$14,3,0)*W79</f>
        <v>35421.725145816607</v>
      </c>
      <c r="P79" s="6">
        <f>VLOOKUP($N$2,角色品星!$C$16:$D$20,2,0)*VLOOKUP($N$3,角色品星!$C$3:$E$14,3,0)*X79</f>
        <v>15255.698041475391</v>
      </c>
      <c r="Q79" s="22">
        <f t="shared" si="10"/>
        <v>0.05</v>
      </c>
      <c r="R79" s="22">
        <f t="shared" si="11"/>
        <v>1.5</v>
      </c>
      <c r="S79" s="22">
        <f t="shared" si="12"/>
        <v>0.9</v>
      </c>
      <c r="T79" s="37">
        <f>N79*(1+Q79*(R79-1))*S79*战斗公式!$E$38+(P79*战斗公式!$E$39+1)*O79*战斗公式!$E$40</f>
        <v>76103.083588665759</v>
      </c>
      <c r="U79" s="37">
        <f t="shared" si="13"/>
        <v>3590.2892375334195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0"/>
      <c r="AE79" s="20"/>
      <c r="AF79" s="20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4"/>
      <c r="J80" s="6"/>
      <c r="K80" s="6"/>
      <c r="L80" s="6">
        <f t="shared" si="9"/>
        <v>2.2950413999168764</v>
      </c>
      <c r="M80" s="1">
        <v>76</v>
      </c>
      <c r="N80" s="6">
        <f>VLOOKUP($N$2,角色品星!$C$16:$D$20,2,0)*VLOOKUP($N$3,角色品星!$C$3:$E$14,3,0)*V80</f>
        <v>1606.1313111847426</v>
      </c>
      <c r="O80" s="6">
        <f>VLOOKUP($N$2,角色品星!$C$16:$D$20,2,0)*VLOOKUP($N$3,角色品星!$C$3:$E$14,3,0)*W80</f>
        <v>36763.081519307678</v>
      </c>
      <c r="P80" s="6">
        <f>VLOOKUP($N$2,角色品星!$C$16:$D$20,2,0)*VLOOKUP($N$3,角色品星!$C$3:$E$14,3,0)*X80</f>
        <v>16018.482943549163</v>
      </c>
      <c r="Q80" s="22">
        <f t="shared" si="10"/>
        <v>0.05</v>
      </c>
      <c r="R80" s="22">
        <f t="shared" si="11"/>
        <v>1.5</v>
      </c>
      <c r="S80" s="22">
        <f t="shared" si="12"/>
        <v>0.9</v>
      </c>
      <c r="T80" s="37">
        <f>N80*(1+Q80*(R80-1))*S80*战斗公式!$E$38+(P80*战斗公式!$E$39+1)*O80*战斗公式!$E$40</f>
        <v>79693.372826199178</v>
      </c>
      <c r="U80" s="37">
        <f t="shared" si="13"/>
        <v>3753.3237144000159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0"/>
      <c r="AE80" s="20"/>
      <c r="AF80" s="20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4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1686.4378767439796</v>
      </c>
      <c r="O81" s="6">
        <f>VLOOKUP($N$2,角色品星!$C$16:$D$20,2,0)*VLOOKUP($N$3,角色品星!$C$3:$E$14,3,0)*W81</f>
        <v>38138.545741453163</v>
      </c>
      <c r="P81" s="6">
        <f>VLOOKUP($N$2,角色品星!$C$16:$D$20,2,0)*VLOOKUP($N$3,角色品星!$C$3:$E$14,3,0)*X81</f>
        <v>16819.407090726618</v>
      </c>
      <c r="Q81" s="22">
        <f t="shared" si="10"/>
        <v>0.05</v>
      </c>
      <c r="R81" s="22">
        <f t="shared" si="11"/>
        <v>1.5</v>
      </c>
      <c r="S81" s="22">
        <f t="shared" si="12"/>
        <v>0.9</v>
      </c>
      <c r="T81" s="37">
        <f>N81*(1+Q81*(R81-1))*S81*战斗公式!$E$38+(P81*战斗公式!$E$39+1)*O81*战斗公式!$E$40</f>
        <v>83446.696540599194</v>
      </c>
      <c r="U81" s="37">
        <f t="shared" si="13"/>
        <v>3923.4664573728514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0"/>
      <c r="AE81" s="20"/>
      <c r="AF81" s="20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4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1770.7597705811786</v>
      </c>
      <c r="O82" s="6">
        <f>VLOOKUP($N$2,角色品星!$C$16:$D$20,2,0)*VLOOKUP($N$3,角色品星!$C$3:$E$14,3,0)*W82</f>
        <v>39547.736289211614</v>
      </c>
      <c r="P82" s="6">
        <f>VLOOKUP($N$2,角色品星!$C$16:$D$20,2,0)*VLOOKUP($N$3,角色品星!$C$3:$E$14,3,0)*X82</f>
        <v>17660.377445262955</v>
      </c>
      <c r="Q82" s="22">
        <f t="shared" si="10"/>
        <v>0.05</v>
      </c>
      <c r="R82" s="22">
        <f t="shared" si="11"/>
        <v>1.5</v>
      </c>
      <c r="S82" s="22">
        <f t="shared" si="12"/>
        <v>0.9</v>
      </c>
      <c r="T82" s="37">
        <f>N82*(1+Q82*(R82-1))*S82*战斗公式!$E$38+(P82*战斗公式!$E$39+1)*O82*战斗公式!$E$40</f>
        <v>87370.162997972046</v>
      </c>
      <c r="U82" s="37">
        <f t="shared" si="13"/>
        <v>4101.0318549997173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0"/>
      <c r="AE82" s="20"/>
      <c r="AF82" s="20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4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1859.2977591102372</v>
      </c>
      <c r="O83" s="6">
        <f>VLOOKUP($N$2,角色品星!$C$16:$D$20,2,0)*VLOOKUP($N$3,角色品星!$C$3:$E$14,3,0)*W83</f>
        <v>40990.170513874458</v>
      </c>
      <c r="P83" s="6">
        <f>VLOOKUP($N$2,角色品星!$C$16:$D$20,2,0)*VLOOKUP($N$3,角色品星!$C$3:$E$14,3,0)*X83</f>
        <v>18543.396317526094</v>
      </c>
      <c r="Q83" s="22">
        <f t="shared" si="10"/>
        <v>0.05</v>
      </c>
      <c r="R83" s="22">
        <f t="shared" si="11"/>
        <v>1.5</v>
      </c>
      <c r="S83" s="22">
        <f t="shared" si="12"/>
        <v>0.9</v>
      </c>
      <c r="T83" s="37">
        <f>N83*(1+Q83*(R83-1))*S83*战斗公式!$E$38+(P83*战斗公式!$E$39+1)*O83*战斗公式!$E$40</f>
        <v>91471.194852971763</v>
      </c>
      <c r="U83" s="37">
        <f t="shared" si="13"/>
        <v>4286.3511195472674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0"/>
      <c r="AE83" s="20"/>
      <c r="AF83" s="20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4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1952.2626470657501</v>
      </c>
      <c r="O84" s="6">
        <f>VLOOKUP($N$2,角色品星!$C$16:$D$20,2,0)*VLOOKUP($N$3,角色品星!$C$3:$E$14,3,0)*W84</f>
        <v>42465.261793365484</v>
      </c>
      <c r="P84" s="6">
        <f>VLOOKUP($N$2,角色品星!$C$16:$D$20,2,0)*VLOOKUP($N$3,角色品星!$C$3:$E$14,3,0)*X84</f>
        <v>19470.566133402412</v>
      </c>
      <c r="Q84" s="22">
        <f t="shared" si="10"/>
        <v>0.05</v>
      </c>
      <c r="R84" s="22">
        <f t="shared" si="11"/>
        <v>1.5</v>
      </c>
      <c r="S84" s="22">
        <f t="shared" si="12"/>
        <v>0.9</v>
      </c>
      <c r="T84" s="37">
        <f>N84*(1+Q84*(R84-1))*S84*战斗公式!$E$38+(P84*战斗公式!$E$39+1)*O84*战斗公式!$E$40</f>
        <v>95757.54597251903</v>
      </c>
      <c r="U84" s="37">
        <f t="shared" si="13"/>
        <v>4479.7734648601181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0"/>
      <c r="AE84" s="20"/>
      <c r="AF84" s="20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4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2049.8757794190369</v>
      </c>
      <c r="O85" s="6">
        <f>VLOOKUP($N$2,角色品星!$C$16:$D$20,2,0)*VLOOKUP($N$3,角色品星!$C$3:$E$14,3,0)*W85</f>
        <v>43972.317215502087</v>
      </c>
      <c r="P85" s="6">
        <f>VLOOKUP($N$2,角色品星!$C$16:$D$20,2,0)*VLOOKUP($N$3,角色品星!$C$3:$E$14,3,0)*X85</f>
        <v>20444.094440072528</v>
      </c>
      <c r="Q85" s="22">
        <f t="shared" si="10"/>
        <v>0.05</v>
      </c>
      <c r="R85" s="22">
        <f t="shared" si="11"/>
        <v>1.5</v>
      </c>
      <c r="S85" s="22">
        <f t="shared" si="12"/>
        <v>0.9</v>
      </c>
      <c r="T85" s="37">
        <f>N85*(1+Q85*(R85-1))*S85*战斗公式!$E$38+(P85*战斗公式!$E$39+1)*O85*战斗公式!$E$40</f>
        <v>100237.31943737915</v>
      </c>
      <c r="U85" s="37">
        <f t="shared" si="13"/>
        <v>4681.6673582339572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0"/>
      <c r="AE85" s="20"/>
      <c r="AF85" s="20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4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2152.3695683899896</v>
      </c>
      <c r="O86" s="6">
        <f>VLOOKUP($N$2,角色品星!$C$16:$D$20,2,0)*VLOOKUP($N$3,角色品星!$C$3:$E$14,3,0)*W86</f>
        <v>45510.535849007174</v>
      </c>
      <c r="P86" s="6">
        <f>VLOOKUP($N$2,角色品星!$C$16:$D$20,2,0)*VLOOKUP($N$3,角色品星!$C$3:$E$14,3,0)*X86</f>
        <v>21466.299162076157</v>
      </c>
      <c r="Q86" s="22">
        <f t="shared" si="10"/>
        <v>0.05</v>
      </c>
      <c r="R86" s="22">
        <f t="shared" si="11"/>
        <v>1.5</v>
      </c>
      <c r="S86" s="22">
        <f t="shared" si="12"/>
        <v>0.9</v>
      </c>
      <c r="T86" s="37">
        <f>N86*(1+Q86*(R86-1))*S86*战斗公式!$E$38+(P86*战斗公式!$E$39+1)*O86*战斗公式!$E$40</f>
        <v>104918.98679561311</v>
      </c>
      <c r="U86" s="37">
        <f t="shared" si="13"/>
        <v>4892.4218469476473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0"/>
      <c r="AE86" s="20"/>
      <c r="AF86" s="20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4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2259.9880468094889</v>
      </c>
      <c r="O87" s="6">
        <f>VLOOKUP($N$2,角色品星!$C$16:$D$20,2,0)*VLOOKUP($N$3,角色品星!$C$3:$E$14,3,0)*W87</f>
        <v>47079.007655791531</v>
      </c>
      <c r="P87" s="6">
        <f>VLOOKUP($N$2,角色品星!$C$16:$D$20,2,0)*VLOOKUP($N$3,角色品星!$C$3:$E$14,3,0)*X87</f>
        <v>22539.614120179962</v>
      </c>
      <c r="Q87" s="22">
        <f t="shared" si="10"/>
        <v>0.05</v>
      </c>
      <c r="R87" s="22">
        <f t="shared" si="11"/>
        <v>1.5</v>
      </c>
      <c r="S87" s="22">
        <f t="shared" si="12"/>
        <v>0.9</v>
      </c>
      <c r="T87" s="37">
        <f>N87*(1+Q87*(R87-1))*S87*战斗公式!$E$38+(P87*战斗公式!$E$39+1)*O87*战斗公式!$E$40</f>
        <v>109811.40864256075</v>
      </c>
      <c r="U87" s="37">
        <f t="shared" si="13"/>
        <v>5112.447959643192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0"/>
      <c r="AE87" s="20"/>
      <c r="AF87" s="20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4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2372.9874491499627</v>
      </c>
      <c r="O88" s="6">
        <f>VLOOKUP($N$2,角色品星!$C$16:$D$20,2,0)*VLOOKUP($N$3,角色品星!$C$3:$E$14,3,0)*W88</f>
        <v>48676.713093611441</v>
      </c>
      <c r="P88" s="6">
        <f>VLOOKUP($N$2,角色品星!$C$16:$D$20,2,0)*VLOOKUP($N$3,角色品星!$C$3:$E$14,3,0)*X88</f>
        <v>23666.594826188961</v>
      </c>
      <c r="Q88" s="22">
        <f t="shared" si="10"/>
        <v>0.05</v>
      </c>
      <c r="R88" s="22">
        <f t="shared" si="11"/>
        <v>1.5</v>
      </c>
      <c r="S88" s="22">
        <f t="shared" si="12"/>
        <v>0.9</v>
      </c>
      <c r="T88" s="37">
        <f>N88*(1+Q88*(R88-1))*S88*战斗公式!$E$38+(P88*战斗公式!$E$39+1)*O88*战斗公式!$E$40</f>
        <v>114923.85660220394</v>
      </c>
      <c r="U88" s="37">
        <f t="shared" si="13"/>
        <v>5342.1801822820853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0"/>
      <c r="AE88" s="20"/>
      <c r="AF88" s="20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4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2491.6368216074616</v>
      </c>
      <c r="O89" s="6">
        <f>VLOOKUP($N$2,角色品星!$C$16:$D$20,2,0)*VLOOKUP($N$3,角色品星!$C$3:$E$14,3,0)*W89</f>
        <v>50302.523452635774</v>
      </c>
      <c r="P89" s="6">
        <f>VLOOKUP($N$2,角色品星!$C$16:$D$20,2,0)*VLOOKUP($N$3,角色品星!$C$3:$E$14,3,0)*X89</f>
        <v>24849.924567498409</v>
      </c>
      <c r="Q89" s="22">
        <f t="shared" si="10"/>
        <v>0.05</v>
      </c>
      <c r="R89" s="22">
        <f t="shared" si="11"/>
        <v>1.5</v>
      </c>
      <c r="S89" s="22">
        <f t="shared" si="12"/>
        <v>0.9</v>
      </c>
      <c r="T89" s="37">
        <f>N89*(1+Q89*(R89-1))*S89*战斗公式!$E$38+(P89*战斗公式!$E$39+1)*O89*战斗公式!$E$40</f>
        <v>120266.03678448603</v>
      </c>
      <c r="U89" s="37">
        <f t="shared" si="13"/>
        <v>5582.0780079634133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0"/>
      <c r="AE89" s="20"/>
      <c r="AF89" s="20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4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2616.2186626878342</v>
      </c>
      <c r="O90" s="6">
        <f>VLOOKUP($N$2,角色品星!$C$16:$D$20,2,0)*VLOOKUP($N$3,角色品星!$C$3:$E$14,3,0)*W90</f>
        <v>51955.201962745799</v>
      </c>
      <c r="P90" s="6">
        <f>VLOOKUP($N$2,角色品星!$C$16:$D$20,2,0)*VLOOKUP($N$3,角色品星!$C$3:$E$14,3,0)*X90</f>
        <v>26092.420795873328</v>
      </c>
      <c r="Q90" s="22">
        <f t="shared" si="10"/>
        <v>0.05</v>
      </c>
      <c r="R90" s="22">
        <f t="shared" si="11"/>
        <v>1.5</v>
      </c>
      <c r="S90" s="22">
        <f t="shared" si="12"/>
        <v>0.9</v>
      </c>
      <c r="T90" s="37">
        <f>N90*(1+Q90*(R90-1))*S90*战斗公式!$E$38+(P90*战斗公式!$E$39+1)*O90*战斗公式!$E$40</f>
        <v>125848.11479244944</v>
      </c>
      <c r="U90" s="37">
        <f t="shared" si="13"/>
        <v>5832.6275594769832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0"/>
      <c r="AE90" s="20"/>
      <c r="AF90" s="20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4"/>
      <c r="J91" s="6"/>
      <c r="K91" s="6"/>
      <c r="L91" s="6">
        <f t="shared" si="9"/>
        <v>1.9576349162911872</v>
      </c>
      <c r="M91" s="1">
        <v>87</v>
      </c>
      <c r="N91" s="6">
        <f>VLOOKUP($N$2,角色品星!$C$16:$D$20,2,0)*VLOOKUP($N$3,角色品星!$C$3:$E$14,3,0)*V91</f>
        <v>2747.0295958222255</v>
      </c>
      <c r="O91" s="6">
        <f>VLOOKUP($N$2,角色品星!$C$16:$D$20,2,0)*VLOOKUP($N$3,角色品星!$C$3:$E$14,3,0)*W91</f>
        <v>53633.405700592113</v>
      </c>
      <c r="P91" s="6">
        <f>VLOOKUP($N$2,角色品星!$C$16:$D$20,2,0)*VLOOKUP($N$3,角色品星!$C$3:$E$14,3,0)*X91</f>
        <v>27397.041835666994</v>
      </c>
      <c r="Q91" s="22">
        <f t="shared" si="10"/>
        <v>0.05</v>
      </c>
      <c r="R91" s="22">
        <f t="shared" si="11"/>
        <v>1.5</v>
      </c>
      <c r="S91" s="22">
        <f t="shared" si="12"/>
        <v>0.9</v>
      </c>
      <c r="T91" s="37">
        <f>N91*(1+Q91*(R91-1))*S91*战斗公式!$E$38+(P91*战斗公式!$E$39+1)*O91*战斗公式!$E$40</f>
        <v>131680.74235192643</v>
      </c>
      <c r="U91" s="37">
        <f t="shared" si="13"/>
        <v>6094.3432830971724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0"/>
      <c r="AE91" s="20"/>
      <c r="AF91" s="20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4"/>
      <c r="J92" s="6"/>
      <c r="K92" s="6"/>
      <c r="L92" s="6">
        <f t="shared" si="9"/>
        <v>1.923589263970561</v>
      </c>
      <c r="M92" s="1">
        <v>88</v>
      </c>
      <c r="N92" s="6">
        <f>VLOOKUP($N$2,角色品星!$C$16:$D$20,2,0)*VLOOKUP($N$3,角色品星!$C$3:$E$14,3,0)*V92</f>
        <v>2884.3810756133371</v>
      </c>
      <c r="O92" s="6">
        <f>VLOOKUP($N$2,角色品星!$C$16:$D$20,2,0)*VLOOKUP($N$3,角色品星!$C$3:$E$14,3,0)*W92</f>
        <v>55335.688316623418</v>
      </c>
      <c r="P92" s="6">
        <f>VLOOKUP($N$2,角色品星!$C$16:$D$20,2,0)*VLOOKUP($N$3,角色品星!$C$3:$E$14,3,0)*X92</f>
        <v>28766.89392745035</v>
      </c>
      <c r="Q92" s="22">
        <f t="shared" si="10"/>
        <v>0.05</v>
      </c>
      <c r="R92" s="22">
        <f t="shared" si="11"/>
        <v>1.5</v>
      </c>
      <c r="S92" s="22">
        <f t="shared" si="12"/>
        <v>0.9</v>
      </c>
      <c r="T92" s="37">
        <f>N92*(1+Q92*(R92-1))*S92*战斗公式!$E$38+(P92*战斗公式!$E$39+1)*O92*战斗公式!$E$40</f>
        <v>137775.0856350236</v>
      </c>
      <c r="U92" s="37">
        <f t="shared" si="13"/>
        <v>6367.7697118229116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0"/>
      <c r="AE92" s="20"/>
      <c r="AF92" s="20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4"/>
      <c r="J93" s="6"/>
      <c r="K93" s="6"/>
      <c r="L93" s="6">
        <f t="shared" si="9"/>
        <v>1.8890929584510687</v>
      </c>
      <c r="M93" s="1">
        <v>89</v>
      </c>
      <c r="N93" s="6">
        <f>VLOOKUP($N$2,角色品星!$C$16:$D$20,2,0)*VLOOKUP($N$3,角色品星!$C$3:$E$14,3,0)*V93</f>
        <v>3028.6001293940039</v>
      </c>
      <c r="O93" s="6">
        <f>VLOOKUP($N$2,角色品星!$C$16:$D$20,2,0)*VLOOKUP($N$3,角色品星!$C$3:$E$14,3,0)*W93</f>
        <v>57060.503592598026</v>
      </c>
      <c r="P93" s="6">
        <f>VLOOKUP($N$2,角色品星!$C$16:$D$20,2,0)*VLOOKUP($N$3,角色品星!$C$3:$E$14,3,0)*X93</f>
        <v>30205.238623822865</v>
      </c>
      <c r="Q93" s="22">
        <f t="shared" si="10"/>
        <v>0.05</v>
      </c>
      <c r="R93" s="22">
        <f t="shared" si="11"/>
        <v>1.5</v>
      </c>
      <c r="S93" s="22">
        <f t="shared" si="12"/>
        <v>0.9</v>
      </c>
      <c r="T93" s="37">
        <f>N93*(1+Q93*(R93-1))*S93*战斗公式!$E$38+(P93*战斗公式!$E$39+1)*O93*战斗公式!$E$40</f>
        <v>144142.85534684651</v>
      </c>
      <c r="U93" s="37">
        <f t="shared" si="13"/>
        <v>6653.4832960459171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0"/>
      <c r="AE93" s="20"/>
      <c r="AF93" s="20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4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3180.0301358637043</v>
      </c>
      <c r="O94" s="6">
        <f>VLOOKUP($N$2,角色品星!$C$16:$D$20,2,0)*VLOOKUP($N$3,角色品星!$C$3:$E$14,3,0)*W94</f>
        <v>58806.209829635132</v>
      </c>
      <c r="P94" s="6">
        <f>VLOOKUP($N$2,角色品星!$C$16:$D$20,2,0)*VLOOKUP($N$3,角色品星!$C$3:$E$14,3,0)*X94</f>
        <v>31715.500555014005</v>
      </c>
      <c r="Q94" s="22">
        <f t="shared" si="10"/>
        <v>0.05</v>
      </c>
      <c r="R94" s="22">
        <f t="shared" si="11"/>
        <v>1.5</v>
      </c>
      <c r="S94" s="22">
        <f t="shared" si="12"/>
        <v>0.9</v>
      </c>
      <c r="T94" s="37">
        <f>N94*(1+Q94*(R94-1))*S94*战斗公式!$E$38+(P94*战斗公式!$E$39+1)*O94*战斗公式!$E$40</f>
        <v>150796.33864289243</v>
      </c>
      <c r="U94" s="37">
        <f t="shared" si="13"/>
        <v>6952.0942995035439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0"/>
      <c r="AE94" s="20"/>
      <c r="AF94" s="20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4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3339.0316426568897</v>
      </c>
      <c r="O95" s="6">
        <f>VLOOKUP($N$2,角色品星!$C$16:$D$20,2,0)*VLOOKUP($N$3,角色品星!$C$3:$E$14,3,0)*W95</f>
        <v>60571.075055834684</v>
      </c>
      <c r="P95" s="6">
        <f>VLOOKUP($N$2,角色品星!$C$16:$D$20,2,0)*VLOOKUP($N$3,角色品星!$C$3:$E$14,3,0)*X95</f>
        <v>33301.275582764705</v>
      </c>
      <c r="Q95" s="22">
        <f t="shared" si="10"/>
        <v>0.05</v>
      </c>
      <c r="R95" s="22">
        <f t="shared" si="11"/>
        <v>1.5</v>
      </c>
      <c r="S95" s="22">
        <f t="shared" si="12"/>
        <v>0.9</v>
      </c>
      <c r="T95" s="37">
        <f>N95*(1+Q95*(R95-1))*S95*战斗公式!$E$38+(P95*战斗公式!$E$39+1)*O95*战斗公式!$E$40</f>
        <v>157748.43294239597</v>
      </c>
      <c r="U95" s="37">
        <f t="shared" si="13"/>
        <v>7264.2487583548063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0"/>
      <c r="AE95" s="20"/>
      <c r="AF95" s="20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4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3505.9832247897339</v>
      </c>
      <c r="O96" s="6">
        <f>VLOOKUP($N$2,角色品星!$C$16:$D$20,2,0)*VLOOKUP($N$3,角色品星!$C$3:$E$14,3,0)*W96</f>
        <v>62353.283031096515</v>
      </c>
      <c r="P96" s="6">
        <f>VLOOKUP($N$2,角色品星!$C$16:$D$20,2,0)*VLOOKUP($N$3,角色品星!$C$3:$E$14,3,0)*X96</f>
        <v>34966.339361902952</v>
      </c>
      <c r="Q96" s="22">
        <f t="shared" si="10"/>
        <v>0.05</v>
      </c>
      <c r="R96" s="22">
        <f t="shared" si="11"/>
        <v>1.5</v>
      </c>
      <c r="S96" s="22">
        <f t="shared" si="12"/>
        <v>0.9</v>
      </c>
      <c r="T96" s="37">
        <f>N96*(1+Q96*(R96-1))*S96*战斗公式!$E$38+(P96*战斗公式!$E$39+1)*O96*战斗公式!$E$40</f>
        <v>165012.68170075078</v>
      </c>
      <c r="U96" s="37">
        <f t="shared" si="13"/>
        <v>7590.6305013233796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0"/>
      <c r="AE96" s="20"/>
      <c r="AF96" s="20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4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3681.2823860292219</v>
      </c>
      <c r="O97" s="6">
        <f>VLOOKUP($N$2,角色品星!$C$16:$D$20,2,0)*VLOOKUP($N$3,角色品星!$C$3:$E$14,3,0)*W97</f>
        <v>64150.940015222914</v>
      </c>
      <c r="P97" s="6">
        <f>VLOOKUP($N$2,角色品星!$C$16:$D$20,2,0)*VLOOKUP($N$3,角色品星!$C$3:$E$14,3,0)*X97</f>
        <v>36714.656329998092</v>
      </c>
      <c r="Q97" s="22">
        <f t="shared" si="10"/>
        <v>0.05</v>
      </c>
      <c r="R97" s="22">
        <f t="shared" si="11"/>
        <v>1.5</v>
      </c>
      <c r="S97" s="22">
        <f t="shared" si="12"/>
        <v>0.9</v>
      </c>
      <c r="T97" s="37">
        <f>N97*(1+Q97*(R97-1))*S97*战斗公式!$E$38+(P97*战斗公式!$E$39+1)*O97*战斗公式!$E$40</f>
        <v>172603.31220207416</v>
      </c>
      <c r="U97" s="37">
        <f t="shared" si="13"/>
        <v>7931.9632290817099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0"/>
      <c r="AE97" s="20"/>
      <c r="AF97" s="20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4"/>
      <c r="J98" s="6"/>
      <c r="K98" s="6"/>
      <c r="L98" s="6">
        <f t="shared" si="9"/>
        <v>1.7110613852242307</v>
      </c>
      <c r="M98" s="1">
        <v>94</v>
      </c>
      <c r="N98" s="6">
        <f>VLOOKUP($N$2,角色品星!$C$16:$D$20,2,0)*VLOOKUP($N$3,角色品星!$C$3:$E$14,3,0)*V98</f>
        <v>3865.3465053306827</v>
      </c>
      <c r="O98" s="6">
        <f>VLOOKUP($N$2,角色品星!$C$16:$D$20,2,0)*VLOOKUP($N$3,角色品星!$C$3:$E$14,3,0)*W98</f>
        <v>65962.082253940011</v>
      </c>
      <c r="P98" s="6">
        <f>VLOOKUP($N$2,角色品星!$C$16:$D$20,2,0)*VLOOKUP($N$3,角色品星!$C$3:$E$14,3,0)*X98</f>
        <v>38550.389146497997</v>
      </c>
      <c r="Q98" s="22">
        <f t="shared" si="10"/>
        <v>0.05</v>
      </c>
      <c r="R98" s="22">
        <f t="shared" si="11"/>
        <v>1.5</v>
      </c>
      <c r="S98" s="22">
        <f t="shared" si="12"/>
        <v>0.9</v>
      </c>
      <c r="T98" s="37">
        <f>N98*(1+Q98*(R98-1))*S98*战斗公式!$E$38+(P98*战斗公式!$E$39+1)*O98*战斗公式!$E$40</f>
        <v>180535.27543115587</v>
      </c>
      <c r="U98" s="37">
        <f t="shared" si="13"/>
        <v>8289.0126514240401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0"/>
      <c r="AE98" s="20"/>
      <c r="AF98" s="20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4"/>
      <c r="J99" s="6"/>
      <c r="K99" s="6"/>
      <c r="L99" s="6">
        <f t="shared" si="9"/>
        <v>1.6746093477756365</v>
      </c>
      <c r="M99" s="1">
        <v>95</v>
      </c>
      <c r="N99" s="6">
        <f>VLOOKUP($N$2,角色品星!$C$16:$D$20,2,0)*VLOOKUP($N$3,角色品星!$C$3:$E$14,3,0)*V99</f>
        <v>4058.6138305972154</v>
      </c>
      <c r="O99" s="6">
        <f>VLOOKUP($N$2,角色品星!$C$16:$D$20,2,0)*VLOOKUP($N$3,角色品星!$C$3:$E$14,3,0)*W99</f>
        <v>67784.68412636967</v>
      </c>
      <c r="P99" s="6">
        <f>VLOOKUP($N$2,角色品星!$C$16:$D$20,2,0)*VLOOKUP($N$3,角色品星!$C$3:$E$14,3,0)*X99</f>
        <v>40477.908603822885</v>
      </c>
      <c r="Q99" s="22">
        <f t="shared" si="10"/>
        <v>0.05</v>
      </c>
      <c r="R99" s="22">
        <f t="shared" si="11"/>
        <v>1.5</v>
      </c>
      <c r="S99" s="22">
        <f t="shared" si="12"/>
        <v>0.9</v>
      </c>
      <c r="T99" s="37">
        <f>N99*(1+Q99*(R99-1))*S99*战斗公式!$E$38+(P99*战斗公式!$E$39+1)*O99*战斗公式!$E$40</f>
        <v>188824.28808257991</v>
      </c>
      <c r="U99" s="37">
        <f t="shared" si="13"/>
        <v>8662.5886812763638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0"/>
      <c r="AE99" s="20"/>
      <c r="AF99" s="20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4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4261.5445221270775</v>
      </c>
      <c r="O100" s="6">
        <f>VLOOKUP($N$2,角色品星!$C$16:$D$20,2,0)*VLOOKUP($N$3,角色品星!$C$3:$E$14,3,0)*W100</f>
        <v>69616.666886982784</v>
      </c>
      <c r="P100" s="6">
        <f>VLOOKUP($N$2,角色品星!$C$16:$D$20,2,0)*VLOOKUP($N$3,角色品星!$C$3:$E$14,3,0)*X100</f>
        <v>42501.804034014043</v>
      </c>
      <c r="Q100" s="22">
        <f t="shared" si="10"/>
        <v>0.05</v>
      </c>
      <c r="R100" s="22">
        <f t="shared" si="11"/>
        <v>1.5</v>
      </c>
      <c r="S100" s="22">
        <f t="shared" si="12"/>
        <v>0.9</v>
      </c>
      <c r="T100" s="37">
        <f>N100*(1+Q100*(R100-1))*S100*战斗公式!$E$38+(P100*战斗公式!$E$39+1)*O100*战斗公式!$E$40</f>
        <v>197486.87676385627</v>
      </c>
      <c r="U100" s="37">
        <f t="shared" si="13"/>
        <v>9053.547685233003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0"/>
      <c r="AE100" s="20"/>
      <c r="AF100" s="20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4"/>
      <c r="J101" s="6"/>
      <c r="K101" s="6"/>
      <c r="L101" s="6">
        <f t="shared" si="9"/>
        <v>1.6011848717947839</v>
      </c>
      <c r="M101" s="1">
        <v>97</v>
      </c>
      <c r="N101" s="6">
        <f>VLOOKUP($N$2,角色品星!$C$16:$D$20,2,0)*VLOOKUP($N$3,角色品星!$C$3:$E$14,3,0)*V101</f>
        <v>4474.6217482334314</v>
      </c>
      <c r="O101" s="6">
        <f>VLOOKUP($N$2,角色品星!$C$16:$D$20,2,0)*VLOOKUP($N$3,角色品星!$C$3:$E$14,3,0)*W101</f>
        <v>71455.907925412292</v>
      </c>
      <c r="P101" s="6">
        <f>VLOOKUP($N$2,角色品星!$C$16:$D$20,2,0)*VLOOKUP($N$3,角色品星!$C$3:$E$14,3,0)*X101</f>
        <v>44626.894235714746</v>
      </c>
      <c r="Q101" s="22">
        <f t="shared" si="10"/>
        <v>0.05</v>
      </c>
      <c r="R101" s="22">
        <f t="shared" si="11"/>
        <v>1.5</v>
      </c>
      <c r="S101" s="22">
        <f t="shared" si="12"/>
        <v>0.9</v>
      </c>
      <c r="T101" s="37">
        <f>N101*(1+Q101*(R101-1))*S101*战斗公式!$E$38+(P101*战斗公式!$E$39+1)*O101*战斗公式!$E$40</f>
        <v>206540.42444908927</v>
      </c>
      <c r="U101" s="37">
        <f t="shared" si="13"/>
        <v>9462.7947910833173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0"/>
      <c r="AE101" s="20"/>
      <c r="AF101" s="20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4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4698.3528356451025</v>
      </c>
      <c r="O102" s="6">
        <f>VLOOKUP($N$2,角色品星!$C$16:$D$20,2,0)*VLOOKUP($N$3,角色品星!$C$3:$E$14,3,0)*W102</f>
        <v>73300.250458940674</v>
      </c>
      <c r="P102" s="6">
        <f>VLOOKUP($N$2,角色品星!$C$16:$D$20,2,0)*VLOOKUP($N$3,角色品星!$C$3:$E$14,3,0)*X102</f>
        <v>46858.238947500489</v>
      </c>
      <c r="Q102" s="22">
        <f t="shared" si="10"/>
        <v>0.05</v>
      </c>
      <c r="R102" s="22">
        <f t="shared" si="11"/>
        <v>1.5</v>
      </c>
      <c r="S102" s="22">
        <f t="shared" si="12"/>
        <v>0.9</v>
      </c>
      <c r="T102" s="37">
        <f>N102*(1+Q102*(R102-1))*S102*战斗公式!$E$38+(P102*战斗公式!$E$39+1)*O102*战斗公式!$E$40</f>
        <v>216003.21924017259</v>
      </c>
      <c r="U102" s="37">
        <f t="shared" si="13"/>
        <v>9891.2862536688044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0"/>
      <c r="AE102" s="20"/>
      <c r="AF102" s="20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4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4933.2704774273589</v>
      </c>
      <c r="O103" s="6">
        <f>VLOOKUP($N$2,角色品星!$C$16:$D$20,2,0)*VLOOKUP($N$3,角色品星!$C$3:$E$14,3,0)*W103</f>
        <v>75147.513565207919</v>
      </c>
      <c r="P103" s="6">
        <f>VLOOKUP($N$2,角色品星!$C$16:$D$20,2,0)*VLOOKUP($N$3,角色品星!$C$3:$E$14,3,0)*X103</f>
        <v>49201.150894875507</v>
      </c>
      <c r="Q103" s="22">
        <f t="shared" si="10"/>
        <v>0.05</v>
      </c>
      <c r="R103" s="22">
        <f t="shared" si="11"/>
        <v>1.5</v>
      </c>
      <c r="S103" s="22">
        <f t="shared" si="12"/>
        <v>0.9</v>
      </c>
      <c r="T103" s="37">
        <f>N103*(1+Q103*(R103-1))*S103*战斗公式!$E$38+(P103*战斗公式!$E$39+1)*O103*战斗公式!$E$40</f>
        <v>225894.5054938414</v>
      </c>
      <c r="U103" s="37">
        <f t="shared" si="13"/>
        <v>10340.03188141089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0"/>
      <c r="AE103" s="20"/>
      <c r="AF103" s="20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4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5179.9340012987268</v>
      </c>
      <c r="O104" s="6">
        <f>VLOOKUP($N$2,角色品星!$C$16:$D$20,2,0)*VLOOKUP($N$3,角色品星!$C$3:$E$14,3,0)*W104</f>
        <v>76995.502456906004</v>
      </c>
      <c r="P104" s="6">
        <f>VLOOKUP($N$2,角色品星!$C$16:$D$20,2,0)*VLOOKUP($N$3,角色品星!$C$3:$E$14,3,0)*X104</f>
        <v>51661.208439619295</v>
      </c>
      <c r="Q104" s="22">
        <f t="shared" si="10"/>
        <v>0.05</v>
      </c>
      <c r="R104" s="22">
        <f t="shared" si="11"/>
        <v>1.5</v>
      </c>
      <c r="S104" s="22">
        <f t="shared" si="12"/>
        <v>0.9</v>
      </c>
      <c r="T104" s="37">
        <f>N104*(1+Q104*(R104-1))*S104*战斗公式!$E$38+(P104*战斗公式!$E$39+1)*O104*战斗公式!$E$40</f>
        <v>236234.53737525229</v>
      </c>
      <c r="U104" s="37">
        <f t="shared" si="13"/>
        <v>-236234.53737525229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0"/>
      <c r="AE104" s="20"/>
      <c r="AF104" s="20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4"/>
      <c r="J105" s="6"/>
      <c r="K105" s="6"/>
      <c r="L105" s="6"/>
      <c r="M105" s="6"/>
      <c r="N105" s="6"/>
      <c r="O105" s="6"/>
      <c r="P105" s="6"/>
      <c r="Q105" s="34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0"/>
      <c r="AE105" s="20"/>
      <c r="AF105" s="20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4"/>
      <c r="J106" s="6"/>
      <c r="K106" s="6"/>
      <c r="L106" s="6"/>
      <c r="M106" s="6"/>
      <c r="N106" s="6"/>
      <c r="O106" s="6"/>
      <c r="P106" s="6"/>
      <c r="Q106" s="3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0"/>
      <c r="AE106" s="20"/>
      <c r="AF106" s="20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4"/>
      <c r="J107" s="6"/>
      <c r="K107" s="6"/>
      <c r="L107" s="6"/>
      <c r="M107" s="6"/>
      <c r="N107" s="6"/>
      <c r="O107" s="6"/>
      <c r="P107" s="6"/>
      <c r="Q107" s="3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0"/>
      <c r="AE107" s="20"/>
      <c r="AF107" s="20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4"/>
      <c r="J108" s="6"/>
      <c r="K108" s="6"/>
      <c r="L108" s="6"/>
      <c r="M108" s="6"/>
      <c r="N108" s="6"/>
      <c r="O108" s="6"/>
      <c r="P108" s="6"/>
      <c r="Q108" s="3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0"/>
      <c r="AE108" s="20"/>
      <c r="AF108" s="20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4"/>
      <c r="J109" s="6"/>
      <c r="K109" s="6"/>
      <c r="L109" s="6"/>
      <c r="M109" s="6"/>
      <c r="N109" s="6"/>
      <c r="O109" s="6"/>
      <c r="P109" s="6"/>
      <c r="Q109" s="3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0"/>
      <c r="AE109" s="20"/>
      <c r="AF109" s="20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4"/>
      <c r="J110" s="6"/>
      <c r="K110" s="6"/>
      <c r="L110" s="6"/>
      <c r="M110" s="6"/>
      <c r="N110" s="6"/>
      <c r="O110" s="6"/>
      <c r="P110" s="6"/>
      <c r="Q110" s="3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0"/>
      <c r="AE110" s="20"/>
      <c r="AF110" s="20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4"/>
      <c r="J111" s="6"/>
      <c r="K111" s="6"/>
      <c r="L111" s="6"/>
      <c r="M111" s="6"/>
      <c r="N111" s="6"/>
      <c r="O111" s="6"/>
      <c r="P111" s="6"/>
      <c r="Q111" s="34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0"/>
      <c r="AE111" s="20"/>
      <c r="AF111" s="20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4"/>
      <c r="J112" s="6"/>
      <c r="K112" s="6"/>
      <c r="L112" s="6"/>
      <c r="M112" s="6"/>
      <c r="N112" s="6"/>
      <c r="O112" s="6"/>
      <c r="P112" s="6"/>
      <c r="Q112" s="34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0"/>
      <c r="AE112" s="20"/>
      <c r="AF112" s="20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4"/>
      <c r="J113" s="6"/>
      <c r="K113" s="6"/>
      <c r="L113" s="6"/>
      <c r="M113" s="6"/>
      <c r="N113" s="6"/>
      <c r="O113" s="6"/>
      <c r="P113" s="6"/>
      <c r="Q113" s="34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0"/>
      <c r="AE113" s="20"/>
      <c r="AF113" s="20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4"/>
      <c r="J114" s="6"/>
      <c r="K114" s="6"/>
      <c r="L114" s="6"/>
      <c r="M114" s="6"/>
      <c r="N114" s="6"/>
      <c r="O114" s="6"/>
      <c r="P114" s="6"/>
      <c r="Q114" s="34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0"/>
      <c r="AE114" s="20"/>
      <c r="AF114" s="20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4"/>
      <c r="J115" s="6"/>
      <c r="K115" s="6"/>
      <c r="L115" s="6"/>
      <c r="M115" s="6"/>
      <c r="N115" s="6"/>
      <c r="O115" s="6"/>
      <c r="P115" s="6"/>
      <c r="Q115" s="34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0"/>
      <c r="AE115" s="20"/>
      <c r="AF115" s="20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4"/>
      <c r="J116" s="6"/>
      <c r="K116" s="6"/>
      <c r="L116" s="6"/>
      <c r="M116" s="6"/>
      <c r="N116" s="6"/>
      <c r="O116" s="6"/>
      <c r="P116" s="6"/>
      <c r="Q116" s="34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0"/>
      <c r="AE116" s="20"/>
      <c r="AF116" s="20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4"/>
      <c r="J117" s="6"/>
      <c r="K117" s="6"/>
      <c r="L117" s="6"/>
      <c r="M117" s="6"/>
      <c r="N117" s="6"/>
      <c r="O117" s="6"/>
      <c r="P117" s="6"/>
      <c r="Q117" s="34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0"/>
      <c r="AE117" s="20"/>
      <c r="AF117" s="20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2" sqref="J12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14" t="s">
        <v>178</v>
      </c>
      <c r="B1" s="115"/>
    </row>
    <row r="2" spans="1:21" ht="14.25" customHeight="1" x14ac:dyDescent="0.2">
      <c r="A2" s="116"/>
      <c r="B2" s="117"/>
      <c r="Q2" s="32">
        <f>Q5+Q6+Q7+Q8+Q10</f>
        <v>1.0959999999999999</v>
      </c>
      <c r="R2" s="32">
        <f>R5+R6+R7+R8+R10</f>
        <v>1.0959999999999999</v>
      </c>
    </row>
    <row r="3" spans="1:21" s="3" customFormat="1" ht="14.25" customHeight="1" x14ac:dyDescent="0.2">
      <c r="C3" s="3" t="s">
        <v>196</v>
      </c>
    </row>
    <row r="4" spans="1:21" s="3" customFormat="1" ht="14.25" customHeight="1" x14ac:dyDescent="0.2">
      <c r="D4" s="3" t="s">
        <v>182</v>
      </c>
      <c r="E4" s="3" t="s">
        <v>179</v>
      </c>
      <c r="F4" s="3" t="s">
        <v>130</v>
      </c>
      <c r="G4" s="3" t="s">
        <v>152</v>
      </c>
      <c r="H4" s="3" t="s">
        <v>180</v>
      </c>
      <c r="I4" s="3" t="s">
        <v>181</v>
      </c>
      <c r="J4" s="23" t="s">
        <v>189</v>
      </c>
      <c r="K4" s="3" t="s">
        <v>125</v>
      </c>
      <c r="L4" s="3" t="s">
        <v>126</v>
      </c>
      <c r="M4" s="3" t="s">
        <v>9</v>
      </c>
      <c r="N4" s="3" t="s">
        <v>5</v>
      </c>
      <c r="O4" s="3" t="s">
        <v>191</v>
      </c>
      <c r="P4" s="3" t="s">
        <v>192</v>
      </c>
      <c r="Q4" s="3" t="s">
        <v>193</v>
      </c>
      <c r="R4" s="3" t="s">
        <v>194</v>
      </c>
    </row>
    <row r="5" spans="1:21" ht="14.25" customHeight="1" x14ac:dyDescent="0.2">
      <c r="D5" s="1" t="s">
        <v>136</v>
      </c>
      <c r="E5" s="1" t="s">
        <v>111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2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0.21919999999999998</v>
      </c>
      <c r="S5" s="6">
        <f>N5*(1+R5)</f>
        <v>2.4384000000000001</v>
      </c>
      <c r="T5" s="84">
        <f>1+J5</f>
        <v>1.5</v>
      </c>
    </row>
    <row r="6" spans="1:21" ht="14.25" customHeight="1" x14ac:dyDescent="0.2">
      <c r="D6" s="1" t="s">
        <v>137</v>
      </c>
      <c r="E6" s="1" t="s">
        <v>111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2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0.21919999999999998</v>
      </c>
      <c r="S6" s="6">
        <f t="shared" ref="S6:S10" si="2">N6*(1+R6)</f>
        <v>2.4384000000000001</v>
      </c>
      <c r="T6" s="84">
        <f t="shared" ref="T6:T10" si="3">1+J6</f>
        <v>1.5</v>
      </c>
    </row>
    <row r="7" spans="1:21" ht="14.25" customHeight="1" x14ac:dyDescent="0.2">
      <c r="D7" s="1" t="s">
        <v>138</v>
      </c>
      <c r="E7" s="1" t="s">
        <v>112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12</v>
      </c>
      <c r="I7" s="6">
        <f>VLOOKUP($D7,角色设定!$D$9:$M$15,MATCH(I$4,角色设定!$D$9:$M$9,0),0)</f>
        <v>33.333333333333336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4">
        <f t="shared" si="3"/>
        <v>1.35</v>
      </c>
    </row>
    <row r="8" spans="1:21" ht="14.25" customHeight="1" x14ac:dyDescent="0.2">
      <c r="D8" s="1" t="s">
        <v>139</v>
      </c>
      <c r="E8" s="1" t="s">
        <v>112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11.5</v>
      </c>
      <c r="I8" s="6">
        <f>VLOOKUP($D8,角色设定!$D$9:$M$15,MATCH(I$4,角色设定!$D$9:$M$9,0),0)</f>
        <v>34.782608695652172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4">
        <f t="shared" si="3"/>
        <v>1.35</v>
      </c>
    </row>
    <row r="9" spans="1:21" ht="14.25" customHeight="1" x14ac:dyDescent="0.2">
      <c r="D9" s="1" t="s">
        <v>140</v>
      </c>
      <c r="E9" s="1" t="s">
        <v>112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11</v>
      </c>
      <c r="I9" s="6">
        <f>VLOOKUP($D9,角色设定!$D$9:$M$15,MATCH(I$4,角色设定!$D$9:$M$9,0),0)</f>
        <v>36.363636363636367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4">
        <f t="shared" si="3"/>
        <v>1.35</v>
      </c>
    </row>
    <row r="10" spans="1:21" ht="14.25" customHeight="1" x14ac:dyDescent="0.2">
      <c r="D10" s="1" t="s">
        <v>141</v>
      </c>
      <c r="E10" s="1" t="s">
        <v>113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0.65759999999999985</v>
      </c>
      <c r="S10" s="6">
        <f t="shared" si="2"/>
        <v>9.9455999999999989</v>
      </c>
      <c r="T10" s="84">
        <f t="shared" si="3"/>
        <v>1.35</v>
      </c>
    </row>
    <row r="11" spans="1:21" ht="14.25" customHeight="1" x14ac:dyDescent="0.2"/>
    <row r="12" spans="1:21" ht="14.25" customHeight="1" x14ac:dyDescent="0.2">
      <c r="I12" s="1">
        <v>0</v>
      </c>
      <c r="J12" s="2"/>
      <c r="K12" s="1" t="s">
        <v>290</v>
      </c>
      <c r="L12" s="1" t="s">
        <v>291</v>
      </c>
      <c r="M12" s="1" t="s">
        <v>292</v>
      </c>
    </row>
    <row r="13" spans="1:21" ht="14.25" customHeight="1" x14ac:dyDescent="0.2">
      <c r="C13" s="3"/>
      <c r="D13" s="3" t="s">
        <v>182</v>
      </c>
      <c r="E13" s="3" t="s">
        <v>179</v>
      </c>
      <c r="F13" s="3" t="s">
        <v>24</v>
      </c>
      <c r="G13" s="3" t="s">
        <v>190</v>
      </c>
      <c r="H13" s="23" t="s">
        <v>183</v>
      </c>
      <c r="I13" s="23" t="s">
        <v>241</v>
      </c>
      <c r="J13" s="3" t="s">
        <v>184</v>
      </c>
      <c r="K13" s="3" t="s">
        <v>186</v>
      </c>
      <c r="L13" s="3" t="s">
        <v>188</v>
      </c>
      <c r="M13" s="3" t="s">
        <v>195</v>
      </c>
      <c r="N13" s="3" t="s">
        <v>209</v>
      </c>
      <c r="O13" s="3" t="s">
        <v>210</v>
      </c>
      <c r="P13" s="3" t="s">
        <v>211</v>
      </c>
      <c r="Q13" s="3" t="s">
        <v>212</v>
      </c>
      <c r="R13" s="3" t="s">
        <v>217</v>
      </c>
      <c r="S13" s="3" t="s">
        <v>218</v>
      </c>
      <c r="T13" s="3" t="s">
        <v>219</v>
      </c>
      <c r="U13" s="3" t="s">
        <v>220</v>
      </c>
    </row>
    <row r="14" spans="1:21" ht="14.25" customHeight="1" x14ac:dyDescent="0.2">
      <c r="D14" s="1" t="s">
        <v>136</v>
      </c>
      <c r="E14" s="1" t="s">
        <v>111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0</v>
      </c>
      <c r="J14" s="5">
        <f>(H5*(1-G5)/(1+K5*(L5-1)))*H14/M5/F14</f>
        <v>3.333333333333333</v>
      </c>
      <c r="K14" s="4">
        <f>N5/H5*H14/(1+0.4*0.5)</f>
        <v>3.7037037037037042</v>
      </c>
      <c r="L14" s="5">
        <f>N5*H14/(G14*(1+J5))</f>
        <v>0.23999999999999996</v>
      </c>
      <c r="M14" s="32">
        <f>N5*H14/SUMPRODUCT($G$14:$G$19,$T$5:$T$10)</f>
        <v>6.98655387539725E-2</v>
      </c>
      <c r="N14" s="5">
        <f t="shared" ref="N14:N19" si="5">H5*(1-P5)/(1/H14)/(1+K5*(L5-1))/F14</f>
        <v>4.8</v>
      </c>
      <c r="O14" s="22">
        <f t="shared" ref="O14:O19" si="6">S5/H5*H14</f>
        <v>5.4186666666666667</v>
      </c>
      <c r="P14" s="5">
        <f t="shared" ref="P14:P19" si="7">S5*H14/G14</f>
        <v>0.43891199999999997</v>
      </c>
      <c r="Q14" s="5">
        <f>S5*H14/(G14+G15+G16+G17+G19)</f>
        <v>0.13729057527539779</v>
      </c>
      <c r="R14" s="6">
        <f>N14/J14</f>
        <v>1.4400000000000002</v>
      </c>
      <c r="S14" s="6">
        <f t="shared" ref="S14:U14" si="8">O14/K14</f>
        <v>1.4630399999999999</v>
      </c>
      <c r="T14" s="6">
        <f t="shared" si="8"/>
        <v>1.8288000000000002</v>
      </c>
      <c r="U14" s="6">
        <f t="shared" si="8"/>
        <v>1.9650685835095139</v>
      </c>
    </row>
    <row r="15" spans="1:21" ht="14.25" customHeight="1" x14ac:dyDescent="0.2">
      <c r="D15" s="1" t="s">
        <v>137</v>
      </c>
      <c r="E15" s="1" t="s">
        <v>111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0</v>
      </c>
      <c r="J15" s="5">
        <f t="shared" ref="J15:J19" si="11">(H6*(1-G6)/(1+K6*(L6-1)))*H15/M6/F15</f>
        <v>2.6524633821571233</v>
      </c>
      <c r="K15" s="4">
        <f t="shared" ref="K15:K18" si="12">N6/H6*H15/(1+0.4*0.5)</f>
        <v>2.2222222222222223</v>
      </c>
      <c r="L15" s="5">
        <f t="shared" ref="L15:L19" si="13">N6*H15/(G15*(1+J6))</f>
        <v>0.25600000000000001</v>
      </c>
      <c r="M15" s="32"/>
      <c r="N15" s="5">
        <f t="shared" si="5"/>
        <v>4.0349723187338151</v>
      </c>
      <c r="O15" s="22">
        <f t="shared" si="6"/>
        <v>3.2512000000000003</v>
      </c>
      <c r="P15" s="5">
        <f t="shared" si="7"/>
        <v>0.46817280000000006</v>
      </c>
      <c r="R15" s="6">
        <f t="shared" ref="R15:R19" si="14">N15/J15</f>
        <v>1.5212169735788634</v>
      </c>
      <c r="S15" s="6">
        <f t="shared" ref="S15:S19" si="15">O15/K15</f>
        <v>1.4630400000000001</v>
      </c>
      <c r="T15" s="6">
        <f t="shared" ref="T15:T19" si="16">P15/L15</f>
        <v>1.8288000000000002</v>
      </c>
      <c r="U15" s="6"/>
    </row>
    <row r="16" spans="1:21" ht="14.25" customHeight="1" x14ac:dyDescent="0.2">
      <c r="D16" s="1" t="s">
        <v>138</v>
      </c>
      <c r="E16" s="1" t="s">
        <v>112</v>
      </c>
      <c r="F16" s="6">
        <f t="shared" si="9"/>
        <v>8.0000000000000018</v>
      </c>
      <c r="G16" s="6">
        <f t="shared" si="4"/>
        <v>21.666666666666668</v>
      </c>
      <c r="H16" s="1">
        <v>20</v>
      </c>
      <c r="I16" s="1">
        <f t="shared" si="10"/>
        <v>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2"/>
      <c r="N16" s="5">
        <f t="shared" si="5"/>
        <v>8.3333333333333286</v>
      </c>
      <c r="O16" s="22">
        <f t="shared" si="6"/>
        <v>0</v>
      </c>
      <c r="P16" s="5">
        <f t="shared" si="7"/>
        <v>0</v>
      </c>
      <c r="R16" s="6">
        <f>N16/J16</f>
        <v>1.6666666666666663</v>
      </c>
      <c r="S16" s="6"/>
      <c r="T16" s="6"/>
      <c r="U16" s="6"/>
    </row>
    <row r="17" spans="2:21" ht="14.25" customHeight="1" x14ac:dyDescent="0.2">
      <c r="D17" s="1" t="s">
        <v>139</v>
      </c>
      <c r="E17" s="1" t="s">
        <v>112</v>
      </c>
      <c r="F17" s="6">
        <f t="shared" si="9"/>
        <v>7.0132575757575761</v>
      </c>
      <c r="G17" s="6">
        <f t="shared" si="4"/>
        <v>22.608695652173914</v>
      </c>
      <c r="H17" s="1">
        <v>15</v>
      </c>
      <c r="I17" s="1">
        <f t="shared" si="10"/>
        <v>0</v>
      </c>
      <c r="J17" s="5">
        <f t="shared" si="11"/>
        <v>3.6335403726708058</v>
      </c>
      <c r="K17" s="4">
        <f t="shared" si="12"/>
        <v>0</v>
      </c>
      <c r="L17" s="5">
        <f t="shared" si="13"/>
        <v>0</v>
      </c>
      <c r="M17" s="32"/>
      <c r="N17" s="5">
        <f t="shared" si="5"/>
        <v>6.6893630291847463</v>
      </c>
      <c r="O17" s="22">
        <f t="shared" si="6"/>
        <v>0</v>
      </c>
      <c r="P17" s="5">
        <f t="shared" si="7"/>
        <v>0</v>
      </c>
      <c r="R17" s="6">
        <f t="shared" si="14"/>
        <v>1.8410041841004183</v>
      </c>
      <c r="S17" s="6"/>
      <c r="T17" s="6"/>
      <c r="U17" s="6"/>
    </row>
    <row r="18" spans="2:21" ht="14.25" customHeight="1" x14ac:dyDescent="0.2">
      <c r="D18" s="1" t="s">
        <v>140</v>
      </c>
      <c r="E18" s="1" t="s">
        <v>112</v>
      </c>
      <c r="F18" s="6">
        <f t="shared" si="9"/>
        <v>5.9124999999999996</v>
      </c>
      <c r="G18" s="6">
        <f t="shared" si="4"/>
        <v>23.63636363636364</v>
      </c>
      <c r="H18" s="1">
        <v>10</v>
      </c>
      <c r="I18" s="1">
        <f t="shared" si="10"/>
        <v>0</v>
      </c>
      <c r="J18" s="5">
        <f t="shared" si="11"/>
        <v>2.9198966408268743</v>
      </c>
      <c r="K18" s="4">
        <f t="shared" si="12"/>
        <v>0</v>
      </c>
      <c r="L18" s="5">
        <f t="shared" si="13"/>
        <v>0</v>
      </c>
      <c r="M18" s="32"/>
      <c r="N18" s="5">
        <f t="shared" si="5"/>
        <v>5.7159477471325415</v>
      </c>
      <c r="O18" s="22">
        <f t="shared" si="6"/>
        <v>0</v>
      </c>
      <c r="P18" s="5">
        <f t="shared" si="7"/>
        <v>0</v>
      </c>
      <c r="R18" s="6">
        <f t="shared" si="14"/>
        <v>1.9575856443719406</v>
      </c>
      <c r="S18" s="6"/>
      <c r="T18" s="6"/>
      <c r="U18" s="6"/>
    </row>
    <row r="19" spans="2:21" ht="14.25" customHeight="1" x14ac:dyDescent="0.2">
      <c r="D19" s="1" t="s">
        <v>141</v>
      </c>
      <c r="E19" s="1" t="s">
        <v>113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0</v>
      </c>
      <c r="J19" s="5">
        <f t="shared" si="11"/>
        <v>2.7844611528822045</v>
      </c>
      <c r="K19" s="4">
        <f>N10/H10*H19/(1+0.4*0.5)</f>
        <v>15.277777777777777</v>
      </c>
      <c r="L19" s="5">
        <f t="shared" si="13"/>
        <v>1.3538461538461537</v>
      </c>
      <c r="M19" s="32">
        <f>N10*H19/SUMPRODUCT($G$14:$G$19,$T$5:$T$10)</f>
        <v>0.23055627788810926</v>
      </c>
      <c r="N19" s="5">
        <f t="shared" si="5"/>
        <v>4.1697421590582104</v>
      </c>
      <c r="O19" s="22">
        <f t="shared" si="6"/>
        <v>30.389333333333326</v>
      </c>
      <c r="P19" s="5">
        <f t="shared" si="7"/>
        <v>3.0295827692307684</v>
      </c>
      <c r="Q19" s="5">
        <f>S10*H19/(G14+G15+G16+G17+G19)</f>
        <v>0.61596984088127282</v>
      </c>
      <c r="R19" s="6">
        <f t="shared" si="14"/>
        <v>1.4975041597337773</v>
      </c>
      <c r="S19" s="6">
        <f t="shared" si="15"/>
        <v>1.9891199999999996</v>
      </c>
      <c r="T19" s="6">
        <f t="shared" si="16"/>
        <v>2.2377599999999997</v>
      </c>
      <c r="U19" s="6">
        <f t="shared" ref="U19" si="17">Q19/M19</f>
        <v>2.671668047921071</v>
      </c>
    </row>
    <row r="20" spans="2:21" ht="14.25" customHeight="1" x14ac:dyDescent="0.2">
      <c r="C20" s="20"/>
      <c r="D20" s="20"/>
      <c r="E20" s="20"/>
      <c r="F20" s="20"/>
      <c r="G20" s="20"/>
      <c r="H20" s="9"/>
      <c r="I20" s="9"/>
      <c r="J20" s="9"/>
      <c r="K20" s="5">
        <f>K19/5</f>
        <v>3.0555555555555554</v>
      </c>
      <c r="L20" s="2" t="s">
        <v>273</v>
      </c>
      <c r="M20" s="9"/>
    </row>
    <row r="21" spans="2:21" ht="14.25" customHeight="1" x14ac:dyDescent="0.2">
      <c r="C21" s="20"/>
      <c r="D21" s="20"/>
      <c r="E21" s="20"/>
      <c r="F21" s="20"/>
      <c r="G21" s="20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8" t="s">
        <v>197</v>
      </c>
      <c r="D22" s="2" t="s">
        <v>247</v>
      </c>
      <c r="E22" s="20"/>
      <c r="F22" s="20"/>
      <c r="G22" s="20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0"/>
      <c r="D23" s="10">
        <v>0.2</v>
      </c>
      <c r="E23" s="2" t="s">
        <v>203</v>
      </c>
      <c r="F23" s="20"/>
      <c r="G23" s="20"/>
      <c r="H23" s="9"/>
      <c r="I23" s="9"/>
      <c r="J23" s="9"/>
      <c r="K23" s="9"/>
      <c r="L23" s="9"/>
      <c r="M23" s="9"/>
    </row>
    <row r="24" spans="2:21" ht="14.25" customHeight="1" x14ac:dyDescent="0.2">
      <c r="C24" s="20"/>
      <c r="D24" s="20" t="s">
        <v>24</v>
      </c>
      <c r="E24" s="5">
        <f>D23</f>
        <v>0.2</v>
      </c>
      <c r="F24" s="20"/>
      <c r="G24" s="20"/>
      <c r="H24" s="9"/>
      <c r="I24" s="9"/>
      <c r="J24" s="9"/>
      <c r="K24" s="9"/>
      <c r="L24" s="9"/>
      <c r="M24" s="9"/>
    </row>
    <row r="25" spans="2:21" ht="14.25" customHeight="1" x14ac:dyDescent="0.2">
      <c r="C25" s="20"/>
      <c r="D25" s="20" t="s">
        <v>27</v>
      </c>
      <c r="E25" s="5">
        <f>((1+$D$23)*(1+F25*(G25-1))-1)/(G25-1)-F25</f>
        <v>0.47999999999999987</v>
      </c>
      <c r="F25" s="22">
        <v>0.4</v>
      </c>
      <c r="G25" s="22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0"/>
      <c r="C26" s="20"/>
      <c r="D26" s="20" t="s">
        <v>73</v>
      </c>
      <c r="E26" s="5">
        <f>((1+$D$23)*(1+F26*(G26-1))-1)/F26+1-G26</f>
        <v>0.59999999999999964</v>
      </c>
      <c r="F26" s="22">
        <v>0.4</v>
      </c>
      <c r="G26" s="22">
        <v>1.5</v>
      </c>
      <c r="H26" s="9"/>
      <c r="I26" s="9"/>
      <c r="J26" s="6">
        <f>J14*F14/H14</f>
        <v>1.0416666666666665</v>
      </c>
      <c r="K26" s="9"/>
      <c r="L26" s="9"/>
      <c r="M26" s="9"/>
    </row>
    <row r="27" spans="2:21" ht="14.25" customHeight="1" x14ac:dyDescent="0.2">
      <c r="B27" s="30"/>
      <c r="C27" s="20"/>
      <c r="D27" s="20" t="s">
        <v>190</v>
      </c>
      <c r="E27" s="5">
        <f>D23</f>
        <v>0.2</v>
      </c>
      <c r="G27" s="20"/>
      <c r="H27" s="9"/>
      <c r="I27" s="9"/>
      <c r="J27" s="6">
        <f>J26+F14</f>
        <v>4.1666666666666661</v>
      </c>
      <c r="K27" s="19">
        <f>J26/J27</f>
        <v>0.25</v>
      </c>
      <c r="L27" s="9"/>
      <c r="M27" s="9"/>
    </row>
    <row r="28" spans="2:21" ht="14.25" customHeight="1" x14ac:dyDescent="0.2">
      <c r="B28" s="30"/>
      <c r="C28" s="20"/>
      <c r="D28" s="20" t="s">
        <v>189</v>
      </c>
      <c r="E28" s="4">
        <f>1-(1-(1+$D$23)*(1-F28))-F28</f>
        <v>9.9999999999999978E-2</v>
      </c>
      <c r="F28" s="21">
        <v>0.5</v>
      </c>
      <c r="G28" s="20"/>
      <c r="H28" s="9"/>
      <c r="I28" s="9"/>
      <c r="J28" s="9"/>
      <c r="K28" s="9"/>
      <c r="L28" s="9"/>
      <c r="M28" s="6"/>
    </row>
    <row r="29" spans="2:21" ht="14.25" customHeight="1" x14ac:dyDescent="0.2">
      <c r="B29" s="30"/>
      <c r="C29" s="20"/>
      <c r="D29" s="20" t="s">
        <v>25</v>
      </c>
      <c r="E29" s="20">
        <f>100000/(1-E28-F28)-100000</f>
        <v>150000</v>
      </c>
      <c r="F29" s="21">
        <f>E29/G29</f>
        <v>1.5</v>
      </c>
      <c r="G29" s="20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0"/>
      <c r="C30" s="20"/>
      <c r="D30" s="20"/>
      <c r="E30" s="20"/>
      <c r="F30" s="20"/>
      <c r="G30" s="20"/>
      <c r="H30" s="9"/>
      <c r="I30" s="9"/>
      <c r="J30" s="9"/>
      <c r="K30" s="9"/>
      <c r="L30" s="9"/>
      <c r="M30" s="9"/>
    </row>
    <row r="31" spans="2:21" ht="14.25" customHeight="1" x14ac:dyDescent="0.2">
      <c r="B31" s="30"/>
      <c r="C31" s="20"/>
      <c r="D31" s="20"/>
      <c r="E31" s="20"/>
      <c r="F31" s="20"/>
      <c r="G31" s="20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0"/>
      <c r="D32" s="20"/>
      <c r="E32" s="20"/>
      <c r="F32" s="20"/>
      <c r="G32" s="20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0"/>
      <c r="D33" s="20"/>
      <c r="E33" s="20"/>
      <c r="F33" s="20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0"/>
      <c r="D34" s="20"/>
      <c r="E34" s="20"/>
      <c r="F34" s="20"/>
      <c r="G34" s="20"/>
      <c r="H34" s="9"/>
      <c r="I34" s="9"/>
      <c r="J34" s="9"/>
      <c r="K34" s="9"/>
      <c r="L34" s="9"/>
      <c r="M34" s="9"/>
    </row>
    <row r="35" spans="2:13" ht="14.25" customHeight="1" x14ac:dyDescent="0.2">
      <c r="C35" s="20"/>
      <c r="D35" s="20"/>
      <c r="E35" s="20"/>
      <c r="F35" s="20"/>
      <c r="G35" s="20"/>
      <c r="H35" s="9"/>
      <c r="I35" s="9"/>
      <c r="J35" s="9"/>
      <c r="K35" s="9"/>
      <c r="L35" s="9"/>
      <c r="M35" s="9"/>
    </row>
    <row r="36" spans="2:13" ht="14.25" customHeight="1" x14ac:dyDescent="0.2">
      <c r="C36" s="20"/>
      <c r="D36" s="20"/>
      <c r="E36" s="20"/>
      <c r="F36" s="20"/>
      <c r="G36" s="20"/>
      <c r="H36" s="9"/>
      <c r="I36" s="9"/>
      <c r="J36" s="9"/>
      <c r="K36" s="9"/>
      <c r="L36" s="9"/>
      <c r="M36" s="9"/>
    </row>
    <row r="37" spans="2:13" ht="14.25" customHeight="1" x14ac:dyDescent="0.2">
      <c r="C37" s="20"/>
      <c r="D37" s="20"/>
      <c r="E37" s="20"/>
      <c r="F37" s="20"/>
      <c r="G37" s="20"/>
      <c r="H37" s="9"/>
      <c r="I37" s="9"/>
      <c r="J37" s="9"/>
      <c r="K37" s="9"/>
      <c r="L37" s="9"/>
      <c r="M37" s="9"/>
    </row>
    <row r="38" spans="2:13" ht="14.25" customHeight="1" x14ac:dyDescent="0.2">
      <c r="C38" s="20"/>
      <c r="D38" s="20"/>
      <c r="E38" s="20"/>
      <c r="F38" s="20"/>
      <c r="G38" s="20"/>
      <c r="H38" s="9"/>
      <c r="I38" s="9"/>
      <c r="J38" s="9"/>
      <c r="K38" s="9"/>
      <c r="L38" s="9"/>
      <c r="M38" s="9"/>
    </row>
    <row r="39" spans="2:13" ht="14.25" customHeight="1" x14ac:dyDescent="0.2">
      <c r="C39" s="20"/>
      <c r="D39" s="20"/>
      <c r="E39" s="20"/>
      <c r="F39" s="20"/>
      <c r="G39" s="20"/>
      <c r="H39" s="9"/>
      <c r="I39" s="9"/>
      <c r="J39" s="9"/>
      <c r="K39" s="9"/>
      <c r="L39" s="9"/>
      <c r="M39" s="9"/>
    </row>
    <row r="40" spans="2:13" ht="14.25" customHeight="1" x14ac:dyDescent="0.2">
      <c r="C40" s="20"/>
      <c r="D40" s="20"/>
      <c r="E40" s="20"/>
      <c r="F40" s="20"/>
      <c r="G40" s="20"/>
      <c r="H40" s="9"/>
      <c r="I40" s="9"/>
      <c r="J40" s="9"/>
      <c r="K40" s="9"/>
      <c r="L40" s="9"/>
      <c r="M40" s="9"/>
    </row>
    <row r="41" spans="2:13" ht="14.25" customHeight="1" x14ac:dyDescent="0.2">
      <c r="C41" s="20"/>
      <c r="D41" s="20"/>
      <c r="E41" s="20"/>
      <c r="F41" s="20"/>
      <c r="G41" s="20"/>
      <c r="H41" s="9"/>
      <c r="I41" s="9"/>
      <c r="J41" s="9"/>
      <c r="K41" s="9"/>
      <c r="L41" s="9"/>
      <c r="M41" s="9"/>
    </row>
    <row r="42" spans="2:13" ht="14.25" customHeight="1" x14ac:dyDescent="0.2">
      <c r="C42" s="20"/>
      <c r="D42" s="20"/>
      <c r="E42" s="20"/>
      <c r="F42" s="20"/>
      <c r="G42" s="20"/>
      <c r="H42" s="9"/>
      <c r="I42" s="9"/>
      <c r="J42" s="9"/>
      <c r="K42" s="9"/>
      <c r="L42" s="9"/>
      <c r="M42" s="9"/>
    </row>
    <row r="43" spans="2:13" ht="14.25" customHeight="1" x14ac:dyDescent="0.2">
      <c r="C43" s="20"/>
      <c r="D43" s="20"/>
      <c r="E43" s="20"/>
      <c r="F43" s="20"/>
      <c r="G43" s="20"/>
      <c r="H43" s="9"/>
      <c r="I43" s="9"/>
      <c r="J43" s="9"/>
      <c r="K43" s="9"/>
      <c r="L43" s="9"/>
      <c r="M43" s="9"/>
    </row>
    <row r="44" spans="2:13" ht="14.25" customHeight="1" x14ac:dyDescent="0.2">
      <c r="C44" s="20"/>
      <c r="D44" s="20"/>
      <c r="E44" s="20"/>
      <c r="F44" s="20"/>
      <c r="G44" s="20"/>
      <c r="H44" s="9"/>
      <c r="I44" s="9"/>
      <c r="J44" s="9"/>
      <c r="K44" s="9"/>
      <c r="L44" s="9"/>
      <c r="M44" s="9"/>
    </row>
    <row r="45" spans="2:13" ht="14.25" customHeight="1" x14ac:dyDescent="0.2">
      <c r="C45" s="20"/>
      <c r="D45" s="20"/>
      <c r="E45" s="20"/>
      <c r="F45" s="20"/>
      <c r="G45" s="20"/>
      <c r="H45" s="9"/>
      <c r="I45" s="9"/>
      <c r="J45" s="9"/>
      <c r="K45" s="9"/>
      <c r="L45" s="9"/>
      <c r="M45" s="9"/>
    </row>
    <row r="46" spans="2:13" ht="14.25" customHeight="1" x14ac:dyDescent="0.2">
      <c r="C46" s="20"/>
      <c r="D46" s="20"/>
      <c r="E46" s="20"/>
      <c r="F46" s="20"/>
      <c r="G46" s="20"/>
      <c r="H46" s="9"/>
      <c r="I46" s="9"/>
      <c r="J46" s="9"/>
      <c r="K46" s="9"/>
      <c r="L46" s="9"/>
      <c r="M46" s="9"/>
    </row>
    <row r="47" spans="2:13" ht="14.25" customHeight="1" x14ac:dyDescent="0.2">
      <c r="C47" s="20"/>
      <c r="D47" s="20"/>
      <c r="E47" s="20"/>
      <c r="F47" s="20"/>
      <c r="G47" s="20"/>
      <c r="H47" s="9"/>
      <c r="I47" s="9"/>
      <c r="J47" s="9"/>
      <c r="K47" s="9"/>
      <c r="L47" s="9"/>
      <c r="M47" s="9"/>
    </row>
    <row r="48" spans="2:13" ht="14.25" customHeight="1" x14ac:dyDescent="0.2">
      <c r="C48" s="20"/>
      <c r="D48" s="20"/>
      <c r="E48" s="20"/>
      <c r="F48" s="20"/>
      <c r="G48" s="20"/>
      <c r="H48" s="9"/>
      <c r="I48" s="9"/>
      <c r="J48" s="9"/>
      <c r="K48" s="9"/>
      <c r="L48" s="9"/>
      <c r="M48" s="9"/>
    </row>
    <row r="49" spans="3:13" ht="14.25" customHeight="1" x14ac:dyDescent="0.2">
      <c r="C49" s="20"/>
      <c r="D49" s="20"/>
      <c r="E49" s="20"/>
      <c r="F49" s="20"/>
      <c r="G49" s="20"/>
      <c r="H49" s="9"/>
      <c r="I49" s="9"/>
      <c r="J49" s="9"/>
      <c r="K49" s="9"/>
      <c r="L49" s="9"/>
      <c r="M49" s="9"/>
    </row>
    <row r="50" spans="3:13" ht="14.25" customHeight="1" x14ac:dyDescent="0.2">
      <c r="C50" s="20"/>
      <c r="D50" s="20"/>
      <c r="E50" s="20"/>
      <c r="F50" s="20"/>
      <c r="G50" s="20"/>
      <c r="H50" s="9"/>
      <c r="I50" s="9"/>
      <c r="J50" s="9"/>
      <c r="K50" s="9"/>
      <c r="L50" s="9"/>
      <c r="M50" s="9"/>
    </row>
    <row r="51" spans="3:13" ht="14.25" customHeight="1" x14ac:dyDescent="0.2">
      <c r="C51" s="20"/>
      <c r="D51" s="20"/>
      <c r="E51" s="20"/>
      <c r="F51" s="20"/>
      <c r="G51" s="20"/>
      <c r="H51" s="9"/>
      <c r="I51" s="9"/>
      <c r="J51" s="9"/>
      <c r="K51" s="9"/>
      <c r="L51" s="9"/>
      <c r="M51" s="9"/>
    </row>
    <row r="52" spans="3:13" ht="14.25" customHeight="1" x14ac:dyDescent="0.2">
      <c r="C52" s="20"/>
      <c r="D52" s="20"/>
      <c r="E52" s="20"/>
      <c r="F52" s="20"/>
      <c r="G52" s="20"/>
      <c r="H52" s="9"/>
      <c r="I52" s="9"/>
      <c r="J52" s="9"/>
      <c r="K52" s="9"/>
      <c r="L52" s="9"/>
      <c r="M52" s="9"/>
    </row>
    <row r="53" spans="3:13" ht="14.25" customHeight="1" x14ac:dyDescent="0.2">
      <c r="C53" s="20"/>
      <c r="D53" s="20"/>
      <c r="E53" s="20"/>
      <c r="F53" s="20"/>
      <c r="G53" s="20"/>
      <c r="H53" s="9"/>
      <c r="I53" s="9"/>
      <c r="J53" s="9"/>
      <c r="K53" s="9"/>
      <c r="L53" s="9"/>
      <c r="M53" s="9"/>
    </row>
    <row r="54" spans="3:13" ht="14.25" customHeight="1" x14ac:dyDescent="0.2">
      <c r="C54" s="20"/>
      <c r="D54" s="20"/>
      <c r="E54" s="20"/>
      <c r="F54" s="20"/>
      <c r="G54" s="20"/>
      <c r="H54" s="9"/>
      <c r="I54" s="9"/>
      <c r="J54" s="9"/>
      <c r="K54" s="9"/>
      <c r="L54" s="9"/>
      <c r="M54" s="9"/>
    </row>
    <row r="55" spans="3:13" ht="14.25" customHeight="1" x14ac:dyDescent="0.2">
      <c r="C55" s="20"/>
      <c r="D55" s="20"/>
      <c r="E55" s="20"/>
      <c r="F55" s="20"/>
      <c r="G55" s="20"/>
      <c r="H55" s="9"/>
      <c r="I55" s="9"/>
      <c r="J55" s="9"/>
      <c r="K55" s="9"/>
      <c r="L55" s="9"/>
      <c r="M55" s="9"/>
    </row>
    <row r="56" spans="3:13" ht="14.25" customHeight="1" x14ac:dyDescent="0.2">
      <c r="C56" s="20"/>
      <c r="D56" s="20"/>
      <c r="E56" s="20"/>
      <c r="F56" s="20"/>
      <c r="G56" s="20"/>
      <c r="H56" s="9"/>
      <c r="I56" s="9"/>
      <c r="J56" s="9"/>
      <c r="K56" s="9"/>
      <c r="L56" s="9"/>
      <c r="M56" s="9"/>
    </row>
    <row r="57" spans="3:13" ht="14.25" customHeight="1" x14ac:dyDescent="0.2">
      <c r="C57" s="20"/>
      <c r="D57" s="20"/>
      <c r="E57" s="20"/>
      <c r="F57" s="20"/>
      <c r="G57" s="20"/>
      <c r="H57" s="9"/>
      <c r="I57" s="9"/>
      <c r="J57" s="9"/>
      <c r="K57" s="9"/>
      <c r="L57" s="9"/>
      <c r="M57" s="9"/>
    </row>
    <row r="58" spans="3:13" ht="14.25" customHeight="1" x14ac:dyDescent="0.2">
      <c r="C58" s="20"/>
      <c r="D58" s="20"/>
      <c r="E58" s="20"/>
      <c r="F58" s="20"/>
      <c r="G58" s="20"/>
      <c r="H58" s="9"/>
      <c r="I58" s="9"/>
      <c r="J58" s="9"/>
      <c r="K58" s="9"/>
      <c r="L58" s="9"/>
      <c r="M58" s="9"/>
    </row>
    <row r="59" spans="3:13" ht="14.25" customHeight="1" x14ac:dyDescent="0.2">
      <c r="C59" s="20"/>
      <c r="D59" s="20"/>
      <c r="E59" s="20"/>
      <c r="F59" s="20"/>
      <c r="G59" s="20"/>
      <c r="H59" s="9"/>
      <c r="I59" s="9"/>
      <c r="J59" s="9"/>
      <c r="K59" s="9"/>
      <c r="L59" s="9"/>
      <c r="M59" s="9"/>
    </row>
    <row r="60" spans="3:13" ht="14.25" customHeight="1" x14ac:dyDescent="0.2">
      <c r="C60" s="20"/>
      <c r="D60" s="20"/>
      <c r="E60" s="20"/>
      <c r="F60" s="20"/>
      <c r="G60" s="20"/>
      <c r="H60" s="9"/>
      <c r="I60" s="9"/>
      <c r="J60" s="9"/>
      <c r="K60" s="9"/>
      <c r="L60" s="9"/>
      <c r="M60" s="9"/>
    </row>
    <row r="61" spans="3:13" ht="14.25" customHeight="1" x14ac:dyDescent="0.2">
      <c r="C61" s="20"/>
      <c r="D61" s="20"/>
      <c r="E61" s="20"/>
      <c r="F61" s="20"/>
      <c r="G61" s="20"/>
      <c r="H61" s="9"/>
      <c r="I61" s="9"/>
      <c r="J61" s="9"/>
      <c r="K61" s="9"/>
      <c r="L61" s="9"/>
      <c r="M61" s="9"/>
    </row>
    <row r="62" spans="3:13" ht="14.25" customHeight="1" x14ac:dyDescent="0.2">
      <c r="C62" s="20"/>
      <c r="D62" s="20"/>
      <c r="E62" s="20"/>
      <c r="F62" s="20"/>
      <c r="G62" s="20"/>
      <c r="H62" s="9"/>
      <c r="I62" s="9"/>
      <c r="J62" s="9"/>
      <c r="K62" s="9"/>
      <c r="L62" s="9"/>
      <c r="M62" s="9"/>
    </row>
    <row r="63" spans="3:13" ht="14.25" customHeight="1" x14ac:dyDescent="0.2">
      <c r="C63" s="20"/>
      <c r="D63" s="20"/>
      <c r="E63" s="20"/>
      <c r="F63" s="20"/>
      <c r="G63" s="20"/>
      <c r="H63" s="9"/>
      <c r="I63" s="9"/>
      <c r="J63" s="9"/>
      <c r="K63" s="9"/>
      <c r="L63" s="9"/>
      <c r="M63" s="9"/>
    </row>
    <row r="64" spans="3:13" ht="14.25" customHeight="1" x14ac:dyDescent="0.2">
      <c r="C64" s="20"/>
      <c r="D64" s="20"/>
      <c r="E64" s="20"/>
      <c r="F64" s="20"/>
      <c r="G64" s="20"/>
      <c r="H64" s="9"/>
      <c r="I64" s="9"/>
      <c r="J64" s="9"/>
      <c r="K64" s="9"/>
      <c r="L64" s="9"/>
      <c r="M64" s="9"/>
    </row>
    <row r="65" spans="3:13" ht="14.25" customHeight="1" x14ac:dyDescent="0.2">
      <c r="C65" s="20"/>
      <c r="D65" s="20"/>
      <c r="E65" s="20"/>
      <c r="F65" s="20"/>
      <c r="G65" s="20"/>
      <c r="H65" s="9"/>
      <c r="I65" s="9"/>
      <c r="J65" s="9"/>
      <c r="K65" s="9"/>
      <c r="L65" s="9"/>
      <c r="M65" s="9"/>
    </row>
    <row r="66" spans="3:13" ht="14.25" customHeight="1" x14ac:dyDescent="0.2">
      <c r="C66" s="20"/>
      <c r="D66" s="20"/>
      <c r="E66" s="20"/>
      <c r="F66" s="20"/>
      <c r="G66" s="20"/>
      <c r="H66" s="9"/>
      <c r="I66" s="9"/>
      <c r="J66" s="9"/>
      <c r="K66" s="9"/>
      <c r="L66" s="9"/>
      <c r="M66" s="9"/>
    </row>
    <row r="67" spans="3:13" ht="14.25" customHeight="1" x14ac:dyDescent="0.2">
      <c r="C67" s="20"/>
      <c r="D67" s="20"/>
      <c r="E67" s="20"/>
      <c r="F67" s="20"/>
      <c r="G67" s="20"/>
      <c r="H67" s="9"/>
      <c r="I67" s="9"/>
      <c r="J67" s="9"/>
      <c r="K67" s="9"/>
      <c r="L67" s="9"/>
      <c r="M67" s="9"/>
    </row>
    <row r="68" spans="3:13" ht="14.25" customHeight="1" x14ac:dyDescent="0.2">
      <c r="C68" s="20"/>
      <c r="D68" s="20"/>
      <c r="E68" s="20"/>
      <c r="F68" s="20"/>
      <c r="G68" s="20"/>
      <c r="H68" s="9"/>
      <c r="I68" s="9"/>
      <c r="J68" s="9"/>
      <c r="K68" s="9"/>
      <c r="L68" s="9"/>
      <c r="M68" s="9"/>
    </row>
    <row r="69" spans="3:13" ht="14.25" customHeight="1" x14ac:dyDescent="0.2">
      <c r="C69" s="20"/>
      <c r="D69" s="20"/>
      <c r="E69" s="20"/>
      <c r="F69" s="20"/>
      <c r="G69" s="20"/>
      <c r="H69" s="9"/>
      <c r="I69" s="9"/>
      <c r="J69" s="9"/>
      <c r="K69" s="9"/>
      <c r="L69" s="9"/>
      <c r="M69" s="9"/>
    </row>
    <row r="70" spans="3:13" ht="14.25" customHeight="1" x14ac:dyDescent="0.2">
      <c r="C70" s="20"/>
      <c r="D70" s="20"/>
      <c r="E70" s="20"/>
      <c r="F70" s="20"/>
      <c r="G70" s="20"/>
      <c r="H70" s="9"/>
      <c r="I70" s="9"/>
      <c r="J70" s="9"/>
      <c r="K70" s="9"/>
      <c r="L70" s="9"/>
      <c r="M70" s="9"/>
    </row>
    <row r="71" spans="3:13" ht="14.25" customHeight="1" x14ac:dyDescent="0.2">
      <c r="C71" s="20"/>
      <c r="D71" s="20"/>
      <c r="E71" s="20"/>
      <c r="F71" s="20"/>
      <c r="G71" s="20"/>
      <c r="H71" s="9"/>
      <c r="I71" s="9"/>
      <c r="J71" s="9"/>
      <c r="K71" s="9"/>
      <c r="L71" s="9"/>
      <c r="M71" s="9"/>
    </row>
    <row r="72" spans="3:13" ht="14.25" customHeight="1" x14ac:dyDescent="0.2">
      <c r="C72" s="20"/>
      <c r="D72" s="20"/>
      <c r="E72" s="20"/>
      <c r="F72" s="20"/>
      <c r="G72" s="20"/>
      <c r="H72" s="9"/>
      <c r="I72" s="9"/>
      <c r="J72" s="9"/>
      <c r="K72" s="9"/>
      <c r="L72" s="9"/>
      <c r="M72" s="9"/>
    </row>
    <row r="73" spans="3:13" ht="14.25" customHeight="1" x14ac:dyDescent="0.2">
      <c r="C73" s="20"/>
      <c r="D73" s="20"/>
      <c r="E73" s="20"/>
      <c r="F73" s="20"/>
      <c r="G73" s="20"/>
      <c r="H73" s="9"/>
      <c r="I73" s="9"/>
      <c r="J73" s="9"/>
      <c r="K73" s="9"/>
      <c r="L73" s="9"/>
      <c r="M73" s="9"/>
    </row>
    <row r="74" spans="3:13" ht="14.25" customHeight="1" x14ac:dyDescent="0.2">
      <c r="C74" s="20"/>
      <c r="D74" s="20"/>
      <c r="E74" s="20"/>
      <c r="F74" s="20"/>
      <c r="G74" s="20"/>
      <c r="H74" s="9"/>
      <c r="I74" s="9"/>
      <c r="J74" s="9"/>
      <c r="K74" s="9"/>
      <c r="L74" s="9"/>
      <c r="M74" s="9"/>
    </row>
    <row r="75" spans="3:13" ht="14.25" customHeight="1" x14ac:dyDescent="0.2">
      <c r="C75" s="20"/>
      <c r="D75" s="20"/>
      <c r="E75" s="20"/>
      <c r="F75" s="20"/>
      <c r="G75" s="20"/>
      <c r="H75" s="9"/>
      <c r="I75" s="9"/>
      <c r="J75" s="9"/>
      <c r="K75" s="9"/>
      <c r="L75" s="9"/>
      <c r="M75" s="9"/>
    </row>
    <row r="76" spans="3:13" ht="14.25" customHeight="1" x14ac:dyDescent="0.2">
      <c r="C76" s="20"/>
      <c r="D76" s="20"/>
      <c r="E76" s="20"/>
      <c r="F76" s="20"/>
      <c r="G76" s="20"/>
      <c r="H76" s="9"/>
      <c r="I76" s="9"/>
      <c r="J76" s="9"/>
      <c r="K76" s="9"/>
      <c r="L76" s="9"/>
      <c r="M76" s="9"/>
    </row>
    <row r="77" spans="3:13" ht="14.25" customHeight="1" x14ac:dyDescent="0.2">
      <c r="C77" s="20"/>
      <c r="D77" s="20"/>
      <c r="E77" s="20"/>
      <c r="F77" s="20"/>
      <c r="G77" s="20"/>
      <c r="H77" s="9"/>
      <c r="I77" s="9"/>
      <c r="J77" s="9"/>
      <c r="K77" s="9"/>
      <c r="L77" s="9"/>
      <c r="M77" s="9"/>
    </row>
    <row r="78" spans="3:13" ht="14.25" customHeight="1" x14ac:dyDescent="0.2">
      <c r="C78" s="20"/>
      <c r="D78" s="20"/>
      <c r="E78" s="20"/>
      <c r="F78" s="20"/>
      <c r="G78" s="20"/>
      <c r="H78" s="9"/>
      <c r="I78" s="9"/>
      <c r="J78" s="9"/>
      <c r="K78" s="9"/>
      <c r="L78" s="9"/>
      <c r="M78" s="9"/>
    </row>
    <row r="79" spans="3:13" ht="14.25" customHeight="1" x14ac:dyDescent="0.2">
      <c r="C79" s="20"/>
      <c r="D79" s="20"/>
      <c r="E79" s="20"/>
      <c r="F79" s="20"/>
      <c r="G79" s="20"/>
      <c r="H79" s="9"/>
      <c r="I79" s="9"/>
      <c r="J79" s="9"/>
      <c r="K79" s="9"/>
      <c r="L79" s="9"/>
      <c r="M79" s="9"/>
    </row>
    <row r="80" spans="3:13" ht="14.25" customHeight="1" x14ac:dyDescent="0.2">
      <c r="C80" s="20"/>
      <c r="D80" s="20"/>
      <c r="E80" s="20"/>
      <c r="F80" s="20"/>
      <c r="G80" s="20"/>
      <c r="H80" s="9"/>
      <c r="I80" s="9"/>
      <c r="J80" s="9"/>
      <c r="K80" s="9"/>
      <c r="L80" s="9"/>
      <c r="M80" s="9"/>
    </row>
    <row r="81" spans="3:13" ht="14.25" customHeight="1" x14ac:dyDescent="0.2">
      <c r="C81" s="20"/>
      <c r="D81" s="20"/>
      <c r="E81" s="20"/>
      <c r="F81" s="20"/>
      <c r="G81" s="20"/>
      <c r="H81" s="9"/>
      <c r="I81" s="9"/>
      <c r="J81" s="9"/>
      <c r="K81" s="9"/>
      <c r="L81" s="9"/>
      <c r="M81" s="9"/>
    </row>
    <row r="82" spans="3:13" ht="14.25" customHeight="1" x14ac:dyDescent="0.2">
      <c r="C82" s="20"/>
      <c r="D82" s="20"/>
      <c r="E82" s="20"/>
      <c r="F82" s="20"/>
      <c r="G82" s="20"/>
      <c r="H82" s="9"/>
      <c r="I82" s="9"/>
      <c r="J82" s="9"/>
      <c r="K82" s="9"/>
      <c r="L82" s="9"/>
      <c r="M82" s="9"/>
    </row>
    <row r="83" spans="3:13" ht="14.25" customHeight="1" x14ac:dyDescent="0.2">
      <c r="C83" s="20"/>
      <c r="D83" s="20"/>
      <c r="E83" s="20"/>
      <c r="F83" s="20"/>
      <c r="G83" s="20"/>
      <c r="H83" s="9"/>
      <c r="I83" s="9"/>
      <c r="J83" s="9"/>
      <c r="K83" s="9"/>
      <c r="L83" s="9"/>
      <c r="M83" s="9"/>
    </row>
    <row r="84" spans="3:13" ht="14.25" customHeight="1" x14ac:dyDescent="0.2">
      <c r="C84" s="20"/>
      <c r="D84" s="20"/>
      <c r="E84" s="20"/>
      <c r="F84" s="20"/>
      <c r="G84" s="20"/>
      <c r="H84" s="9"/>
      <c r="I84" s="9"/>
      <c r="J84" s="9"/>
      <c r="K84" s="9"/>
      <c r="L84" s="9"/>
      <c r="M84" s="9"/>
    </row>
    <row r="85" spans="3:13" ht="14.25" customHeight="1" x14ac:dyDescent="0.2">
      <c r="C85" s="20"/>
      <c r="D85" s="20"/>
      <c r="E85" s="20"/>
      <c r="F85" s="20"/>
      <c r="G85" s="20"/>
      <c r="H85" s="9"/>
      <c r="I85" s="9"/>
      <c r="J85" s="9"/>
      <c r="K85" s="9"/>
      <c r="L85" s="9"/>
      <c r="M85" s="9"/>
    </row>
    <row r="86" spans="3:13" ht="14.25" customHeight="1" x14ac:dyDescent="0.2">
      <c r="C86" s="20"/>
      <c r="D86" s="20"/>
      <c r="E86" s="20"/>
      <c r="F86" s="20"/>
      <c r="G86" s="20"/>
      <c r="H86" s="9"/>
      <c r="I86" s="9"/>
      <c r="J86" s="9"/>
      <c r="K86" s="9"/>
      <c r="L86" s="9"/>
      <c r="M86" s="9"/>
    </row>
    <row r="87" spans="3:13" ht="14.25" customHeight="1" x14ac:dyDescent="0.2">
      <c r="C87" s="20"/>
      <c r="D87" s="20"/>
      <c r="E87" s="20"/>
      <c r="F87" s="20"/>
      <c r="G87" s="20"/>
      <c r="H87" s="9"/>
      <c r="I87" s="9"/>
      <c r="J87" s="9"/>
      <c r="K87" s="9"/>
      <c r="L87" s="9"/>
      <c r="M87" s="9"/>
    </row>
    <row r="88" spans="3:13" ht="14.25" customHeight="1" x14ac:dyDescent="0.2">
      <c r="C88" s="20"/>
      <c r="D88" s="20"/>
      <c r="E88" s="20"/>
      <c r="F88" s="20"/>
      <c r="G88" s="20"/>
      <c r="H88" s="9"/>
      <c r="I88" s="9"/>
      <c r="J88" s="9"/>
      <c r="K88" s="9"/>
      <c r="L88" s="9"/>
      <c r="M88" s="9"/>
    </row>
    <row r="89" spans="3:13" ht="14.25" customHeight="1" x14ac:dyDescent="0.2">
      <c r="C89" s="20"/>
      <c r="D89" s="20"/>
      <c r="E89" s="20"/>
      <c r="F89" s="20"/>
      <c r="G89" s="20"/>
      <c r="H89" s="9"/>
      <c r="I89" s="9"/>
      <c r="J89" s="9"/>
      <c r="K89" s="9"/>
      <c r="L89" s="9"/>
      <c r="M89" s="9"/>
    </row>
    <row r="90" spans="3:13" ht="14.25" customHeight="1" x14ac:dyDescent="0.2">
      <c r="C90" s="20"/>
      <c r="D90" s="20"/>
      <c r="E90" s="20"/>
      <c r="F90" s="20"/>
      <c r="G90" s="20"/>
      <c r="H90" s="9"/>
      <c r="I90" s="9"/>
      <c r="J90" s="9"/>
      <c r="K90" s="9"/>
      <c r="L90" s="9"/>
      <c r="M90" s="9"/>
    </row>
    <row r="91" spans="3:13" ht="14.25" customHeight="1" x14ac:dyDescent="0.2">
      <c r="C91" s="20"/>
      <c r="D91" s="20"/>
      <c r="E91" s="20"/>
      <c r="F91" s="20"/>
      <c r="G91" s="20"/>
      <c r="H91" s="9"/>
      <c r="I91" s="9"/>
      <c r="J91" s="9"/>
      <c r="K91" s="9"/>
      <c r="L91" s="9"/>
      <c r="M91" s="9"/>
    </row>
    <row r="92" spans="3:13" ht="14.25" customHeight="1" x14ac:dyDescent="0.2">
      <c r="C92" s="20"/>
      <c r="D92" s="20"/>
      <c r="E92" s="20"/>
      <c r="F92" s="20"/>
      <c r="G92" s="20"/>
      <c r="H92" s="9"/>
      <c r="I92" s="9"/>
      <c r="J92" s="9"/>
      <c r="K92" s="9"/>
      <c r="L92" s="9"/>
      <c r="M92" s="9"/>
    </row>
    <row r="93" spans="3:13" ht="14.25" customHeight="1" x14ac:dyDescent="0.2">
      <c r="C93" s="20"/>
      <c r="D93" s="20"/>
      <c r="E93" s="20"/>
      <c r="F93" s="20"/>
      <c r="G93" s="20"/>
      <c r="H93" s="9"/>
      <c r="I93" s="9"/>
      <c r="J93" s="9"/>
      <c r="K93" s="9"/>
      <c r="L93" s="9"/>
      <c r="M93" s="9"/>
    </row>
    <row r="94" spans="3:13" ht="14.25" customHeight="1" x14ac:dyDescent="0.2">
      <c r="C94" s="20"/>
      <c r="D94" s="20"/>
      <c r="E94" s="20"/>
      <c r="F94" s="20"/>
      <c r="G94" s="20"/>
      <c r="H94" s="9"/>
      <c r="I94" s="9"/>
      <c r="J94" s="9"/>
      <c r="K94" s="9"/>
      <c r="L94" s="9"/>
      <c r="M94" s="9"/>
    </row>
    <row r="95" spans="3:13" ht="14.25" customHeight="1" x14ac:dyDescent="0.2">
      <c r="C95" s="20"/>
      <c r="D95" s="20"/>
      <c r="E95" s="20"/>
      <c r="F95" s="20"/>
      <c r="G95" s="20"/>
      <c r="H95" s="9"/>
      <c r="I95" s="9"/>
      <c r="J95" s="9"/>
      <c r="K95" s="9"/>
      <c r="L95" s="9"/>
      <c r="M95" s="9"/>
    </row>
    <row r="96" spans="3:13" ht="14.25" customHeight="1" x14ac:dyDescent="0.2">
      <c r="C96" s="20"/>
      <c r="D96" s="20"/>
      <c r="E96" s="20"/>
      <c r="F96" s="20"/>
      <c r="G96" s="20"/>
      <c r="H96" s="9"/>
      <c r="I96" s="9"/>
      <c r="J96" s="9"/>
      <c r="K96" s="9"/>
      <c r="L96" s="9"/>
      <c r="M96" s="9"/>
    </row>
    <row r="97" spans="3:13" ht="14.25" customHeight="1" x14ac:dyDescent="0.2">
      <c r="C97" s="20"/>
      <c r="D97" s="20"/>
      <c r="E97" s="20"/>
      <c r="F97" s="20"/>
      <c r="G97" s="20"/>
      <c r="H97" s="9"/>
      <c r="I97" s="9"/>
      <c r="J97" s="9"/>
      <c r="K97" s="9"/>
      <c r="L97" s="9"/>
      <c r="M97" s="9"/>
    </row>
    <row r="98" spans="3:13" ht="14.25" customHeight="1" x14ac:dyDescent="0.2">
      <c r="C98" s="20"/>
      <c r="D98" s="20"/>
      <c r="E98" s="20"/>
      <c r="F98" s="20"/>
      <c r="G98" s="20"/>
      <c r="H98" s="9"/>
      <c r="I98" s="9"/>
      <c r="J98" s="9"/>
      <c r="K98" s="9"/>
      <c r="L98" s="9"/>
      <c r="M98" s="9"/>
    </row>
    <row r="99" spans="3:13" ht="14.25" customHeight="1" x14ac:dyDescent="0.2">
      <c r="C99" s="20"/>
      <c r="D99" s="20"/>
      <c r="E99" s="20"/>
      <c r="F99" s="20"/>
      <c r="G99" s="20"/>
      <c r="H99" s="9"/>
      <c r="I99" s="9"/>
      <c r="J99" s="9"/>
      <c r="K99" s="9"/>
      <c r="L99" s="9"/>
      <c r="M99" s="9"/>
    </row>
    <row r="100" spans="3:13" ht="14.25" customHeight="1" x14ac:dyDescent="0.2">
      <c r="C100" s="20"/>
      <c r="D100" s="20"/>
      <c r="E100" s="20"/>
      <c r="F100" s="20"/>
      <c r="G100" s="20"/>
      <c r="H100" s="9"/>
      <c r="I100" s="9"/>
      <c r="J100" s="9"/>
      <c r="K100" s="9"/>
      <c r="L100" s="9"/>
      <c r="M100" s="9"/>
    </row>
    <row r="101" spans="3:13" ht="14.25" customHeight="1" x14ac:dyDescent="0.2">
      <c r="C101" s="20"/>
      <c r="D101" s="20"/>
      <c r="E101" s="20"/>
      <c r="F101" s="20"/>
      <c r="G101" s="20"/>
      <c r="H101" s="9"/>
      <c r="I101" s="9"/>
      <c r="J101" s="9"/>
      <c r="K101" s="9"/>
      <c r="L101" s="9"/>
      <c r="M101" s="9"/>
    </row>
    <row r="102" spans="3:13" ht="14.25" customHeight="1" x14ac:dyDescent="0.2">
      <c r="C102" s="20"/>
      <c r="D102" s="20"/>
      <c r="E102" s="20"/>
      <c r="F102" s="20"/>
      <c r="G102" s="20"/>
      <c r="H102" s="9"/>
      <c r="I102" s="9"/>
      <c r="J102" s="9"/>
      <c r="K102" s="9"/>
      <c r="L102" s="9"/>
      <c r="M102" s="9"/>
    </row>
    <row r="103" spans="3:13" ht="14.25" customHeight="1" x14ac:dyDescent="0.2">
      <c r="C103" s="20"/>
      <c r="D103" s="20"/>
      <c r="E103" s="20"/>
      <c r="F103" s="20"/>
      <c r="G103" s="20"/>
      <c r="H103" s="9"/>
      <c r="I103" s="9"/>
      <c r="J103" s="9"/>
      <c r="K103" s="9"/>
      <c r="L103" s="9"/>
      <c r="M103" s="9"/>
    </row>
    <row r="104" spans="3:13" ht="14.25" customHeight="1" x14ac:dyDescent="0.2">
      <c r="C104" s="20"/>
      <c r="D104" s="20"/>
      <c r="E104" s="20"/>
      <c r="F104" s="20"/>
      <c r="G104" s="20"/>
      <c r="H104" s="9"/>
      <c r="I104" s="9"/>
      <c r="J104" s="9"/>
      <c r="K104" s="9"/>
      <c r="L104" s="9"/>
      <c r="M104" s="9"/>
    </row>
    <row r="105" spans="3:13" ht="14.25" customHeight="1" x14ac:dyDescent="0.2">
      <c r="C105" s="20"/>
      <c r="D105" s="20"/>
      <c r="E105" s="20"/>
      <c r="F105" s="20"/>
      <c r="G105" s="20"/>
      <c r="H105" s="9"/>
      <c r="I105" s="9"/>
      <c r="J105" s="9"/>
      <c r="K105" s="9"/>
      <c r="L105" s="9"/>
      <c r="M105" s="9"/>
    </row>
    <row r="106" spans="3:13" ht="14.25" customHeight="1" x14ac:dyDescent="0.2">
      <c r="C106" s="20"/>
      <c r="D106" s="20"/>
      <c r="E106" s="20"/>
      <c r="F106" s="20"/>
      <c r="G106" s="20"/>
      <c r="H106" s="9"/>
      <c r="I106" s="9"/>
      <c r="J106" s="9"/>
      <c r="K106" s="9"/>
      <c r="L106" s="9"/>
      <c r="M106" s="9"/>
    </row>
    <row r="107" spans="3:13" ht="14.25" customHeight="1" x14ac:dyDescent="0.2">
      <c r="C107" s="20"/>
      <c r="D107" s="20"/>
      <c r="E107" s="20"/>
      <c r="F107" s="20"/>
      <c r="G107" s="20"/>
      <c r="H107" s="9"/>
      <c r="I107" s="9"/>
      <c r="J107" s="9"/>
      <c r="K107" s="9"/>
      <c r="L107" s="9"/>
      <c r="M107" s="9"/>
    </row>
    <row r="108" spans="3:13" ht="14.25" customHeight="1" x14ac:dyDescent="0.2">
      <c r="C108" s="20"/>
      <c r="D108" s="20"/>
      <c r="E108" s="20"/>
      <c r="F108" s="20"/>
      <c r="G108" s="20"/>
      <c r="H108" s="9"/>
      <c r="I108" s="9"/>
      <c r="J108" s="9"/>
      <c r="K108" s="9"/>
      <c r="L108" s="9"/>
      <c r="M108" s="9"/>
    </row>
    <row r="109" spans="3:13" ht="14.25" customHeight="1" x14ac:dyDescent="0.2">
      <c r="C109" s="20"/>
      <c r="D109" s="20"/>
      <c r="E109" s="20"/>
      <c r="F109" s="20"/>
      <c r="G109" s="20"/>
      <c r="H109" s="9"/>
      <c r="I109" s="9"/>
      <c r="J109" s="9"/>
      <c r="K109" s="9"/>
      <c r="L109" s="9"/>
      <c r="M109" s="9"/>
    </row>
    <row r="110" spans="3:13" ht="14.25" customHeight="1" x14ac:dyDescent="0.2">
      <c r="C110" s="20"/>
      <c r="D110" s="20"/>
      <c r="E110" s="20"/>
      <c r="F110" s="20"/>
      <c r="G110" s="20"/>
      <c r="H110" s="9"/>
      <c r="I110" s="9"/>
      <c r="J110" s="9"/>
      <c r="K110" s="9"/>
      <c r="L110" s="9"/>
      <c r="M110" s="9"/>
    </row>
    <row r="111" spans="3:13" ht="14.25" customHeight="1" x14ac:dyDescent="0.2">
      <c r="C111" s="20"/>
      <c r="D111" s="20"/>
      <c r="E111" s="20"/>
      <c r="F111" s="20"/>
      <c r="G111" s="20"/>
      <c r="H111" s="9"/>
      <c r="I111" s="9"/>
      <c r="J111" s="9"/>
      <c r="K111" s="9"/>
      <c r="L111" s="9"/>
      <c r="M111" s="9"/>
    </row>
    <row r="112" spans="3:13" ht="14.25" customHeight="1" x14ac:dyDescent="0.2">
      <c r="C112" s="20"/>
      <c r="D112" s="20"/>
      <c r="E112" s="20"/>
      <c r="F112" s="20"/>
      <c r="G112" s="20"/>
      <c r="H112" s="9"/>
      <c r="I112" s="9"/>
      <c r="J112" s="9"/>
      <c r="K112" s="9"/>
      <c r="L112" s="9"/>
      <c r="M112" s="9"/>
    </row>
    <row r="113" spans="3:13" ht="14.25" customHeight="1" x14ac:dyDescent="0.2">
      <c r="C113" s="20"/>
      <c r="D113" s="20"/>
      <c r="E113" s="20"/>
      <c r="F113" s="20"/>
      <c r="G113" s="20"/>
      <c r="H113" s="9"/>
      <c r="I113" s="9"/>
      <c r="J113" s="9"/>
      <c r="K113" s="9"/>
      <c r="L113" s="9"/>
      <c r="M113" s="9"/>
    </row>
    <row r="114" spans="3:13" ht="14.25" customHeight="1" x14ac:dyDescent="0.2">
      <c r="C114" s="20"/>
      <c r="D114" s="20"/>
      <c r="E114" s="20"/>
      <c r="F114" s="20"/>
      <c r="G114" s="20"/>
      <c r="H114" s="9"/>
      <c r="I114" s="9"/>
      <c r="J114" s="9"/>
      <c r="K114" s="9"/>
      <c r="L114" s="9"/>
      <c r="M114" s="9"/>
    </row>
    <row r="115" spans="3:13" ht="14.25" customHeight="1" x14ac:dyDescent="0.2">
      <c r="C115" s="20"/>
      <c r="D115" s="20"/>
      <c r="E115" s="20"/>
      <c r="F115" s="20"/>
      <c r="G115" s="20"/>
      <c r="H115" s="9"/>
      <c r="I115" s="9"/>
      <c r="J115" s="9"/>
      <c r="K115" s="9"/>
      <c r="L115" s="9"/>
      <c r="M115" s="9"/>
    </row>
    <row r="116" spans="3:13" ht="14.25" customHeight="1" x14ac:dyDescent="0.2">
      <c r="C116" s="20"/>
      <c r="D116" s="20"/>
      <c r="E116" s="20"/>
      <c r="F116" s="20"/>
      <c r="G116" s="20"/>
      <c r="H116" s="9"/>
      <c r="I116" s="9"/>
      <c r="J116" s="9"/>
      <c r="K116" s="9"/>
      <c r="L116" s="9"/>
      <c r="M116" s="9"/>
    </row>
    <row r="117" spans="3:13" ht="14.25" customHeight="1" x14ac:dyDescent="0.2">
      <c r="C117" s="20"/>
      <c r="D117" s="20"/>
      <c r="E117" s="20"/>
      <c r="F117" s="20"/>
      <c r="G117" s="20"/>
      <c r="H117" s="9"/>
      <c r="I117" s="9"/>
      <c r="J117" s="9"/>
      <c r="K117" s="9"/>
      <c r="L117" s="9"/>
      <c r="M117" s="9"/>
    </row>
    <row r="118" spans="3:13" ht="14.25" customHeight="1" x14ac:dyDescent="0.2">
      <c r="C118" s="20"/>
      <c r="D118" s="20"/>
      <c r="E118" s="20"/>
      <c r="F118" s="20"/>
      <c r="G118" s="20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14" t="s">
        <v>196</v>
      </c>
      <c r="B1" s="115"/>
    </row>
    <row r="2" spans="1:14" ht="14.25" customHeight="1" x14ac:dyDescent="0.2">
      <c r="A2" s="116"/>
      <c r="B2" s="117"/>
    </row>
    <row r="4" spans="1:14" ht="14.25" customHeight="1" x14ac:dyDescent="0.2">
      <c r="D4" s="3" t="s">
        <v>135</v>
      </c>
      <c r="E4" s="3" t="s">
        <v>76</v>
      </c>
      <c r="F4" s="3" t="s">
        <v>77</v>
      </c>
      <c r="G4" s="1" t="s">
        <v>183</v>
      </c>
      <c r="H4" s="1" t="s">
        <v>241</v>
      </c>
      <c r="I4" s="1" t="s">
        <v>184</v>
      </c>
      <c r="J4" s="1" t="s">
        <v>186</v>
      </c>
      <c r="K4" s="1" t="s">
        <v>188</v>
      </c>
      <c r="L4" s="1" t="s">
        <v>195</v>
      </c>
      <c r="N4" s="3" t="s">
        <v>208</v>
      </c>
    </row>
    <row r="5" spans="1:14" ht="14.25" customHeight="1" x14ac:dyDescent="0.2">
      <c r="D5" s="1" t="s">
        <v>229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3.333333333333333</v>
      </c>
      <c r="J5" s="5"/>
      <c r="K5" s="5">
        <f>VLOOKUP($E5,技能模板!$D$13:$U$19,MATCH(K$4,技能模板!$D$13:$U$13,0),0)/VLOOKUP($E5,技能模板!$D$13:$U$19,MATCH($G$4,技能模板!$D$13:$U$13,0),0)*$G5</f>
        <v>0.23999999999999996</v>
      </c>
      <c r="L5" s="5"/>
      <c r="N5" s="40" t="s">
        <v>214</v>
      </c>
    </row>
    <row r="6" spans="1:14" ht="14.25" customHeight="1" x14ac:dyDescent="0.2">
      <c r="D6" s="1" t="s">
        <v>230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3.333333333333333</v>
      </c>
      <c r="J6" s="5"/>
      <c r="K6" s="5">
        <f>VLOOKUP($E6,技能模板!$D$13:$U$19,MATCH(K$4,技能模板!$D$13:$U$13,0),0)/VLOOKUP($E6,技能模板!$D$13:$U$19,MATCH($G$4,技能模板!$D$13:$U$13,0),0)*$G6</f>
        <v>0.23999999999999996</v>
      </c>
      <c r="L6" s="5"/>
    </row>
    <row r="7" spans="1:14" ht="14.25" customHeight="1" x14ac:dyDescent="0.2">
      <c r="D7" s="1" t="s">
        <v>231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2.6524633821571233</v>
      </c>
      <c r="J7" s="5"/>
      <c r="K7" s="5">
        <f>VLOOKUP($E7,技能模板!$D$13:$U$19,MATCH(K$4,技能模板!$D$13:$U$13,0),0)/VLOOKUP($E7,技能模板!$D$13:$U$19,MATCH($G$4,技能模板!$D$13:$U$13,0),0)*$G7</f>
        <v>0.25600000000000001</v>
      </c>
      <c r="L7" s="5"/>
    </row>
    <row r="8" spans="1:14" ht="14.25" customHeight="1" x14ac:dyDescent="0.2">
      <c r="D8" s="1" t="s">
        <v>232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2.6524633821571233</v>
      </c>
      <c r="J8" s="5"/>
      <c r="K8" s="5">
        <f>VLOOKUP($E8,技能模板!$D$13:$U$19,MATCH(K$4,技能模板!$D$13:$U$13,0),0)/VLOOKUP($E8,技能模板!$D$13:$U$19,MATCH($G$4,技能模板!$D$13:$U$13,0),0)*$G8</f>
        <v>0.25600000000000001</v>
      </c>
      <c r="L8" s="5"/>
    </row>
    <row r="9" spans="1:14" ht="14.25" customHeight="1" x14ac:dyDescent="0.2">
      <c r="D9" s="1" t="s">
        <v>233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234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235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4.8447204968944071</v>
      </c>
      <c r="J11" s="5"/>
      <c r="K11" s="5"/>
      <c r="L11" s="5"/>
    </row>
    <row r="12" spans="1:14" ht="14.25" customHeight="1" x14ac:dyDescent="0.2">
      <c r="D12" s="1" t="s">
        <v>236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4.8447204968944071</v>
      </c>
      <c r="J12" s="5"/>
      <c r="K12" s="5"/>
      <c r="L12" s="5"/>
    </row>
    <row r="13" spans="1:14" ht="14.25" customHeight="1" x14ac:dyDescent="0.2">
      <c r="D13" s="1" t="s">
        <v>237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5.8397932816537494</v>
      </c>
      <c r="J13" s="5"/>
      <c r="K13" s="5"/>
      <c r="L13" s="5"/>
    </row>
    <row r="14" spans="1:14" ht="14.25" customHeight="1" x14ac:dyDescent="0.2">
      <c r="D14" s="1" t="s">
        <v>238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5.8397932816537494</v>
      </c>
      <c r="J14" s="5"/>
      <c r="K14" s="5"/>
      <c r="L14" s="5"/>
    </row>
    <row r="15" spans="1:14" ht="14.25" customHeight="1" x14ac:dyDescent="0.2">
      <c r="D15" s="1" t="s">
        <v>239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2.5313283208020043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0.20959661626191753</v>
      </c>
    </row>
    <row r="16" spans="1:14" ht="14.25" customHeight="1" x14ac:dyDescent="0.2">
      <c r="D16" s="1" t="s">
        <v>240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2.5313283208020043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0.20959661626191753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K8" sqref="K8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14" t="s">
        <v>249</v>
      </c>
      <c r="B1" s="115"/>
    </row>
    <row r="2" spans="1:17" ht="14.25" customHeight="1" x14ac:dyDescent="0.2">
      <c r="A2" s="116"/>
      <c r="B2" s="117"/>
      <c r="D2" s="2" t="s">
        <v>250</v>
      </c>
    </row>
    <row r="3" spans="1:17" ht="14.25" customHeight="1" x14ac:dyDescent="0.2">
      <c r="D3" s="2" t="s">
        <v>251</v>
      </c>
    </row>
    <row r="4" spans="1:17" ht="14.25" customHeight="1" x14ac:dyDescent="0.2">
      <c r="C4" s="3" t="s">
        <v>256</v>
      </c>
      <c r="I4" s="2" t="s">
        <v>270</v>
      </c>
    </row>
    <row r="5" spans="1:17" ht="14.25" customHeight="1" x14ac:dyDescent="0.2">
      <c r="C5" s="3" t="s">
        <v>201</v>
      </c>
      <c r="D5" s="3" t="s">
        <v>77</v>
      </c>
      <c r="E5" s="3" t="s">
        <v>131</v>
      </c>
      <c r="F5" s="3" t="s">
        <v>132</v>
      </c>
      <c r="G5" s="3" t="s">
        <v>113</v>
      </c>
    </row>
    <row r="6" spans="1:17" ht="14.25" customHeight="1" x14ac:dyDescent="0.2">
      <c r="C6" s="1" t="s">
        <v>252</v>
      </c>
      <c r="D6" s="1" t="s">
        <v>111</v>
      </c>
      <c r="E6" s="6">
        <f>基础模型!E34</f>
        <v>4.5</v>
      </c>
      <c r="F6" s="6">
        <f>基础模型!F34</f>
        <v>111.11111111111111</v>
      </c>
      <c r="G6" s="6">
        <f>基础模型!G34</f>
        <v>2</v>
      </c>
    </row>
    <row r="7" spans="1:17" ht="14.25" customHeight="1" x14ac:dyDescent="0.2">
      <c r="C7" s="1" t="s">
        <v>253</v>
      </c>
      <c r="D7" s="1" t="s">
        <v>112</v>
      </c>
      <c r="E7" s="6">
        <f>基础模型!E35</f>
        <v>11</v>
      </c>
      <c r="F7" s="6">
        <f>基础模型!F35</f>
        <v>36.36363636363636</v>
      </c>
      <c r="G7" s="6">
        <f>基础模型!G35</f>
        <v>0</v>
      </c>
    </row>
    <row r="8" spans="1:17" ht="14.25" customHeight="1" x14ac:dyDescent="0.2">
      <c r="C8" s="1" t="s">
        <v>254</v>
      </c>
      <c r="D8" s="1" t="s">
        <v>111</v>
      </c>
      <c r="E8" s="6">
        <f>基础模型!E36</f>
        <v>5</v>
      </c>
      <c r="F8" s="6">
        <f>基础模型!F36</f>
        <v>100</v>
      </c>
      <c r="G8" s="6">
        <f>基础模型!G36</f>
        <v>2</v>
      </c>
    </row>
    <row r="9" spans="1:17" ht="14.25" customHeight="1" x14ac:dyDescent="0.2">
      <c r="C9" s="1" t="s">
        <v>255</v>
      </c>
      <c r="D9" s="1" t="s">
        <v>112</v>
      </c>
      <c r="E9" s="6">
        <f>基础模型!E37</f>
        <v>12</v>
      </c>
      <c r="F9" s="6">
        <f>基础模型!F37</f>
        <v>33.333333333333336</v>
      </c>
      <c r="G9" s="6">
        <f>基础模型!G37</f>
        <v>0</v>
      </c>
    </row>
    <row r="10" spans="1:17" ht="14.25" customHeight="1" x14ac:dyDescent="0.2">
      <c r="C10" s="1">
        <v>0</v>
      </c>
      <c r="D10" s="1" t="s">
        <v>113</v>
      </c>
      <c r="E10" s="6">
        <f>基础模型!E38</f>
        <v>3.88</v>
      </c>
      <c r="F10" s="6">
        <f>基础模型!F38</f>
        <v>48.5</v>
      </c>
      <c r="G10" s="6">
        <f>基础模型!G38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258</v>
      </c>
      <c r="D12" s="2" t="s">
        <v>266</v>
      </c>
      <c r="I12" s="3" t="s">
        <v>259</v>
      </c>
      <c r="Q12" s="2"/>
    </row>
    <row r="13" spans="1:17" ht="14.25" customHeight="1" x14ac:dyDescent="0.2">
      <c r="D13" s="3" t="s">
        <v>257</v>
      </c>
      <c r="E13" s="3" t="s">
        <v>131</v>
      </c>
      <c r="F13" s="3" t="s">
        <v>132</v>
      </c>
      <c r="G13" s="3" t="s">
        <v>113</v>
      </c>
      <c r="H13" s="74" t="s">
        <v>13</v>
      </c>
      <c r="J13" s="23" t="s">
        <v>11</v>
      </c>
      <c r="K13" s="3" t="s">
        <v>132</v>
      </c>
    </row>
    <row r="14" spans="1:17" ht="14.25" customHeight="1" x14ac:dyDescent="0.2">
      <c r="D14" s="1">
        <v>5</v>
      </c>
      <c r="E14" s="1">
        <f>SUM(E6:$E$10)</f>
        <v>36.380000000000003</v>
      </c>
      <c r="F14" s="1">
        <f>F6</f>
        <v>111.11111111111111</v>
      </c>
      <c r="G14" s="1">
        <f>SUM(G6:G10)</f>
        <v>10</v>
      </c>
      <c r="H14" s="6">
        <f>F14/(J14-G14)</f>
        <v>11.675014301892521</v>
      </c>
      <c r="J14" s="1">
        <v>19.516999999999999</v>
      </c>
      <c r="K14" s="6">
        <f>E14*H14</f>
        <v>424.73702030284994</v>
      </c>
      <c r="M14" s="1">
        <f>J14*0.3</f>
        <v>5.8550999999999993</v>
      </c>
    </row>
    <row r="15" spans="1:17" ht="14.25" customHeight="1" x14ac:dyDescent="0.2">
      <c r="D15" s="1">
        <v>4</v>
      </c>
      <c r="E15" s="1">
        <f>SUM(E7:$E$10)</f>
        <v>31.88</v>
      </c>
      <c r="F15" s="1">
        <f>F8</f>
        <v>100</v>
      </c>
      <c r="G15" s="1">
        <f>G14-G8</f>
        <v>8</v>
      </c>
      <c r="H15" s="6">
        <f t="shared" ref="H15:H18" si="0">F15/(J15-G15)</f>
        <v>8.6828167057393415</v>
      </c>
      <c r="J15" s="1">
        <f>J14</f>
        <v>19.516999999999999</v>
      </c>
      <c r="K15" s="6">
        <f t="shared" ref="K15:K18" si="1">E15*H15</f>
        <v>276.80819657897018</v>
      </c>
    </row>
    <row r="16" spans="1:17" ht="14.25" customHeight="1" x14ac:dyDescent="0.2">
      <c r="D16" s="1">
        <v>3</v>
      </c>
      <c r="E16" s="1">
        <f>SUM(E8:$E$10)</f>
        <v>20.88</v>
      </c>
      <c r="F16" s="1">
        <f>F7</f>
        <v>36.36363636363636</v>
      </c>
      <c r="G16" s="1">
        <f>G15-G7</f>
        <v>8</v>
      </c>
      <c r="H16" s="6">
        <f t="shared" si="0"/>
        <v>3.1573878929961241</v>
      </c>
      <c r="J16" s="1">
        <f t="shared" ref="J16:J18" si="2">J15</f>
        <v>19.516999999999999</v>
      </c>
      <c r="K16" s="6">
        <f t="shared" si="1"/>
        <v>65.926259205759067</v>
      </c>
    </row>
    <row r="17" spans="3:32" ht="14.25" customHeight="1" x14ac:dyDescent="0.2">
      <c r="D17" s="1">
        <v>2</v>
      </c>
      <c r="E17" s="1">
        <f>SUM(E9:$E$10)</f>
        <v>15.879999999999999</v>
      </c>
      <c r="F17" s="1">
        <f>F9</f>
        <v>33.333333333333336</v>
      </c>
      <c r="G17" s="1">
        <f>G16-G9</f>
        <v>8</v>
      </c>
      <c r="H17" s="6">
        <f t="shared" si="0"/>
        <v>2.8942722352464476</v>
      </c>
      <c r="J17" s="1">
        <f t="shared" si="2"/>
        <v>19.516999999999999</v>
      </c>
      <c r="K17" s="6">
        <f t="shared" si="1"/>
        <v>45.961043095713585</v>
      </c>
    </row>
    <row r="18" spans="3:32" ht="14.25" customHeight="1" x14ac:dyDescent="0.2">
      <c r="D18" s="1">
        <v>1</v>
      </c>
      <c r="E18" s="1">
        <f>SUM(E10:$E$10)</f>
        <v>3.88</v>
      </c>
      <c r="F18" s="1">
        <f>F10</f>
        <v>48.5</v>
      </c>
      <c r="G18" s="1">
        <f>G10</f>
        <v>6</v>
      </c>
      <c r="H18" s="6">
        <f t="shared" si="0"/>
        <v>3.5880742768365761</v>
      </c>
      <c r="J18" s="1">
        <f t="shared" si="2"/>
        <v>19.516999999999999</v>
      </c>
      <c r="K18" s="6">
        <f t="shared" si="1"/>
        <v>13.921728194125915</v>
      </c>
    </row>
    <row r="19" spans="3:32" ht="14.25" customHeight="1" x14ac:dyDescent="0.2">
      <c r="H19" s="6">
        <f>SUM(H14:H18)</f>
        <v>29.997565412711008</v>
      </c>
      <c r="I19" s="1" t="s">
        <v>260</v>
      </c>
      <c r="J19" s="1">
        <f>MAX(J14:J18)</f>
        <v>19.516999999999999</v>
      </c>
      <c r="K19" s="6">
        <f>SUM(K14:K18)</f>
        <v>827.35424737741857</v>
      </c>
    </row>
    <row r="21" spans="3:32" ht="14.25" customHeight="1" x14ac:dyDescent="0.2">
      <c r="C21" s="3" t="s">
        <v>147</v>
      </c>
      <c r="E21" s="1">
        <f>J19</f>
        <v>19.516999999999999</v>
      </c>
      <c r="F21" s="6">
        <f>K19</f>
        <v>827.35424737741857</v>
      </c>
      <c r="G21" s="16">
        <v>100</v>
      </c>
      <c r="J21" s="1" t="s">
        <v>262</v>
      </c>
      <c r="K21" s="1">
        <f>角色成长!L15</f>
        <v>75</v>
      </c>
      <c r="L21" s="3" t="s">
        <v>261</v>
      </c>
      <c r="P21" s="6">
        <f>MAX(P24:P123)</f>
        <v>939294.69890216889</v>
      </c>
      <c r="X21" s="1" t="s">
        <v>265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62051.568553306395</v>
      </c>
      <c r="P22" s="1">
        <f>100000</f>
        <v>100000</v>
      </c>
      <c r="X22" s="1">
        <v>9</v>
      </c>
    </row>
    <row r="23" spans="3:32" ht="14.25" customHeight="1" outlineLevel="1" x14ac:dyDescent="0.2">
      <c r="D23" s="1" t="s">
        <v>171</v>
      </c>
      <c r="E23" s="1" t="s">
        <v>131</v>
      </c>
      <c r="F23" s="1" t="s">
        <v>132</v>
      </c>
      <c r="G23" s="1" t="s">
        <v>124</v>
      </c>
      <c r="H23" s="16" t="s">
        <v>125</v>
      </c>
      <c r="I23" s="16" t="s">
        <v>126</v>
      </c>
      <c r="J23" s="16" t="s">
        <v>127</v>
      </c>
      <c r="M23" s="1" t="s">
        <v>149</v>
      </c>
      <c r="N23" s="1" t="s">
        <v>150</v>
      </c>
      <c r="O23" s="1" t="s">
        <v>151</v>
      </c>
      <c r="P23" s="1" t="s">
        <v>124</v>
      </c>
      <c r="Q23" s="16" t="s">
        <v>125</v>
      </c>
      <c r="R23" s="16" t="s">
        <v>126</v>
      </c>
      <c r="S23" s="16" t="s">
        <v>127</v>
      </c>
      <c r="T23" s="16" t="s">
        <v>152</v>
      </c>
      <c r="U23" s="16" t="s">
        <v>183</v>
      </c>
      <c r="V23" s="1" t="s">
        <v>264</v>
      </c>
      <c r="X23" s="1" t="s">
        <v>149</v>
      </c>
      <c r="Y23" s="1" t="s">
        <v>150</v>
      </c>
      <c r="Z23" s="1" t="s">
        <v>151</v>
      </c>
      <c r="AA23" s="1" t="s">
        <v>124</v>
      </c>
      <c r="AB23" s="1" t="s">
        <v>125</v>
      </c>
      <c r="AC23" s="1" t="s">
        <v>126</v>
      </c>
      <c r="AD23" s="1" t="s">
        <v>127</v>
      </c>
      <c r="AE23" s="1" t="s">
        <v>263</v>
      </c>
      <c r="AF23" s="1" t="s">
        <v>184</v>
      </c>
    </row>
    <row r="24" spans="3:32" ht="14.25" customHeight="1" outlineLevel="1" x14ac:dyDescent="0.2">
      <c r="D24" s="1">
        <v>1</v>
      </c>
      <c r="E24" s="6">
        <f>E$21*E$22^($D24-1)</f>
        <v>19.516999999999999</v>
      </c>
      <c r="F24" s="6">
        <f t="shared" ref="F24:G39" si="3">F$21*F$22^($D24-1)</f>
        <v>827.35424737741857</v>
      </c>
      <c r="G24" s="6">
        <f t="shared" si="3"/>
        <v>100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975.85</v>
      </c>
      <c r="O24" s="6">
        <f>F24*$K$21/(1+P24/$P$22)</f>
        <v>57722.389351912927</v>
      </c>
      <c r="P24" s="6">
        <f>G24*$K$21</f>
        <v>7500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2.4999999999999991</v>
      </c>
      <c r="X24" s="1">
        <v>1</v>
      </c>
      <c r="Y24" s="6">
        <f>2*N24/(1+$X$22)</f>
        <v>195.17000000000002</v>
      </c>
      <c r="Z24" s="6">
        <f>O24/$X$22</f>
        <v>6413.5988168792137</v>
      </c>
      <c r="AA24" s="6">
        <f>P24</f>
        <v>7500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2">
        <f>V24</f>
        <v>2.4999999999999991</v>
      </c>
    </row>
    <row r="25" spans="3:32" ht="14.25" customHeight="1" outlineLevel="1" x14ac:dyDescent="0.2">
      <c r="D25" s="1">
        <v>2</v>
      </c>
      <c r="E25" s="6">
        <f>E$21*E$22^($D25-1)</f>
        <v>20.492850000000001</v>
      </c>
      <c r="F25" s="6">
        <f t="shared" si="3"/>
        <v>868.72195974628949</v>
      </c>
      <c r="G25" s="6">
        <f t="shared" si="3"/>
        <v>105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1024.6425000000002</v>
      </c>
      <c r="O25" s="6">
        <f t="shared" ref="O25:O88" si="5">F25*$K$21/(1+P25/$P$22)</f>
        <v>60397.818754087326</v>
      </c>
      <c r="P25" s="6">
        <f t="shared" ref="P25:P88" si="6">G25*$K$21</f>
        <v>7875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2.4999999999999996</v>
      </c>
      <c r="X25" s="1">
        <v>2</v>
      </c>
      <c r="Y25" s="6">
        <f>2*N25/(1+$X$22)</f>
        <v>204.92850000000004</v>
      </c>
      <c r="Z25" s="6">
        <f>O25/$X$22</f>
        <v>6710.8687504541476</v>
      </c>
      <c r="AA25" s="6">
        <f>P25</f>
        <v>7875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2">
        <f>V25</f>
        <v>2.4999999999999996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21.517492499999999</v>
      </c>
      <c r="F26" s="6">
        <f t="shared" si="3"/>
        <v>912.15805773360398</v>
      </c>
      <c r="G26" s="6">
        <f t="shared" si="3"/>
        <v>110.25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1075.8746249999999</v>
      </c>
      <c r="O26" s="6">
        <f t="shared" si="5"/>
        <v>63187.073213665346</v>
      </c>
      <c r="P26" s="6">
        <f t="shared" si="6"/>
        <v>8268.75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2.5</v>
      </c>
      <c r="X26" s="1">
        <v>3</v>
      </c>
      <c r="Y26" s="6">
        <f t="shared" ref="Y26:Y89" si="12">2*N26/(1+$X$22)</f>
        <v>215.17492499999997</v>
      </c>
      <c r="Z26" s="6">
        <f t="shared" ref="Z26:Z89" si="13">O26/$X$22</f>
        <v>7020.7859126294825</v>
      </c>
      <c r="AA26" s="6">
        <f t="shared" ref="AA26:AA89" si="14">P26</f>
        <v>8268.75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2">
        <f t="shared" ref="AF26:AF89" si="17">V26</f>
        <v>2.5</v>
      </c>
    </row>
    <row r="27" spans="3:32" ht="14.25" customHeight="1" outlineLevel="1" x14ac:dyDescent="0.2">
      <c r="D27" s="1">
        <v>4</v>
      </c>
      <c r="E27" s="6">
        <f t="shared" si="10"/>
        <v>22.593367125</v>
      </c>
      <c r="F27" s="6">
        <f t="shared" si="3"/>
        <v>957.76596062028432</v>
      </c>
      <c r="G27" s="6">
        <f t="shared" si="3"/>
        <v>115.76250000000002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1129.6683562500002</v>
      </c>
      <c r="O27" s="6">
        <f t="shared" si="5"/>
        <v>66094.038681841324</v>
      </c>
      <c r="P27" s="6">
        <f t="shared" si="6"/>
        <v>8682.1875000000018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225.93367125000003</v>
      </c>
      <c r="Z27" s="6">
        <f t="shared" si="13"/>
        <v>7343.7820757601476</v>
      </c>
      <c r="AA27" s="6">
        <f t="shared" si="14"/>
        <v>8682.1875000000018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2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23.723035481250001</v>
      </c>
      <c r="F28" s="6">
        <f t="shared" si="3"/>
        <v>1005.6542586512984</v>
      </c>
      <c r="G28" s="6">
        <f t="shared" si="3"/>
        <v>121.550625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1186.1517740625002</v>
      </c>
      <c r="O28" s="6">
        <f t="shared" si="5"/>
        <v>69122.64396696919</v>
      </c>
      <c r="P28" s="6">
        <f t="shared" si="6"/>
        <v>9116.296875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237.23035481250002</v>
      </c>
      <c r="Z28" s="6">
        <f t="shared" si="13"/>
        <v>7680.2937741076876</v>
      </c>
      <c r="AA28" s="6">
        <f t="shared" si="14"/>
        <v>9116.296875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2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24.909187255312503</v>
      </c>
      <c r="F29" s="6">
        <f t="shared" si="3"/>
        <v>1055.9369715838634</v>
      </c>
      <c r="G29" s="6">
        <f t="shared" si="3"/>
        <v>127.62815625000002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1245.4593627656252</v>
      </c>
      <c r="O29" s="6">
        <f t="shared" si="5"/>
        <v>72276.851861784322</v>
      </c>
      <c r="P29" s="6">
        <f t="shared" si="6"/>
        <v>9572.1117187500022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2.4999999999999991</v>
      </c>
      <c r="X29" s="1">
        <v>6</v>
      </c>
      <c r="Y29" s="6">
        <f t="shared" si="12"/>
        <v>249.09187255312503</v>
      </c>
      <c r="Z29" s="6">
        <f t="shared" si="13"/>
        <v>8030.7613179760356</v>
      </c>
      <c r="AA29" s="6">
        <f t="shared" si="14"/>
        <v>9572.1117187500022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2">
        <f t="shared" si="17"/>
        <v>2.4999999999999991</v>
      </c>
    </row>
    <row r="30" spans="3:32" ht="14.25" customHeight="1" outlineLevel="1" x14ac:dyDescent="0.2">
      <c r="D30" s="1">
        <v>7</v>
      </c>
      <c r="E30" s="6">
        <f t="shared" si="10"/>
        <v>26.154646618078125</v>
      </c>
      <c r="F30" s="6">
        <f t="shared" si="3"/>
        <v>1108.7338201630564</v>
      </c>
      <c r="G30" s="6">
        <f t="shared" si="3"/>
        <v>134.0095640625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1307.7323309039066</v>
      </c>
      <c r="O30" s="6">
        <f t="shared" si="5"/>
        <v>75560.649261381346</v>
      </c>
      <c r="P30" s="6">
        <f t="shared" si="6"/>
        <v>10050.7173046875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261.54646618078129</v>
      </c>
      <c r="Z30" s="6">
        <f t="shared" si="13"/>
        <v>8395.6276957090377</v>
      </c>
      <c r="AA30" s="6">
        <f t="shared" si="14"/>
        <v>10050.7173046875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2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27.462378948982035</v>
      </c>
      <c r="F31" s="6">
        <f t="shared" si="3"/>
        <v>1164.1705111712095</v>
      </c>
      <c r="G31" s="6">
        <f t="shared" si="3"/>
        <v>140.71004226562502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1373.1189474491018</v>
      </c>
      <c r="O31" s="6">
        <f t="shared" si="5"/>
        <v>78978.036226251745</v>
      </c>
      <c r="P31" s="6">
        <f t="shared" si="6"/>
        <v>10553.253169921876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274.62378948982035</v>
      </c>
      <c r="Z31" s="6">
        <f t="shared" si="13"/>
        <v>8775.3373584724159</v>
      </c>
      <c r="AA31" s="6">
        <f t="shared" si="14"/>
        <v>10553.253169921876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2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28.835497896431132</v>
      </c>
      <c r="F32" s="6">
        <f t="shared" si="3"/>
        <v>1222.3790367297697</v>
      </c>
      <c r="G32" s="6">
        <f t="shared" si="3"/>
        <v>147.74554437890626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1441.7748948215567</v>
      </c>
      <c r="O32" s="6">
        <f t="shared" si="5"/>
        <v>82533.013948448657</v>
      </c>
      <c r="P32" s="6">
        <f t="shared" si="6"/>
        <v>11080.91582841797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2.4999999999999996</v>
      </c>
      <c r="X32" s="1">
        <v>9</v>
      </c>
      <c r="Y32" s="6">
        <f t="shared" si="12"/>
        <v>288.35497896431133</v>
      </c>
      <c r="Z32" s="6">
        <f t="shared" si="13"/>
        <v>9170.3348831609619</v>
      </c>
      <c r="AA32" s="6">
        <f t="shared" si="14"/>
        <v>11080.91582841797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2">
        <f t="shared" si="17"/>
        <v>2.4999999999999996</v>
      </c>
    </row>
    <row r="33" spans="4:32" ht="14.25" customHeight="1" outlineLevel="1" x14ac:dyDescent="0.2">
      <c r="D33" s="1">
        <v>10</v>
      </c>
      <c r="E33" s="6">
        <f t="shared" si="10"/>
        <v>30.277272791252692</v>
      </c>
      <c r="F33" s="6">
        <f t="shared" si="3"/>
        <v>1283.4979885662583</v>
      </c>
      <c r="G33" s="6">
        <f t="shared" si="3"/>
        <v>155.13282159785157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1513.8636395626347</v>
      </c>
      <c r="O33" s="6">
        <f t="shared" si="5"/>
        <v>86229.571583748722</v>
      </c>
      <c r="P33" s="6">
        <f t="shared" si="6"/>
        <v>11634.961619838869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302.77272791252693</v>
      </c>
      <c r="Z33" s="6">
        <f t="shared" si="13"/>
        <v>9581.0635093054134</v>
      </c>
      <c r="AA33" s="6">
        <f t="shared" si="14"/>
        <v>11634.961619838869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2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31.791136430815325</v>
      </c>
      <c r="F34" s="6">
        <f t="shared" si="3"/>
        <v>1347.6728879945713</v>
      </c>
      <c r="G34" s="6">
        <f t="shared" si="3"/>
        <v>162.88946267774415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1589.5568215407664</v>
      </c>
      <c r="O34" s="6">
        <f t="shared" si="5"/>
        <v>90071.671918611348</v>
      </c>
      <c r="P34" s="6">
        <f t="shared" si="6"/>
        <v>12216.709700830812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317.91136430815328</v>
      </c>
      <c r="Z34" s="6">
        <f t="shared" si="13"/>
        <v>10007.963546512372</v>
      </c>
      <c r="AA34" s="6">
        <f t="shared" si="14"/>
        <v>12216.709700830812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2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33.380693252356096</v>
      </c>
      <c r="F35" s="6">
        <f t="shared" si="3"/>
        <v>1415.0565323942999</v>
      </c>
      <c r="G35" s="6">
        <f t="shared" si="3"/>
        <v>171.03393581163138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1669.034662617805</v>
      </c>
      <c r="O35" s="6">
        <f t="shared" si="5"/>
        <v>94063.235847890639</v>
      </c>
      <c r="P35" s="6">
        <f t="shared" si="6"/>
        <v>12827.545185872354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333.80693252356099</v>
      </c>
      <c r="Z35" s="6">
        <f t="shared" si="13"/>
        <v>10451.470649765626</v>
      </c>
      <c r="AA35" s="6">
        <f t="shared" si="14"/>
        <v>12827.545185872354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2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35.049727914973893</v>
      </c>
      <c r="F36" s="6">
        <f t="shared" si="3"/>
        <v>1485.8093590140147</v>
      </c>
      <c r="G36" s="6">
        <f t="shared" si="3"/>
        <v>179.58563260221291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1752.4863957486946</v>
      </c>
      <c r="O36" s="6">
        <f t="shared" si="5"/>
        <v>98208.125647709894</v>
      </c>
      <c r="P36" s="6">
        <f t="shared" si="6"/>
        <v>13468.922445165968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2.4999999999999996</v>
      </c>
      <c r="X36" s="1">
        <v>13</v>
      </c>
      <c r="Y36" s="6">
        <f t="shared" si="12"/>
        <v>350.49727914973892</v>
      </c>
      <c r="Z36" s="6">
        <f t="shared" si="13"/>
        <v>10912.013960856655</v>
      </c>
      <c r="AA36" s="6">
        <f t="shared" si="14"/>
        <v>13468.922445165968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2">
        <f t="shared" si="17"/>
        <v>2.4999999999999996</v>
      </c>
    </row>
    <row r="37" spans="4:32" ht="14.25" customHeight="1" outlineLevel="1" x14ac:dyDescent="0.2">
      <c r="D37" s="1">
        <v>14</v>
      </c>
      <c r="E37" s="6">
        <f t="shared" si="10"/>
        <v>36.802214310722597</v>
      </c>
      <c r="F37" s="6">
        <f t="shared" si="3"/>
        <v>1560.0998269647157</v>
      </c>
      <c r="G37" s="6">
        <f t="shared" si="3"/>
        <v>188.56491423232359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1840.1107155361301</v>
      </c>
      <c r="O37" s="6">
        <f t="shared" si="5"/>
        <v>102510.12703774143</v>
      </c>
      <c r="P37" s="6">
        <f t="shared" si="6"/>
        <v>14142.36856742427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2.4999999999999996</v>
      </c>
      <c r="X37" s="1">
        <v>14</v>
      </c>
      <c r="Y37" s="6">
        <f t="shared" si="12"/>
        <v>368.02214310722604</v>
      </c>
      <c r="Z37" s="6">
        <f t="shared" si="13"/>
        <v>11390.014115304604</v>
      </c>
      <c r="AA37" s="6">
        <f t="shared" si="14"/>
        <v>14142.36856742427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2">
        <f t="shared" si="17"/>
        <v>2.4999999999999996</v>
      </c>
    </row>
    <row r="38" spans="4:32" ht="14.25" customHeight="1" outlineLevel="1" x14ac:dyDescent="0.2">
      <c r="D38" s="1">
        <v>15</v>
      </c>
      <c r="E38" s="6">
        <f t="shared" si="10"/>
        <v>38.642325026258717</v>
      </c>
      <c r="F38" s="6">
        <f t="shared" si="3"/>
        <v>1638.1048183129512</v>
      </c>
      <c r="G38" s="6">
        <f t="shared" si="3"/>
        <v>197.99315994393973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1932.1162513129359</v>
      </c>
      <c r="O38" s="6">
        <f t="shared" si="5"/>
        <v>106972.93003839802</v>
      </c>
      <c r="P38" s="6">
        <f t="shared" si="6"/>
        <v>14849.48699579548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386.4232502625872</v>
      </c>
      <c r="Z38" s="6">
        <f t="shared" si="13"/>
        <v>11885.881115377557</v>
      </c>
      <c r="AA38" s="6">
        <f t="shared" si="14"/>
        <v>14849.48699579548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2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40.574441277571665</v>
      </c>
      <c r="F39" s="6">
        <f t="shared" si="3"/>
        <v>1720.0100592285992</v>
      </c>
      <c r="G39" s="6">
        <f t="shared" si="3"/>
        <v>207.8928179411368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2028.7220638785834</v>
      </c>
      <c r="O39" s="6">
        <f t="shared" si="5"/>
        <v>111600.10864118085</v>
      </c>
      <c r="P39" s="6">
        <f t="shared" si="6"/>
        <v>15591.96134558526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405.74441277571668</v>
      </c>
      <c r="Z39" s="6">
        <f t="shared" si="13"/>
        <v>12400.012071242316</v>
      </c>
      <c r="AA39" s="6">
        <f t="shared" si="14"/>
        <v>15591.96134558526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2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42.603163341450248</v>
      </c>
      <c r="F40" s="6">
        <f t="shared" si="10"/>
        <v>1806.0105621900291</v>
      </c>
      <c r="G40" s="6">
        <f t="shared" si="10"/>
        <v>218.2874588381936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2130.1581670725127</v>
      </c>
      <c r="O40" s="6">
        <f t="shared" si="5"/>
        <v>116395.0993246538</v>
      </c>
      <c r="P40" s="6">
        <f t="shared" si="6"/>
        <v>16371.559412864521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426.03163341450255</v>
      </c>
      <c r="Z40" s="6">
        <f t="shared" si="13"/>
        <v>12932.788813850422</v>
      </c>
      <c r="AA40" s="6">
        <f t="shared" si="14"/>
        <v>16371.559412864521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2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44.733321508522764</v>
      </c>
      <c r="F41" s="6">
        <f t="shared" si="10"/>
        <v>1896.3110902995309</v>
      </c>
      <c r="G41" s="6">
        <f t="shared" si="10"/>
        <v>229.2018317801033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2236.6660754261384</v>
      </c>
      <c r="O41" s="6">
        <f t="shared" si="5"/>
        <v>121361.17846422119</v>
      </c>
      <c r="P41" s="6">
        <f t="shared" si="6"/>
        <v>17190.137383507747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447.33321508522766</v>
      </c>
      <c r="Z41" s="6">
        <f t="shared" si="13"/>
        <v>13484.575384913465</v>
      </c>
      <c r="AA41" s="6">
        <f t="shared" si="14"/>
        <v>17190.137383507747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2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46.9699875839489</v>
      </c>
      <c r="F42" s="6">
        <f t="shared" si="10"/>
        <v>1991.1266448145072</v>
      </c>
      <c r="G42" s="6">
        <f t="shared" si="10"/>
        <v>240.66192336910848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2348.4993791974448</v>
      </c>
      <c r="O42" s="6">
        <f t="shared" si="5"/>
        <v>126501.43870102669</v>
      </c>
      <c r="P42" s="6">
        <f t="shared" si="6"/>
        <v>18049.644252683134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2.4999999999999996</v>
      </c>
      <c r="X42" s="1">
        <v>19</v>
      </c>
      <c r="Y42" s="6">
        <f t="shared" si="12"/>
        <v>469.69987583948898</v>
      </c>
      <c r="Z42" s="6">
        <f t="shared" si="13"/>
        <v>14055.715411225188</v>
      </c>
      <c r="AA42" s="6">
        <f t="shared" si="14"/>
        <v>18049.644252683134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2">
        <f t="shared" si="17"/>
        <v>2.4999999999999996</v>
      </c>
    </row>
    <row r="43" spans="4:32" ht="14.25" customHeight="1" outlineLevel="1" x14ac:dyDescent="0.2">
      <c r="D43" s="1">
        <v>20</v>
      </c>
      <c r="E43" s="6">
        <f t="shared" si="10"/>
        <v>49.318486963146349</v>
      </c>
      <c r="F43" s="6">
        <f t="shared" si="10"/>
        <v>2090.6829770552326</v>
      </c>
      <c r="G43" s="6">
        <f t="shared" si="10"/>
        <v>252.69501953756389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2465.9243481573176</v>
      </c>
      <c r="O43" s="6">
        <f t="shared" si="5"/>
        <v>131818.764353793</v>
      </c>
      <c r="P43" s="6">
        <f t="shared" si="6"/>
        <v>18952.126465317291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493.18486963146353</v>
      </c>
      <c r="Z43" s="6">
        <f t="shared" si="13"/>
        <v>14646.529372643667</v>
      </c>
      <c r="AA43" s="6">
        <f t="shared" si="14"/>
        <v>18952.126465317291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2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51.784411311303664</v>
      </c>
      <c r="F44" s="6">
        <f t="shared" si="10"/>
        <v>2195.2171259079942</v>
      </c>
      <c r="G44" s="6">
        <f t="shared" si="10"/>
        <v>265.32977051444209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2589.2205655651833</v>
      </c>
      <c r="O44" s="6">
        <f t="shared" si="5"/>
        <v>137315.80597715618</v>
      </c>
      <c r="P44" s="6">
        <f t="shared" si="6"/>
        <v>19899.732788583158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517.84411311303666</v>
      </c>
      <c r="Z44" s="6">
        <f t="shared" si="13"/>
        <v>15257.311775239576</v>
      </c>
      <c r="AA44" s="6">
        <f t="shared" si="14"/>
        <v>19899.732788583158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2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54.373631876868842</v>
      </c>
      <c r="F45" s="6">
        <f t="shared" si="10"/>
        <v>2304.9779822033938</v>
      </c>
      <c r="G45" s="6">
        <f t="shared" si="10"/>
        <v>278.59625904016417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2718.6815938434424</v>
      </c>
      <c r="O45" s="6">
        <f t="shared" si="5"/>
        <v>142994.95419085969</v>
      </c>
      <c r="P45" s="6">
        <f t="shared" si="6"/>
        <v>20894.719428012311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543.73631876868853</v>
      </c>
      <c r="Z45" s="6">
        <f t="shared" si="13"/>
        <v>15888.328243428854</v>
      </c>
      <c r="AA45" s="6">
        <f t="shared" si="14"/>
        <v>20894.719428012311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2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57.092313470712284</v>
      </c>
      <c r="F46" s="6">
        <f t="shared" si="10"/>
        <v>2420.2268813135634</v>
      </c>
      <c r="G46" s="6">
        <f t="shared" si="10"/>
        <v>292.52607199217238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2854.6156735356144</v>
      </c>
      <c r="O46" s="6">
        <f t="shared" si="5"/>
        <v>148858.31292583511</v>
      </c>
      <c r="P46" s="6">
        <f t="shared" si="6"/>
        <v>21939.455399412927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2.4999999999999996</v>
      </c>
      <c r="X46" s="1">
        <v>23</v>
      </c>
      <c r="Y46" s="6">
        <f t="shared" si="12"/>
        <v>570.92313470712293</v>
      </c>
      <c r="Z46" s="6">
        <f t="shared" si="13"/>
        <v>16539.812547315014</v>
      </c>
      <c r="AA46" s="6">
        <f t="shared" si="14"/>
        <v>21939.455399412927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2">
        <f t="shared" si="17"/>
        <v>2.4999999999999996</v>
      </c>
    </row>
    <row r="47" spans="4:32" ht="14.25" customHeight="1" outlineLevel="1" x14ac:dyDescent="0.2">
      <c r="D47" s="1">
        <v>24</v>
      </c>
      <c r="E47" s="6">
        <f t="shared" si="10"/>
        <v>59.94692914424791</v>
      </c>
      <c r="F47" s="6">
        <f t="shared" si="10"/>
        <v>2541.2382253792421</v>
      </c>
      <c r="G47" s="6">
        <f t="shared" si="10"/>
        <v>307.15237559178104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2997.3464572123958</v>
      </c>
      <c r="O47" s="6">
        <f t="shared" si="5"/>
        <v>154907.67225545185</v>
      </c>
      <c r="P47" s="6">
        <f t="shared" si="6"/>
        <v>23036.428169383576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599.46929144247918</v>
      </c>
      <c r="Z47" s="6">
        <f t="shared" si="13"/>
        <v>17211.963583939094</v>
      </c>
      <c r="AA47" s="6">
        <f t="shared" si="14"/>
        <v>23036.428169383576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2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62.944275601460298</v>
      </c>
      <c r="F48" s="6">
        <f t="shared" si="10"/>
        <v>2668.300136648204</v>
      </c>
      <c r="G48" s="6">
        <f t="shared" si="10"/>
        <v>322.50999437137006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3147.2137800730152</v>
      </c>
      <c r="O48" s="6">
        <f t="shared" si="5"/>
        <v>161144.48100273759</v>
      </c>
      <c r="P48" s="6">
        <f t="shared" si="6"/>
        <v>24188.249577852755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2.4999999999999991</v>
      </c>
      <c r="X48" s="1">
        <v>25</v>
      </c>
      <c r="Y48" s="6">
        <f t="shared" si="12"/>
        <v>629.44275601460299</v>
      </c>
      <c r="Z48" s="6">
        <f t="shared" si="13"/>
        <v>17904.942333637511</v>
      </c>
      <c r="AA48" s="6">
        <f t="shared" si="14"/>
        <v>24188.249577852755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2">
        <f t="shared" si="17"/>
        <v>2.4999999999999991</v>
      </c>
    </row>
    <row r="49" spans="4:32" ht="14.25" customHeight="1" outlineLevel="1" x14ac:dyDescent="0.2">
      <c r="D49" s="1">
        <v>26</v>
      </c>
      <c r="E49" s="6">
        <f t="shared" si="10"/>
        <v>66.091489381533307</v>
      </c>
      <c r="F49" s="6">
        <f t="shared" si="10"/>
        <v>2801.7151434806142</v>
      </c>
      <c r="G49" s="6">
        <f t="shared" si="10"/>
        <v>338.63549408993856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3304.5744690766655</v>
      </c>
      <c r="O49" s="6">
        <f t="shared" si="5"/>
        <v>167569.81933678946</v>
      </c>
      <c r="P49" s="6">
        <f t="shared" si="6"/>
        <v>25397.662056745394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2.5</v>
      </c>
      <c r="X49" s="1">
        <v>26</v>
      </c>
      <c r="Y49" s="6">
        <f t="shared" si="12"/>
        <v>660.91489381533313</v>
      </c>
      <c r="Z49" s="6">
        <f t="shared" si="13"/>
        <v>18618.868815198828</v>
      </c>
      <c r="AA49" s="6">
        <f t="shared" si="14"/>
        <v>25397.662056745394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2">
        <f t="shared" si="17"/>
        <v>2.5</v>
      </c>
    </row>
    <row r="50" spans="4:32" ht="14.25" customHeight="1" outlineLevel="1" x14ac:dyDescent="0.2">
      <c r="D50" s="1">
        <v>27</v>
      </c>
      <c r="E50" s="6">
        <f t="shared" si="10"/>
        <v>69.396063850609977</v>
      </c>
      <c r="F50" s="6">
        <f t="shared" si="10"/>
        <v>2941.8009006546449</v>
      </c>
      <c r="G50" s="6">
        <f t="shared" si="10"/>
        <v>355.56726879443551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3469.8031925304986</v>
      </c>
      <c r="O50" s="6">
        <f t="shared" si="5"/>
        <v>174184.37159347354</v>
      </c>
      <c r="P50" s="6">
        <f t="shared" si="6"/>
        <v>26667.545159582663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693.96063850609971</v>
      </c>
      <c r="Z50" s="6">
        <f t="shared" si="13"/>
        <v>19353.819065941505</v>
      </c>
      <c r="AA50" s="6">
        <f t="shared" si="14"/>
        <v>26667.545159582663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2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72.865867043140483</v>
      </c>
      <c r="F51" s="6">
        <f t="shared" si="10"/>
        <v>3088.8909456873776</v>
      </c>
      <c r="G51" s="6">
        <f t="shared" si="10"/>
        <v>373.34563223415734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3643.2933521570244</v>
      </c>
      <c r="O51" s="6">
        <f t="shared" si="5"/>
        <v>180988.39957638344</v>
      </c>
      <c r="P51" s="6">
        <f t="shared" si="6"/>
        <v>28000.9224175618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2.4999999999999991</v>
      </c>
      <c r="X51" s="1">
        <v>28</v>
      </c>
      <c r="Y51" s="6">
        <f t="shared" si="12"/>
        <v>728.65867043140486</v>
      </c>
      <c r="Z51" s="6">
        <f t="shared" si="13"/>
        <v>20109.822175153717</v>
      </c>
      <c r="AA51" s="6">
        <f t="shared" si="14"/>
        <v>28000.9224175618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2">
        <f t="shared" si="17"/>
        <v>2.4999999999999991</v>
      </c>
    </row>
    <row r="52" spans="4:32" ht="14.25" customHeight="1" outlineLevel="1" x14ac:dyDescent="0.2">
      <c r="D52" s="1">
        <v>29</v>
      </c>
      <c r="E52" s="6">
        <f t="shared" si="10"/>
        <v>76.509160395297499</v>
      </c>
      <c r="F52" s="6">
        <f t="shared" si="10"/>
        <v>3243.3354929717457</v>
      </c>
      <c r="G52" s="6">
        <f t="shared" si="10"/>
        <v>392.01291384586511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3825.4580197648756</v>
      </c>
      <c r="O52" s="6">
        <f t="shared" si="5"/>
        <v>187981.71661336598</v>
      </c>
      <c r="P52" s="6">
        <f t="shared" si="6"/>
        <v>29400.968538439884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2.4999999999999991</v>
      </c>
      <c r="X52" s="1">
        <v>29</v>
      </c>
      <c r="Y52" s="6">
        <f t="shared" si="12"/>
        <v>765.09160395297511</v>
      </c>
      <c r="Z52" s="6">
        <f t="shared" si="13"/>
        <v>20886.857401485107</v>
      </c>
      <c r="AA52" s="6">
        <f t="shared" si="14"/>
        <v>29400.968538439884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2">
        <f t="shared" si="17"/>
        <v>2.4999999999999991</v>
      </c>
    </row>
    <row r="53" spans="4:32" ht="14.25" customHeight="1" outlineLevel="1" x14ac:dyDescent="0.2">
      <c r="D53" s="1">
        <v>30</v>
      </c>
      <c r="E53" s="6">
        <f t="shared" si="10"/>
        <v>80.334618415062394</v>
      </c>
      <c r="F53" s="6">
        <f t="shared" si="10"/>
        <v>3405.5022676203339</v>
      </c>
      <c r="G53" s="6">
        <f t="shared" si="10"/>
        <v>411.61355953815848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4016.7309207531202</v>
      </c>
      <c r="O53" s="6">
        <f t="shared" si="5"/>
        <v>195163.66266117277</v>
      </c>
      <c r="P53" s="6">
        <f t="shared" si="6"/>
        <v>30871.016965361887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2.4999999999999996</v>
      </c>
      <c r="X53" s="1">
        <v>30</v>
      </c>
      <c r="Y53" s="6">
        <f t="shared" si="12"/>
        <v>803.34618415062403</v>
      </c>
      <c r="Z53" s="6">
        <f t="shared" si="13"/>
        <v>21684.851406796974</v>
      </c>
      <c r="AA53" s="6">
        <f t="shared" si="14"/>
        <v>30871.016965361887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2">
        <f t="shared" si="17"/>
        <v>2.4999999999999996</v>
      </c>
    </row>
    <row r="54" spans="4:32" ht="14.25" customHeight="1" outlineLevel="1" x14ac:dyDescent="0.2">
      <c r="D54" s="1">
        <v>31</v>
      </c>
      <c r="E54" s="6">
        <f t="shared" si="10"/>
        <v>84.35134933581547</v>
      </c>
      <c r="F54" s="6">
        <f t="shared" si="10"/>
        <v>3575.7773810013491</v>
      </c>
      <c r="G54" s="6">
        <f t="shared" si="10"/>
        <v>432.19423751506622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4217.5674667907742</v>
      </c>
      <c r="O54" s="6">
        <f t="shared" si="5"/>
        <v>202533.08076537482</v>
      </c>
      <c r="P54" s="6">
        <f t="shared" si="6"/>
        <v>32414.567813629965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2.4999999999999991</v>
      </c>
      <c r="X54" s="1">
        <v>31</v>
      </c>
      <c r="Y54" s="6">
        <f t="shared" si="12"/>
        <v>843.51349335815485</v>
      </c>
      <c r="Z54" s="6">
        <f t="shared" si="13"/>
        <v>22503.675640597201</v>
      </c>
      <c r="AA54" s="6">
        <f t="shared" si="14"/>
        <v>32414.567813629965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2">
        <f t="shared" si="17"/>
        <v>2.4999999999999991</v>
      </c>
    </row>
    <row r="55" spans="4:32" ht="14.25" customHeight="1" outlineLevel="1" x14ac:dyDescent="0.2">
      <c r="D55" s="1">
        <v>32</v>
      </c>
      <c r="E55" s="6">
        <f t="shared" si="10"/>
        <v>88.568916802606282</v>
      </c>
      <c r="F55" s="6">
        <f t="shared" si="10"/>
        <v>3754.5662500514181</v>
      </c>
      <c r="G55" s="6">
        <f t="shared" si="10"/>
        <v>453.80394939081975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4428.4458401303154</v>
      </c>
      <c r="O55" s="6">
        <f t="shared" si="5"/>
        <v>210088.2951939927</v>
      </c>
      <c r="P55" s="6">
        <f t="shared" si="6"/>
        <v>34035.296204311482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2.4999999999999987</v>
      </c>
      <c r="X55" s="1">
        <v>32</v>
      </c>
      <c r="Y55" s="6">
        <f t="shared" si="12"/>
        <v>885.68916802606304</v>
      </c>
      <c r="Z55" s="6">
        <f t="shared" si="13"/>
        <v>23343.143910443632</v>
      </c>
      <c r="AA55" s="6">
        <f t="shared" si="14"/>
        <v>34035.296204311482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2">
        <f t="shared" si="17"/>
        <v>2.4999999999999987</v>
      </c>
    </row>
    <row r="56" spans="4:32" ht="14.25" customHeight="1" outlineLevel="1" x14ac:dyDescent="0.2">
      <c r="D56" s="1">
        <v>33</v>
      </c>
      <c r="E56" s="6">
        <f t="shared" si="10"/>
        <v>92.99736264273659</v>
      </c>
      <c r="F56" s="6">
        <f t="shared" si="10"/>
        <v>3942.2945625539887</v>
      </c>
      <c r="G56" s="6">
        <f t="shared" si="10"/>
        <v>476.49414686036067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4649.8681321368304</v>
      </c>
      <c r="O56" s="6">
        <f t="shared" si="5"/>
        <v>217827.09157074301</v>
      </c>
      <c r="P56" s="6">
        <f t="shared" si="6"/>
        <v>35737.061014527048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2.4999999999999987</v>
      </c>
      <c r="X56" s="1">
        <v>33</v>
      </c>
      <c r="Y56" s="6">
        <f t="shared" si="12"/>
        <v>929.97362642736607</v>
      </c>
      <c r="Z56" s="6">
        <f t="shared" si="13"/>
        <v>24203.010174527</v>
      </c>
      <c r="AA56" s="6">
        <f t="shared" si="14"/>
        <v>35737.061014527048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2">
        <f t="shared" si="17"/>
        <v>2.4999999999999987</v>
      </c>
    </row>
    <row r="57" spans="4:32" ht="14.25" customHeight="1" outlineLevel="1" x14ac:dyDescent="0.2">
      <c r="D57" s="1">
        <v>34</v>
      </c>
      <c r="E57" s="6">
        <f t="shared" si="10"/>
        <v>97.647230774873421</v>
      </c>
      <c r="F57" s="6">
        <f t="shared" si="10"/>
        <v>4139.4092906816886</v>
      </c>
      <c r="G57" s="6">
        <f t="shared" si="10"/>
        <v>500.31885420337875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4882.3615387436712</v>
      </c>
      <c r="O57" s="6">
        <f t="shared" si="5"/>
        <v>225746.69933682895</v>
      </c>
      <c r="P57" s="6">
        <f t="shared" si="6"/>
        <v>37523.914065253404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2.4999999999999996</v>
      </c>
      <c r="X57" s="1">
        <v>34</v>
      </c>
      <c r="Y57" s="6">
        <f t="shared" si="12"/>
        <v>976.47230774873424</v>
      </c>
      <c r="Z57" s="6">
        <f t="shared" si="13"/>
        <v>25082.966592980996</v>
      </c>
      <c r="AA57" s="6">
        <f t="shared" si="14"/>
        <v>37523.914065253404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2">
        <f t="shared" si="17"/>
        <v>2.4999999999999996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102.52959231361709</v>
      </c>
      <c r="F58" s="6">
        <f t="shared" si="20"/>
        <v>4346.3797552157721</v>
      </c>
      <c r="G58" s="6">
        <f t="shared" si="20"/>
        <v>525.33479691354762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5126.4796156808543</v>
      </c>
      <c r="O58" s="6">
        <f t="shared" si="5"/>
        <v>233843.77686824903</v>
      </c>
      <c r="P58" s="6">
        <f t="shared" si="6"/>
        <v>39400.109768516071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2.4999999999999996</v>
      </c>
      <c r="X58" s="1">
        <v>35</v>
      </c>
      <c r="Y58" s="6">
        <f t="shared" si="12"/>
        <v>1025.2959231361708</v>
      </c>
      <c r="Z58" s="6">
        <f t="shared" si="13"/>
        <v>25982.641874249894</v>
      </c>
      <c r="AA58" s="6">
        <f t="shared" si="14"/>
        <v>39400.109768516071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2">
        <f t="shared" si="17"/>
        <v>2.4999999999999996</v>
      </c>
    </row>
    <row r="59" spans="4:32" ht="14.25" customHeight="1" outlineLevel="1" x14ac:dyDescent="0.2">
      <c r="D59" s="1">
        <v>36</v>
      </c>
      <c r="E59" s="6">
        <f t="shared" si="20"/>
        <v>107.65607192929797</v>
      </c>
      <c r="F59" s="6">
        <f t="shared" si="20"/>
        <v>4563.6987429765622</v>
      </c>
      <c r="G59" s="6">
        <f t="shared" si="20"/>
        <v>551.60153675922516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5382.8035964648998</v>
      </c>
      <c r="O59" s="6">
        <f t="shared" si="5"/>
        <v>242114.39956821766</v>
      </c>
      <c r="P59" s="6">
        <f t="shared" si="6"/>
        <v>41370.115256941885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2.4999999999999987</v>
      </c>
      <c r="X59" s="1">
        <v>36</v>
      </c>
      <c r="Y59" s="6">
        <f t="shared" si="12"/>
        <v>1076.5607192929799</v>
      </c>
      <c r="Z59" s="6">
        <f t="shared" si="13"/>
        <v>26901.599952024186</v>
      </c>
      <c r="AA59" s="6">
        <f t="shared" si="14"/>
        <v>41370.115256941885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2">
        <f t="shared" si="17"/>
        <v>2.4999999999999987</v>
      </c>
    </row>
    <row r="60" spans="4:32" ht="14.25" customHeight="1" outlineLevel="1" x14ac:dyDescent="0.2">
      <c r="D60" s="1">
        <v>37</v>
      </c>
      <c r="E60" s="6">
        <f t="shared" si="20"/>
        <v>113.03887552576285</v>
      </c>
      <c r="F60" s="6">
        <f t="shared" si="20"/>
        <v>4791.8836801253892</v>
      </c>
      <c r="G60" s="6">
        <f t="shared" si="20"/>
        <v>579.18161359718624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5651.9437762881425</v>
      </c>
      <c r="O60" s="6">
        <f t="shared" si="5"/>
        <v>250554.05124106858</v>
      </c>
      <c r="P60" s="6">
        <f t="shared" si="6"/>
        <v>43438.621019788967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1130.3887552576284</v>
      </c>
      <c r="Z60" s="6">
        <f t="shared" si="13"/>
        <v>27839.339026785397</v>
      </c>
      <c r="AA60" s="6">
        <f t="shared" si="14"/>
        <v>43438.621019788967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2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118.690819302051</v>
      </c>
      <c r="F61" s="6">
        <f t="shared" si="20"/>
        <v>5031.4778641316589</v>
      </c>
      <c r="G61" s="6">
        <f t="shared" si="20"/>
        <v>608.14069427704567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5934.5409651025502</v>
      </c>
      <c r="O61" s="6">
        <f t="shared" si="5"/>
        <v>259157.6190346746</v>
      </c>
      <c r="P61" s="6">
        <f t="shared" si="6"/>
        <v>45610.552070778424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2.4999999999999996</v>
      </c>
      <c r="X61" s="1">
        <v>38</v>
      </c>
      <c r="Y61" s="6">
        <f t="shared" si="12"/>
        <v>1186.90819302051</v>
      </c>
      <c r="Z61" s="6">
        <f t="shared" si="13"/>
        <v>28795.291003852733</v>
      </c>
      <c r="AA61" s="6">
        <f t="shared" si="14"/>
        <v>45610.552070778424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2">
        <f t="shared" si="17"/>
        <v>2.4999999999999996</v>
      </c>
    </row>
    <row r="62" spans="4:32" ht="14.25" customHeight="1" outlineLevel="1" x14ac:dyDescent="0.2">
      <c r="D62" s="1">
        <v>39</v>
      </c>
      <c r="E62" s="6">
        <f t="shared" si="20"/>
        <v>124.62536026715352</v>
      </c>
      <c r="F62" s="6">
        <f t="shared" si="20"/>
        <v>5283.0517573382413</v>
      </c>
      <c r="G62" s="6">
        <f t="shared" si="20"/>
        <v>638.54772899089789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6231.2680133576769</v>
      </c>
      <c r="O62" s="6">
        <f t="shared" si="5"/>
        <v>267919.39221279277</v>
      </c>
      <c r="P62" s="6">
        <f t="shared" si="6"/>
        <v>47891.079674317341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2.4999999999999987</v>
      </c>
      <c r="X62" s="1">
        <v>39</v>
      </c>
      <c r="Y62" s="6">
        <f t="shared" si="12"/>
        <v>1246.2536026715354</v>
      </c>
      <c r="Z62" s="6">
        <f t="shared" si="13"/>
        <v>29768.821356976972</v>
      </c>
      <c r="AA62" s="6">
        <f t="shared" si="14"/>
        <v>47891.079674317341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2">
        <f t="shared" si="17"/>
        <v>2.4999999999999987</v>
      </c>
    </row>
    <row r="63" spans="4:32" ht="14.25" customHeight="1" outlineLevel="1" x14ac:dyDescent="0.2">
      <c r="D63" s="1">
        <v>40</v>
      </c>
      <c r="E63" s="6">
        <f t="shared" si="20"/>
        <v>130.85662828051125</v>
      </c>
      <c r="F63" s="6">
        <f t="shared" si="20"/>
        <v>5547.2043452051548</v>
      </c>
      <c r="G63" s="6">
        <f t="shared" si="20"/>
        <v>670.47511544044289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6542.8314140255625</v>
      </c>
      <c r="O63" s="6">
        <f t="shared" si="5"/>
        <v>276833.06498681288</v>
      </c>
      <c r="P63" s="6">
        <f t="shared" si="6"/>
        <v>50285.633658033214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2.4999999999999991</v>
      </c>
      <c r="X63" s="1">
        <v>40</v>
      </c>
      <c r="Y63" s="6">
        <f t="shared" si="12"/>
        <v>1308.5662828051125</v>
      </c>
      <c r="Z63" s="6">
        <f t="shared" si="13"/>
        <v>30759.229442979209</v>
      </c>
      <c r="AA63" s="6">
        <f t="shared" si="14"/>
        <v>50285.633658033214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2">
        <f t="shared" si="17"/>
        <v>2.4999999999999991</v>
      </c>
    </row>
    <row r="64" spans="4:32" ht="14.25" customHeight="1" outlineLevel="1" x14ac:dyDescent="0.2">
      <c r="D64" s="1">
        <v>41</v>
      </c>
      <c r="E64" s="6">
        <f t="shared" si="20"/>
        <v>137.39945969453677</v>
      </c>
      <c r="F64" s="6">
        <f t="shared" si="20"/>
        <v>5824.5645624654117</v>
      </c>
      <c r="G64" s="6">
        <f t="shared" si="20"/>
        <v>703.99887121246491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6869.9729847268391</v>
      </c>
      <c r="O64" s="6">
        <f t="shared" si="5"/>
        <v>285891.74359828752</v>
      </c>
      <c r="P64" s="6">
        <f t="shared" si="6"/>
        <v>52799.915340934866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2.4999999999999996</v>
      </c>
      <c r="X64" s="1">
        <v>41</v>
      </c>
      <c r="Y64" s="6">
        <f t="shared" si="12"/>
        <v>1373.9945969453679</v>
      </c>
      <c r="Z64" s="6">
        <f t="shared" si="13"/>
        <v>31765.749288698615</v>
      </c>
      <c r="AA64" s="6">
        <f t="shared" si="14"/>
        <v>52799.915340934866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2">
        <f t="shared" si="17"/>
        <v>2.4999999999999996</v>
      </c>
    </row>
    <row r="65" spans="4:32" ht="14.25" customHeight="1" outlineLevel="1" x14ac:dyDescent="0.2">
      <c r="D65" s="1">
        <v>42</v>
      </c>
      <c r="E65" s="6">
        <f t="shared" si="20"/>
        <v>144.26943267926362</v>
      </c>
      <c r="F65" s="6">
        <f t="shared" si="20"/>
        <v>6115.7927905886827</v>
      </c>
      <c r="G65" s="6">
        <f t="shared" si="20"/>
        <v>739.1988147730882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7213.4716339631814</v>
      </c>
      <c r="O65" s="6">
        <f t="shared" si="5"/>
        <v>295087.95779966092</v>
      </c>
      <c r="P65" s="6">
        <f t="shared" si="6"/>
        <v>55439.911107981614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2.4999999999999991</v>
      </c>
      <c r="X65" s="1">
        <v>42</v>
      </c>
      <c r="Y65" s="6">
        <f t="shared" si="12"/>
        <v>1442.6943267926363</v>
      </c>
      <c r="Z65" s="6">
        <f t="shared" si="13"/>
        <v>32787.55086662899</v>
      </c>
      <c r="AA65" s="6">
        <f t="shared" si="14"/>
        <v>55439.911107981614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2">
        <f t="shared" si="17"/>
        <v>2.4999999999999991</v>
      </c>
    </row>
    <row r="66" spans="4:32" ht="14.25" customHeight="1" outlineLevel="1" x14ac:dyDescent="0.2">
      <c r="D66" s="1">
        <v>43</v>
      </c>
      <c r="E66" s="6">
        <f t="shared" si="20"/>
        <v>151.48290431322681</v>
      </c>
      <c r="F66" s="6">
        <f t="shared" si="20"/>
        <v>6421.5824301181165</v>
      </c>
      <c r="G66" s="6">
        <f t="shared" si="20"/>
        <v>776.15875551174258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7574.1452156613414</v>
      </c>
      <c r="O66" s="6">
        <f t="shared" si="5"/>
        <v>304413.67683127284</v>
      </c>
      <c r="P66" s="6">
        <f t="shared" si="6"/>
        <v>58211.906663380694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2.4999999999999987</v>
      </c>
      <c r="X66" s="1">
        <v>43</v>
      </c>
      <c r="Y66" s="6">
        <f t="shared" si="12"/>
        <v>1514.8290431322682</v>
      </c>
      <c r="Z66" s="6">
        <f t="shared" si="13"/>
        <v>33823.741870141428</v>
      </c>
      <c r="AA66" s="6">
        <f t="shared" si="14"/>
        <v>58211.906663380694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2">
        <f t="shared" si="17"/>
        <v>2.4999999999999987</v>
      </c>
    </row>
    <row r="67" spans="4:32" ht="14.25" customHeight="1" outlineLevel="1" x14ac:dyDescent="0.2">
      <c r="D67" s="1">
        <v>44</v>
      </c>
      <c r="E67" s="6">
        <f t="shared" si="20"/>
        <v>159.05704952888817</v>
      </c>
      <c r="F67" s="6">
        <f t="shared" si="20"/>
        <v>6742.6615516240226</v>
      </c>
      <c r="G67" s="6">
        <f t="shared" si="20"/>
        <v>814.9666932873298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7952.8524764444091</v>
      </c>
      <c r="O67" s="6">
        <f t="shared" si="5"/>
        <v>313860.3299386641</v>
      </c>
      <c r="P67" s="6">
        <f t="shared" si="6"/>
        <v>61122.501996549734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2.4999999999999991</v>
      </c>
      <c r="X67" s="1">
        <v>44</v>
      </c>
      <c r="Y67" s="6">
        <f t="shared" si="12"/>
        <v>1590.5704952888818</v>
      </c>
      <c r="Z67" s="6">
        <f t="shared" si="13"/>
        <v>34873.369993184897</v>
      </c>
      <c r="AA67" s="6">
        <f t="shared" si="14"/>
        <v>61122.501996549734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2">
        <f t="shared" si="17"/>
        <v>2.4999999999999991</v>
      </c>
    </row>
    <row r="68" spans="4:32" ht="14.25" customHeight="1" outlineLevel="1" x14ac:dyDescent="0.2">
      <c r="D68" s="1">
        <v>45</v>
      </c>
      <c r="E68" s="6">
        <f t="shared" si="20"/>
        <v>167.00990200533255</v>
      </c>
      <c r="F68" s="6">
        <f t="shared" si="20"/>
        <v>7079.7946292052238</v>
      </c>
      <c r="G68" s="6">
        <f t="shared" si="20"/>
        <v>855.71502795169624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8350.4951002666276</v>
      </c>
      <c r="O68" s="6">
        <f t="shared" si="5"/>
        <v>323418.83141627791</v>
      </c>
      <c r="P68" s="6">
        <f t="shared" si="6"/>
        <v>64178.627096377219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2.4999999999999996</v>
      </c>
      <c r="X68" s="1">
        <v>45</v>
      </c>
      <c r="Y68" s="6">
        <f t="shared" si="12"/>
        <v>1670.0990200533256</v>
      </c>
      <c r="Z68" s="6">
        <f t="shared" si="13"/>
        <v>35935.425712919765</v>
      </c>
      <c r="AA68" s="6">
        <f t="shared" si="14"/>
        <v>64178.627096377219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2">
        <f t="shared" si="17"/>
        <v>2.4999999999999996</v>
      </c>
    </row>
    <row r="69" spans="4:32" ht="14.25" customHeight="1" outlineLevel="1" x14ac:dyDescent="0.2">
      <c r="D69" s="1">
        <v>46</v>
      </c>
      <c r="E69" s="6">
        <f t="shared" si="20"/>
        <v>175.36039710559922</v>
      </c>
      <c r="F69" s="6">
        <f t="shared" si="20"/>
        <v>7433.784360665486</v>
      </c>
      <c r="G69" s="6">
        <f t="shared" si="20"/>
        <v>898.50077934928117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8768.0198552799611</v>
      </c>
      <c r="O69" s="6">
        <f t="shared" si="5"/>
        <v>333079.6101028425</v>
      </c>
      <c r="P69" s="6">
        <f t="shared" si="6"/>
        <v>67387.558451196091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1753.6039710559921</v>
      </c>
      <c r="Z69" s="6">
        <f t="shared" si="13"/>
        <v>37008.845566982498</v>
      </c>
      <c r="AA69" s="6">
        <f t="shared" si="14"/>
        <v>67387.558451196091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2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184.12841696087912</v>
      </c>
      <c r="F70" s="6">
        <f t="shared" si="20"/>
        <v>7805.4735786987585</v>
      </c>
      <c r="G70" s="6">
        <f t="shared" si="20"/>
        <v>943.42581831674511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9206.4208480439574</v>
      </c>
      <c r="O70" s="6">
        <f t="shared" si="5"/>
        <v>342832.64319116721</v>
      </c>
      <c r="P70" s="6">
        <f t="shared" si="6"/>
        <v>70756.936373755889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1841.2841696087914</v>
      </c>
      <c r="Z70" s="6">
        <f t="shared" si="13"/>
        <v>38092.515910129689</v>
      </c>
      <c r="AA70" s="6">
        <f t="shared" si="14"/>
        <v>70756.936373755889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2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193.33483780892314</v>
      </c>
      <c r="F71" s="6">
        <f t="shared" si="20"/>
        <v>8195.7472576336986</v>
      </c>
      <c r="G71" s="6">
        <f t="shared" si="20"/>
        <v>990.59710923258262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9666.7418904461574</v>
      </c>
      <c r="O71" s="6">
        <f t="shared" si="5"/>
        <v>352667.49415204301</v>
      </c>
      <c r="P71" s="6">
        <f t="shared" si="6"/>
        <v>74294.78319244369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2.4999999999999991</v>
      </c>
      <c r="X71" s="1">
        <v>48</v>
      </c>
      <c r="Y71" s="6">
        <f t="shared" si="12"/>
        <v>1933.3483780892316</v>
      </c>
      <c r="Z71" s="6">
        <f t="shared" si="13"/>
        <v>39185.277128004782</v>
      </c>
      <c r="AA71" s="6">
        <f t="shared" si="14"/>
        <v>74294.78319244369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2">
        <f t="shared" si="17"/>
        <v>2.4999999999999991</v>
      </c>
    </row>
    <row r="72" spans="4:32" ht="14.25" customHeight="1" outlineLevel="1" x14ac:dyDescent="0.2">
      <c r="D72" s="1">
        <v>49</v>
      </c>
      <c r="E72" s="6">
        <f t="shared" si="20"/>
        <v>203.0015796993693</v>
      </c>
      <c r="F72" s="6">
        <f t="shared" si="20"/>
        <v>8605.5346205153837</v>
      </c>
      <c r="G72" s="6">
        <f t="shared" si="20"/>
        <v>1040.1269646942117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10150.078984968466</v>
      </c>
      <c r="O72" s="6">
        <f t="shared" si="5"/>
        <v>362573.35450974182</v>
      </c>
      <c r="P72" s="6">
        <f t="shared" si="6"/>
        <v>78009.522352065876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2030.0157969936931</v>
      </c>
      <c r="Z72" s="6">
        <f t="shared" si="13"/>
        <v>40285.928278860199</v>
      </c>
      <c r="AA72" s="6">
        <f t="shared" si="14"/>
        <v>78009.522352065876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2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213.15165868433778</v>
      </c>
      <c r="F73" s="6">
        <f t="shared" si="20"/>
        <v>9035.8113515411533</v>
      </c>
      <c r="G73" s="6">
        <f t="shared" si="20"/>
        <v>1092.1333129289224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10657.582934216891</v>
      </c>
      <c r="O73" s="6">
        <f t="shared" si="5"/>
        <v>372539.08914664778</v>
      </c>
      <c r="P73" s="6">
        <f t="shared" si="6"/>
        <v>81909.998469669183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2.4999999999999987</v>
      </c>
      <c r="X73" s="1">
        <v>50</v>
      </c>
      <c r="Y73" s="6">
        <f t="shared" si="12"/>
        <v>2131.5165868433783</v>
      </c>
      <c r="Z73" s="6">
        <f t="shared" si="13"/>
        <v>41393.23212740531</v>
      </c>
      <c r="AA73" s="6">
        <f t="shared" si="14"/>
        <v>81909.998469669183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2">
        <f t="shared" si="17"/>
        <v>2.4999999999999987</v>
      </c>
    </row>
    <row r="74" spans="4:32" ht="14.25" customHeight="1" outlineLevel="1" x14ac:dyDescent="0.2">
      <c r="D74" s="1">
        <v>51</v>
      </c>
      <c r="E74" s="6">
        <f t="shared" si="20"/>
        <v>223.80924161855467</v>
      </c>
      <c r="F74" s="6">
        <f t="shared" si="20"/>
        <v>9487.6019191182113</v>
      </c>
      <c r="G74" s="6">
        <f t="shared" si="20"/>
        <v>1146.7399785753685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11190.462080927735</v>
      </c>
      <c r="O74" s="6">
        <f t="shared" si="5"/>
        <v>382553.2847581997</v>
      </c>
      <c r="P74" s="6">
        <f t="shared" si="6"/>
        <v>86005.498393152637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2238.0924161855469</v>
      </c>
      <c r="Z74" s="6">
        <f t="shared" si="13"/>
        <v>42505.920528688854</v>
      </c>
      <c r="AA74" s="6">
        <f t="shared" si="14"/>
        <v>86005.498393152637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2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234.99970369948238</v>
      </c>
      <c r="F75" s="6">
        <f t="shared" si="20"/>
        <v>9961.9820150741216</v>
      </c>
      <c r="G75" s="6">
        <f t="shared" si="20"/>
        <v>1204.0769775041369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11749.985184974121</v>
      </c>
      <c r="O75" s="6">
        <f t="shared" si="5"/>
        <v>392604.3010279318</v>
      </c>
      <c r="P75" s="6">
        <f t="shared" si="6"/>
        <v>90305.77331281027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2349.9970369948242</v>
      </c>
      <c r="Z75" s="6">
        <f t="shared" si="13"/>
        <v>43622.700114214647</v>
      </c>
      <c r="AA75" s="6">
        <f t="shared" si="14"/>
        <v>90305.77331281027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2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246.7496888844565</v>
      </c>
      <c r="F76" s="6">
        <f t="shared" si="20"/>
        <v>10460.081115827827</v>
      </c>
      <c r="G76" s="6">
        <f t="shared" si="20"/>
        <v>1264.2808263793438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12337.484444222826</v>
      </c>
      <c r="O76" s="6">
        <f t="shared" si="5"/>
        <v>402680.32404723339</v>
      </c>
      <c r="P76" s="6">
        <f t="shared" si="6"/>
        <v>94821.061978450787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2467.4968888445651</v>
      </c>
      <c r="Z76" s="6">
        <f t="shared" si="13"/>
        <v>44742.258227470375</v>
      </c>
      <c r="AA76" s="6">
        <f t="shared" si="14"/>
        <v>94821.061978450787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2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259.08717332867928</v>
      </c>
      <c r="F77" s="6">
        <f t="shared" si="20"/>
        <v>10983.085171619217</v>
      </c>
      <c r="G77" s="6">
        <f t="shared" si="20"/>
        <v>1327.4948676983108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12954.358666433965</v>
      </c>
      <c r="O77" s="6">
        <f t="shared" si="5"/>
        <v>412769.42146662856</v>
      </c>
      <c r="P77" s="6">
        <f t="shared" si="6"/>
        <v>99562.11507737331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2590.8717332867932</v>
      </c>
      <c r="Z77" s="6">
        <f t="shared" si="13"/>
        <v>45863.269051847616</v>
      </c>
      <c r="AA77" s="6">
        <f t="shared" si="14"/>
        <v>99562.11507737331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2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272.04153199511325</v>
      </c>
      <c r="F78" s="6">
        <f t="shared" si="20"/>
        <v>11532.239430200178</v>
      </c>
      <c r="G78" s="6">
        <f t="shared" si="20"/>
        <v>1393.8696110832263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13602.076599755663</v>
      </c>
      <c r="O78" s="6">
        <f t="shared" si="5"/>
        <v>422859.59883588023</v>
      </c>
      <c r="P78" s="6">
        <f t="shared" si="6"/>
        <v>104540.22083124198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2.4999999999999987</v>
      </c>
      <c r="X78" s="1">
        <v>55</v>
      </c>
      <c r="Y78" s="6">
        <f t="shared" si="12"/>
        <v>2720.4153199511325</v>
      </c>
      <c r="Z78" s="6">
        <f t="shared" si="13"/>
        <v>46984.39987065336</v>
      </c>
      <c r="AA78" s="6">
        <f t="shared" si="14"/>
        <v>104540.22083124198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2">
        <f t="shared" si="17"/>
        <v>2.4999999999999987</v>
      </c>
    </row>
    <row r="79" spans="4:32" ht="14.25" customHeight="1" outlineLevel="1" x14ac:dyDescent="0.2">
      <c r="D79" s="1">
        <v>56</v>
      </c>
      <c r="E79" s="6">
        <f t="shared" si="20"/>
        <v>285.64360859486897</v>
      </c>
      <c r="F79" s="6">
        <f t="shared" si="20"/>
        <v>12108.85140171019</v>
      </c>
      <c r="G79" s="6">
        <f t="shared" si="20"/>
        <v>1463.563091637388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14282.180429743448</v>
      </c>
      <c r="O79" s="6">
        <f t="shared" si="5"/>
        <v>432938.85656981199</v>
      </c>
      <c r="P79" s="6">
        <f t="shared" si="6"/>
        <v>109767.2318728041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2.4999999999999996</v>
      </c>
      <c r="X79" s="1">
        <v>56</v>
      </c>
      <c r="Y79" s="6">
        <f t="shared" si="12"/>
        <v>2856.4360859486897</v>
      </c>
      <c r="Z79" s="6">
        <f t="shared" si="13"/>
        <v>48104.317396645776</v>
      </c>
      <c r="AA79" s="6">
        <f t="shared" si="14"/>
        <v>109767.2318728041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2">
        <f t="shared" si="17"/>
        <v>2.4999999999999996</v>
      </c>
    </row>
    <row r="80" spans="4:32" ht="14.25" customHeight="1" outlineLevel="1" x14ac:dyDescent="0.2">
      <c r="D80" s="1">
        <v>57</v>
      </c>
      <c r="E80" s="6">
        <f t="shared" si="20"/>
        <v>299.92578902461241</v>
      </c>
      <c r="F80" s="6">
        <f t="shared" si="20"/>
        <v>12714.293971795696</v>
      </c>
      <c r="G80" s="6">
        <f t="shared" si="20"/>
        <v>1536.7412462192569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14996.289451230623</v>
      </c>
      <c r="O80" s="6">
        <f t="shared" si="5"/>
        <v>442995.24696594122</v>
      </c>
      <c r="P80" s="6">
        <f t="shared" si="6"/>
        <v>115255.59346644428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2999.2578902461246</v>
      </c>
      <c r="Z80" s="6">
        <f t="shared" si="13"/>
        <v>49221.694107326803</v>
      </c>
      <c r="AA80" s="6">
        <f t="shared" si="14"/>
        <v>115255.59346644428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2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314.92207847584302</v>
      </c>
      <c r="F81" s="6">
        <f t="shared" si="20"/>
        <v>13350.008670385483</v>
      </c>
      <c r="G81" s="6">
        <f t="shared" si="20"/>
        <v>1613.5783085302201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15746.103923792152</v>
      </c>
      <c r="O81" s="6">
        <f t="shared" si="5"/>
        <v>453016.93069912581</v>
      </c>
      <c r="P81" s="6">
        <f t="shared" si="6"/>
        <v>121018.37313976651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3149.2207847584305</v>
      </c>
      <c r="Z81" s="6">
        <f t="shared" si="13"/>
        <v>50335.21452212509</v>
      </c>
      <c r="AA81" s="6">
        <f t="shared" si="14"/>
        <v>121018.37313976651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2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330.66818239963521</v>
      </c>
      <c r="F82" s="6">
        <f t="shared" si="20"/>
        <v>14017.509103904758</v>
      </c>
      <c r="G82" s="6">
        <f t="shared" si="20"/>
        <v>1694.2572239567312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16533.409119981763</v>
      </c>
      <c r="O82" s="6">
        <f t="shared" si="5"/>
        <v>462992.23222744977</v>
      </c>
      <c r="P82" s="6">
        <f t="shared" si="6"/>
        <v>127069.29179675484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2.4999999999999996</v>
      </c>
      <c r="X82" s="1">
        <v>59</v>
      </c>
      <c r="Y82" s="6">
        <f t="shared" si="12"/>
        <v>3306.6818239963527</v>
      </c>
      <c r="Z82" s="6">
        <f t="shared" si="13"/>
        <v>51443.58135860553</v>
      </c>
      <c r="AA82" s="6">
        <f t="shared" si="14"/>
        <v>127069.29179675484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2">
        <f t="shared" si="17"/>
        <v>2.4999999999999996</v>
      </c>
    </row>
    <row r="83" spans="4:32" ht="14.25" customHeight="1" outlineLevel="1" x14ac:dyDescent="0.2">
      <c r="D83" s="1">
        <v>60</v>
      </c>
      <c r="E83" s="6">
        <f t="shared" si="20"/>
        <v>347.20159151961701</v>
      </c>
      <c r="F83" s="6">
        <f t="shared" si="20"/>
        <v>14718.384559099997</v>
      </c>
      <c r="G83" s="6">
        <f t="shared" si="20"/>
        <v>1778.9700851545679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17360.07957598085</v>
      </c>
      <c r="O83" s="6">
        <f t="shared" si="5"/>
        <v>472909.69356229604</v>
      </c>
      <c r="P83" s="6">
        <f t="shared" si="6"/>
        <v>133422.75638659258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3472.0159151961698</v>
      </c>
      <c r="Z83" s="6">
        <f t="shared" si="13"/>
        <v>52545.521506921781</v>
      </c>
      <c r="AA83" s="6">
        <f t="shared" si="14"/>
        <v>133422.75638659258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2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364.56167109559777</v>
      </c>
      <c r="F84" s="6">
        <f t="shared" si="20"/>
        <v>15454.303787054994</v>
      </c>
      <c r="G84" s="6">
        <f t="shared" si="20"/>
        <v>1867.9185894122959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18228.083554779892</v>
      </c>
      <c r="O84" s="6">
        <f t="shared" si="5"/>
        <v>482758.12588345894</v>
      </c>
      <c r="P84" s="6">
        <f t="shared" si="6"/>
        <v>140093.8942059222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2.4999999999999987</v>
      </c>
      <c r="X84" s="1">
        <v>61</v>
      </c>
      <c r="Y84" s="6">
        <f t="shared" si="12"/>
        <v>3645.6167109559783</v>
      </c>
      <c r="Z84" s="6">
        <f t="shared" si="13"/>
        <v>53639.791764828769</v>
      </c>
      <c r="AA84" s="6">
        <f t="shared" si="14"/>
        <v>140093.8942059222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2">
        <f t="shared" si="17"/>
        <v>2.4999999999999987</v>
      </c>
    </row>
    <row r="85" spans="4:32" ht="14.25" customHeight="1" outlineLevel="1" x14ac:dyDescent="0.2">
      <c r="D85" s="1">
        <v>62</v>
      </c>
      <c r="E85" s="6">
        <f t="shared" si="20"/>
        <v>382.78975465037774</v>
      </c>
      <c r="F85" s="6">
        <f t="shared" si="20"/>
        <v>16227.018976407748</v>
      </c>
      <c r="G85" s="6">
        <f t="shared" si="20"/>
        <v>1961.3145188829112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19139.48773251889</v>
      </c>
      <c r="O85" s="6">
        <f t="shared" si="5"/>
        <v>492526.65851654374</v>
      </c>
      <c r="P85" s="6">
        <f t="shared" si="6"/>
        <v>147098.58891621834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3827.8975465037779</v>
      </c>
      <c r="Z85" s="6">
        <f t="shared" si="13"/>
        <v>54725.184279615969</v>
      </c>
      <c r="AA85" s="6">
        <f t="shared" si="14"/>
        <v>147098.58891621834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2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401.92924238289646</v>
      </c>
      <c r="F86" s="6">
        <f t="shared" si="20"/>
        <v>17038.369925228129</v>
      </c>
      <c r="G86" s="6">
        <f t="shared" si="20"/>
        <v>2059.3802448270558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20096.462119144828</v>
      </c>
      <c r="O86" s="6">
        <f t="shared" si="5"/>
        <v>502204.78483381856</v>
      </c>
      <c r="P86" s="6">
        <f t="shared" si="6"/>
        <v>154453.51836202919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4019.2924238289656</v>
      </c>
      <c r="Z86" s="6">
        <f t="shared" si="13"/>
        <v>55800.531648202064</v>
      </c>
      <c r="AA86" s="6">
        <f t="shared" si="14"/>
        <v>154453.51836202919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2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422.02570450204149</v>
      </c>
      <c r="F87" s="6">
        <f t="shared" si="20"/>
        <v>17890.288421489542</v>
      </c>
      <c r="G87" s="6">
        <f t="shared" si="20"/>
        <v>2162.3492570684098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21101.285225102074</v>
      </c>
      <c r="O87" s="6">
        <f t="shared" si="5"/>
        <v>511782.40469005203</v>
      </c>
      <c r="P87" s="6">
        <f t="shared" si="6"/>
        <v>162176.19428013073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4220.2570450204148</v>
      </c>
      <c r="Z87" s="6">
        <f t="shared" si="13"/>
        <v>56864.711632228005</v>
      </c>
      <c r="AA87" s="6">
        <f t="shared" si="14"/>
        <v>162176.19428013073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2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443.12698972714355</v>
      </c>
      <c r="F88" s="6">
        <f t="shared" si="20"/>
        <v>18784.802842564019</v>
      </c>
      <c r="G88" s="6">
        <f t="shared" si="20"/>
        <v>2270.4667199218297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22156.34948635718</v>
      </c>
      <c r="O88" s="6">
        <f t="shared" si="5"/>
        <v>521249.86306042381</v>
      </c>
      <c r="P88" s="6">
        <f t="shared" si="6"/>
        <v>170285.00399413722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4431.2698972714361</v>
      </c>
      <c r="Z88" s="6">
        <f t="shared" si="13"/>
        <v>57916.651451158199</v>
      </c>
      <c r="AA88" s="6">
        <f t="shared" si="14"/>
        <v>170285.00399413722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2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465.28333921350077</v>
      </c>
      <c r="F89" s="6">
        <f t="shared" si="20"/>
        <v>19724.04298469222</v>
      </c>
      <c r="G89" s="6">
        <f t="shared" si="20"/>
        <v>2383.9900559179218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23264.166960675044</v>
      </c>
      <c r="O89" s="6">
        <f t="shared" ref="O89:O123" si="22">F89*$K$21/(1+P89/$P$22)</f>
        <v>530597.98460701166</v>
      </c>
      <c r="P89" s="6">
        <f t="shared" ref="P89:P123" si="23">G89*$K$21</f>
        <v>178799.25419384413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2.4999999999999991</v>
      </c>
      <c r="X89" s="1">
        <v>66</v>
      </c>
      <c r="Y89" s="6">
        <f t="shared" si="12"/>
        <v>4652.8333921350086</v>
      </c>
      <c r="Z89" s="6">
        <f t="shared" si="13"/>
        <v>58955.331623001293</v>
      </c>
      <c r="AA89" s="6">
        <f t="shared" si="14"/>
        <v>178799.25419384413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2">
        <f t="shared" si="17"/>
        <v>2.4999999999999991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488.54750617417579</v>
      </c>
      <c r="F90" s="6">
        <f t="shared" si="25"/>
        <v>20710.24513392683</v>
      </c>
      <c r="G90" s="6">
        <f t="shared" si="25"/>
        <v>2503.1895587138179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24427.375308708793</v>
      </c>
      <c r="O90" s="6">
        <f t="shared" si="22"/>
        <v>539818.10396225576</v>
      </c>
      <c r="P90" s="6">
        <f t="shared" si="23"/>
        <v>187739.21690353635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4885.4750617417585</v>
      </c>
      <c r="Z90" s="6">
        <f t="shared" ref="Z90:Z123" si="27">O90/$X$22</f>
        <v>59979.78932913953</v>
      </c>
      <c r="AA90" s="6">
        <f t="shared" ref="AA90:AA123" si="28">P90</f>
        <v>187739.21690353635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2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512.9748814828846</v>
      </c>
      <c r="F91" s="6">
        <f t="shared" si="25"/>
        <v>21745.757390623174</v>
      </c>
      <c r="G91" s="6">
        <f t="shared" si="25"/>
        <v>2628.3490366495089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25648.744074144233</v>
      </c>
      <c r="O91" s="6">
        <f t="shared" si="22"/>
        <v>548902.09158078849</v>
      </c>
      <c r="P91" s="6">
        <f t="shared" si="23"/>
        <v>197126.17774871318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5129.7488148288467</v>
      </c>
      <c r="Z91" s="6">
        <f t="shared" si="27"/>
        <v>60989.121286754278</v>
      </c>
      <c r="AA91" s="6">
        <f t="shared" si="28"/>
        <v>197126.17774871318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2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538.62362555702873</v>
      </c>
      <c r="F92" s="6">
        <f t="shared" si="25"/>
        <v>22833.045260154329</v>
      </c>
      <c r="G92" s="6">
        <f t="shared" si="25"/>
        <v>2759.7664884819837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26931.18127785144</v>
      </c>
      <c r="O92" s="6">
        <f t="shared" si="22"/>
        <v>557842.37507375819</v>
      </c>
      <c r="P92" s="6">
        <f t="shared" si="23"/>
        <v>206982.48663614879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5386.2362555702875</v>
      </c>
      <c r="Z92" s="6">
        <f t="shared" si="27"/>
        <v>61982.486119306464</v>
      </c>
      <c r="AA92" s="6">
        <f t="shared" si="28"/>
        <v>206982.48663614879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2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565.5548068348802</v>
      </c>
      <c r="F93" s="6">
        <f t="shared" si="25"/>
        <v>23974.697523162049</v>
      </c>
      <c r="G93" s="6">
        <f t="shared" si="25"/>
        <v>2897.7548129060833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28277.740341744011</v>
      </c>
      <c r="O93" s="6">
        <f t="shared" si="22"/>
        <v>566631.9560009808</v>
      </c>
      <c r="P93" s="6">
        <f t="shared" si="23"/>
        <v>217331.61096795625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5655.5480683488022</v>
      </c>
      <c r="Z93" s="6">
        <f t="shared" si="27"/>
        <v>62959.106222331204</v>
      </c>
      <c r="AA93" s="6">
        <f t="shared" si="28"/>
        <v>217331.61096795625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2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593.83254717662419</v>
      </c>
      <c r="F94" s="6">
        <f t="shared" si="25"/>
        <v>25173.432399320151</v>
      </c>
      <c r="G94" s="6">
        <f t="shared" si="25"/>
        <v>3042.6425535513872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29691.627358831211</v>
      </c>
      <c r="O94" s="6">
        <f t="shared" si="22"/>
        <v>575264.42215478572</v>
      </c>
      <c r="P94" s="6">
        <f t="shared" si="23"/>
        <v>228198.19151635404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2.4999999999999996</v>
      </c>
      <c r="X94" s="1">
        <v>71</v>
      </c>
      <c r="Y94" s="6">
        <f t="shared" si="26"/>
        <v>5938.3254717662421</v>
      </c>
      <c r="Z94" s="6">
        <f t="shared" si="27"/>
        <v>63918.269128309526</v>
      </c>
      <c r="AA94" s="6">
        <f t="shared" si="28"/>
        <v>228198.19151635404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2">
        <f t="shared" si="31"/>
        <v>2.4999999999999996</v>
      </c>
    </row>
    <row r="95" spans="4:32" ht="14.25" customHeight="1" outlineLevel="1" x14ac:dyDescent="0.2">
      <c r="D95" s="1">
        <v>72</v>
      </c>
      <c r="E95" s="6">
        <f t="shared" si="25"/>
        <v>623.52417453545547</v>
      </c>
      <c r="F95" s="6">
        <f t="shared" si="25"/>
        <v>26432.104019286158</v>
      </c>
      <c r="G95" s="6">
        <f t="shared" si="25"/>
        <v>3194.774681228957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31176.208726772773</v>
      </c>
      <c r="O95" s="6">
        <f t="shared" si="22"/>
        <v>583733.95542423287</v>
      </c>
      <c r="P95" s="6">
        <f t="shared" si="23"/>
        <v>239608.10109217177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2.4999999999999996</v>
      </c>
      <c r="X95" s="1">
        <v>72</v>
      </c>
      <c r="Y95" s="6">
        <f t="shared" si="26"/>
        <v>6235.241745354555</v>
      </c>
      <c r="Z95" s="6">
        <f t="shared" si="27"/>
        <v>64859.328380470317</v>
      </c>
      <c r="AA95" s="6">
        <f t="shared" si="28"/>
        <v>239608.10109217177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2">
        <f t="shared" si="31"/>
        <v>2.4999999999999996</v>
      </c>
    </row>
    <row r="96" spans="4:32" ht="14.25" customHeight="1" outlineLevel="1" x14ac:dyDescent="0.2">
      <c r="D96" s="1">
        <v>73</v>
      </c>
      <c r="E96" s="6">
        <f t="shared" si="25"/>
        <v>654.70038326222823</v>
      </c>
      <c r="F96" s="6">
        <f t="shared" si="25"/>
        <v>27753.709220250468</v>
      </c>
      <c r="G96" s="6">
        <f t="shared" si="25"/>
        <v>3354.5134152904047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32735.01916311141</v>
      </c>
      <c r="O96" s="6">
        <f t="shared" si="22"/>
        <v>592035.33537862403</v>
      </c>
      <c r="P96" s="6">
        <f t="shared" si="23"/>
        <v>251588.50614678036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2.4999999999999996</v>
      </c>
      <c r="X96" s="1">
        <v>73</v>
      </c>
      <c r="Y96" s="6">
        <f t="shared" si="26"/>
        <v>6547.0038326222821</v>
      </c>
      <c r="Z96" s="6">
        <f t="shared" si="27"/>
        <v>65781.703930958232</v>
      </c>
      <c r="AA96" s="6">
        <f t="shared" si="28"/>
        <v>251588.50614678036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2">
        <f t="shared" si="31"/>
        <v>2.4999999999999996</v>
      </c>
    </row>
    <row r="97" spans="4:32" ht="14.25" customHeight="1" outlineLevel="1" x14ac:dyDescent="0.2">
      <c r="D97" s="1">
        <v>74</v>
      </c>
      <c r="E97" s="6">
        <f t="shared" si="25"/>
        <v>687.43540242533959</v>
      </c>
      <c r="F97" s="6">
        <f t="shared" si="25"/>
        <v>29141.394681262987</v>
      </c>
      <c r="G97" s="6">
        <f t="shared" si="25"/>
        <v>3522.2390860549249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34371.770121266985</v>
      </c>
      <c r="O97" s="6">
        <f t="shared" si="22"/>
        <v>600163.93875419616</v>
      </c>
      <c r="P97" s="6">
        <f t="shared" si="23"/>
        <v>264167.93145411939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2.4999999999999991</v>
      </c>
      <c r="X97" s="1">
        <v>74</v>
      </c>
      <c r="Y97" s="6">
        <f t="shared" si="26"/>
        <v>6874.3540242533973</v>
      </c>
      <c r="Z97" s="6">
        <f t="shared" si="27"/>
        <v>66684.882083799574</v>
      </c>
      <c r="AA97" s="6">
        <f t="shared" si="28"/>
        <v>264167.93145411939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2">
        <f t="shared" si="31"/>
        <v>2.4999999999999991</v>
      </c>
    </row>
    <row r="98" spans="4:32" ht="14.25" customHeight="1" outlineLevel="1" x14ac:dyDescent="0.2">
      <c r="D98" s="1">
        <v>75</v>
      </c>
      <c r="E98" s="6">
        <f t="shared" si="25"/>
        <v>721.80717254660658</v>
      </c>
      <c r="F98" s="6">
        <f t="shared" si="25"/>
        <v>30598.464415326136</v>
      </c>
      <c r="G98" s="6">
        <f t="shared" si="25"/>
        <v>3698.3510403576711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36090.358627330337</v>
      </c>
      <c r="O98" s="6">
        <f t="shared" si="22"/>
        <v>608115.73506707372</v>
      </c>
      <c r="P98" s="6">
        <f t="shared" si="23"/>
        <v>277376.32802682533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2.4999999999999987</v>
      </c>
      <c r="X98" s="1">
        <v>75</v>
      </c>
      <c r="Y98" s="6">
        <f t="shared" si="26"/>
        <v>7218.0717254660676</v>
      </c>
      <c r="Z98" s="6">
        <f t="shared" si="27"/>
        <v>67568.415007452641</v>
      </c>
      <c r="AA98" s="6">
        <f t="shared" si="28"/>
        <v>277376.32802682533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2">
        <f t="shared" si="31"/>
        <v>2.4999999999999987</v>
      </c>
    </row>
    <row r="99" spans="4:32" ht="14.25" customHeight="1" outlineLevel="1" x14ac:dyDescent="0.2">
      <c r="D99" s="1">
        <v>76</v>
      </c>
      <c r="E99" s="6">
        <f t="shared" si="25"/>
        <v>757.89753117393707</v>
      </c>
      <c r="F99" s="6">
        <f t="shared" si="25"/>
        <v>32128.387636092448</v>
      </c>
      <c r="G99" s="6">
        <f t="shared" si="25"/>
        <v>3883.2685923755548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37894.876558696858</v>
      </c>
      <c r="O99" s="6">
        <f t="shared" si="22"/>
        <v>615887.27860860294</v>
      </c>
      <c r="P99" s="6">
        <f t="shared" si="23"/>
        <v>291245.14442816662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7578.975311739372</v>
      </c>
      <c r="Z99" s="6">
        <f t="shared" si="27"/>
        <v>68431.91984540032</v>
      </c>
      <c r="AA99" s="6">
        <f t="shared" si="28"/>
        <v>291245.14442816662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2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795.79240773263371</v>
      </c>
      <c r="F100" s="6">
        <f t="shared" si="25"/>
        <v>33734.807017897067</v>
      </c>
      <c r="G100" s="6">
        <f t="shared" si="25"/>
        <v>4077.432021994332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39789.620386631694</v>
      </c>
      <c r="O100" s="6">
        <f t="shared" si="22"/>
        <v>623475.69710596243</v>
      </c>
      <c r="P100" s="6">
        <f t="shared" si="23"/>
        <v>305807.40164957492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7957.9240773263391</v>
      </c>
      <c r="Z100" s="6">
        <f t="shared" si="27"/>
        <v>69275.077456218045</v>
      </c>
      <c r="AA100" s="6">
        <f t="shared" si="28"/>
        <v>305807.40164957492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2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835.58202811926571</v>
      </c>
      <c r="F101" s="6">
        <f t="shared" si="25"/>
        <v>35421.547368791929</v>
      </c>
      <c r="G101" s="6">
        <f t="shared" si="25"/>
        <v>4281.3036230940497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41779.101405963294</v>
      </c>
      <c r="O101" s="6">
        <f t="shared" si="22"/>
        <v>630878.67735139921</v>
      </c>
      <c r="P101" s="6">
        <f t="shared" si="23"/>
        <v>321097.77173205372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8355.8202811926585</v>
      </c>
      <c r="Z101" s="6">
        <f t="shared" si="27"/>
        <v>70097.630816822129</v>
      </c>
      <c r="AA101" s="6">
        <f t="shared" si="28"/>
        <v>321097.77173205372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2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877.36112952522865</v>
      </c>
      <c r="F102" s="6">
        <f t="shared" si="25"/>
        <v>37192.624737231512</v>
      </c>
      <c r="G102" s="6">
        <f t="shared" si="25"/>
        <v>4495.3688042487511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43868.056476261438</v>
      </c>
      <c r="O102" s="6">
        <f t="shared" si="22"/>
        <v>638094.44811774336</v>
      </c>
      <c r="P102" s="6">
        <f t="shared" si="23"/>
        <v>337152.66031865636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2.4999999999999991</v>
      </c>
      <c r="X102" s="1">
        <v>79</v>
      </c>
      <c r="Y102" s="6">
        <f t="shared" si="26"/>
        <v>8773.6112952522872</v>
      </c>
      <c r="Z102" s="6">
        <f t="shared" si="27"/>
        <v>70899.3831241937</v>
      </c>
      <c r="AA102" s="6">
        <f t="shared" si="28"/>
        <v>337152.66031865636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2">
        <f t="shared" si="31"/>
        <v>2.4999999999999991</v>
      </c>
    </row>
    <row r="103" spans="4:32" ht="14.25" customHeight="1" outlineLevel="1" x14ac:dyDescent="0.2">
      <c r="D103" s="1">
        <v>80</v>
      </c>
      <c r="E103" s="6">
        <f t="shared" si="25"/>
        <v>921.22918600149035</v>
      </c>
      <c r="F103" s="6">
        <f t="shared" si="25"/>
        <v>39052.255974093103</v>
      </c>
      <c r="G103" s="6">
        <f t="shared" si="25"/>
        <v>4720.1372444611898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46061.459300074523</v>
      </c>
      <c r="O103" s="6">
        <f t="shared" si="22"/>
        <v>645121.760686266</v>
      </c>
      <c r="P103" s="6">
        <f t="shared" si="23"/>
        <v>354010.29333458922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9212.2918600149042</v>
      </c>
      <c r="Z103" s="6">
        <f t="shared" si="27"/>
        <v>71680.195631807335</v>
      </c>
      <c r="AA103" s="6">
        <f t="shared" si="28"/>
        <v>354010.29333458922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2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967.29064530156484</v>
      </c>
      <c r="F104" s="6">
        <f t="shared" si="25"/>
        <v>41004.868772797752</v>
      </c>
      <c r="G104" s="6">
        <f t="shared" si="25"/>
        <v>4956.144106684249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48364.532265078247</v>
      </c>
      <c r="O104" s="6">
        <f t="shared" si="22"/>
        <v>651959.86731583101</v>
      </c>
      <c r="P104" s="6">
        <f t="shared" si="23"/>
        <v>371710.80800131866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2.4999999999999991</v>
      </c>
      <c r="X104" s="1">
        <v>81</v>
      </c>
      <c r="Y104" s="6">
        <f t="shared" si="26"/>
        <v>9672.9064530156502</v>
      </c>
      <c r="Z104" s="6">
        <f t="shared" si="27"/>
        <v>72439.985257314562</v>
      </c>
      <c r="AA104" s="6">
        <f t="shared" si="28"/>
        <v>371710.80800131866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2">
        <f t="shared" si="31"/>
        <v>2.4999999999999991</v>
      </c>
    </row>
    <row r="105" spans="4:32" ht="14.25" customHeight="1" outlineLevel="1" x14ac:dyDescent="0.2">
      <c r="D105" s="1">
        <v>82</v>
      </c>
      <c r="E105" s="6">
        <f t="shared" si="25"/>
        <v>1015.6551775666433</v>
      </c>
      <c r="F105" s="6">
        <f t="shared" si="25"/>
        <v>43055.112211437649</v>
      </c>
      <c r="G105" s="6">
        <f t="shared" si="25"/>
        <v>5203.951312018462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50782.75887833217</v>
      </c>
      <c r="O105" s="6">
        <f t="shared" si="22"/>
        <v>658608.49798013794</v>
      </c>
      <c r="P105" s="6">
        <f t="shared" si="23"/>
        <v>390296.34840138466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2.4999999999999991</v>
      </c>
      <c r="X105" s="1">
        <v>82</v>
      </c>
      <c r="Y105" s="6">
        <f t="shared" si="26"/>
        <v>10156.551775666434</v>
      </c>
      <c r="Z105" s="6">
        <f t="shared" si="27"/>
        <v>73178.721997793109</v>
      </c>
      <c r="AA105" s="6">
        <f t="shared" si="28"/>
        <v>390296.34840138466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2">
        <f t="shared" si="31"/>
        <v>2.4999999999999991</v>
      </c>
    </row>
    <row r="106" spans="4:32" ht="14.25" customHeight="1" outlineLevel="1" x14ac:dyDescent="0.2">
      <c r="D106" s="1">
        <v>83</v>
      </c>
      <c r="E106" s="6">
        <f t="shared" si="25"/>
        <v>1066.4379364449753</v>
      </c>
      <c r="F106" s="6">
        <f t="shared" si="25"/>
        <v>45207.867822009532</v>
      </c>
      <c r="G106" s="6">
        <f t="shared" si="25"/>
        <v>5464.1488776193855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53321.896822248775</v>
      </c>
      <c r="O106" s="6">
        <f t="shared" si="22"/>
        <v>665067.83569314121</v>
      </c>
      <c r="P106" s="6">
        <f t="shared" si="23"/>
        <v>409811.16582145391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2.4999999999999987</v>
      </c>
      <c r="X106" s="1">
        <v>83</v>
      </c>
      <c r="Y106" s="6">
        <f t="shared" si="26"/>
        <v>10664.379364449755</v>
      </c>
      <c r="Z106" s="6">
        <f t="shared" si="27"/>
        <v>73896.426188126803</v>
      </c>
      <c r="AA106" s="6">
        <f t="shared" si="28"/>
        <v>409811.16582145391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2">
        <f t="shared" si="31"/>
        <v>2.4999999999999987</v>
      </c>
    </row>
    <row r="107" spans="4:32" ht="14.25" customHeight="1" outlineLevel="1" x14ac:dyDescent="0.2">
      <c r="D107" s="1">
        <v>84</v>
      </c>
      <c r="E107" s="6">
        <f t="shared" si="25"/>
        <v>1119.7598332672242</v>
      </c>
      <c r="F107" s="6">
        <f t="shared" si="25"/>
        <v>47468.261213110003</v>
      </c>
      <c r="G107" s="6">
        <f t="shared" si="25"/>
        <v>5737.3563215003542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55987.991663361208</v>
      </c>
      <c r="O107" s="6">
        <f t="shared" si="22"/>
        <v>671338.49073208286</v>
      </c>
      <c r="P107" s="6">
        <f t="shared" si="23"/>
        <v>430301.72411252657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2.4999999999999991</v>
      </c>
      <c r="X107" s="1">
        <v>84</v>
      </c>
      <c r="Y107" s="6">
        <f t="shared" si="26"/>
        <v>11197.598332672242</v>
      </c>
      <c r="Z107" s="6">
        <f t="shared" si="27"/>
        <v>74593.165636898091</v>
      </c>
      <c r="AA107" s="6">
        <f t="shared" si="28"/>
        <v>430301.72411252657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2">
        <f t="shared" si="31"/>
        <v>2.4999999999999991</v>
      </c>
    </row>
    <row r="108" spans="4:32" ht="14.25" customHeight="1" outlineLevel="1" x14ac:dyDescent="0.2">
      <c r="D108" s="1">
        <v>85</v>
      </c>
      <c r="E108" s="6">
        <f t="shared" si="25"/>
        <v>1175.7478249305852</v>
      </c>
      <c r="F108" s="6">
        <f t="shared" si="25"/>
        <v>49841.674273765508</v>
      </c>
      <c r="G108" s="6">
        <f t="shared" si="25"/>
        <v>6024.224137575372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58787.391246529274</v>
      </c>
      <c r="O108" s="6">
        <f t="shared" si="22"/>
        <v>677421.47405353177</v>
      </c>
      <c r="P108" s="6">
        <f t="shared" si="23"/>
        <v>451816.81031815289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11757.478249305856</v>
      </c>
      <c r="Z108" s="6">
        <f t="shared" si="27"/>
        <v>75269.052672614635</v>
      </c>
      <c r="AA108" s="6">
        <f t="shared" si="28"/>
        <v>451816.81031815289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2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1234.5352161771145</v>
      </c>
      <c r="F109" s="6">
        <f t="shared" si="25"/>
        <v>52333.757987453777</v>
      </c>
      <c r="G109" s="6">
        <f t="shared" si="25"/>
        <v>6325.4353444541402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61726.760808855724</v>
      </c>
      <c r="O109" s="6">
        <f t="shared" si="22"/>
        <v>683318.17018101108</v>
      </c>
      <c r="P109" s="6">
        <f t="shared" si="23"/>
        <v>474407.65083406051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2.4999999999999996</v>
      </c>
      <c r="X109" s="1">
        <v>86</v>
      </c>
      <c r="Y109" s="6">
        <f t="shared" si="26"/>
        <v>12345.352161771145</v>
      </c>
      <c r="Z109" s="6">
        <f t="shared" si="27"/>
        <v>75924.241131223447</v>
      </c>
      <c r="AA109" s="6">
        <f t="shared" si="28"/>
        <v>474407.65083406051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2">
        <f t="shared" si="31"/>
        <v>2.4999999999999996</v>
      </c>
    </row>
    <row r="110" spans="4:32" ht="14.25" customHeight="1" outlineLevel="1" x14ac:dyDescent="0.2">
      <c r="D110" s="1">
        <v>87</v>
      </c>
      <c r="E110" s="6">
        <f t="shared" si="25"/>
        <v>1296.2619769859703</v>
      </c>
      <c r="F110" s="6">
        <f t="shared" si="25"/>
        <v>54950.445886826463</v>
      </c>
      <c r="G110" s="6">
        <f t="shared" si="25"/>
        <v>6641.7071116768466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64813.098849298513</v>
      </c>
      <c r="O110" s="6">
        <f t="shared" si="22"/>
        <v>689030.30982379336</v>
      </c>
      <c r="P110" s="6">
        <f t="shared" si="23"/>
        <v>498128.03337576351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12962.619769859703</v>
      </c>
      <c r="Z110" s="6">
        <f t="shared" si="27"/>
        <v>76558.923313754814</v>
      </c>
      <c r="AA110" s="6">
        <f t="shared" si="28"/>
        <v>498128.03337576351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2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1361.075075835269</v>
      </c>
      <c r="F111" s="6">
        <f t="shared" si="25"/>
        <v>57697.968181167795</v>
      </c>
      <c r="G111" s="6">
        <f t="shared" si="25"/>
        <v>6973.7924672606905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68053.753791763462</v>
      </c>
      <c r="O111" s="6">
        <f t="shared" si="22"/>
        <v>694559.94246580382</v>
      </c>
      <c r="P111" s="6">
        <f t="shared" si="23"/>
        <v>523034.43504455179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2.4999999999999991</v>
      </c>
      <c r="X111" s="1">
        <v>88</v>
      </c>
      <c r="Y111" s="6">
        <f t="shared" si="26"/>
        <v>13610.750758352693</v>
      </c>
      <c r="Z111" s="6">
        <f t="shared" si="27"/>
        <v>77173.326940644867</v>
      </c>
      <c r="AA111" s="6">
        <f t="shared" si="28"/>
        <v>523034.43504455179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2">
        <f t="shared" si="31"/>
        <v>2.4999999999999991</v>
      </c>
    </row>
    <row r="112" spans="4:32" ht="14.25" customHeight="1" outlineLevel="1" x14ac:dyDescent="0.2">
      <c r="D112" s="1">
        <v>89</v>
      </c>
      <c r="E112" s="6">
        <f t="shared" si="25"/>
        <v>1429.1288296270322</v>
      </c>
      <c r="F112" s="6">
        <f t="shared" si="25"/>
        <v>60582.866590226178</v>
      </c>
      <c r="G112" s="6">
        <f t="shared" si="25"/>
        <v>7322.4820906237237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71456.44148135162</v>
      </c>
      <c r="O112" s="6">
        <f t="shared" si="22"/>
        <v>699909.409141841</v>
      </c>
      <c r="P112" s="6">
        <f t="shared" si="23"/>
        <v>549186.15679677925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2.4999999999999987</v>
      </c>
      <c r="X112" s="1">
        <v>89</v>
      </c>
      <c r="Y112" s="6">
        <f t="shared" si="26"/>
        <v>14291.288296270324</v>
      </c>
      <c r="Z112" s="6">
        <f t="shared" si="27"/>
        <v>77767.712126871222</v>
      </c>
      <c r="AA112" s="6">
        <f t="shared" si="28"/>
        <v>549186.15679677925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2">
        <f t="shared" si="31"/>
        <v>2.4999999999999987</v>
      </c>
    </row>
    <row r="113" spans="3:32" ht="14.25" customHeight="1" outlineLevel="1" x14ac:dyDescent="0.2">
      <c r="D113" s="1">
        <v>90</v>
      </c>
      <c r="E113" s="6">
        <f t="shared" si="25"/>
        <v>1500.5852711083839</v>
      </c>
      <c r="F113" s="6">
        <f t="shared" si="25"/>
        <v>63612.009919737495</v>
      </c>
      <c r="G113" s="6">
        <f t="shared" si="25"/>
        <v>7688.6061951549109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75029.263555419209</v>
      </c>
      <c r="O113" s="6">
        <f t="shared" si="22"/>
        <v>705081.315595967</v>
      </c>
      <c r="P113" s="6">
        <f t="shared" si="23"/>
        <v>576645.46463661827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15005.852711083842</v>
      </c>
      <c r="Z113" s="6">
        <f t="shared" si="27"/>
        <v>78342.368399551895</v>
      </c>
      <c r="AA113" s="6">
        <f t="shared" si="28"/>
        <v>576645.46463661827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2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1575.6145346638029</v>
      </c>
      <c r="F114" s="6">
        <f t="shared" si="25"/>
        <v>66792.610415724368</v>
      </c>
      <c r="G114" s="6">
        <f t="shared" si="25"/>
        <v>8073.0365049126558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78780.726733190153</v>
      </c>
      <c r="O114" s="6">
        <f t="shared" si="22"/>
        <v>710078.50599439349</v>
      </c>
      <c r="P114" s="6">
        <f t="shared" si="23"/>
        <v>605477.73786844919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2.4999999999999991</v>
      </c>
      <c r="X114" s="1">
        <v>91</v>
      </c>
      <c r="Y114" s="6">
        <f t="shared" si="26"/>
        <v>15756.14534663803</v>
      </c>
      <c r="Z114" s="6">
        <f t="shared" si="27"/>
        <v>78897.611777154831</v>
      </c>
      <c r="AA114" s="6">
        <f t="shared" si="28"/>
        <v>605477.73786844919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2">
        <f t="shared" si="31"/>
        <v>2.4999999999999991</v>
      </c>
    </row>
    <row r="115" spans="3:32" ht="14.25" customHeight="1" outlineLevel="1" x14ac:dyDescent="0.2">
      <c r="D115" s="1">
        <v>92</v>
      </c>
      <c r="E115" s="6">
        <f t="shared" si="25"/>
        <v>1654.3952613969936</v>
      </c>
      <c r="F115" s="6">
        <f t="shared" si="25"/>
        <v>70132.2409365106</v>
      </c>
      <c r="G115" s="6">
        <f t="shared" si="25"/>
        <v>8476.6883301582911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82719.763069849694</v>
      </c>
      <c r="O115" s="6">
        <f t="shared" si="22"/>
        <v>714904.03734285769</v>
      </c>
      <c r="P115" s="6">
        <f t="shared" si="23"/>
        <v>635751.62476187188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16543.952613969937</v>
      </c>
      <c r="Z115" s="6">
        <f t="shared" si="27"/>
        <v>79433.781926984186</v>
      </c>
      <c r="AA115" s="6">
        <f t="shared" si="28"/>
        <v>635751.62476187188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2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1737.1150244668429</v>
      </c>
      <c r="F116" s="6">
        <f t="shared" si="25"/>
        <v>73638.85298333611</v>
      </c>
      <c r="G116" s="6">
        <f t="shared" si="25"/>
        <v>8900.5227466662036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86855.751223342158</v>
      </c>
      <c r="O116" s="6">
        <f t="shared" si="22"/>
        <v>719561.15473669476</v>
      </c>
      <c r="P116" s="6">
        <f t="shared" si="23"/>
        <v>667539.20599996531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2.4999999999999991</v>
      </c>
      <c r="X116" s="1">
        <v>93</v>
      </c>
      <c r="Y116" s="6">
        <f t="shared" si="26"/>
        <v>17371.150244668432</v>
      </c>
      <c r="Z116" s="6">
        <f t="shared" si="27"/>
        <v>79951.239415188305</v>
      </c>
      <c r="AA116" s="6">
        <f t="shared" si="28"/>
        <v>667539.20599996531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2">
        <f t="shared" si="31"/>
        <v>2.4999999999999991</v>
      </c>
    </row>
    <row r="117" spans="3:32" ht="14.25" customHeight="1" outlineLevel="1" x14ac:dyDescent="0.2">
      <c r="D117" s="1">
        <v>94</v>
      </c>
      <c r="E117" s="6">
        <f t="shared" si="25"/>
        <v>1823.9707756901853</v>
      </c>
      <c r="F117" s="6">
        <f t="shared" si="25"/>
        <v>77320.795632502937</v>
      </c>
      <c r="G117" s="6">
        <f t="shared" si="25"/>
        <v>9345.548883999516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91198.538784509277</v>
      </c>
      <c r="O117" s="6">
        <f t="shared" si="22"/>
        <v>724053.2675508291</v>
      </c>
      <c r="P117" s="6">
        <f t="shared" si="23"/>
        <v>700916.16629996372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18239.707756901855</v>
      </c>
      <c r="Z117" s="6">
        <f t="shared" si="27"/>
        <v>80450.363061203228</v>
      </c>
      <c r="AA117" s="6">
        <f t="shared" si="28"/>
        <v>700916.16629996372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2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1915.1693144746939</v>
      </c>
      <c r="F118" s="6">
        <f t="shared" si="25"/>
        <v>81186.835414128043</v>
      </c>
      <c r="G118" s="6">
        <f t="shared" si="25"/>
        <v>9812.8263281994878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95758.465723734698</v>
      </c>
      <c r="O118" s="6">
        <f t="shared" si="22"/>
        <v>728383.92665697041</v>
      </c>
      <c r="P118" s="6">
        <f t="shared" si="23"/>
        <v>735961.97461496154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2.4999999999999991</v>
      </c>
      <c r="X118" s="1">
        <v>95</v>
      </c>
      <c r="Y118" s="6">
        <f t="shared" si="26"/>
        <v>19151.69314474694</v>
      </c>
      <c r="Z118" s="6">
        <f t="shared" si="27"/>
        <v>80931.54740633005</v>
      </c>
      <c r="AA118" s="6">
        <f t="shared" si="28"/>
        <v>735961.97461496154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2">
        <f t="shared" si="31"/>
        <v>2.4999999999999991</v>
      </c>
    </row>
    <row r="119" spans="3:32" ht="14.25" customHeight="1" outlineLevel="1" x14ac:dyDescent="0.2">
      <c r="D119" s="1">
        <v>96</v>
      </c>
      <c r="E119" s="6">
        <f t="shared" si="25"/>
        <v>2010.9277801984294</v>
      </c>
      <c r="F119" s="6">
        <f t="shared" si="25"/>
        <v>85246.177184834494</v>
      </c>
      <c r="G119" s="6">
        <f t="shared" si="25"/>
        <v>10303.467644609467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100546.38900992149</v>
      </c>
      <c r="O119" s="6">
        <f t="shared" si="22"/>
        <v>732556.80273655977</v>
      </c>
      <c r="P119" s="6">
        <f t="shared" si="23"/>
        <v>772760.07334571006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20109.277801984299</v>
      </c>
      <c r="Z119" s="6">
        <f t="shared" si="27"/>
        <v>81395.200304062193</v>
      </c>
      <c r="AA119" s="6">
        <f t="shared" si="28"/>
        <v>772760.07334571006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2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2111.4741692083508</v>
      </c>
      <c r="F120" s="6">
        <f t="shared" si="25"/>
        <v>89508.486044076199</v>
      </c>
      <c r="G120" s="6">
        <f t="shared" si="25"/>
        <v>10818.641026839938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105573.70846041755</v>
      </c>
      <c r="O120" s="6">
        <f t="shared" si="22"/>
        <v>736575.66574062384</v>
      </c>
      <c r="P120" s="6">
        <f t="shared" si="23"/>
        <v>811398.07701299537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21114.741692083509</v>
      </c>
      <c r="Z120" s="6">
        <f t="shared" si="27"/>
        <v>81841.740637847091</v>
      </c>
      <c r="AA120" s="6">
        <f t="shared" si="28"/>
        <v>811398.07701299537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2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2217.0478776687683</v>
      </c>
      <c r="F121" s="6">
        <f t="shared" si="25"/>
        <v>93983.910346280012</v>
      </c>
      <c r="G121" s="6">
        <f t="shared" si="25"/>
        <v>11359.573078181935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110852.39388343842</v>
      </c>
      <c r="O121" s="6">
        <f t="shared" si="22"/>
        <v>740444.36553172616</v>
      </c>
      <c r="P121" s="6">
        <f t="shared" si="23"/>
        <v>851967.98086364509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2.5</v>
      </c>
      <c r="X121" s="1">
        <v>98</v>
      </c>
      <c r="Y121" s="6">
        <f t="shared" si="26"/>
        <v>22170.478776687683</v>
      </c>
      <c r="Z121" s="6">
        <f t="shared" si="27"/>
        <v>82271.596170191799</v>
      </c>
      <c r="AA121" s="6">
        <f t="shared" si="28"/>
        <v>851967.98086364509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2">
        <f t="shared" si="31"/>
        <v>2.5</v>
      </c>
    </row>
    <row r="122" spans="3:32" ht="14.25" customHeight="1" outlineLevel="1" x14ac:dyDescent="0.2">
      <c r="D122" s="1">
        <v>99</v>
      </c>
      <c r="E122" s="6">
        <f t="shared" si="25"/>
        <v>2327.900271552207</v>
      </c>
      <c r="F122" s="6">
        <f t="shared" si="25"/>
        <v>98683.105863594013</v>
      </c>
      <c r="G122" s="6">
        <f t="shared" si="25"/>
        <v>11927.551732091033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116395.01357761036</v>
      </c>
      <c r="O122" s="6">
        <f t="shared" si="22"/>
        <v>744166.81372870365</v>
      </c>
      <c r="P122" s="6">
        <f t="shared" si="23"/>
        <v>894566.37990682747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2.4999999999999991</v>
      </c>
      <c r="X122" s="1">
        <v>99</v>
      </c>
      <c r="Y122" s="6">
        <f t="shared" si="26"/>
        <v>23279.002715522071</v>
      </c>
      <c r="Z122" s="6">
        <f t="shared" si="27"/>
        <v>82685.20152541151</v>
      </c>
      <c r="AA122" s="6">
        <f t="shared" si="28"/>
        <v>894566.37990682747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2">
        <f t="shared" si="31"/>
        <v>2.4999999999999991</v>
      </c>
    </row>
    <row r="123" spans="3:32" ht="14.25" customHeight="1" outlineLevel="1" x14ac:dyDescent="0.2">
      <c r="D123" s="1">
        <v>100</v>
      </c>
      <c r="E123" s="6">
        <f t="shared" si="25"/>
        <v>2444.2952851298173</v>
      </c>
      <c r="F123" s="6">
        <f t="shared" si="25"/>
        <v>103617.26115677373</v>
      </c>
      <c r="G123" s="6">
        <f t="shared" si="25"/>
        <v>12523.929318695586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122214.76425649087</v>
      </c>
      <c r="O123" s="6">
        <f t="shared" si="22"/>
        <v>747746.96676188451</v>
      </c>
      <c r="P123" s="6">
        <f t="shared" si="23"/>
        <v>939294.69890216889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2.4999999999999991</v>
      </c>
      <c r="X123" s="1">
        <v>100</v>
      </c>
      <c r="Y123" s="6">
        <f t="shared" si="26"/>
        <v>24442.952851298174</v>
      </c>
      <c r="Z123" s="6">
        <f t="shared" si="27"/>
        <v>83082.996306876055</v>
      </c>
      <c r="AA123" s="6">
        <f t="shared" si="28"/>
        <v>939294.69890216889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2">
        <f t="shared" si="31"/>
        <v>2.4999999999999991</v>
      </c>
    </row>
    <row r="125" spans="3:32" ht="14.25" customHeight="1" x14ac:dyDescent="0.2">
      <c r="C125" s="3" t="s">
        <v>258</v>
      </c>
      <c r="D125" s="2" t="s">
        <v>267</v>
      </c>
      <c r="I125" s="3" t="s">
        <v>259</v>
      </c>
      <c r="Q125" s="2"/>
    </row>
    <row r="126" spans="3:32" ht="14.25" customHeight="1" x14ac:dyDescent="0.2">
      <c r="D126" s="3" t="s">
        <v>257</v>
      </c>
      <c r="E126" s="3" t="s">
        <v>131</v>
      </c>
      <c r="F126" s="3" t="s">
        <v>132</v>
      </c>
      <c r="G126" s="3" t="s">
        <v>113</v>
      </c>
      <c r="H126" s="74" t="s">
        <v>13</v>
      </c>
      <c r="J126" s="23" t="s">
        <v>11</v>
      </c>
      <c r="K126" s="3" t="s">
        <v>132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32.5</v>
      </c>
      <c r="F128" s="1">
        <f>F6</f>
        <v>111.11111111111111</v>
      </c>
      <c r="G128" s="1">
        <f>SUM(G6:G9)</f>
        <v>4</v>
      </c>
      <c r="H128" s="6">
        <f t="shared" ref="H128:H131" si="34">F128/(J128-G128)</f>
        <v>14.355440712029859</v>
      </c>
      <c r="J128" s="1">
        <f>J127</f>
        <v>11.74</v>
      </c>
      <c r="K128" s="6">
        <f t="shared" ref="K128:K131" si="35">E128*H128</f>
        <v>466.55182314097038</v>
      </c>
    </row>
    <row r="129" spans="3:32" ht="14.25" customHeight="1" x14ac:dyDescent="0.2">
      <c r="D129" s="1">
        <v>3</v>
      </c>
      <c r="E129" s="1">
        <f>E128-E6</f>
        <v>28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287.47433264887059</v>
      </c>
    </row>
    <row r="130" spans="3:32" ht="14.25" customHeight="1" x14ac:dyDescent="0.2">
      <c r="D130" s="1">
        <v>2</v>
      </c>
      <c r="E130" s="1">
        <f>E129-E8</f>
        <v>23</v>
      </c>
      <c r="F130" s="1">
        <f>F7</f>
        <v>36.36363636363636</v>
      </c>
      <c r="G130" s="1">
        <f>G129-G8</f>
        <v>0</v>
      </c>
      <c r="H130" s="6">
        <f t="shared" si="34"/>
        <v>3.0974136595942383</v>
      </c>
      <c r="J130" s="1">
        <f t="shared" si="36"/>
        <v>11.74</v>
      </c>
      <c r="K130" s="6">
        <f t="shared" si="35"/>
        <v>71.240514170667481</v>
      </c>
    </row>
    <row r="131" spans="3:32" ht="14.25" customHeight="1" x14ac:dyDescent="0.2">
      <c r="D131" s="1">
        <v>1</v>
      </c>
      <c r="E131" s="1">
        <f>E10</f>
        <v>3.88</v>
      </c>
      <c r="F131" s="1">
        <f>F9</f>
        <v>33.333333333333336</v>
      </c>
      <c r="G131" s="1">
        <f>G9</f>
        <v>0</v>
      </c>
      <c r="H131" s="6">
        <f t="shared" si="34"/>
        <v>2.8392958546280522</v>
      </c>
      <c r="J131" s="1">
        <f t="shared" si="36"/>
        <v>11.74</v>
      </c>
      <c r="K131" s="6">
        <f t="shared" si="35"/>
        <v>11.016467915956841</v>
      </c>
    </row>
    <row r="132" spans="3:32" ht="14.25" customHeight="1" x14ac:dyDescent="0.2">
      <c r="H132" s="6">
        <f>SUM(H127:H131)</f>
        <v>30.559090677997528</v>
      </c>
      <c r="I132" s="1" t="s">
        <v>260</v>
      </c>
      <c r="J132" s="1">
        <f>MAX(J127:J131)</f>
        <v>11.74</v>
      </c>
      <c r="K132" s="6">
        <f>SUM(K127:K131)</f>
        <v>836.28313787646516</v>
      </c>
    </row>
    <row r="134" spans="3:32" ht="14.25" customHeight="1" collapsed="1" x14ac:dyDescent="0.2">
      <c r="C134" s="3" t="s">
        <v>147</v>
      </c>
      <c r="E134" s="1">
        <f>J132</f>
        <v>11.74</v>
      </c>
      <c r="F134" s="6">
        <f>K132</f>
        <v>836.28313787646516</v>
      </c>
      <c r="G134" s="16">
        <v>5</v>
      </c>
      <c r="J134" s="1" t="s">
        <v>262</v>
      </c>
      <c r="K134" s="1">
        <f>$K$21</f>
        <v>75</v>
      </c>
      <c r="L134" s="3" t="s">
        <v>261</v>
      </c>
      <c r="P134" s="6">
        <f>MAX(P137:P236)</f>
        <v>46964.734945108452</v>
      </c>
      <c r="X134" s="1" t="s">
        <v>265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62721.235340734886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171</v>
      </c>
      <c r="E136" s="1" t="s">
        <v>131</v>
      </c>
      <c r="F136" s="1" t="s">
        <v>132</v>
      </c>
      <c r="G136" s="1" t="s">
        <v>124</v>
      </c>
      <c r="H136" s="16" t="s">
        <v>125</v>
      </c>
      <c r="I136" s="16" t="s">
        <v>126</v>
      </c>
      <c r="J136" s="16" t="s">
        <v>127</v>
      </c>
      <c r="M136" s="1" t="s">
        <v>149</v>
      </c>
      <c r="N136" s="1" t="s">
        <v>150</v>
      </c>
      <c r="O136" s="1" t="s">
        <v>151</v>
      </c>
      <c r="P136" s="1" t="s">
        <v>124</v>
      </c>
      <c r="Q136" s="16" t="s">
        <v>125</v>
      </c>
      <c r="R136" s="16" t="s">
        <v>126</v>
      </c>
      <c r="S136" s="16" t="s">
        <v>127</v>
      </c>
      <c r="T136" s="16" t="s">
        <v>152</v>
      </c>
      <c r="U136" s="16" t="s">
        <v>183</v>
      </c>
      <c r="V136" s="1" t="s">
        <v>264</v>
      </c>
      <c r="X136" s="1" t="s">
        <v>149</v>
      </c>
      <c r="Y136" s="1" t="s">
        <v>150</v>
      </c>
      <c r="Z136" s="1" t="s">
        <v>151</v>
      </c>
      <c r="AA136" s="1" t="s">
        <v>124</v>
      </c>
      <c r="AB136" s="1" t="s">
        <v>125</v>
      </c>
      <c r="AC136" s="1" t="s">
        <v>126</v>
      </c>
      <c r="AD136" s="1" t="s">
        <v>127</v>
      </c>
      <c r="AE136" s="1" t="s">
        <v>263</v>
      </c>
      <c r="AF136" s="1" t="s">
        <v>184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836.28313787646516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62486.909430371001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6942.9899367078888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2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878.0972947702885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65599.001041172029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7288.7778934635589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2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922.00215950880283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68865.446383269373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7651.7162648077083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2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968.10226748424304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72293.8357428116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8032.6484158679559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2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1016.5073808584551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75892.125988889326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8432.4584432099255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2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1067.3327499013781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79668.657597102196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8852.0730663446884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2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1120.6993873964468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83632.172393581131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9292.4635992867916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2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1176.7343567662692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87791.832042571928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9754.6480047302139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2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1235.5710746045827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92157.237300590015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10239.693033398891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2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1297.3496283348118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96738.448059940798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10748.716451104534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2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1362.2171097515525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101546.00420404634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11282.889356005149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2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1430.3279652391302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106590.94729650932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11843.438588501034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2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1501.8443635010865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111884.8431251603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12431.649236128922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2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1576.936581676141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117439.80512145354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13048.86723571706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2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1655.7834107599476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123268.51867447229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13696.502074941365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2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1738.5725812979456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129384.26635745972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14376.029595273303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2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1825.5012103628428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135800.95408316512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15088.994898129458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2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1916.7762708809851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142533.13820237323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15837.015355819247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2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2012.6150844250344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149596.05355771651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16621.783728635168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2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2113.2458386462863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157005.64250223609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17445.071389137345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2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2218.9081305786003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164778.58488910797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18308.731654345331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2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2329.8535371075304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172932.32903545053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19214.703226161171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2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2446.3462139629069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181485.12365912981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20165.013739903312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2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2568.6635246610526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190456.05078293613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21161.783420326236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2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2697.0967008941047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199865.05959536531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22207.228843929479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2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2831.9515359388101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209733.00125144518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23303.66680571613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2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2973.5491127357509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220081.66459054901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24453.518287838779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2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3122.2265683725386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230933.81274086604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25659.312526762893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2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3278.3378967911649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242313.22057209327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26923.691174677031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2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3442.254791630724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254244.71294890469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28249.4125498783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2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3614.3675312122587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266754.2037277671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29639.355969751901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2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3795.0859077728733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279868.73542864545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31096.526158738383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2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3984.8402031615165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293616.5195009741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32624.057722330457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2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4184.0822133195925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308026.97708991851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34225.219676657609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2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4393.2863239855724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323130.78019429714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35903.420021588572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2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4612.9506401848512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338959.8930915253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37662.210343502811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2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4843.5981721940934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355547.61388748267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39505.290431942522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2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5085.7780808037987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372928.61603022006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41436.512892246676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2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5340.0669848439875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391138.98960582673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43459.887733980751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2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5607.0703340861874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410216.2822125146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45579.586912501625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2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5887.4238507904965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430199.53918494994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47799.948798327772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2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6181.7950433300221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451129.34291504545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50125.48254611616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2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6490.8847954965231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473047.85098773381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52560.872331970422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2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6815.4290352713497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495998.83282066742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55110.981424518599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2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7156.2004870349165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520027.70446528745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57780.856051698604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2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7514.0105113866639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545181.56119328644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60575.729021476269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2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7889.711036955995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571509.20745716849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63501.023050796503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2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8284.1965888037976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599061.18377644499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66562.353752938332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2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8698.406418243987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627889.79006205895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69765.532229117656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2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9133.3267391561858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658049.10485105531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73116.567205672807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2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9589.9930761139949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689594.99988143519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76621.666653492794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2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10069.492729919695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722585.1493937975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80287.238821533057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2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10572.96736641568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757079.03350203496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84119.892611337214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2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11101.615734736462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793137.9349303518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88126.437214483536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2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11656.696521473286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830824.92836861848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92313.880929846491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2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12239.531347546952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870204.86165306461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96689.429072562736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2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12851.507914924297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911344.32793510321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101260.48088167813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2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13494.083310670514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954311.6279583479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106034.62532870533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2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14168.787476204041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999176.72152341146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111019.6357248235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2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14877.226850014244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1046011.16718273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116223.46302030334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2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15621.088192514953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1094888.0491744357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121654.22768604841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2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16402.142602140706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1145881.8905763389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127320.21006403764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2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17222.249732247732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1199068.551639582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133229.83907106466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2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18083.362218860129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1254525.1122479006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139391.67913865563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2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18987.530329803132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1312329.737444089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145814.41527156543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2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19936.906846293292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1372561.524971924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152506.83610799155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2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20933.752188607956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1435300.3338010046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159477.8148667783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2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21980.439798038355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1500626.5926357012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166736.28807063345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2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23079.461787940269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1568621.0874593973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174291.23193993303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2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24233.434877337284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1639364.7272334511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182151.63635927235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2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25445.106621204148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1712938.2869587562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190326.47632875069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2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26717.361952264357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1789422.1274183181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198824.68082425755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2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28053.230049877577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1868895.89105378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207655.09900597556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2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29455.891552371453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1951438.1735890473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216826.46373211636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2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30928.686129990023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2037126.1712016251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226347.35235573613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2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32475.120436489527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2126035.3032582928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236226.14480647698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2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34098.876458314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2218238.810877244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246470.97898636045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2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35803.82028122971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2313807.3318543653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257089.70353937394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2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37594.01129529118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2412808.4527969263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268089.82808854734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2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39473.711860055759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2515306.2396430094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279478.4710714455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2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41447.39745305854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2621360.7481082599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291262.30534536223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2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43519.767325711473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2731027.5159908868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303447.50177676522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2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45695.755691997045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2844357.0396782723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316039.67107536359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2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47980.543476596897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2961394.2376301829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329043.80418113142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2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50379.570650426744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3082177.9040594012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342464.21156215569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2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52898.549182948074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3206740.156484561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356304.46183161787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2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55543.476642095477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3335105.8812849531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370567.32014277257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2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58320.650474200265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3467292.1818348328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385254.686870537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2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61236.682997910269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3603307.8342260928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400367.53713623254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2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64298.517147805789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3743152.7559927856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415905.86177697615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2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67513.443005196066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3886817.4936180254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431868.61040200281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2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70889.115155455889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4034282.7349216039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448253.63721351157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2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74433.570913228672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4185518.8526831516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465057.65029812796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2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78155.249458890117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4340485.4860391589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482276.16511546209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2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82063.011931834597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4499131.1662902506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499903.46292113897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2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86166.162528426357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4661392.9937574025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517932.55486193363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2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90474.470654847668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4827196.3722213283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536355.15246903652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2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94998.194187590052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4996454.8072602637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555161.64525114046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2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99748.103896969551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5169069.7744603278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574341.08605114755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2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104735.50909181805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5344930.6630058354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593881.18477842619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2">
        <f t="shared" si="64"/>
        <v>2.4999999999999996</v>
      </c>
    </row>
    <row r="238" spans="3:32" ht="14.25" customHeight="1" x14ac:dyDescent="0.2">
      <c r="C238" s="3" t="s">
        <v>258</v>
      </c>
      <c r="D238" s="2" t="s">
        <v>268</v>
      </c>
      <c r="I238" s="3" t="s">
        <v>259</v>
      </c>
      <c r="Q238" s="2"/>
    </row>
    <row r="239" spans="3:32" ht="14.25" customHeight="1" x14ac:dyDescent="0.2">
      <c r="D239" s="3" t="s">
        <v>257</v>
      </c>
      <c r="E239" s="3" t="s">
        <v>131</v>
      </c>
      <c r="F239" s="3" t="s">
        <v>132</v>
      </c>
      <c r="G239" s="3" t="s">
        <v>113</v>
      </c>
      <c r="H239" s="74" t="s">
        <v>13</v>
      </c>
      <c r="J239" s="23" t="s">
        <v>11</v>
      </c>
      <c r="K239" s="3" t="s">
        <v>132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31.88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478.24782478247823</v>
      </c>
    </row>
    <row r="242" spans="3:32" ht="14.25" customHeight="1" x14ac:dyDescent="0.2">
      <c r="D242" s="1">
        <v>3</v>
      </c>
      <c r="E242" s="1">
        <f>E241-E8</f>
        <v>26.88</v>
      </c>
      <c r="F242" s="1">
        <f>F7</f>
        <v>36.36363636363636</v>
      </c>
      <c r="G242" s="1">
        <f>G241-G8</f>
        <v>6</v>
      </c>
      <c r="H242" s="6">
        <f t="shared" si="65"/>
        <v>4.1961269748022572</v>
      </c>
      <c r="J242" s="1">
        <f t="shared" ref="J242:J244" si="66">J241</f>
        <v>14.666</v>
      </c>
      <c r="K242" s="6">
        <f t="shared" ref="K242:K244" si="67">E242*H242</f>
        <v>112.79189308268467</v>
      </c>
    </row>
    <row r="243" spans="3:32" ht="14.25" customHeight="1" x14ac:dyDescent="0.2">
      <c r="D243" s="1">
        <v>2</v>
      </c>
      <c r="E243" s="1">
        <f>E242-E7</f>
        <v>15.879999999999999</v>
      </c>
      <c r="F243" s="1">
        <f>F9</f>
        <v>33.333333333333336</v>
      </c>
      <c r="G243" s="1">
        <f>G242-G7</f>
        <v>6</v>
      </c>
      <c r="H243" s="6">
        <f t="shared" si="65"/>
        <v>3.8464497269020694</v>
      </c>
      <c r="J243" s="1">
        <f t="shared" si="66"/>
        <v>14.666</v>
      </c>
      <c r="K243" s="6">
        <f t="shared" si="67"/>
        <v>61.081621663204857</v>
      </c>
    </row>
    <row r="244" spans="3:32" ht="14.25" customHeight="1" x14ac:dyDescent="0.2">
      <c r="D244" s="1">
        <v>1</v>
      </c>
      <c r="E244" s="1">
        <f>E10</f>
        <v>3.88</v>
      </c>
      <c r="F244" s="1">
        <f>F10</f>
        <v>48.5</v>
      </c>
      <c r="G244" s="1">
        <f>G10</f>
        <v>6</v>
      </c>
      <c r="H244" s="6">
        <f t="shared" si="65"/>
        <v>5.5965843526425108</v>
      </c>
      <c r="J244" s="1">
        <f t="shared" si="66"/>
        <v>14.666</v>
      </c>
      <c r="K244" s="6">
        <f t="shared" si="67"/>
        <v>21.714747288252941</v>
      </c>
    </row>
    <row r="245" spans="3:32" ht="14.25" customHeight="1" x14ac:dyDescent="0.2">
      <c r="H245" s="6">
        <f>SUM(H240:H244)</f>
        <v>28.640661204361841</v>
      </c>
      <c r="I245" s="1" t="s">
        <v>260</v>
      </c>
      <c r="J245" s="1">
        <f>MAX(J240:J244)</f>
        <v>14.666</v>
      </c>
      <c r="K245" s="6">
        <f>SUM(K240:K244)</f>
        <v>673.83608681662065</v>
      </c>
    </row>
    <row r="247" spans="3:32" ht="14.25" customHeight="1" collapsed="1" x14ac:dyDescent="0.2">
      <c r="C247" s="3" t="s">
        <v>147</v>
      </c>
      <c r="E247" s="1">
        <f>J245</f>
        <v>14.666</v>
      </c>
      <c r="F247" s="6">
        <f>K245</f>
        <v>673.83608681662065</v>
      </c>
      <c r="G247" s="16">
        <v>5</v>
      </c>
      <c r="J247" s="1" t="s">
        <v>262</v>
      </c>
      <c r="K247" s="1">
        <f>K21</f>
        <v>75</v>
      </c>
      <c r="L247" s="3" t="s">
        <v>261</v>
      </c>
      <c r="P247" s="6">
        <f>MAX(P250:P349)</f>
        <v>46964.734945108452</v>
      </c>
      <c r="X247" s="1" t="s">
        <v>265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50537.70651124655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171</v>
      </c>
      <c r="E249" s="1" t="s">
        <v>131</v>
      </c>
      <c r="F249" s="1" t="s">
        <v>132</v>
      </c>
      <c r="G249" s="1" t="s">
        <v>124</v>
      </c>
      <c r="H249" s="16" t="s">
        <v>125</v>
      </c>
      <c r="I249" s="16" t="s">
        <v>126</v>
      </c>
      <c r="J249" s="16" t="s">
        <v>127</v>
      </c>
      <c r="M249" s="1" t="s">
        <v>149</v>
      </c>
      <c r="N249" s="1" t="s">
        <v>150</v>
      </c>
      <c r="O249" s="1" t="s">
        <v>151</v>
      </c>
      <c r="P249" s="1" t="s">
        <v>124</v>
      </c>
      <c r="Q249" s="16" t="s">
        <v>125</v>
      </c>
      <c r="R249" s="16" t="s">
        <v>126</v>
      </c>
      <c r="S249" s="16" t="s">
        <v>127</v>
      </c>
      <c r="T249" s="16" t="s">
        <v>152</v>
      </c>
      <c r="U249" s="16" t="s">
        <v>183</v>
      </c>
      <c r="V249" s="1" t="s">
        <v>264</v>
      </c>
      <c r="X249" s="1" t="s">
        <v>149</v>
      </c>
      <c r="Y249" s="1" t="s">
        <v>150</v>
      </c>
      <c r="Z249" s="1" t="s">
        <v>151</v>
      </c>
      <c r="AA249" s="1" t="s">
        <v>124</v>
      </c>
      <c r="AB249" s="1" t="s">
        <v>125</v>
      </c>
      <c r="AC249" s="1" t="s">
        <v>126</v>
      </c>
      <c r="AD249" s="1" t="s">
        <v>127</v>
      </c>
      <c r="AE249" s="1" t="s">
        <v>263</v>
      </c>
      <c r="AF249" s="1" t="s">
        <v>184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673.83608681662065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50348.898143209517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5594.3220159121684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2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707.52789115745168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52856.469488199094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5872.9410542443438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2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742.90428571532425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55488.411527241376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6165.3790585823754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2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780.04950000109056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58250.840142009074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6472.3155713343413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2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819.05197500114502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61150.166588796295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6794.4629543106994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2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860.00457375120232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64193.111215276782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7132.5679128085312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2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903.00480243876234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67386.717757770122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7487.4130841966798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2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948.15504256070062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70738.368237633098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7859.8186930703441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2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995.56279468873561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74255.798475316682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8250.6442750351871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2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1045.3409344231725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77947.114240455499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8660.790471161723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2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1097.607981144331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81820.808056070615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9091.2008951189564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2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1152.4883802015477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85885.776674557768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9542.8640749508631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2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1210.1127992116249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90151.33924257879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10016.815471397644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2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1270.6184391722063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94627.256171266417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10514.139574585157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2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1334.1493611308163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99323.748727261642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11035.972080806849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2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1400.8568291873576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104251.51935901964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11583.502151002183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2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1470.8996706467253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109421.77277150954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12157.97475238995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2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1544.4446541790619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114846.23776088533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12760.693084542814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2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1621.6668868880149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120537.18981887668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13393.021090986298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2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1702.7502312324157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126507.47451452755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14056.386057169728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2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1787.8877427940363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132770.53165845203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14752.28129538356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2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1877.2821299337381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139340.42025195737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15482.268916884153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2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1971.1462364304248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146231.8442201608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16247.982691128978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2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2069.7035482519464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153460.17892456771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17051.130991618633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2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2173.1887256645437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161041.49844643392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17893.499827381547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2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2281.8481619477707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168992.60362757152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18776.955958619059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2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2395.9405700451593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177331.0508500174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19703.45009444638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2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2515.7375985474177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186075.18153012692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20675.020170014104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2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2641.5244784747883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195244.15229612277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21693.794699569196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2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2773.600702398528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204857.96581087113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22761.996201207905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2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2912.2807375184534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214937.5021936105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23881.944688178944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2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3057.8947743943772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225504.55098547286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25056.061220608095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2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3210.7895131140958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236581.84359383609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26286.871510426234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2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3371.3289887698011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248193.08613978539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27577.009571087267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2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3539.8954382082907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260362.99262115534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28929.221402350595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2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3716.8902101187059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273117.31829072582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30346.368698969534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2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3902.7347206246404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286482.89313507441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31831.432570563822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2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4097.8714566558729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300487.65532429313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33387.517258254789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2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4302.7650294886662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315160.68448617996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35017.853831797773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2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4517.9032809630999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330532.23464057886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36725.803848953205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2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4743.7984450112544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346633.76661018067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38514.862956686738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2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4980.988367261818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363497.97970329557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40388.664411477286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2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5230.0377856249088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381158.84244179615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42350.982493532909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2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5491.5396749061547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399651.62208359712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44405.735787066347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2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5766.1166586514619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419012.91266365582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46556.990295961761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2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6054.4224915840359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439280.66125055187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48808.962361172431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2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6357.1436161632364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460494.19208724221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51166.021343026914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2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6675.0007969713997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482694.22825464356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53632.692028293728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2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7008.7508368199697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505922.91046531464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56213.656718368293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2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7359.1883786609687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530223.81256181258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58913.756951312505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2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7727.147797594017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555641.95326039859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61737.994806710951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2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8113.5051874737173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582223.8036458469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64691.533738427432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2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8519.1804468474038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610017.28988738602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67779.69887637622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2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8945.1394691897731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639071.79060954764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71007.976734394178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2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9392.3964426492603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669438.12831523083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74382.014257247865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2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9862.0162647817269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701168.55422202556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77907.617135780616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2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10355.11707802081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734316.72583720891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81590.747315245433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2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10872.872931921853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768937.67656241148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85437.519618045713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2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11416.516578517947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805087.77658632211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89454.197398480232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2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11987.342407443844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842824.68429372425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93647.187143747142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2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12586.709527816034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882207.2873923817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98023.031932486861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2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13216.045004206839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923295.6329367609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102588.4036596401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2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13876.847254417175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966150.84541025653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107350.09393447294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2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14570.689617138039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1010835.0320166091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112315.00355740101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2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15299.224097994942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1057411.1743277016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117490.13048085573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2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16064.18530289469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1105943.0054402903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122882.55616003225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2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16867.394568039424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1156494.8718097024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128499.43020107804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2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17710.764296441397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1209131.5789557029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134347.95321730032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2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18596.302511263464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1263918.2202760261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140435.35780844733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2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19526.117636826639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1320919.9882580498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146768.88758422775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2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20502.423518667969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1380201.9674503552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153355.77416115056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2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21527.544694601369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1441828.9086449905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160203.21207166562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2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22603.921929331438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1505864.9838296359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167318.33153662621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2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23734.118025798009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1572373.5215979686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174708.16906644095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2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24920.823927087909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1641416.7228575647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182379.63587306274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2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26166.865123442305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1713055.3568487442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190339.48409430491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2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27475.208379614418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1787348.4376855579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198594.27085395087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2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28848.968798595146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1864352.8818521558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207150.32020579508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2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30291.417238524893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1944123.1473339985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216013.68303711095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2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31805.988100451148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2026710.8553333574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225190.09503703972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2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33396.287505473701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2112164.3958112239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234684.93286791377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2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35066.101880747396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2200528.5184114967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244503.16871238852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2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36819.406974784761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2291843.9106555763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254649.32340617513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2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38660.377323524001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2386146.7656433657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265127.4184048184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2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40593.396189700201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2483468.3418558124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275940.92687286803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2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42623.065999185208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2583834.5180199821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287092.72422444244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2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44754.219299144468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2687265.3463642127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298585.03848491254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2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46991.930264101698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2793774.6079517091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310419.40088352322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2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49341.526777306775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2903369.3741284665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322596.59712538519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2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51808.603116172118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3016049.5784474546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335116.61982749496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2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54399.033271980727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3131807.6037267218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347978.62263630243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2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57118.984935579771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3250627.8891551602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361180.87657279556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2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59974.934182358746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3372486.5625663567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374720.72917403962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2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62973.680891476695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3497351.1031487626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388594.56701652915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2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66122.364936050508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3625180.0399394841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402797.78221549821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2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69428.483182853059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3755922.6914508082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417324.74349453422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2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72899.907341995713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3889518.951694442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432168.77241049358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2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76544.902709095491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4025899.1276919511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447322.12529910565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2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80372.147844550273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4164983.8332851096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462775.98147612327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2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84390.755236777797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4306683.9436837286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478520.43818708096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2">
        <f t="shared" si="96"/>
        <v>2.4999999999999996</v>
      </c>
    </row>
    <row r="351" spans="3:32" ht="14.25" customHeight="1" x14ac:dyDescent="0.2">
      <c r="C351" s="3" t="s">
        <v>258</v>
      </c>
      <c r="D351" s="2" t="s">
        <v>269</v>
      </c>
      <c r="I351" s="3" t="s">
        <v>259</v>
      </c>
      <c r="Q351" s="2"/>
    </row>
    <row r="352" spans="3:32" ht="14.25" customHeight="1" x14ac:dyDescent="0.2">
      <c r="D352" s="3" t="s">
        <v>257</v>
      </c>
      <c r="E352" s="3" t="s">
        <v>131</v>
      </c>
      <c r="F352" s="3" t="s">
        <v>132</v>
      </c>
      <c r="G352" s="3" t="s">
        <v>113</v>
      </c>
      <c r="H352" s="74" t="s">
        <v>13</v>
      </c>
      <c r="J352" s="23" t="s">
        <v>11</v>
      </c>
      <c r="K352" s="3" t="s">
        <v>132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25.380000000000003</v>
      </c>
      <c r="F354" s="1">
        <f>F6</f>
        <v>111.11111111111111</v>
      </c>
      <c r="G354" s="1">
        <f>SUM(G6:G10)-G7</f>
        <v>10</v>
      </c>
      <c r="H354" s="6">
        <f t="shared" ref="H354:H357" si="97">F354/(J354-G354)</f>
        <v>13.541878258514458</v>
      </c>
      <c r="J354" s="1">
        <f>J353</f>
        <v>18.204999999999998</v>
      </c>
      <c r="K354" s="6">
        <f t="shared" ref="K354:K357" si="98">E354*H354</f>
        <v>343.69287020109698</v>
      </c>
    </row>
    <row r="355" spans="3:32" ht="14.25" customHeight="1" x14ac:dyDescent="0.2">
      <c r="D355" s="1">
        <v>3</v>
      </c>
      <c r="E355" s="1">
        <f>E354-E6</f>
        <v>20.880000000000003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204.6055854973053</v>
      </c>
    </row>
    <row r="356" spans="3:32" ht="14.25" customHeight="1" x14ac:dyDescent="0.2">
      <c r="D356" s="1">
        <v>2</v>
      </c>
      <c r="E356" s="1">
        <f>E355-E9</f>
        <v>8.8800000000000026</v>
      </c>
      <c r="F356" s="1">
        <f>F9</f>
        <v>33.333333333333336</v>
      </c>
      <c r="G356" s="1">
        <f>G355-G9</f>
        <v>8</v>
      </c>
      <c r="H356" s="6">
        <f t="shared" si="97"/>
        <v>3.2663726931242865</v>
      </c>
      <c r="J356" s="1">
        <f t="shared" si="99"/>
        <v>18.204999999999998</v>
      </c>
      <c r="K356" s="6">
        <f t="shared" si="98"/>
        <v>29.005389514943673</v>
      </c>
    </row>
    <row r="357" spans="3:32" ht="14.25" customHeight="1" x14ac:dyDescent="0.2">
      <c r="D357" s="1">
        <v>1</v>
      </c>
      <c r="E357" s="1">
        <f>E10</f>
        <v>3.88</v>
      </c>
      <c r="F357" s="1">
        <f>F10</f>
        <v>48.5</v>
      </c>
      <c r="G357" s="1">
        <f>G10</f>
        <v>6</v>
      </c>
      <c r="H357" s="6">
        <f t="shared" si="97"/>
        <v>3.9737812371978705</v>
      </c>
      <c r="J357" s="1">
        <f t="shared" si="99"/>
        <v>18.204999999999998</v>
      </c>
      <c r="K357" s="6">
        <f t="shared" si="98"/>
        <v>15.418271200327737</v>
      </c>
    </row>
    <row r="358" spans="3:32" ht="14.25" customHeight="1" x14ac:dyDescent="0.2">
      <c r="H358" s="6">
        <f>SUM(H353:H357)</f>
        <v>30.581150268209473</v>
      </c>
      <c r="I358" s="1" t="s">
        <v>260</v>
      </c>
      <c r="J358" s="1">
        <f>MAX(J353:J357)</f>
        <v>18.204999999999998</v>
      </c>
      <c r="K358" s="6">
        <f>SUM(K353:K357)</f>
        <v>592.72211641367358</v>
      </c>
    </row>
    <row r="360" spans="3:32" ht="14.25" customHeight="1" collapsed="1" x14ac:dyDescent="0.2">
      <c r="C360" s="3" t="s">
        <v>147</v>
      </c>
      <c r="E360" s="1">
        <f>J358</f>
        <v>18.204999999999998</v>
      </c>
      <c r="F360" s="6">
        <f>K358</f>
        <v>592.72211641367358</v>
      </c>
      <c r="G360" s="16">
        <v>5</v>
      </c>
      <c r="J360" s="1" t="s">
        <v>262</v>
      </c>
      <c r="K360" s="1">
        <f>K21</f>
        <v>75</v>
      </c>
      <c r="L360" s="3" t="s">
        <v>261</v>
      </c>
      <c r="P360" s="6">
        <f>MAX(P363:P462)</f>
        <v>46964.734945108452</v>
      </c>
      <c r="X360" s="1" t="s">
        <v>265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44454.15873102552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171</v>
      </c>
      <c r="E362" s="1" t="s">
        <v>131</v>
      </c>
      <c r="F362" s="1" t="s">
        <v>132</v>
      </c>
      <c r="G362" s="1" t="s">
        <v>124</v>
      </c>
      <c r="H362" s="16" t="s">
        <v>125</v>
      </c>
      <c r="I362" s="16" t="s">
        <v>126</v>
      </c>
      <c r="J362" s="16" t="s">
        <v>127</v>
      </c>
      <c r="M362" s="1" t="s">
        <v>149</v>
      </c>
      <c r="N362" s="1" t="s">
        <v>150</v>
      </c>
      <c r="O362" s="1" t="s">
        <v>151</v>
      </c>
      <c r="P362" s="1" t="s">
        <v>124</v>
      </c>
      <c r="Q362" s="16" t="s">
        <v>125</v>
      </c>
      <c r="R362" s="16" t="s">
        <v>126</v>
      </c>
      <c r="S362" s="16" t="s">
        <v>127</v>
      </c>
      <c r="T362" s="16" t="s">
        <v>152</v>
      </c>
      <c r="U362" s="16" t="s">
        <v>183</v>
      </c>
      <c r="V362" s="1" t="s">
        <v>264</v>
      </c>
      <c r="X362" s="1" t="s">
        <v>149</v>
      </c>
      <c r="Y362" s="1" t="s">
        <v>150</v>
      </c>
      <c r="Z362" s="1" t="s">
        <v>151</v>
      </c>
      <c r="AA362" s="1" t="s">
        <v>124</v>
      </c>
      <c r="AB362" s="1" t="s">
        <v>125</v>
      </c>
      <c r="AC362" s="1" t="s">
        <v>126</v>
      </c>
      <c r="AD362" s="1" t="s">
        <v>127</v>
      </c>
      <c r="AE362" s="1" t="s">
        <v>263</v>
      </c>
      <c r="AF362" s="1" t="s">
        <v>184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592.72211641367358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44288.078436887197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4920.8976040985772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2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622.3582222343573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46493.797340548394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5165.977482283155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2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653.47613334607513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48808.915640355044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5423.2128489283386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2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686.14994001337891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51238.813010087913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5693.2014455653234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2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720.45743701404785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53789.128942012074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5976.5698824457859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2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756.48030886475033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56465.774812460942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6273.9749791623271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2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794.30432430798771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59274.946458048915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6586.105162005435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2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834.01954052338726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62223.137278888593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6913.6819198765106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2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875.72051754955646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65317.151885121217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7257.4613205690239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2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919.50654342703433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68564.120302916344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7618.2355892129272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2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965.48187059838608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71971.512755845048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7996.8347506494501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2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1013.7559641283054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75547.155037171207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8394.1283374634677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2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1064.4437623347205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79299.244488118682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8811.0271653465206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2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1117.6659504514569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83236.36659654844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9248.4851773942719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2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1173.5492479740294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87367.512229697255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9707.5013588552501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2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1232.2267103727313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91702.095513675653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10189.121723741739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2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1293.8380458913678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96249.972371271171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10694.441374585685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2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1358.5299481859363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101021.45972823974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11224.606636471082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2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1426.4564455952329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106027.35539666119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11780.817266295688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2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1497.7792678749947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111278.95864206796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12364.328738007551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2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1572.6682312687444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116788.09143889451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12976.454604321612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2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1651.3016428321816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122567.12041631447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13618.568935146053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2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1733.8667249737905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128628.97949369729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14292.108832633032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2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1820.5600612224805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134987.19320169723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14998.577022410804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2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1911.5880642836041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141655.90068134238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15739.544520149153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2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2007.1674674977844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148649.88034938913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16516.653372154349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2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2107.5258408726736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155984.57521359707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17331.61946817745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2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2212.9021329163074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163676.11881642981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18186.235424047758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2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2323.5472395621227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171741.3617799388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19082.373531104313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2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2439.7246015402293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180197.89891820398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20021.988768689331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2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2561.7108316172398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189064.09687662791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21007.121875180877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2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2689.7963731981031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198359.12224956218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22039.902472173577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2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2824.2861918580079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208102.97011912486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23122.552235458319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2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2965.5005014509084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218316.49294860268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24257.3881054003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2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3113.7755265234537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229021.42975344489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25446.825528160542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2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3269.4643028496266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240240.43546151169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26693.381717945744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2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3432.9375179921076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251997.11036186261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27999.678929095844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2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3604.5843938917133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264316.02952791628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29368.447725324033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2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3784.8136135862983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277222.77208621439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30802.5302318016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2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3974.0542942656139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290743.95018624363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32304.883354027072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2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4172.7570089788942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304907.23750974075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33878.581945526748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2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4381.394859427839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319741.39713960711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35526.821904400793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2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4600.4646023992309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335276.30858893145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37252.923176547942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2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4830.487832519193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351542.99376965995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39060.332641073328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2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5072.0122241451527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368573.64165812131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40952.626850902365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2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5325.6128353524109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386401.63139093376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42933.514598992639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2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5591.8934771200302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405061.55349978287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45006.83927775365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2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5871.4881509760335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424589.22896721924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47176.58099635769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2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6165.0625585248345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445021.72575802484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49446.858417558316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2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6473.3156864510775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466397.37245193298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51821.930272436999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2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6796.9814707736305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488755.7685736689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54306.196508185436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2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7136.8305443123127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512137.79118556017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56904.199020617794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2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7493.672071527928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536585.59727654303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59620.621919615893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2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7868.3556751043234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562142.62144949869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62460.29127216652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2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8261.7734588595395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588853.56837677886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65428.174264086541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2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8674.862131802518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616764.39946187742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68529.377717986383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2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9108.6052383926435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645922.31311386952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71769.145901541051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2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9564.0355003122768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676375.718010957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75152.857556773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2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10042.237275327891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708174.1987007712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78686.022077863468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2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10544.349139094285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741368.47285861406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82374.274762068235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2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11071.566596048999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776010.33950127813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86223.371055697571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2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11625.144925851451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812152.6174342623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90239.179714918035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2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12206.402172144019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849849.07319496537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94427.674799440603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2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12816.722280751224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889154.33774478245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98794.926416086935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2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13457.558394788784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930123.81115995161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103347.09012888352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2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14130.436314528226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972813.55457571638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108090.39495285737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2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14836.958130254636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1017280.1686519871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113031.12985022079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2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15578.80603676737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1063580.6578525822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118175.6286502869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2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16357.746338605735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1111772.279865572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123530.25331839689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2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17175.633655536025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1161912.3795406152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129101.37550451281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2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18034.415338312825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1214058.2067818579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134895.35630909531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2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18936.136105228466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1268266.7179133282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140918.52421259202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2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19882.942910489892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1324594.3601290793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147177.15112545327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2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20877.090056014382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1383096.8387539035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153677.42652821151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2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21920.944558815103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1443828.8671733018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160425.42968592243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2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23016.991786755858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1506843.8994444839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167427.09993827599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2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24167.841376093649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1572193.8457741945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174688.2050860216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2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25376.233444898338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1639928.7712444384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182214.30791604871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2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26645.045117143247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1710096.5783837817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190010.73093153129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2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27977.297373000416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1782742.6744193831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198082.51937993144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2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29376.162241650436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1857909.6243023553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206434.40270026171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2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30844.970353732962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1935636.7908750237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215070.7545416693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2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32387.218871419613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2015959.9638409524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223995.55153788358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2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34006.57981499059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2098910.9795045373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233212.33105605969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2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35706.908805740117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2184517.3335629455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242724.14817366062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2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37492.254246027122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2272801.7895549322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252533.53217277024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2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39366.866958328479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2363781.9858935345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262642.44287705939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2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41335.21030624491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2457470.0447270158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273052.22719189065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2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43401.970821557152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2553872.1861781129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283763.57624201255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2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45572.069362635011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2652988.3517984496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294776.48353316105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2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47850.672830766758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2754811.8413351071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306090.2045927897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2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50243.206472305108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2859328.9671315877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317703.2185701764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2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52755.366795920352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2966518.7306672172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329613.19229635748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2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55393.13513571638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3076352.5258690547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341816.94731878384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2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58162.79189250218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3188793.8738999232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354310.43043332477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2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61070.931487127309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3303798.1941277543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367088.68823641713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2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64124.478061483671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3421312.615907466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380145.84621194069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2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67330.701964557855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3541275.8356513078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393475.0928501453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2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70697.237062785745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3663618.0234219437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407068.66926910484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2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74232.098915925046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3788260.7829516474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420917.86477240524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2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Z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5" sqref="B5"/>
    </sheetView>
  </sheetViews>
  <sheetFormatPr defaultRowHeight="14.25" customHeight="1" x14ac:dyDescent="0.2"/>
  <cols>
    <col min="1" max="16384" width="9" style="1"/>
  </cols>
  <sheetData>
    <row r="1" spans="1:26" ht="14.25" customHeight="1" x14ac:dyDescent="0.2">
      <c r="A1" s="114" t="s">
        <v>204</v>
      </c>
      <c r="B1" s="115"/>
      <c r="D1" s="67" t="s">
        <v>243</v>
      </c>
      <c r="G1" s="1">
        <v>1000</v>
      </c>
      <c r="J1" s="67" t="s">
        <v>244</v>
      </c>
      <c r="L1" s="6"/>
      <c r="M1" s="6"/>
    </row>
    <row r="2" spans="1:26" ht="14.25" customHeight="1" x14ac:dyDescent="0.2">
      <c r="A2" s="116"/>
      <c r="B2" s="117"/>
      <c r="D2" s="5">
        <f>D3/$G$1</f>
        <v>4.8000000000000001E-2</v>
      </c>
      <c r="G2" s="5">
        <f>G3/$G$1</f>
        <v>0.89600000000000002</v>
      </c>
      <c r="J2" s="5">
        <f>J3/$G$1</f>
        <v>5.5E-2</v>
      </c>
      <c r="L2" s="6"/>
      <c r="M2" s="6"/>
    </row>
    <row r="3" spans="1:26" ht="14.25" customHeight="1" thickBot="1" x14ac:dyDescent="0.25">
      <c r="C3" s="3" t="s">
        <v>205</v>
      </c>
      <c r="D3" s="41">
        <v>48</v>
      </c>
      <c r="E3" s="41"/>
      <c r="F3" s="41">
        <v>24</v>
      </c>
      <c r="G3" s="1">
        <v>896</v>
      </c>
      <c r="H3" s="41">
        <f>G1-D3-G3-J3</f>
        <v>1</v>
      </c>
      <c r="I3" s="41"/>
      <c r="J3" s="41">
        <v>55</v>
      </c>
      <c r="L3" s="6"/>
      <c r="M3" s="6"/>
    </row>
    <row r="4" spans="1:26" ht="14.25" customHeight="1" x14ac:dyDescent="0.2">
      <c r="C4" s="44"/>
      <c r="D4" s="137" t="s">
        <v>225</v>
      </c>
      <c r="E4" s="138"/>
      <c r="F4" s="139"/>
      <c r="G4" s="45"/>
      <c r="H4" s="137" t="s">
        <v>226</v>
      </c>
      <c r="I4" s="138"/>
      <c r="J4" s="139"/>
      <c r="K4" s="66"/>
      <c r="L4" s="6">
        <f>Y10+Z10+Y13+Z13+Y17/2+Z17/2</f>
        <v>1143.75</v>
      </c>
      <c r="M4" s="6">
        <f>0.6+0.4*1.5</f>
        <v>1.2000000000000002</v>
      </c>
      <c r="N4" s="10">
        <f>L4*M4</f>
        <v>1372.5000000000002</v>
      </c>
      <c r="O4" s="1">
        <f>1+N10/100000</f>
        <v>1.0082500000000001</v>
      </c>
      <c r="P4" s="1">
        <f>M10*O4</f>
        <v>8333.3333333333339</v>
      </c>
      <c r="Q4" s="1">
        <f>P4/N4</f>
        <v>6.0716454159077102</v>
      </c>
    </row>
    <row r="5" spans="1:26" ht="14.25" customHeight="1" x14ac:dyDescent="0.2">
      <c r="B5" s="1" cm="1">
        <f t="array" aca="1" ref="B5" ca="1">_xll.Sum2Num(D5,F5)</f>
        <v>8</v>
      </c>
      <c r="C5" s="44"/>
      <c r="D5" s="53">
        <v>7</v>
      </c>
      <c r="E5" s="1">
        <v>4</v>
      </c>
      <c r="F5" s="64">
        <v>1</v>
      </c>
      <c r="G5" s="45"/>
      <c r="H5" s="53">
        <v>1</v>
      </c>
      <c r="I5" s="1">
        <v>4</v>
      </c>
      <c r="J5" s="64">
        <v>7</v>
      </c>
      <c r="K5" s="46"/>
      <c r="L5" s="6">
        <f>Y10+Y13+Y17/2</f>
        <v>243.06249999999994</v>
      </c>
      <c r="M5" s="6"/>
      <c r="N5" s="10">
        <f>L5+N4</f>
        <v>1615.5625000000002</v>
      </c>
      <c r="Q5" s="1">
        <f>P4/N5</f>
        <v>5.1581621468270855</v>
      </c>
    </row>
    <row r="6" spans="1:26" ht="14.25" customHeight="1" x14ac:dyDescent="0.2">
      <c r="C6" s="44"/>
      <c r="D6" s="53">
        <v>8</v>
      </c>
      <c r="E6" s="1">
        <v>5</v>
      </c>
      <c r="F6" s="64">
        <v>2</v>
      </c>
      <c r="G6" s="45"/>
      <c r="H6" s="53">
        <v>2</v>
      </c>
      <c r="I6" s="1">
        <v>5</v>
      </c>
      <c r="J6" s="64">
        <v>8</v>
      </c>
      <c r="K6" s="66"/>
      <c r="L6" s="6"/>
      <c r="M6" s="6"/>
      <c r="N6" s="10"/>
    </row>
    <row r="7" spans="1:26" ht="14.25" customHeight="1" thickBot="1" x14ac:dyDescent="0.25">
      <c r="C7" s="44"/>
      <c r="D7" s="55">
        <v>9</v>
      </c>
      <c r="E7" s="56">
        <v>6</v>
      </c>
      <c r="F7" s="65">
        <v>3</v>
      </c>
      <c r="G7" s="45"/>
      <c r="H7" s="55">
        <v>3</v>
      </c>
      <c r="I7" s="56">
        <v>6</v>
      </c>
      <c r="J7" s="65">
        <v>9</v>
      </c>
      <c r="K7" s="46"/>
      <c r="L7" s="6"/>
      <c r="M7" s="6">
        <f>M10/((Y10+Z10)*M4)</f>
        <v>24.489321125406747</v>
      </c>
    </row>
    <row r="8" spans="1:26" ht="14.25" customHeight="1" thickBot="1" x14ac:dyDescent="0.25">
      <c r="D8" s="63">
        <v>1</v>
      </c>
      <c r="E8" s="63">
        <v>2</v>
      </c>
      <c r="F8" s="63">
        <v>3</v>
      </c>
      <c r="G8" s="47">
        <v>4</v>
      </c>
      <c r="H8" s="63">
        <v>5</v>
      </c>
      <c r="I8" s="63">
        <v>6</v>
      </c>
      <c r="J8" s="60">
        <v>1</v>
      </c>
      <c r="K8" s="48">
        <v>0</v>
      </c>
      <c r="L8" s="47">
        <v>9</v>
      </c>
      <c r="M8" s="47">
        <v>10</v>
      </c>
      <c r="N8" s="47">
        <v>11</v>
      </c>
      <c r="O8" s="47">
        <v>12</v>
      </c>
      <c r="P8" s="47">
        <v>13</v>
      </c>
      <c r="Q8" s="47">
        <v>14</v>
      </c>
      <c r="R8" s="47">
        <v>15</v>
      </c>
      <c r="S8" s="47">
        <v>16</v>
      </c>
      <c r="T8" s="47">
        <v>17</v>
      </c>
      <c r="U8" s="47">
        <v>18</v>
      </c>
      <c r="V8" s="41" t="s">
        <v>221</v>
      </c>
      <c r="W8" s="41" t="s">
        <v>222</v>
      </c>
      <c r="X8" s="41" t="s">
        <v>223</v>
      </c>
    </row>
    <row r="9" spans="1:26" ht="14.25" customHeight="1" x14ac:dyDescent="0.2">
      <c r="A9" s="4">
        <f>B9/(SUM(M10:M18)*$G$1)</f>
        <v>6.2681832051462343E-3</v>
      </c>
      <c r="B9" s="6">
        <v>154206.83773847308</v>
      </c>
      <c r="C9" s="44">
        <f>ROW(D10)</f>
        <v>10</v>
      </c>
      <c r="D9" s="49" t="s">
        <v>227</v>
      </c>
      <c r="E9" s="50" t="s">
        <v>228</v>
      </c>
      <c r="F9" s="50" t="s">
        <v>206</v>
      </c>
      <c r="G9" s="51" t="s">
        <v>135</v>
      </c>
      <c r="H9" s="50" t="s">
        <v>76</v>
      </c>
      <c r="I9" s="50" t="s">
        <v>77</v>
      </c>
      <c r="J9" s="51" t="s">
        <v>215</v>
      </c>
      <c r="K9" s="51" t="s">
        <v>216</v>
      </c>
      <c r="L9" s="50" t="s">
        <v>24</v>
      </c>
      <c r="M9" s="50" t="s">
        <v>190</v>
      </c>
      <c r="N9" s="50" t="s">
        <v>25</v>
      </c>
      <c r="O9" s="50" t="s">
        <v>125</v>
      </c>
      <c r="P9" s="50" t="s">
        <v>126</v>
      </c>
      <c r="Q9" s="50" t="s">
        <v>127</v>
      </c>
      <c r="R9" s="50" t="s">
        <v>153</v>
      </c>
      <c r="S9" s="50" t="s">
        <v>183</v>
      </c>
      <c r="T9" s="50" t="s">
        <v>241</v>
      </c>
      <c r="U9" s="50" t="s">
        <v>184</v>
      </c>
      <c r="V9" s="50" t="s">
        <v>185</v>
      </c>
      <c r="W9" s="50" t="s">
        <v>187</v>
      </c>
      <c r="X9" s="52" t="s">
        <v>213</v>
      </c>
      <c r="Y9" s="46"/>
    </row>
    <row r="10" spans="1:26" ht="14.25" customHeight="1" x14ac:dyDescent="0.2">
      <c r="C10" s="44">
        <f>COLUMN(D10)</f>
        <v>4</v>
      </c>
      <c r="D10" s="53">
        <f>IFERROR(MOD(F10+3-1,3)+1,"")</f>
        <v>1</v>
      </c>
      <c r="E10" s="1">
        <f>IFERROR(ABS(INT((F10-7)/3))+1,"")</f>
        <v>3</v>
      </c>
      <c r="F10" s="1">
        <f t="shared" ref="F10:F17" si="0">IF(G10="","",ROW(G10)-$C$9+1)</f>
        <v>1</v>
      </c>
      <c r="G10" s="1" t="s">
        <v>248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 t="shared" ref="J10:K17" si="1">IF($G10="","",J$8)</f>
        <v>1</v>
      </c>
      <c r="K10" s="1">
        <f t="shared" si="1"/>
        <v>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234.375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8265.1458798247786</v>
      </c>
      <c r="N10" s="8">
        <f>IFERROR(VLOOKUP($G10,角色设定!$AB$9:$AJ$21,MATCH(N$9,角色设定!$AB$9:$AJ$9,0),0)*VLOOKUP($J10,角色成长!$D$17:$J$117,MATCH(N$9,角色成长!$D$17:$J$17,0),0)*角色成长!$L$15,"")</f>
        <v>825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3.333333333333333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0.23999999999999996</v>
      </c>
      <c r="X10" s="54">
        <f>IFERROR(VLOOKUP($G10,角色技能!$D:$M,MATCH(X$9,角色技能!$D$4:$M$4,0),0)*(1+$K10/100*(VLOOKUP($H10,技能模板!$D$13:$U$19,MATCH(技能模板!U$13,技能模板!$D$13:$U$13,0),0)-1)),"")</f>
        <v>0</v>
      </c>
      <c r="Y10" s="46">
        <f>U10*L10/S10*Q10</f>
        <v>70.312499999999986</v>
      </c>
      <c r="Z10" s="8">
        <f>L10*Q10</f>
        <v>210.9375</v>
      </c>
    </row>
    <row r="11" spans="1:26" ht="14.25" customHeight="1" x14ac:dyDescent="0.2">
      <c r="C11" s="44">
        <f>ROW(X18)</f>
        <v>18</v>
      </c>
      <c r="D11" s="53" t="str">
        <f t="shared" ref="D11:D17" si="2">IFERROR(MOD(F11+3-1,3)+1,"")</f>
        <v/>
      </c>
      <c r="E11" s="1" t="str">
        <f t="shared" ref="E11:E17" si="3">IFERROR(ABS(INT((F11-7)/3))+1,"")</f>
        <v/>
      </c>
      <c r="F11" s="1" t="str">
        <f t="shared" si="0"/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si="1"/>
        <v/>
      </c>
      <c r="K11" s="1" t="str">
        <f t="shared" si="1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4" t="str">
        <f>IFERROR(VLOOKUP($G11,角色技能!$D:$M,MATCH(X$9,角色技能!$D$4:$M$4,0),0)*(1+$K11/100*(VLOOKUP($H11,技能模板!$D$13:$U$19,MATCH(技能模板!U$13,技能模板!$D$13:$U$13,0),0)-1)),"")</f>
        <v/>
      </c>
      <c r="Y11" s="108">
        <f>Y10/SUM($Y10:$Z10)</f>
        <v>0.24999999999999994</v>
      </c>
      <c r="Z11" s="108">
        <f>Z10/SUM($Y10:$Z10)</f>
        <v>0.75</v>
      </c>
    </row>
    <row r="12" spans="1:26" ht="14.25" customHeight="1" x14ac:dyDescent="0.2">
      <c r="C12" s="44">
        <f>COLUMN(X18)</f>
        <v>24</v>
      </c>
      <c r="D12" s="53">
        <f t="shared" si="2"/>
        <v>3</v>
      </c>
      <c r="E12" s="1">
        <f t="shared" si="3"/>
        <v>3</v>
      </c>
      <c r="F12" s="1">
        <f t="shared" si="0"/>
        <v>3</v>
      </c>
      <c r="G12" s="1" t="s">
        <v>230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1"/>
        <v>1</v>
      </c>
      <c r="K12" s="1">
        <f t="shared" si="1"/>
        <v>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260.41666666666669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7438.6312918423</v>
      </c>
      <c r="N12" s="8">
        <f>IFERROR(VLOOKUP($G12,角色设定!$AB$9:$AJ$21,MATCH(N$9,角色设定!$AB$9:$AJ$9,0),0)*VLOOKUP($J12,角色成长!$D$17:$J$117,MATCH(N$9,角色成长!$D$17:$J$17,0),0)*角色成长!$L$15,"")</f>
        <v>825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3.333333333333333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0.23999999999999996</v>
      </c>
      <c r="X12" s="54">
        <f>IFERROR(VLOOKUP($G12,角色技能!$D:$M,MATCH(X$9,角色技能!$D$4:$M$4,0),0)*(1+$K12/100*(VLOOKUP($H12,技能模板!$D$13:$U$19,MATCH(技能模板!U$13,技能模板!$D$13:$U$13,0),0)-1)),"")</f>
        <v>0</v>
      </c>
      <c r="Y12" s="46"/>
    </row>
    <row r="13" spans="1:26" ht="14.25" customHeight="1" x14ac:dyDescent="0.2">
      <c r="C13" s="44"/>
      <c r="D13" s="53">
        <f t="shared" si="2"/>
        <v>1</v>
      </c>
      <c r="E13" s="1">
        <f t="shared" si="3"/>
        <v>2</v>
      </c>
      <c r="F13" s="1">
        <f t="shared" si="0"/>
        <v>4</v>
      </c>
      <c r="G13" s="1" t="s">
        <v>233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1"/>
        <v>1</v>
      </c>
      <c r="K13" s="1">
        <f t="shared" si="1"/>
        <v>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590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2532.8746015999327</v>
      </c>
      <c r="N13" s="8">
        <f>IFERROR(VLOOKUP($G13,角色设定!$AB$9:$AJ$21,MATCH(N$9,角色设定!$AB$9:$AJ$9,0),0)*VLOOKUP($J13,角色成长!$D$17:$J$117,MATCH(N$9,角色成长!$D$17:$J$17,0),0)*角色成长!$L$15,"")</f>
        <v>375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4.9999999999999982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4">
        <f>IFERROR(VLOOKUP($G13,角色技能!$D:$M,MATCH(X$9,角色技能!$D$4:$M$4,0),0)*(1+$K13/100*(VLOOKUP($H13,技能模板!$D$13:$U$19,MATCH(技能模板!U$13,技能模板!$D$13:$U$13,0),0)-1)),"")</f>
        <v>0</v>
      </c>
      <c r="Y13" s="106">
        <f>U13*L13/S13*Q13</f>
        <v>147.49999999999994</v>
      </c>
      <c r="Z13" s="8">
        <f>L13*Q13</f>
        <v>590</v>
      </c>
    </row>
    <row r="14" spans="1:26" ht="14.25" customHeight="1" x14ac:dyDescent="0.2">
      <c r="C14" s="44"/>
      <c r="D14" s="53" t="str">
        <f t="shared" si="2"/>
        <v/>
      </c>
      <c r="E14" s="1" t="str">
        <f t="shared" si="3"/>
        <v/>
      </c>
      <c r="F14" s="1" t="str">
        <f t="shared" si="0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1"/>
        <v/>
      </c>
      <c r="K14" s="1" t="str">
        <f t="shared" si="1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4" t="str">
        <f>IFERROR(VLOOKUP($G14,角色技能!$D:$M,MATCH(X$9,角色技能!$D$4:$M$4,0),0)*(1+$K14/100*(VLOOKUP($H14,技能模板!$D$13:$U$19,MATCH(技能模板!U$13,技能模板!$D$13:$U$13,0),0)-1)),"")</f>
        <v/>
      </c>
      <c r="Y14" s="108">
        <f>Y13/SUM($Y13:$Z13)</f>
        <v>0.19999999999999993</v>
      </c>
      <c r="Z14" s="108">
        <f>Z13/SUM($Y13:$Z13)</f>
        <v>0.8</v>
      </c>
    </row>
    <row r="15" spans="1:26" ht="14.25" customHeight="1" x14ac:dyDescent="0.2">
      <c r="C15" s="44"/>
      <c r="D15" s="53">
        <f t="shared" si="2"/>
        <v>3</v>
      </c>
      <c r="E15" s="1">
        <f t="shared" si="3"/>
        <v>2</v>
      </c>
      <c r="F15" s="1">
        <f t="shared" si="0"/>
        <v>6</v>
      </c>
      <c r="G15" s="1" t="s">
        <v>235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1"/>
        <v>1</v>
      </c>
      <c r="K15" s="1">
        <f t="shared" si="1"/>
        <v>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521.4204545454545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2622.7272429235545</v>
      </c>
      <c r="N15" s="8">
        <f>IFERROR(VLOOKUP($G15,角色设定!$AB$9:$AJ$21,MATCH(N$9,角色设定!$AB$9:$AJ$9,0),0)*VLOOKUP($J15,角色成长!$D$17:$J$117,MATCH(N$9,角色成长!$D$17:$J$17,0),0)*角色成长!$L$15,"")</f>
        <v>337.5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4.8447204968944071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4">
        <f>IFERROR(VLOOKUP($G15,角色技能!$D:$M,MATCH(X$9,角色技能!$D$4:$M$4,0),0)*(1+$K15/100*(VLOOKUP($H15,技能模板!$D$13:$U$19,MATCH(技能模板!U$13,技能模板!$D$13:$U$13,0),0)-1)),"")</f>
        <v>0</v>
      </c>
      <c r="Y15" s="46"/>
    </row>
    <row r="16" spans="1:26" ht="14.25" customHeight="1" x14ac:dyDescent="0.2">
      <c r="C16" s="44"/>
      <c r="D16" s="53" t="str">
        <f t="shared" si="2"/>
        <v/>
      </c>
      <c r="E16" s="1" t="str">
        <f t="shared" si="3"/>
        <v/>
      </c>
      <c r="F16" s="1" t="str">
        <f t="shared" si="0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1"/>
        <v/>
      </c>
      <c r="K16" s="1" t="str">
        <f t="shared" si="1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4" t="str">
        <f>IFERROR(VLOOKUP($G16,角色技能!$D:$M,MATCH(X$9,角色技能!$D$4:$M$4,0),0)*(1+$K16/100*(VLOOKUP($H16,技能模板!$D$13:$U$19,MATCH(技能模板!U$13,技能模板!$D$13:$U$13,0),0)-1)),"")</f>
        <v/>
      </c>
      <c r="Y16" s="46"/>
    </row>
    <row r="17" spans="1:26" ht="14.25" customHeight="1" x14ac:dyDescent="0.2">
      <c r="C17" s="44"/>
      <c r="D17" s="53">
        <f t="shared" si="2"/>
        <v>2</v>
      </c>
      <c r="E17" s="1">
        <f t="shared" si="3"/>
        <v>1</v>
      </c>
      <c r="F17" s="1">
        <f t="shared" si="0"/>
        <v>8</v>
      </c>
      <c r="G17" s="1" t="s">
        <v>239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1"/>
        <v>1</v>
      </c>
      <c r="K17" s="1">
        <f t="shared" si="1"/>
        <v>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221.66666666666669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3742.1415028440274</v>
      </c>
      <c r="N17" s="8">
        <f>IFERROR(VLOOKUP($G17,角色设定!$AB$9:$AJ$21,MATCH(N$9,角色设定!$AB$9:$AJ$9,0),0)*VLOOKUP($J17,角色成长!$D$17:$J$117,MATCH(N$9,角色成长!$D$17:$J$17,0),0)*角色成长!$L$15,"")</f>
        <v>210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2.5313283208020043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4">
        <f>IFERROR(VLOOKUP($G17,角色技能!$D:$M,MATCH(X$9,角色技能!$D$4:$M$4,0),0)*(1+$K17/100*(VLOOKUP($H17,技能模板!$D$13:$U$19,MATCH(技能模板!U$13,技能模板!$D$13:$U$13,0),0)-1)),"")</f>
        <v>0.20959661626191753</v>
      </c>
      <c r="Y17" s="106">
        <f>U17*L17/S17*Q17</f>
        <v>50.499999999999993</v>
      </c>
      <c r="Z17" s="8">
        <f>L17*Q17</f>
        <v>199.50000000000003</v>
      </c>
    </row>
    <row r="18" spans="1:26" ht="14.25" customHeight="1" x14ac:dyDescent="0.2">
      <c r="C18" s="44"/>
      <c r="D18" s="53" t="str">
        <f t="shared" ref="D18" si="4">IFERROR(MOD(F18+3-1,3)+1,"")</f>
        <v/>
      </c>
      <c r="E18" s="1" t="str">
        <f t="shared" ref="E18" si="5">IFERROR(ABS(INT((F18-7)/3))+1,"")</f>
        <v/>
      </c>
      <c r="F18" s="1" t="str">
        <f t="shared" ref="F18" si="6">IF(G18="","",ROW(G18)-$C$9+1)</f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ref="J18:K18" si="7">IF($G18="","",J$8)</f>
        <v/>
      </c>
      <c r="K18" s="1" t="str">
        <f t="shared" si="7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54" t="str">
        <f>IFERROR(VLOOKUP($G18,角色技能!$D:$M,MATCH(X$9,角色技能!$D$4:$M$4,0),0)*(1+$K18/100*(VLOOKUP($H18,技能模板!$D$13:$U$19,MATCH(技能模板!U$13,技能模板!$D$13:$U$13,0),0)-1)),"")</f>
        <v/>
      </c>
      <c r="Y18" s="107">
        <f>Y17/SUM($Y17:$Z17)</f>
        <v>0.20199999999999996</v>
      </c>
      <c r="Z18" s="107">
        <f>Z17/SUM($Y17:$Z17)</f>
        <v>0.79800000000000004</v>
      </c>
    </row>
    <row r="19" spans="1:26" ht="14.25" customHeight="1" thickBot="1" x14ac:dyDescent="0.25">
      <c r="D19" s="42"/>
      <c r="E19" s="42"/>
      <c r="F19" s="42"/>
      <c r="G19" s="42"/>
      <c r="H19" s="42"/>
      <c r="I19" s="42"/>
      <c r="J19" s="60">
        <v>1</v>
      </c>
      <c r="K19" s="60">
        <v>0</v>
      </c>
      <c r="L19" s="61"/>
      <c r="M19" s="61"/>
      <c r="N19" s="61"/>
      <c r="O19" s="42"/>
      <c r="P19" s="42"/>
      <c r="Q19" s="42"/>
      <c r="R19" s="42"/>
      <c r="S19" s="42">
        <v>0</v>
      </c>
      <c r="T19" s="42">
        <v>0</v>
      </c>
      <c r="U19" s="62"/>
      <c r="V19" s="42" t="s">
        <v>221</v>
      </c>
      <c r="W19" s="42" t="s">
        <v>222</v>
      </c>
      <c r="X19" s="42" t="s">
        <v>223</v>
      </c>
    </row>
    <row r="20" spans="1:26" ht="14.25" customHeight="1" x14ac:dyDescent="0.2">
      <c r="A20" s="4">
        <f>B20/(SUM(M21:M29)*$G$1)</f>
        <v>6.8674146335254357E-3</v>
      </c>
      <c r="B20" s="6">
        <v>168948.84201939442</v>
      </c>
      <c r="C20" s="44">
        <f>ROW(D21)</f>
        <v>21</v>
      </c>
      <c r="D20" s="49" t="s">
        <v>227</v>
      </c>
      <c r="E20" s="50" t="s">
        <v>228</v>
      </c>
      <c r="F20" s="50" t="s">
        <v>207</v>
      </c>
      <c r="G20" s="51" t="s">
        <v>135</v>
      </c>
      <c r="H20" s="50" t="s">
        <v>76</v>
      </c>
      <c r="I20" s="50" t="s">
        <v>77</v>
      </c>
      <c r="J20" s="51" t="s">
        <v>215</v>
      </c>
      <c r="K20" s="51" t="s">
        <v>216</v>
      </c>
      <c r="L20" s="50" t="s">
        <v>24</v>
      </c>
      <c r="M20" s="50" t="s">
        <v>190</v>
      </c>
      <c r="N20" s="50" t="s">
        <v>25</v>
      </c>
      <c r="O20" s="50" t="s">
        <v>125</v>
      </c>
      <c r="P20" s="50" t="s">
        <v>126</v>
      </c>
      <c r="Q20" s="50" t="s">
        <v>127</v>
      </c>
      <c r="R20" s="50" t="s">
        <v>153</v>
      </c>
      <c r="S20" s="50" t="s">
        <v>183</v>
      </c>
      <c r="T20" s="50" t="s">
        <v>241</v>
      </c>
      <c r="U20" s="50" t="s">
        <v>184</v>
      </c>
      <c r="V20" s="50" t="s">
        <v>185</v>
      </c>
      <c r="W20" s="50" t="s">
        <v>187</v>
      </c>
      <c r="X20" s="52" t="s">
        <v>213</v>
      </c>
      <c r="Y20" s="46"/>
    </row>
    <row r="21" spans="1:26" ht="14.25" customHeight="1" x14ac:dyDescent="0.2">
      <c r="C21" s="44">
        <f>COLUMN(D21)</f>
        <v>4</v>
      </c>
      <c r="D21" s="53">
        <f>IFERROR(MOD(F21+3-1,3)+1,"")</f>
        <v>1</v>
      </c>
      <c r="E21" s="1">
        <f>IFERROR(INT((F21-1)/3)+5,"")</f>
        <v>5</v>
      </c>
      <c r="F21" s="1">
        <f t="shared" ref="F21:F28" si="8">IF(G21="","",ROW(G21)-$C$20+1)</f>
        <v>1</v>
      </c>
      <c r="G21" s="1" t="s">
        <v>248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 t="shared" ref="J21:K28" si="9">IF($G21="","",J$19)</f>
        <v>1</v>
      </c>
      <c r="K21" s="1">
        <f t="shared" si="9"/>
        <v>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234.375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8265.1458798247786</v>
      </c>
      <c r="N21" s="8">
        <f>IFERROR(VLOOKUP($G21,角色设定!$AB$9:$AJ$21,MATCH(N$9,角色设定!$AB$9:$AJ$9,0),0)*VLOOKUP($J21,角色成长!$D$17:$J$117,MATCH(N$9,角色成长!$D$17:$J$17,0),0)*角色成长!$L$15,"")</f>
        <v>825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3.333333333333333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0.23999999999999996</v>
      </c>
      <c r="X21" s="54">
        <f>IFERROR(VLOOKUP($G21,角色技能!$D:$M,MATCH(X$9,角色技能!$D$4:$M$4,0),0)*(1+$K21/100*(VLOOKUP($H21,技能模板!$D$13:$U$19,MATCH(技能模板!U$13,技能模板!$D$13:$U$13,0),0)-1)),"")</f>
        <v>0</v>
      </c>
      <c r="Y21" s="46"/>
    </row>
    <row r="22" spans="1:26" ht="14.25" customHeight="1" x14ac:dyDescent="0.2">
      <c r="A22" s="1" t="s">
        <v>248</v>
      </c>
      <c r="C22" s="44">
        <f>ROW(X29)</f>
        <v>29</v>
      </c>
      <c r="D22" s="53" t="str">
        <f t="shared" ref="D22:D26" si="10">IFERROR(MOD(F22+3-1,3)+1,"")</f>
        <v/>
      </c>
      <c r="E22" s="1" t="str">
        <f t="shared" ref="E22:E26" si="11">IFERROR(INT((F22-1)/3)+5,"")</f>
        <v/>
      </c>
      <c r="F22" s="1" t="str">
        <f t="shared" si="8"/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si="9"/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4" t="str">
        <f>IFERROR(VLOOKUP($G22,角色技能!$D:$M,MATCH(X$9,角色技能!$D$4:$M$4,0),0)*(1+$K22/100*(VLOOKUP($H22,技能模板!$D$13:$U$19,MATCH(技能模板!U$13,技能模板!$D$13:$U$13,0),0)-1)),"")</f>
        <v/>
      </c>
      <c r="Y22" s="46"/>
    </row>
    <row r="23" spans="1:26" ht="14.25" customHeight="1" x14ac:dyDescent="0.2">
      <c r="C23" s="44">
        <f>COLUMN(X29)</f>
        <v>24</v>
      </c>
      <c r="D23" s="53">
        <f t="shared" si="10"/>
        <v>3</v>
      </c>
      <c r="E23" s="1">
        <f t="shared" si="11"/>
        <v>5</v>
      </c>
      <c r="F23" s="1">
        <f t="shared" si="8"/>
        <v>3</v>
      </c>
      <c r="G23" s="1" t="s">
        <v>230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260.41666666666669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7438.6312918423</v>
      </c>
      <c r="N23" s="8">
        <f>IFERROR(VLOOKUP($G23,角色设定!$AB$9:$AJ$21,MATCH(N$9,角色设定!$AB$9:$AJ$9,0),0)*VLOOKUP($J23,角色成长!$D$17:$J$117,MATCH(N$9,角色成长!$D$17:$J$17,0),0)*角色成长!$L$15,"")</f>
        <v>825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3.333333333333333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0.23999999999999996</v>
      </c>
      <c r="X23" s="54">
        <f>IFERROR(VLOOKUP($G23,角色技能!$D:$M,MATCH(X$9,角色技能!$D$4:$M$4,0),0)*(1+$K23/100*(VLOOKUP($H23,技能模板!$D$13:$U$19,MATCH(技能模板!U$13,技能模板!$D$13:$U$13,0),0)-1)),"")</f>
        <v>0</v>
      </c>
      <c r="Y23" s="46"/>
    </row>
    <row r="24" spans="1:26" ht="14.25" customHeight="1" x14ac:dyDescent="0.2">
      <c r="A24" s="1" t="s">
        <v>230</v>
      </c>
      <c r="C24" s="44"/>
      <c r="D24" s="53">
        <f t="shared" si="10"/>
        <v>1</v>
      </c>
      <c r="E24" s="1">
        <f t="shared" si="11"/>
        <v>6</v>
      </c>
      <c r="F24" s="1">
        <f t="shared" si="8"/>
        <v>4</v>
      </c>
      <c r="G24" s="1" t="s">
        <v>233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9"/>
        <v>1</v>
      </c>
      <c r="K24" s="1">
        <f t="shared" si="9"/>
        <v>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590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2532.8746015999327</v>
      </c>
      <c r="N24" s="8">
        <f>IFERROR(VLOOKUP($G24,角色设定!$AB$9:$AJ$21,MATCH(N$9,角色设定!$AB$9:$AJ$9,0),0)*VLOOKUP($J24,角色成长!$D$17:$J$117,MATCH(N$9,角色成长!$D$17:$J$17,0),0)*角色成长!$L$15,"")</f>
        <v>375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4.9999999999999982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4">
        <f>IFERROR(VLOOKUP($G24,角色技能!$D:$M,MATCH(X$9,角色技能!$D$4:$M$4,0),0)*(1+$K24/100*(VLOOKUP($H24,技能模板!$D$13:$U$19,MATCH(技能模板!U$13,技能模板!$D$13:$U$13,0),0)-1)),"")</f>
        <v>0</v>
      </c>
      <c r="Y24" s="46"/>
    </row>
    <row r="25" spans="1:26" ht="14.25" customHeight="1" x14ac:dyDescent="0.2">
      <c r="A25" s="1" t="s">
        <v>233</v>
      </c>
      <c r="C25" s="44"/>
      <c r="D25" s="53" t="str">
        <f t="shared" si="10"/>
        <v/>
      </c>
      <c r="E25" s="1" t="str">
        <f t="shared" si="11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4" t="str">
        <f>IFERROR(VLOOKUP($G25,角色技能!$D:$M,MATCH(X$9,角色技能!$D$4:$M$4,0),0)*(1+$K25/100*(VLOOKUP($H25,技能模板!$D$13:$U$19,MATCH(技能模板!U$13,技能模板!$D$13:$U$13,0),0)-1)),"")</f>
        <v/>
      </c>
      <c r="Y25" s="46"/>
    </row>
    <row r="26" spans="1:26" ht="14.25" customHeight="1" x14ac:dyDescent="0.2">
      <c r="C26" s="44"/>
      <c r="D26" s="53">
        <f t="shared" si="10"/>
        <v>3</v>
      </c>
      <c r="E26" s="1">
        <f t="shared" si="11"/>
        <v>6</v>
      </c>
      <c r="F26" s="1">
        <f t="shared" si="8"/>
        <v>6</v>
      </c>
      <c r="G26" s="1" t="s">
        <v>235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9"/>
        <v>1</v>
      </c>
      <c r="K26" s="1">
        <f t="shared" si="9"/>
        <v>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521.4204545454545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2622.7272429235545</v>
      </c>
      <c r="N26" s="8">
        <f>IFERROR(VLOOKUP($G26,角色设定!$AB$9:$AJ$21,MATCH(N$9,角色设定!$AB$9:$AJ$9,0),0)*VLOOKUP($J26,角色成长!$D$17:$J$117,MATCH(N$9,角色成长!$D$17:$J$17,0),0)*角色成长!$L$15,"")</f>
        <v>337.5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4.8447204968944071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4">
        <f>IFERROR(VLOOKUP($G26,角色技能!$D:$M,MATCH(X$9,角色技能!$D$4:$M$4,0),0)*(1+$K26/100*(VLOOKUP($H26,技能模板!$D$13:$U$19,MATCH(技能模板!U$13,技能模板!$D$13:$U$13,0),0)-1)),"")</f>
        <v>0</v>
      </c>
      <c r="Y26" s="46"/>
    </row>
    <row r="27" spans="1:26" ht="14.25" customHeight="1" x14ac:dyDescent="0.2">
      <c r="A27" s="1" t="s">
        <v>235</v>
      </c>
      <c r="C27" s="44"/>
      <c r="D27" s="53" t="str">
        <f t="shared" ref="D27:D29" si="12">IFERROR(MOD(F27+3-1,3)+1,"")</f>
        <v/>
      </c>
      <c r="E27" s="1" t="str">
        <f t="shared" ref="E27:E29" si="13">IFERROR(INT((F27-1)/3)+5,"")</f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4" t="str">
        <f>IFERROR(VLOOKUP($G27,角色技能!$D:$M,MATCH(X$9,角色技能!$D$4:$M$4,0),0)*(1+$K27/100*(VLOOKUP($H27,技能模板!$D$13:$U$19,MATCH(技能模板!U$13,技能模板!$D$13:$U$13,0),0)-1)),"")</f>
        <v/>
      </c>
      <c r="Y27" s="46"/>
    </row>
    <row r="28" spans="1:26" ht="14.25" customHeight="1" x14ac:dyDescent="0.2">
      <c r="C28" s="44"/>
      <c r="D28" s="53">
        <f t="shared" si="12"/>
        <v>2</v>
      </c>
      <c r="E28" s="1">
        <f t="shared" si="13"/>
        <v>7</v>
      </c>
      <c r="F28" s="1">
        <f t="shared" si="8"/>
        <v>8</v>
      </c>
      <c r="G28" s="1" t="s">
        <v>239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9"/>
        <v>1</v>
      </c>
      <c r="K28" s="1">
        <f t="shared" si="9"/>
        <v>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221.66666666666669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3742.1415028440274</v>
      </c>
      <c r="N28" s="8">
        <f>IFERROR(VLOOKUP($G28,角色设定!$AB$9:$AJ$21,MATCH(N$9,角色设定!$AB$9:$AJ$9,0),0)*VLOOKUP($J28,角色成长!$D$17:$J$117,MATCH(N$9,角色成长!$D$17:$J$17,0),0)*角色成长!$L$15,"")</f>
        <v>210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2.5313283208020043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4">
        <f>IFERROR(VLOOKUP($G28,角色技能!$D:$M,MATCH(X$9,角色技能!$D$4:$M$4,0),0)*(1+$K28/100*(VLOOKUP($H28,技能模板!$D$13:$U$19,MATCH(技能模板!U$13,技能模板!$D$13:$U$13,0),0)-1)),"")</f>
        <v>0.20959661626191753</v>
      </c>
      <c r="Y28" s="46"/>
    </row>
    <row r="29" spans="1:26" ht="14.25" customHeight="1" x14ac:dyDescent="0.2">
      <c r="A29" s="1" t="s">
        <v>239</v>
      </c>
      <c r="C29" s="44"/>
      <c r="D29" s="53" t="str">
        <f t="shared" si="12"/>
        <v/>
      </c>
      <c r="E29" s="1" t="str">
        <f t="shared" si="13"/>
        <v/>
      </c>
      <c r="F29" s="1" t="str">
        <f t="shared" ref="F29" si="14">IF(G29="","",ROW(G29)-$C$20+1)</f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ref="J29:K29" si="15">IF($G29="","",J$19)</f>
        <v/>
      </c>
      <c r="K29" s="1" t="str">
        <f t="shared" si="15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IFERROR(VLOOKUP($G29,角色技能!$D:$M,MATCH(T$9,角色技能!$D$4:$M$4,0),0)*(1-$T$19),"")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54" t="str">
        <f>IFERROR(VLOOKUP($G29,角色技能!$D:$M,MATCH(X$9,角色技能!$D$4:$M$4,0),0)*(1+$K29/100*(VLOOKUP($H29,技能模板!$D$13:$U$19,MATCH(技能模板!U$13,技能模板!$D$13:$U$13,0),0)-1)),"")</f>
        <v/>
      </c>
      <c r="Y29" s="46"/>
    </row>
    <row r="30" spans="1:26" ht="14.25" customHeight="1" x14ac:dyDescent="0.2"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6" ht="14.25" customHeight="1" x14ac:dyDescent="0.2">
      <c r="D31" s="2"/>
    </row>
    <row r="32" spans="1:26" ht="14.25" customHeight="1" x14ac:dyDescent="0.2">
      <c r="D32" s="2"/>
    </row>
    <row r="33" spans="1:25" ht="14.25" customHeight="1" x14ac:dyDescent="0.2">
      <c r="D33" s="67" t="s">
        <v>243</v>
      </c>
      <c r="G33" s="1">
        <v>1000</v>
      </c>
      <c r="J33" s="67" t="s">
        <v>244</v>
      </c>
    </row>
    <row r="34" spans="1:25" ht="14.25" customHeight="1" x14ac:dyDescent="0.2">
      <c r="D34" s="5">
        <f>D35/G33</f>
        <v>0</v>
      </c>
      <c r="G34" s="5">
        <f>G35/$G$1</f>
        <v>0</v>
      </c>
      <c r="J34" s="5">
        <f>J35/G33</f>
        <v>0.999</v>
      </c>
    </row>
    <row r="35" spans="1:25" ht="14.25" customHeight="1" thickBot="1" x14ac:dyDescent="0.25">
      <c r="C35" s="3" t="s">
        <v>242</v>
      </c>
      <c r="D35" s="68">
        <v>0</v>
      </c>
      <c r="E35" s="68"/>
      <c r="F35" s="68">
        <v>23</v>
      </c>
      <c r="G35" s="1">
        <v>0</v>
      </c>
      <c r="H35" s="68">
        <f>G33-D35-G35-J35</f>
        <v>1</v>
      </c>
      <c r="I35" s="68"/>
      <c r="J35" s="68">
        <v>999</v>
      </c>
      <c r="M35" s="1" t="s">
        <v>224</v>
      </c>
    </row>
    <row r="36" spans="1:25" ht="14.25" customHeight="1" x14ac:dyDescent="0.2">
      <c r="D36" s="137" t="s">
        <v>225</v>
      </c>
      <c r="E36" s="138"/>
      <c r="F36" s="139"/>
      <c r="G36" s="72"/>
      <c r="H36" s="137" t="s">
        <v>226</v>
      </c>
      <c r="I36" s="138"/>
      <c r="J36" s="139"/>
    </row>
    <row r="37" spans="1:25" ht="14.25" customHeight="1" x14ac:dyDescent="0.2">
      <c r="D37" s="53">
        <v>7</v>
      </c>
      <c r="E37" s="1">
        <v>4</v>
      </c>
      <c r="F37" s="64">
        <v>1</v>
      </c>
      <c r="G37" s="72"/>
      <c r="H37" s="53">
        <v>1</v>
      </c>
      <c r="I37" s="1">
        <v>4</v>
      </c>
      <c r="J37" s="64">
        <v>7</v>
      </c>
    </row>
    <row r="38" spans="1:25" ht="14.25" customHeight="1" x14ac:dyDescent="0.2">
      <c r="D38" s="53">
        <v>8</v>
      </c>
      <c r="E38" s="1">
        <v>5</v>
      </c>
      <c r="F38" s="64">
        <v>2</v>
      </c>
      <c r="G38" s="72"/>
      <c r="H38" s="53">
        <v>2</v>
      </c>
      <c r="I38" s="1">
        <v>5</v>
      </c>
      <c r="J38" s="64">
        <v>8</v>
      </c>
    </row>
    <row r="39" spans="1:25" ht="14.25" customHeight="1" thickBot="1" x14ac:dyDescent="0.25">
      <c r="D39" s="55">
        <v>9</v>
      </c>
      <c r="E39" s="56">
        <v>6</v>
      </c>
      <c r="F39" s="65">
        <v>3</v>
      </c>
      <c r="G39" s="72"/>
      <c r="H39" s="55">
        <v>3</v>
      </c>
      <c r="I39" s="56">
        <v>6</v>
      </c>
      <c r="J39" s="65">
        <v>9</v>
      </c>
    </row>
    <row r="40" spans="1:25" ht="14.25" customHeight="1" thickBot="1" x14ac:dyDescent="0.25">
      <c r="D40" s="63">
        <v>1</v>
      </c>
      <c r="E40" s="63">
        <v>2</v>
      </c>
      <c r="F40" s="63">
        <v>3</v>
      </c>
      <c r="G40" s="47">
        <v>4</v>
      </c>
      <c r="H40" s="63">
        <v>5</v>
      </c>
      <c r="I40" s="63">
        <v>6</v>
      </c>
      <c r="J40" s="60">
        <v>10</v>
      </c>
      <c r="K40" s="48">
        <v>0</v>
      </c>
      <c r="L40" s="47">
        <v>9</v>
      </c>
      <c r="M40" s="47">
        <v>10</v>
      </c>
      <c r="N40" s="47">
        <v>11</v>
      </c>
      <c r="O40" s="47">
        <v>12</v>
      </c>
      <c r="P40" s="47">
        <v>13</v>
      </c>
      <c r="Q40" s="47">
        <v>14</v>
      </c>
      <c r="R40" s="47">
        <v>15</v>
      </c>
      <c r="S40" s="47">
        <v>16</v>
      </c>
      <c r="T40" s="47">
        <v>17</v>
      </c>
      <c r="U40" s="47">
        <v>18</v>
      </c>
      <c r="V40" s="68" t="s">
        <v>221</v>
      </c>
      <c r="W40" s="68" t="s">
        <v>222</v>
      </c>
      <c r="X40" s="68" t="s">
        <v>223</v>
      </c>
    </row>
    <row r="41" spans="1:25" ht="14.25" customHeight="1" x14ac:dyDescent="0.2">
      <c r="A41" s="4">
        <f>B41/(SUM(M42:M50)*$G$1)</f>
        <v>0</v>
      </c>
      <c r="B41" s="6">
        <v>0</v>
      </c>
      <c r="C41" s="71">
        <f>ROW(D42)</f>
        <v>42</v>
      </c>
      <c r="D41" s="49" t="s">
        <v>227</v>
      </c>
      <c r="E41" s="50" t="s">
        <v>228</v>
      </c>
      <c r="F41" s="50" t="s">
        <v>206</v>
      </c>
      <c r="G41" s="51" t="s">
        <v>135</v>
      </c>
      <c r="H41" s="50" t="s">
        <v>76</v>
      </c>
      <c r="I41" s="50" t="s">
        <v>77</v>
      </c>
      <c r="J41" s="51" t="s">
        <v>215</v>
      </c>
      <c r="K41" s="51" t="s">
        <v>216</v>
      </c>
      <c r="L41" s="50" t="s">
        <v>24</v>
      </c>
      <c r="M41" s="50" t="s">
        <v>26</v>
      </c>
      <c r="N41" s="50" t="s">
        <v>25</v>
      </c>
      <c r="O41" s="50" t="s">
        <v>125</v>
      </c>
      <c r="P41" s="50" t="s">
        <v>126</v>
      </c>
      <c r="Q41" s="50" t="s">
        <v>127</v>
      </c>
      <c r="R41" s="50" t="s">
        <v>153</v>
      </c>
      <c r="S41" s="50" t="s">
        <v>183</v>
      </c>
      <c r="T41" s="50" t="s">
        <v>241</v>
      </c>
      <c r="U41" s="50" t="s">
        <v>184</v>
      </c>
      <c r="V41" s="50" t="s">
        <v>185</v>
      </c>
      <c r="W41" s="50" t="s">
        <v>187</v>
      </c>
      <c r="X41" s="52" t="s">
        <v>213</v>
      </c>
      <c r="Y41" s="73"/>
    </row>
    <row r="42" spans="1:25" ht="14.25" customHeight="1" x14ac:dyDescent="0.2">
      <c r="C42" s="71">
        <f>COLUMN(D42)</f>
        <v>4</v>
      </c>
      <c r="D42" s="53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248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10</v>
      </c>
      <c r="K42" s="1">
        <f>IF($G42="","",K$40)</f>
        <v>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363.59255061996458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12764.370871444586</v>
      </c>
      <c r="N42" s="8">
        <f>IFERROR(VLOOKUP($G42,角色设定!$AB$9:$AJ$21,MATCH(N$9,角色设定!$AB$9:$AJ$9,0),0)*VLOOKUP($J42,角色成长!$D$17:$J$117,MATCH(N$9,角色成长!$D$17:$J$17,0),0)*角色成长!$L$15,"")</f>
        <v>1279.8457781822756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3.333333333333333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0.23999999999999996</v>
      </c>
      <c r="X42" s="54">
        <f>IFERROR(VLOOKUP($G42,角色技能!$D:$M,MATCH(X$9,角色技能!$D$4:$M$4,0),0)*(1+$K42/100*(VLOOKUP($H42,技能模板!$D$13:$U$19,MATCH(技能模板!U$13,技能模板!$D$13:$U$13,0),0)-1)),"")</f>
        <v>0</v>
      </c>
      <c r="Y42" s="73"/>
    </row>
    <row r="43" spans="1:25" ht="14.25" customHeight="1" x14ac:dyDescent="0.2">
      <c r="C43" s="71">
        <f>ROW(X50)</f>
        <v>50</v>
      </c>
      <c r="D43" s="53" t="str">
        <f t="shared" ref="D43:D50" si="16">IFERROR(MOD(F43+3-1,3)+1,"")</f>
        <v/>
      </c>
      <c r="E43" s="1" t="str">
        <f t="shared" ref="E43:E50" si="17">IFERROR(ABS(INT((F43-7)/3))+1,"")</f>
        <v/>
      </c>
      <c r="F43" s="1" t="str">
        <f t="shared" ref="F43:F50" si="18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9">IF($G43="","",J$40)</f>
        <v/>
      </c>
      <c r="K43" s="1" t="str">
        <f t="shared" si="19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4" t="str">
        <f>IFERROR(VLOOKUP($G43,角色技能!$D:$M,MATCH(X$9,角色技能!$D$4:$M$4,0),0)*(1+$K43/100*(VLOOKUP($H43,技能模板!$D$13:$U$19,MATCH(技能模板!U$13,技能模板!$D$13:$U$13,0),0)-1)),"")</f>
        <v/>
      </c>
      <c r="Y43" s="73"/>
    </row>
    <row r="44" spans="1:25" ht="14.25" customHeight="1" x14ac:dyDescent="0.2">
      <c r="C44" s="71">
        <f>COLUMN(X50)</f>
        <v>24</v>
      </c>
      <c r="D44" s="53">
        <f t="shared" si="16"/>
        <v>3</v>
      </c>
      <c r="E44" s="1">
        <f t="shared" si="17"/>
        <v>3</v>
      </c>
      <c r="F44" s="1">
        <f t="shared" si="18"/>
        <v>3</v>
      </c>
      <c r="G44" s="1" t="s">
        <v>297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9"/>
        <v>10</v>
      </c>
      <c r="K44" s="1">
        <f t="shared" si="19"/>
        <v>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403.99172291107186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11487.933784300129</v>
      </c>
      <c r="N44" s="8">
        <f>IFERROR(VLOOKUP($G44,角色设定!$AB$9:$AJ$21,MATCH(N$9,角色设定!$AB$9:$AJ$9,0),0)*VLOOKUP($J44,角色成长!$D$17:$J$117,MATCH(N$9,角色成长!$D$17:$J$17,0),0)*角色成长!$L$15,"")</f>
        <v>1279.8457781822756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3.333333333333333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0.23999999999999996</v>
      </c>
      <c r="X44" s="54">
        <f>IFERROR(VLOOKUP($G44,角色技能!$D:$M,MATCH(X$9,角色技能!$D$4:$M$4,0),0)*(1+$K44/100*(VLOOKUP($H44,技能模板!$D$13:$U$19,MATCH(技能模板!U$13,技能模板!$D$13:$U$13,0),0)-1)),"")</f>
        <v>0</v>
      </c>
      <c r="Y44" s="73"/>
    </row>
    <row r="45" spans="1:25" ht="14.25" customHeight="1" x14ac:dyDescent="0.2">
      <c r="C45" s="71"/>
      <c r="D45" s="53">
        <f t="shared" si="16"/>
        <v>1</v>
      </c>
      <c r="E45" s="1">
        <f t="shared" si="17"/>
        <v>2</v>
      </c>
      <c r="F45" s="1">
        <f t="shared" si="18"/>
        <v>4</v>
      </c>
      <c r="G45" s="1" t="s">
        <v>233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9"/>
        <v>10</v>
      </c>
      <c r="K45" s="1">
        <f t="shared" si="19"/>
        <v>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915.28364742732424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3921.243030306221</v>
      </c>
      <c r="N45" s="8">
        <f>IFERROR(VLOOKUP($G45,角色设定!$AB$9:$AJ$21,MATCH(N$9,角色设定!$AB$9:$AJ$9,0),0)*VLOOKUP($J45,角色成长!$D$17:$J$117,MATCH(N$9,角色成长!$D$17:$J$17,0),0)*角色成长!$L$15,"")</f>
        <v>581.74808099194343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4.9999999999999982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4">
        <f>IFERROR(VLOOKUP($G45,角色技能!$D:$M,MATCH(X$9,角色技能!$D$4:$M$4,0),0)*(1+$K45/100*(VLOOKUP($H45,技能模板!$D$13:$U$19,MATCH(技能模板!U$13,技能模板!$D$13:$U$13,0),0)-1)),"")</f>
        <v>0</v>
      </c>
      <c r="Y45" s="73"/>
    </row>
    <row r="46" spans="1:25" ht="14.25" customHeight="1" x14ac:dyDescent="0.2">
      <c r="C46" s="71"/>
      <c r="D46" s="53" t="str">
        <f t="shared" si="16"/>
        <v/>
      </c>
      <c r="E46" s="1" t="str">
        <f t="shared" si="17"/>
        <v/>
      </c>
      <c r="F46" s="1" t="str">
        <f t="shared" si="18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9"/>
        <v/>
      </c>
      <c r="K46" s="1" t="str">
        <f t="shared" si="19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4" t="str">
        <f>IFERROR(VLOOKUP($G46,角色技能!$D:$M,MATCH(X$9,角色技能!$D$4:$M$4,0),0)*(1+$K46/100*(VLOOKUP($H46,技能模板!$D$13:$U$19,MATCH(技能模板!U$13,技能模板!$D$13:$U$13,0),0)-1)),"")</f>
        <v/>
      </c>
      <c r="Y46" s="73"/>
    </row>
    <row r="47" spans="1:25" ht="14.25" customHeight="1" x14ac:dyDescent="0.2">
      <c r="C47" s="71"/>
      <c r="D47" s="53">
        <f t="shared" si="16"/>
        <v>3</v>
      </c>
      <c r="E47" s="1">
        <f t="shared" si="17"/>
        <v>2</v>
      </c>
      <c r="F47" s="1">
        <f t="shared" si="18"/>
        <v>6</v>
      </c>
      <c r="G47" s="1" t="s">
        <v>235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9"/>
        <v>10</v>
      </c>
      <c r="K47" s="1">
        <f t="shared" si="19"/>
        <v>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808.89426352470684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4061.1794236014766</v>
      </c>
      <c r="N47" s="8">
        <f>IFERROR(VLOOKUP($G47,角色设定!$AB$9:$AJ$21,MATCH(N$9,角色设定!$AB$9:$AJ$9,0),0)*VLOOKUP($J47,角色成长!$D$17:$J$117,MATCH(N$9,角色成长!$D$17:$J$17,0),0)*角色成长!$L$15,"")</f>
        <v>523.57327289274906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4.8447204968944071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4">
        <f>IFERROR(VLOOKUP($G47,角色技能!$D:$M,MATCH(X$9,角色技能!$D$4:$M$4,0),0)*(1+$K47/100*(VLOOKUP($H47,技能模板!$D$13:$U$19,MATCH(技能模板!U$13,技能模板!$D$13:$U$13,0),0)-1)),"")</f>
        <v>0</v>
      </c>
      <c r="Y47" s="73"/>
    </row>
    <row r="48" spans="1:25" ht="14.25" customHeight="1" x14ac:dyDescent="0.2">
      <c r="C48" s="71"/>
      <c r="D48" s="53" t="str">
        <f t="shared" si="16"/>
        <v/>
      </c>
      <c r="E48" s="1" t="str">
        <f t="shared" si="17"/>
        <v/>
      </c>
      <c r="F48" s="1" t="str">
        <f t="shared" si="18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9"/>
        <v/>
      </c>
      <c r="K48" s="1" t="str">
        <f t="shared" si="19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4" t="str">
        <f>IFERROR(VLOOKUP($G48,角色技能!$D:$M,MATCH(X$9,角色技能!$D$4:$M$4,0),0)*(1+$K48/100*(VLOOKUP($H48,技能模板!$D$13:$U$19,MATCH(技能模板!U$13,技能模板!$D$13:$U$13,0),0)-1)),"")</f>
        <v/>
      </c>
      <c r="Y48" s="73"/>
    </row>
    <row r="49" spans="1:25" ht="14.25" customHeight="1" x14ac:dyDescent="0.2">
      <c r="C49" s="71"/>
      <c r="D49" s="53">
        <f t="shared" si="16"/>
        <v>2</v>
      </c>
      <c r="E49" s="1">
        <f t="shared" si="17"/>
        <v>1</v>
      </c>
      <c r="F49" s="1">
        <f t="shared" si="18"/>
        <v>8</v>
      </c>
      <c r="G49" s="1" t="s">
        <v>239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9"/>
        <v>10</v>
      </c>
      <c r="K49" s="1">
        <f t="shared" si="19"/>
        <v>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343.87775454190438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5798.5902249986657</v>
      </c>
      <c r="N49" s="8">
        <f>IFERROR(VLOOKUP($G49,角色设定!$AB$9:$AJ$21,MATCH(N$9,角色设定!$AB$9:$AJ$9,0),0)*VLOOKUP($J49,角色成长!$D$17:$J$117,MATCH(N$9,角色成长!$D$17:$J$17,0),0)*角色成长!$L$15,"")</f>
        <v>325.7789253554883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2.5313283208020043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4">
        <f>IFERROR(VLOOKUP($G49,角色技能!$D:$M,MATCH(X$9,角色技能!$D$4:$M$4,0),0)*(1+$K49/100*(VLOOKUP($H49,技能模板!$D$13:$U$19,MATCH(技能模板!U$13,技能模板!$D$13:$U$13,0),0)-1)),"")</f>
        <v>0.20959661626191753</v>
      </c>
      <c r="Y49" s="73"/>
    </row>
    <row r="50" spans="1:25" ht="14.25" customHeight="1" thickBot="1" x14ac:dyDescent="0.25">
      <c r="C50" s="71"/>
      <c r="D50" s="55" t="str">
        <f t="shared" si="16"/>
        <v/>
      </c>
      <c r="E50" s="56" t="str">
        <f t="shared" si="17"/>
        <v/>
      </c>
      <c r="F50" s="56" t="str">
        <f t="shared" si="18"/>
        <v/>
      </c>
      <c r="G50" s="56"/>
      <c r="H50" s="56" t="str">
        <f>IFERROR(VLOOKUP($G50,角色设定!$R:$S,2,0),"")</f>
        <v/>
      </c>
      <c r="I50" s="56" t="str">
        <f>IFERROR(VLOOKUP(H50,角色设定!$D$9:$E$15,2,0),"")</f>
        <v/>
      </c>
      <c r="J50" s="56" t="str">
        <f>IF($G50="","",J$40)</f>
        <v/>
      </c>
      <c r="K50" s="56" t="str">
        <f>IF($G50="","",K$40)</f>
        <v/>
      </c>
      <c r="L50" s="57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7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7" t="str">
        <f>IFERROR(VLOOKUP($G50,角色设定!$AB$9:$AJ$21,MATCH(N$9,角色设定!$AB$9:$AJ$9,0),0)*VLOOKUP($J50,角色成长!$D$17:$J$117,MATCH(N$9,角色成长!$D$17:$J$17,0),0)*角色成长!$L$15,"")</f>
        <v/>
      </c>
      <c r="O50" s="56" t="str">
        <f>IFERROR(VLOOKUP($G50,角色设定!$AB$9:$AJ$21,MATCH(O$9,角色设定!$AB$9:$AJ$9,0),0)*VLOOKUP($J50,角色成长!$D$17:$J$117,MATCH(O$9,角色成长!$D$17:$J$17,0),0),"")</f>
        <v/>
      </c>
      <c r="P50" s="56" t="str">
        <f>IFERROR(VLOOKUP($G50,角色设定!$AB$9:$AJ$21,MATCH(P$9,角色设定!$AB$9:$AJ$9,0),0)*VLOOKUP($J50,角色成长!$D$17:$J$117,MATCH(P$9,角色成长!$D$17:$J$17,0),0),"")</f>
        <v/>
      </c>
      <c r="Q50" s="56" t="str">
        <f>IFERROR(VLOOKUP($G50,角色设定!$AB$9:$AJ$21,MATCH(Q$9,角色设定!$AB$9:$AJ$9,0),0)*VLOOKUP($J50,角色成长!$D$17:$J$117,MATCH(Q$9,角色成长!$D$17:$J$17,0),0),"")</f>
        <v/>
      </c>
      <c r="R50" s="56" t="str">
        <f>IFERROR(VLOOKUP($G50,角色设定!$AB$9:$AJ$21,MATCH(R$9,角色设定!$AB$9:$AJ$9,0),0),"")</f>
        <v/>
      </c>
      <c r="S50" s="56" t="str">
        <f>IFERROR(VLOOKUP($G50,角色技能!$D:$M,MATCH(S$9,角色技能!$D$4:$M$4,0),0),"")</f>
        <v/>
      </c>
      <c r="T50" s="56" t="str">
        <f>IFERROR(VLOOKUP($G50,角色技能!$D:$M,MATCH(T$9,角色技能!$D$4:$M$4,0),0),"")</f>
        <v/>
      </c>
      <c r="U50" s="58" t="str">
        <f>IFERROR(VLOOKUP($G50,角色技能!$D:$M,MATCH(U$9,角色技能!$D$4:$M$4,0),0)*(1+$K50/100*(VLOOKUP($H50,技能模板!$D$13:$U$19,MATCH(技能模板!R$13,技能模板!$D$13:$U$13,0),0)-1)),"")</f>
        <v/>
      </c>
      <c r="V50" s="58" t="str">
        <f>IFERROR(VLOOKUP($G50,角色技能!$D:$M,MATCH(V$9,角色技能!$D$4:$M$4,0),0)*(1+$K50/100*(VLOOKUP($H50,技能模板!$D$13:$U$19,MATCH(技能模板!S$13,技能模板!$D$13:$U$13,0),0)-1)),"")</f>
        <v/>
      </c>
      <c r="W50" s="58" t="str">
        <f>IFERROR(VLOOKUP($G50,角色技能!$D:$M,MATCH(W$9,角色技能!$D$4:$M$4,0),0)*(1+$K50/100*(VLOOKUP($H50,技能模板!$D$13:$U$19,MATCH(技能模板!T$13,技能模板!$D$13:$U$13,0),0)-1)),"")</f>
        <v/>
      </c>
      <c r="X50" s="59" t="str">
        <f>IFERROR(VLOOKUP($G50,角色技能!$D:$M,MATCH(X$9,角色技能!$D$4:$M$4,0),0)*(1+$K50/100*(VLOOKUP($H50,技能模板!$D$13:$U$19,MATCH(技能模板!U$13,技能模板!$D$13:$U$13,0),0)-1)),"")</f>
        <v/>
      </c>
      <c r="Y50" s="73"/>
    </row>
    <row r="51" spans="1:25" ht="14.25" customHeight="1" thickBot="1" x14ac:dyDescent="0.25">
      <c r="C51" s="2" t="s">
        <v>246</v>
      </c>
      <c r="D51" s="69"/>
      <c r="E51" s="69"/>
      <c r="F51" s="69"/>
      <c r="G51" s="69"/>
      <c r="H51" s="69"/>
      <c r="I51" s="69"/>
      <c r="J51" s="60">
        <v>50</v>
      </c>
      <c r="K51" s="60">
        <v>1</v>
      </c>
      <c r="L51" s="61"/>
      <c r="M51" s="61"/>
      <c r="N51" s="61"/>
      <c r="O51" s="69"/>
      <c r="P51" s="69"/>
      <c r="Q51" s="69"/>
      <c r="R51" s="69"/>
      <c r="S51" s="69">
        <v>0</v>
      </c>
      <c r="T51" s="69">
        <v>0</v>
      </c>
      <c r="U51" s="62"/>
      <c r="V51" s="69" t="s">
        <v>221</v>
      </c>
      <c r="W51" s="69" t="s">
        <v>222</v>
      </c>
      <c r="X51" s="69" t="s">
        <v>223</v>
      </c>
    </row>
    <row r="52" spans="1:25" ht="14.25" customHeight="1" x14ac:dyDescent="0.2">
      <c r="A52" s="4">
        <f>B52/(SUM(M53:M61)*$G$1)</f>
        <v>0.32386701434451853</v>
      </c>
      <c r="B52" s="6">
        <v>30232370.318598386</v>
      </c>
      <c r="C52" s="71">
        <f>ROW(D53)</f>
        <v>53</v>
      </c>
      <c r="D52" s="49" t="s">
        <v>227</v>
      </c>
      <c r="E52" s="50" t="s">
        <v>228</v>
      </c>
      <c r="F52" s="50" t="s">
        <v>207</v>
      </c>
      <c r="G52" s="51" t="s">
        <v>135</v>
      </c>
      <c r="H52" s="50" t="s">
        <v>76</v>
      </c>
      <c r="I52" s="50" t="s">
        <v>77</v>
      </c>
      <c r="J52" s="51" t="s">
        <v>215</v>
      </c>
      <c r="K52" s="51" t="s">
        <v>216</v>
      </c>
      <c r="L52" s="50" t="s">
        <v>24</v>
      </c>
      <c r="M52" s="50" t="s">
        <v>26</v>
      </c>
      <c r="N52" s="50" t="s">
        <v>25</v>
      </c>
      <c r="O52" s="50" t="s">
        <v>125</v>
      </c>
      <c r="P52" s="50" t="s">
        <v>126</v>
      </c>
      <c r="Q52" s="50" t="s">
        <v>127</v>
      </c>
      <c r="R52" s="50" t="s">
        <v>153</v>
      </c>
      <c r="S52" s="50" t="s">
        <v>183</v>
      </c>
      <c r="T52" s="50" t="s">
        <v>241</v>
      </c>
      <c r="U52" s="50" t="s">
        <v>184</v>
      </c>
      <c r="V52" s="50" t="s">
        <v>185</v>
      </c>
      <c r="W52" s="50" t="s">
        <v>187</v>
      </c>
      <c r="X52" s="52" t="s">
        <v>213</v>
      </c>
      <c r="Y52" s="73"/>
    </row>
    <row r="53" spans="1:25" ht="14.25" customHeight="1" x14ac:dyDescent="0.2">
      <c r="C53" s="71">
        <f>COLUMN(D53)</f>
        <v>4</v>
      </c>
      <c r="D53" s="53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245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 t="shared" ref="J53:K61" si="20">IF($G53="","",J$51)</f>
        <v>50</v>
      </c>
      <c r="K53" s="1">
        <f t="shared" si="20"/>
        <v>1</v>
      </c>
      <c r="L53" s="1">
        <v>197.01868342927153</v>
      </c>
      <c r="M53" s="1">
        <v>9334.809961979714</v>
      </c>
      <c r="N53" s="1">
        <v>11634.961619838869</v>
      </c>
      <c r="O53" s="8">
        <v>0.4</v>
      </c>
      <c r="P53" s="8">
        <v>1.5</v>
      </c>
      <c r="Q53" s="8">
        <v>1</v>
      </c>
      <c r="R53" s="8"/>
      <c r="S53" s="8">
        <v>10</v>
      </c>
      <c r="T53" s="1">
        <v>5</v>
      </c>
      <c r="U53" s="8">
        <v>2.4999999999999991</v>
      </c>
      <c r="V53" s="6">
        <v>0</v>
      </c>
      <c r="W53" s="6">
        <v>0</v>
      </c>
      <c r="X53" s="54">
        <v>0</v>
      </c>
      <c r="Y53" s="73"/>
    </row>
    <row r="54" spans="1:25" ht="14.25" customHeight="1" x14ac:dyDescent="0.2">
      <c r="C54" s="71">
        <f>ROW(X61)</f>
        <v>61</v>
      </c>
      <c r="D54" s="53">
        <f t="shared" ref="D54" si="21">IFERROR(MOD(F54+3-1,3)+1,"")</f>
        <v>2</v>
      </c>
      <c r="E54" s="1">
        <f t="shared" ref="E54" si="22">IFERROR(INT((F54-1)/3)+5,"")</f>
        <v>5</v>
      </c>
      <c r="F54" s="1">
        <f t="shared" ref="F54:F61" si="23">IF(G54="","",ROW(G54)-$C$52+1)</f>
        <v>2</v>
      </c>
      <c r="G54" s="1" t="s">
        <v>295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si="20"/>
        <v>50</v>
      </c>
      <c r="K54" s="1">
        <f t="shared" si="20"/>
        <v>1</v>
      </c>
      <c r="L54" s="1">
        <v>197.01868342927153</v>
      </c>
      <c r="M54" s="1">
        <v>9334.809961979714</v>
      </c>
      <c r="N54" s="1">
        <v>11634.961619838869</v>
      </c>
      <c r="O54" s="8">
        <v>0.4</v>
      </c>
      <c r="P54" s="8">
        <v>1.5</v>
      </c>
      <c r="Q54" s="8">
        <v>1</v>
      </c>
      <c r="R54" s="8"/>
      <c r="S54" s="8">
        <v>10</v>
      </c>
      <c r="T54" s="1">
        <v>5</v>
      </c>
      <c r="U54" s="8">
        <v>2.4999999999999991</v>
      </c>
      <c r="V54" s="6">
        <v>0</v>
      </c>
      <c r="W54" s="6">
        <v>0</v>
      </c>
      <c r="X54" s="54">
        <v>0</v>
      </c>
      <c r="Y54" s="73"/>
    </row>
    <row r="55" spans="1:25" ht="14.25" customHeight="1" x14ac:dyDescent="0.2">
      <c r="C55" s="71">
        <f>COLUMN(X50)</f>
        <v>24</v>
      </c>
      <c r="D55" s="53">
        <f>IFERROR(MOD(F55+3-1,3)+1,"")</f>
        <v>3</v>
      </c>
      <c r="E55" s="1">
        <f>IFERROR(INT((F55-1)/3)+5,"")</f>
        <v>5</v>
      </c>
      <c r="F55" s="1">
        <f t="shared" si="23"/>
        <v>3</v>
      </c>
      <c r="G55" s="1" t="s">
        <v>294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20"/>
        <v>50</v>
      </c>
      <c r="K55" s="1">
        <f t="shared" si="20"/>
        <v>1</v>
      </c>
      <c r="L55" s="1">
        <v>197.01868342927153</v>
      </c>
      <c r="M55" s="1">
        <v>9334.809961979714</v>
      </c>
      <c r="N55" s="1">
        <v>11634.961619838869</v>
      </c>
      <c r="O55" s="8">
        <v>0.4</v>
      </c>
      <c r="P55" s="8">
        <v>1.5</v>
      </c>
      <c r="Q55" s="8">
        <v>1</v>
      </c>
      <c r="R55" s="8"/>
      <c r="S55" s="8">
        <v>10</v>
      </c>
      <c r="T55" s="1">
        <v>5</v>
      </c>
      <c r="U55" s="8">
        <v>2.4999999999999991</v>
      </c>
      <c r="V55" s="6">
        <v>0</v>
      </c>
      <c r="W55" s="6">
        <v>0</v>
      </c>
      <c r="X55" s="54">
        <v>0</v>
      </c>
      <c r="Y55" s="73"/>
    </row>
    <row r="56" spans="1:25" ht="14.25" customHeight="1" x14ac:dyDescent="0.2">
      <c r="C56" s="71"/>
      <c r="D56" s="53">
        <f t="shared" ref="D56:D61" si="24">IFERROR(MOD(F56+3-1,3)+1,"")</f>
        <v>1</v>
      </c>
      <c r="E56" s="1">
        <f t="shared" ref="E56:E61" si="25">IFERROR(INT((F56-1)/3)+5,"")</f>
        <v>6</v>
      </c>
      <c r="F56" s="1">
        <f t="shared" si="23"/>
        <v>4</v>
      </c>
      <c r="G56" s="1" t="s">
        <v>296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20"/>
        <v>50</v>
      </c>
      <c r="K56" s="1">
        <f t="shared" si="20"/>
        <v>1</v>
      </c>
      <c r="L56" s="1">
        <v>394.03736685854307</v>
      </c>
      <c r="M56" s="1">
        <v>18669.619923959428</v>
      </c>
      <c r="N56" s="1">
        <v>11634.961619838869</v>
      </c>
      <c r="O56" s="8">
        <v>0.4</v>
      </c>
      <c r="P56" s="8">
        <v>1.5</v>
      </c>
      <c r="Q56" s="8">
        <v>1</v>
      </c>
      <c r="R56" s="8"/>
      <c r="S56" s="8">
        <v>10</v>
      </c>
      <c r="T56" s="1">
        <v>5</v>
      </c>
      <c r="U56" s="8">
        <v>2.4999999999999991</v>
      </c>
      <c r="V56" s="6">
        <v>0</v>
      </c>
      <c r="W56" s="6">
        <v>0</v>
      </c>
      <c r="X56" s="54">
        <v>0</v>
      </c>
      <c r="Y56" s="73"/>
    </row>
    <row r="57" spans="1:25" ht="14.25" customHeight="1" x14ac:dyDescent="0.2">
      <c r="C57" s="71"/>
      <c r="D57" s="53" t="str">
        <f t="shared" si="24"/>
        <v/>
      </c>
      <c r="E57" s="1" t="str">
        <f t="shared" si="25"/>
        <v/>
      </c>
      <c r="F57" s="1" t="str">
        <f t="shared" si="23"/>
        <v/>
      </c>
      <c r="H57" s="1" t="str">
        <f>IFERROR(VLOOKUP($G57,角色设定!$R:$S,2,0),"")</f>
        <v/>
      </c>
      <c r="I57" s="1" t="str">
        <f>IFERROR(VLOOKUP(H57,角色设定!$D$9:$E$15,2,0),"")</f>
        <v/>
      </c>
      <c r="J57" s="1" t="str">
        <f t="shared" si="20"/>
        <v/>
      </c>
      <c r="K57" s="1" t="str">
        <f t="shared" si="20"/>
        <v/>
      </c>
      <c r="Y57" s="73"/>
    </row>
    <row r="58" spans="1:25" ht="14.25" customHeight="1" x14ac:dyDescent="0.2">
      <c r="C58" s="71"/>
      <c r="D58" s="53">
        <f t="shared" si="24"/>
        <v>3</v>
      </c>
      <c r="E58" s="1">
        <f t="shared" si="25"/>
        <v>6</v>
      </c>
      <c r="F58" s="1">
        <f t="shared" si="23"/>
        <v>6</v>
      </c>
      <c r="G58" s="1" t="s">
        <v>296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20"/>
        <v>50</v>
      </c>
      <c r="K58" s="1">
        <f t="shared" si="20"/>
        <v>1</v>
      </c>
      <c r="L58" s="1">
        <v>394.03736685854307</v>
      </c>
      <c r="M58" s="1">
        <v>18669.619923959428</v>
      </c>
      <c r="N58" s="1">
        <v>11634.961619838869</v>
      </c>
      <c r="O58" s="8">
        <v>0.4</v>
      </c>
      <c r="P58" s="8">
        <v>1.5</v>
      </c>
      <c r="Q58" s="8">
        <v>1</v>
      </c>
      <c r="R58" s="8"/>
      <c r="S58" s="8">
        <v>10</v>
      </c>
      <c r="T58" s="1">
        <v>5</v>
      </c>
      <c r="U58" s="8">
        <v>2.4999999999999991</v>
      </c>
      <c r="V58" s="6">
        <v>0</v>
      </c>
      <c r="W58" s="6">
        <v>0</v>
      </c>
      <c r="X58" s="54">
        <v>0</v>
      </c>
      <c r="Y58" s="73"/>
    </row>
    <row r="59" spans="1:25" ht="14.25" customHeight="1" x14ac:dyDescent="0.2">
      <c r="C59" s="71"/>
      <c r="D59" s="53" t="str">
        <f t="shared" si="24"/>
        <v/>
      </c>
      <c r="E59" s="1" t="str">
        <f t="shared" si="25"/>
        <v/>
      </c>
      <c r="F59" s="1" t="str">
        <f t="shared" si="23"/>
        <v/>
      </c>
      <c r="H59" s="1" t="str">
        <f>IFERROR(VLOOKUP($G59,角色设定!$R:$S,2,0),"")</f>
        <v/>
      </c>
      <c r="I59" s="1" t="str">
        <f>IFERROR(VLOOKUP(H59,角色设定!$D$9:$E$15,2,0),"")</f>
        <v/>
      </c>
      <c r="J59" s="1" t="str">
        <f t="shared" si="20"/>
        <v/>
      </c>
      <c r="K59" s="1" t="str">
        <f t="shared" si="20"/>
        <v/>
      </c>
      <c r="Y59" s="73"/>
    </row>
    <row r="60" spans="1:25" ht="14.25" customHeight="1" x14ac:dyDescent="0.2">
      <c r="C60" s="71"/>
      <c r="D60" s="53">
        <f t="shared" si="24"/>
        <v>2</v>
      </c>
      <c r="E60" s="1">
        <f t="shared" si="25"/>
        <v>7</v>
      </c>
      <c r="F60" s="1">
        <f t="shared" si="23"/>
        <v>8</v>
      </c>
      <c r="G60" s="1" t="s">
        <v>296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20"/>
        <v>50</v>
      </c>
      <c r="K60" s="1">
        <f t="shared" si="20"/>
        <v>1</v>
      </c>
      <c r="L60" s="1">
        <v>591.05605028781463</v>
      </c>
      <c r="M60" s="1">
        <v>28004.429885939146</v>
      </c>
      <c r="N60" s="1">
        <v>11634.961619838869</v>
      </c>
      <c r="O60" s="8">
        <v>0.4</v>
      </c>
      <c r="P60" s="8">
        <v>1.5</v>
      </c>
      <c r="Q60" s="8">
        <v>1</v>
      </c>
      <c r="R60" s="8"/>
      <c r="S60" s="8">
        <v>10</v>
      </c>
      <c r="T60" s="1">
        <v>5</v>
      </c>
      <c r="U60" s="8">
        <v>2.4999999999999991</v>
      </c>
      <c r="V60" s="6">
        <v>0</v>
      </c>
      <c r="W60" s="6">
        <v>0</v>
      </c>
      <c r="X60" s="54">
        <v>0</v>
      </c>
      <c r="Y60" s="73"/>
    </row>
    <row r="61" spans="1:25" ht="14.25" customHeight="1" x14ac:dyDescent="0.2">
      <c r="C61" s="71"/>
      <c r="D61" s="53" t="str">
        <f t="shared" si="24"/>
        <v/>
      </c>
      <c r="E61" s="1" t="str">
        <f t="shared" si="25"/>
        <v/>
      </c>
      <c r="F61" s="1" t="str">
        <f t="shared" si="23"/>
        <v/>
      </c>
      <c r="H61" s="1" t="str">
        <f>IFERROR(VLOOKUP($G61,角色设定!$R:$S,2,0),"")</f>
        <v/>
      </c>
      <c r="I61" s="1" t="str">
        <f>IFERROR(VLOOKUP(H61,角色设定!$D$9:$E$15,2,0),"")</f>
        <v/>
      </c>
      <c r="J61" s="1" t="str">
        <f t="shared" si="20"/>
        <v/>
      </c>
      <c r="K61" s="1" t="str">
        <f t="shared" si="20"/>
        <v/>
      </c>
      <c r="L61" s="6"/>
      <c r="O61" s="8"/>
      <c r="P61" s="8"/>
      <c r="Q61" s="8"/>
      <c r="R61" s="8"/>
      <c r="S61" s="8"/>
      <c r="U61" s="8"/>
      <c r="V61" s="6"/>
      <c r="W61" s="6"/>
      <c r="X61" s="54"/>
      <c r="Y61" s="73"/>
    </row>
    <row r="62" spans="1:25" ht="14.25" customHeight="1" x14ac:dyDescent="0.2"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2023-03-08T09:02:00Z</dcterms:modified>
</cp:coreProperties>
</file>
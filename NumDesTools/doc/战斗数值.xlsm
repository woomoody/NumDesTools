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13BBA75B-EBA6-46C7-B736-522343A3CC64}" xr6:coauthVersionLast="47" xr6:coauthVersionMax="47" xr10:uidLastSave="{00000000-0000-0000-0000-000000000000}"/>
  <bookViews>
    <workbookView xWindow="-120" yWindow="-120" windowWidth="29040" windowHeight="15720" activeTab="1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8" l="1"/>
  <c r="M14" i="8"/>
  <c r="T6" i="8"/>
  <c r="T7" i="8"/>
  <c r="T8" i="8"/>
  <c r="T9" i="8"/>
  <c r="T10" i="8"/>
  <c r="T5" i="8"/>
  <c r="L19" i="8"/>
  <c r="L15" i="8"/>
  <c r="L16" i="8"/>
  <c r="L17" i="8"/>
  <c r="L18" i="8"/>
  <c r="L14" i="8"/>
  <c r="K14" i="8"/>
  <c r="J14" i="8"/>
  <c r="H25" i="3"/>
  <c r="H26" i="3"/>
  <c r="H24" i="3"/>
  <c r="E24" i="3"/>
  <c r="R21" i="3"/>
  <c r="H23" i="3"/>
  <c r="I15" i="8"/>
  <c r="I16" i="8"/>
  <c r="I17" i="8"/>
  <c r="I18" i="8"/>
  <c r="I19" i="8"/>
  <c r="I14" i="8"/>
  <c r="N5" i="8"/>
  <c r="E23" i="3"/>
  <c r="H16" i="4"/>
  <c r="G16" i="4"/>
  <c r="F16" i="4"/>
  <c r="I26" i="4"/>
  <c r="Y10" i="4"/>
  <c r="H5" i="5"/>
  <c r="F5" i="5"/>
  <c r="F6" i="5"/>
  <c r="G6" i="5" s="1"/>
  <c r="F7" i="5"/>
  <c r="F8" i="5"/>
  <c r="G8" i="5" s="1"/>
  <c r="G7" i="5" l="1"/>
  <c r="D34" i="9"/>
  <c r="J34" i="9"/>
  <c r="F364" i="11"/>
  <c r="F365" i="11"/>
  <c r="F366" i="11"/>
  <c r="G366" i="11"/>
  <c r="P366" i="11" s="1"/>
  <c r="E367" i="11"/>
  <c r="F367" i="11"/>
  <c r="G367" i="11"/>
  <c r="P367" i="11" s="1"/>
  <c r="AA367" i="11" s="1"/>
  <c r="E368" i="11"/>
  <c r="F368" i="11"/>
  <c r="G368" i="11"/>
  <c r="P368" i="11" s="1"/>
  <c r="AA368" i="11" s="1"/>
  <c r="E369" i="11"/>
  <c r="F369" i="11"/>
  <c r="G369" i="11"/>
  <c r="E370" i="11"/>
  <c r="E371" i="11"/>
  <c r="E372" i="11"/>
  <c r="E373" i="11"/>
  <c r="F373" i="11"/>
  <c r="G373" i="11"/>
  <c r="E374" i="11"/>
  <c r="F374" i="11"/>
  <c r="G374" i="11"/>
  <c r="E375" i="11"/>
  <c r="F375" i="11"/>
  <c r="G375" i="11"/>
  <c r="P375" i="11" s="1"/>
  <c r="AA375" i="11" s="1"/>
  <c r="E376" i="11"/>
  <c r="F376" i="11"/>
  <c r="G376" i="11"/>
  <c r="P376" i="11" s="1"/>
  <c r="AA376" i="11" s="1"/>
  <c r="G378" i="11"/>
  <c r="P378" i="11" s="1"/>
  <c r="AA378" i="11" s="1"/>
  <c r="F379" i="11"/>
  <c r="E380" i="11"/>
  <c r="F380" i="11"/>
  <c r="G380" i="11"/>
  <c r="E381" i="11"/>
  <c r="F381" i="11"/>
  <c r="G381" i="11"/>
  <c r="E382" i="11"/>
  <c r="F382" i="11"/>
  <c r="G382" i="11"/>
  <c r="E383" i="11"/>
  <c r="F383" i="11"/>
  <c r="F384" i="11"/>
  <c r="F385" i="11"/>
  <c r="F386" i="11"/>
  <c r="G386" i="11"/>
  <c r="P386" i="11" s="1"/>
  <c r="E387" i="11"/>
  <c r="F387" i="11"/>
  <c r="G387" i="11"/>
  <c r="P387" i="11" s="1"/>
  <c r="AA387" i="11" s="1"/>
  <c r="E388" i="11"/>
  <c r="F388" i="11"/>
  <c r="G388" i="11"/>
  <c r="E389" i="11"/>
  <c r="F389" i="11"/>
  <c r="G389" i="11"/>
  <c r="E390" i="11"/>
  <c r="E391" i="11"/>
  <c r="E392" i="11"/>
  <c r="F392" i="11"/>
  <c r="E393" i="11"/>
  <c r="F393" i="11"/>
  <c r="G393" i="11"/>
  <c r="E394" i="11"/>
  <c r="F394" i="11"/>
  <c r="G394" i="11"/>
  <c r="P394" i="11" s="1"/>
  <c r="AA394" i="11" s="1"/>
  <c r="E395" i="11"/>
  <c r="F395" i="11"/>
  <c r="G395" i="11"/>
  <c r="P395" i="11" s="1"/>
  <c r="AA395" i="11" s="1"/>
  <c r="E396" i="11"/>
  <c r="F396" i="11"/>
  <c r="G396" i="11"/>
  <c r="P396" i="11" s="1"/>
  <c r="AA396" i="11" s="1"/>
  <c r="G398" i="11"/>
  <c r="F399" i="11"/>
  <c r="E400" i="11"/>
  <c r="F400" i="11"/>
  <c r="G400" i="11"/>
  <c r="E401" i="11"/>
  <c r="F401" i="11"/>
  <c r="G401" i="11"/>
  <c r="E402" i="11"/>
  <c r="F402" i="11"/>
  <c r="G402" i="11"/>
  <c r="E403" i="11"/>
  <c r="F403" i="11"/>
  <c r="F404" i="11"/>
  <c r="F405" i="11"/>
  <c r="F406" i="11"/>
  <c r="G406" i="11"/>
  <c r="P406" i="11" s="1"/>
  <c r="AA406" i="11" s="1"/>
  <c r="E407" i="11"/>
  <c r="F407" i="11"/>
  <c r="G407" i="11"/>
  <c r="P407" i="11" s="1"/>
  <c r="AA407" i="11" s="1"/>
  <c r="E408" i="11"/>
  <c r="F408" i="11"/>
  <c r="G408" i="11"/>
  <c r="E409" i="11"/>
  <c r="F409" i="11"/>
  <c r="G409" i="11"/>
  <c r="E410" i="11"/>
  <c r="E411" i="11"/>
  <c r="F411" i="11"/>
  <c r="E412" i="11"/>
  <c r="F412" i="11"/>
  <c r="E413" i="11"/>
  <c r="F413" i="11"/>
  <c r="G413" i="11"/>
  <c r="P413" i="11" s="1"/>
  <c r="AA413" i="11" s="1"/>
  <c r="E414" i="11"/>
  <c r="F414" i="11"/>
  <c r="G414" i="11"/>
  <c r="P414" i="11" s="1"/>
  <c r="AA414" i="11" s="1"/>
  <c r="E415" i="11"/>
  <c r="F415" i="11"/>
  <c r="G415" i="11"/>
  <c r="P415" i="11" s="1"/>
  <c r="AA415" i="11" s="1"/>
  <c r="E416" i="11"/>
  <c r="F416" i="11"/>
  <c r="G416" i="11"/>
  <c r="G418" i="11"/>
  <c r="F419" i="11"/>
  <c r="E420" i="11"/>
  <c r="F420" i="11"/>
  <c r="G420" i="11"/>
  <c r="E421" i="11"/>
  <c r="F421" i="11"/>
  <c r="G421" i="11"/>
  <c r="E422" i="11"/>
  <c r="F422" i="11"/>
  <c r="G422" i="11"/>
  <c r="P422" i="11" s="1"/>
  <c r="AA422" i="11" s="1"/>
  <c r="E423" i="11"/>
  <c r="F423" i="11"/>
  <c r="F424" i="11"/>
  <c r="F425" i="11"/>
  <c r="F426" i="11"/>
  <c r="G426" i="11"/>
  <c r="P426" i="11" s="1"/>
  <c r="E427" i="11"/>
  <c r="F427" i="11"/>
  <c r="G427" i="11"/>
  <c r="E428" i="11"/>
  <c r="F428" i="11"/>
  <c r="G428" i="11"/>
  <c r="E429" i="11"/>
  <c r="F429" i="11"/>
  <c r="G429" i="11"/>
  <c r="E430" i="11"/>
  <c r="E431" i="11"/>
  <c r="F431" i="11"/>
  <c r="E432" i="11"/>
  <c r="F432" i="11"/>
  <c r="E433" i="11"/>
  <c r="F433" i="11"/>
  <c r="G433" i="11"/>
  <c r="P433" i="11" s="1"/>
  <c r="E434" i="11"/>
  <c r="F434" i="11"/>
  <c r="G434" i="11"/>
  <c r="P434" i="11" s="1"/>
  <c r="AA434" i="11" s="1"/>
  <c r="E435" i="11"/>
  <c r="F435" i="11"/>
  <c r="G435" i="11"/>
  <c r="E436" i="11"/>
  <c r="F436" i="11"/>
  <c r="G436" i="11"/>
  <c r="G438" i="11"/>
  <c r="F439" i="11"/>
  <c r="E440" i="11"/>
  <c r="F440" i="11"/>
  <c r="G440" i="11"/>
  <c r="E441" i="11"/>
  <c r="F441" i="11"/>
  <c r="G441" i="11"/>
  <c r="P441" i="11" s="1"/>
  <c r="AA441" i="11" s="1"/>
  <c r="E442" i="11"/>
  <c r="F442" i="11"/>
  <c r="G442" i="11"/>
  <c r="P442" i="11" s="1"/>
  <c r="AA442" i="11" s="1"/>
  <c r="E443" i="11"/>
  <c r="F443" i="11"/>
  <c r="F444" i="11"/>
  <c r="F445" i="11"/>
  <c r="E446" i="11"/>
  <c r="F446" i="11"/>
  <c r="G446" i="11"/>
  <c r="E447" i="11"/>
  <c r="F447" i="11"/>
  <c r="G447" i="11"/>
  <c r="E448" i="11"/>
  <c r="F448" i="11"/>
  <c r="G448" i="11"/>
  <c r="E449" i="11"/>
  <c r="F449" i="11"/>
  <c r="G449" i="11"/>
  <c r="P449" i="11" s="1"/>
  <c r="E450" i="11"/>
  <c r="E451" i="11"/>
  <c r="F451" i="11"/>
  <c r="E452" i="11"/>
  <c r="F452" i="11"/>
  <c r="E453" i="11"/>
  <c r="F453" i="11"/>
  <c r="G453" i="11"/>
  <c r="E454" i="11"/>
  <c r="F454" i="11"/>
  <c r="G454" i="11"/>
  <c r="E455" i="11"/>
  <c r="F455" i="11"/>
  <c r="G455" i="11"/>
  <c r="E456" i="11"/>
  <c r="F456" i="11"/>
  <c r="G456" i="11"/>
  <c r="G458" i="11"/>
  <c r="F459" i="11"/>
  <c r="E460" i="11"/>
  <c r="F460" i="11"/>
  <c r="G460" i="11"/>
  <c r="P460" i="11" s="1"/>
  <c r="AA460" i="11" s="1"/>
  <c r="E461" i="11"/>
  <c r="F461" i="11"/>
  <c r="G461" i="11"/>
  <c r="P461" i="11" s="1"/>
  <c r="AA461" i="11" s="1"/>
  <c r="E462" i="11"/>
  <c r="F462" i="11"/>
  <c r="G462" i="11"/>
  <c r="F363" i="11"/>
  <c r="G363" i="11"/>
  <c r="F361" i="11"/>
  <c r="F370" i="11" s="1"/>
  <c r="G361" i="11"/>
  <c r="G383" i="11" s="1"/>
  <c r="E361" i="11"/>
  <c r="E377" i="11" s="1"/>
  <c r="E251" i="11"/>
  <c r="E252" i="11"/>
  <c r="G252" i="11"/>
  <c r="E253" i="11"/>
  <c r="F253" i="11"/>
  <c r="G253" i="11"/>
  <c r="P253" i="11" s="1"/>
  <c r="AA253" i="11" s="1"/>
  <c r="E254" i="11"/>
  <c r="F254" i="11"/>
  <c r="G254" i="11"/>
  <c r="P254" i="11" s="1"/>
  <c r="AA254" i="11" s="1"/>
  <c r="E255" i="11"/>
  <c r="F255" i="11"/>
  <c r="G255" i="11"/>
  <c r="P255" i="11" s="1"/>
  <c r="AA255" i="11" s="1"/>
  <c r="G256" i="11"/>
  <c r="P256" i="11" s="1"/>
  <c r="AA256" i="11" s="1"/>
  <c r="G257" i="11"/>
  <c r="G258" i="11"/>
  <c r="E259" i="11"/>
  <c r="F259" i="11"/>
  <c r="G259" i="11"/>
  <c r="E260" i="11"/>
  <c r="F260" i="11"/>
  <c r="G260" i="11"/>
  <c r="E261" i="11"/>
  <c r="F261" i="11"/>
  <c r="G261" i="11"/>
  <c r="E262" i="11"/>
  <c r="F262" i="11"/>
  <c r="G265" i="11"/>
  <c r="E266" i="11"/>
  <c r="F266" i="11"/>
  <c r="G266" i="11"/>
  <c r="P266" i="11" s="1"/>
  <c r="AA266" i="11" s="1"/>
  <c r="E267" i="11"/>
  <c r="F267" i="11"/>
  <c r="G267" i="11"/>
  <c r="P267" i="11" s="1"/>
  <c r="AA267" i="11" s="1"/>
  <c r="E268" i="11"/>
  <c r="F268" i="11"/>
  <c r="G268" i="11"/>
  <c r="E269" i="11"/>
  <c r="E270" i="11"/>
  <c r="E271" i="11"/>
  <c r="E272" i="11"/>
  <c r="G272" i="11"/>
  <c r="E273" i="11"/>
  <c r="F273" i="11"/>
  <c r="G273" i="11"/>
  <c r="E274" i="11"/>
  <c r="F274" i="11"/>
  <c r="G274" i="11"/>
  <c r="P274" i="11" s="1"/>
  <c r="AA274" i="11" s="1"/>
  <c r="E275" i="11"/>
  <c r="F275" i="11"/>
  <c r="G275" i="11"/>
  <c r="P275" i="11" s="1"/>
  <c r="AA275" i="11" s="1"/>
  <c r="G276" i="11"/>
  <c r="P276" i="11" s="1"/>
  <c r="AA276" i="11" s="1"/>
  <c r="G277" i="11"/>
  <c r="P277" i="11" s="1"/>
  <c r="AA277" i="11" s="1"/>
  <c r="G278" i="11"/>
  <c r="E279" i="11"/>
  <c r="F279" i="11"/>
  <c r="G279" i="11"/>
  <c r="E280" i="11"/>
  <c r="F280" i="11"/>
  <c r="G280" i="11"/>
  <c r="E281" i="11"/>
  <c r="F281" i="11"/>
  <c r="G281" i="11"/>
  <c r="E282" i="11"/>
  <c r="F282" i="11"/>
  <c r="G285" i="11"/>
  <c r="E286" i="11"/>
  <c r="F286" i="11"/>
  <c r="G286" i="11"/>
  <c r="P286" i="11" s="1"/>
  <c r="AA286" i="11" s="1"/>
  <c r="E287" i="11"/>
  <c r="F287" i="11"/>
  <c r="G287" i="11"/>
  <c r="E288" i="11"/>
  <c r="F288" i="11"/>
  <c r="G288" i="11"/>
  <c r="E289" i="11"/>
  <c r="E290" i="11"/>
  <c r="E291" i="11"/>
  <c r="G291" i="11"/>
  <c r="E292" i="11"/>
  <c r="G292" i="11"/>
  <c r="E293" i="11"/>
  <c r="F293" i="11"/>
  <c r="G293" i="11"/>
  <c r="E294" i="11"/>
  <c r="F294" i="11"/>
  <c r="G294" i="11"/>
  <c r="P294" i="11" s="1"/>
  <c r="AA294" i="11" s="1"/>
  <c r="E295" i="11"/>
  <c r="F295" i="11"/>
  <c r="G295" i="11"/>
  <c r="P295" i="11" s="1"/>
  <c r="AA295" i="11" s="1"/>
  <c r="G296" i="11"/>
  <c r="P296" i="11" s="1"/>
  <c r="AA296" i="11" s="1"/>
  <c r="G297" i="11"/>
  <c r="G298" i="11"/>
  <c r="E299" i="11"/>
  <c r="F299" i="11"/>
  <c r="G299" i="11"/>
  <c r="E300" i="11"/>
  <c r="F300" i="11"/>
  <c r="G300" i="11"/>
  <c r="E301" i="11"/>
  <c r="F301" i="11"/>
  <c r="G301" i="11"/>
  <c r="E302" i="11"/>
  <c r="F302" i="11"/>
  <c r="G305" i="11"/>
  <c r="E306" i="11"/>
  <c r="F306" i="11"/>
  <c r="G306" i="11"/>
  <c r="P306" i="11" s="1"/>
  <c r="AA306" i="11" s="1"/>
  <c r="E307" i="11"/>
  <c r="F307" i="11"/>
  <c r="G307" i="11"/>
  <c r="P307" i="11" s="1"/>
  <c r="AA307" i="11" s="1"/>
  <c r="E308" i="11"/>
  <c r="F308" i="11"/>
  <c r="G308" i="11"/>
  <c r="P308" i="11" s="1"/>
  <c r="AA308" i="11" s="1"/>
  <c r="E309" i="11"/>
  <c r="E310" i="11"/>
  <c r="E311" i="11"/>
  <c r="G311" i="11"/>
  <c r="E312" i="11"/>
  <c r="G312" i="11"/>
  <c r="E313" i="11"/>
  <c r="F313" i="11"/>
  <c r="G313" i="11"/>
  <c r="E314" i="11"/>
  <c r="F314" i="11"/>
  <c r="G314" i="11"/>
  <c r="E315" i="11"/>
  <c r="F315" i="11"/>
  <c r="G315" i="11"/>
  <c r="P315" i="11" s="1"/>
  <c r="AA315" i="11" s="1"/>
  <c r="G316" i="11"/>
  <c r="P316" i="11" s="1"/>
  <c r="AA316" i="11" s="1"/>
  <c r="G317" i="11"/>
  <c r="P317" i="11" s="1"/>
  <c r="AA317" i="11" s="1"/>
  <c r="G318" i="11"/>
  <c r="E319" i="11"/>
  <c r="F319" i="11"/>
  <c r="G319" i="11"/>
  <c r="E320" i="11"/>
  <c r="F320" i="11"/>
  <c r="G320" i="11"/>
  <c r="E321" i="11"/>
  <c r="F321" i="11"/>
  <c r="G321" i="11"/>
  <c r="E322" i="11"/>
  <c r="F322" i="11"/>
  <c r="G323" i="11"/>
  <c r="G325" i="11"/>
  <c r="E326" i="11"/>
  <c r="F326" i="11"/>
  <c r="G326" i="11"/>
  <c r="P326" i="11" s="1"/>
  <c r="AA326" i="11" s="1"/>
  <c r="E327" i="11"/>
  <c r="F327" i="11"/>
  <c r="G327" i="11"/>
  <c r="P327" i="11" s="1"/>
  <c r="AA327" i="11" s="1"/>
  <c r="E328" i="11"/>
  <c r="F328" i="11"/>
  <c r="G328" i="11"/>
  <c r="P328" i="11" s="1"/>
  <c r="AA328" i="11" s="1"/>
  <c r="E329" i="11"/>
  <c r="E330" i="11"/>
  <c r="E331" i="11"/>
  <c r="G331" i="11"/>
  <c r="E332" i="11"/>
  <c r="G332" i="11"/>
  <c r="E333" i="11"/>
  <c r="F333" i="11"/>
  <c r="G333" i="11"/>
  <c r="E334" i="11"/>
  <c r="F334" i="11"/>
  <c r="G334" i="11"/>
  <c r="E335" i="11"/>
  <c r="F335" i="11"/>
  <c r="G335" i="11"/>
  <c r="P335" i="11" s="1"/>
  <c r="AA335" i="11" s="1"/>
  <c r="G336" i="11"/>
  <c r="P336" i="11" s="1"/>
  <c r="AA336" i="11" s="1"/>
  <c r="G337" i="11"/>
  <c r="G338" i="11"/>
  <c r="E339" i="11"/>
  <c r="F339" i="11"/>
  <c r="G339" i="11"/>
  <c r="E340" i="11"/>
  <c r="F340" i="11"/>
  <c r="G340" i="11"/>
  <c r="E341" i="11"/>
  <c r="F341" i="11"/>
  <c r="G341" i="11"/>
  <c r="E342" i="11"/>
  <c r="F342" i="11"/>
  <c r="G343" i="11"/>
  <c r="G345" i="11"/>
  <c r="E346" i="11"/>
  <c r="F346" i="11"/>
  <c r="G346" i="11"/>
  <c r="E347" i="11"/>
  <c r="F347" i="11"/>
  <c r="G347" i="11"/>
  <c r="P347" i="11" s="1"/>
  <c r="AA347" i="11" s="1"/>
  <c r="E348" i="11"/>
  <c r="F348" i="11"/>
  <c r="G348" i="11"/>
  <c r="P348" i="11" s="1"/>
  <c r="E349" i="11"/>
  <c r="G250" i="11"/>
  <c r="F248" i="11"/>
  <c r="F269" i="11" s="1"/>
  <c r="G248" i="11"/>
  <c r="G262" i="11" s="1"/>
  <c r="E248" i="11"/>
  <c r="E256" i="11" s="1"/>
  <c r="J354" i="11"/>
  <c r="G357" i="11"/>
  <c r="G354" i="11"/>
  <c r="G355" i="11" s="1"/>
  <c r="G356" i="11" s="1"/>
  <c r="F357" i="11"/>
  <c r="F356" i="11"/>
  <c r="F355" i="11"/>
  <c r="F354" i="11"/>
  <c r="E357" i="11"/>
  <c r="E356" i="11"/>
  <c r="E355" i="11"/>
  <c r="E354" i="11"/>
  <c r="J241" i="11"/>
  <c r="J242" i="11" s="1"/>
  <c r="G244" i="11"/>
  <c r="G243" i="11"/>
  <c r="G242" i="11"/>
  <c r="G241" i="11"/>
  <c r="F244" i="11"/>
  <c r="F243" i="11"/>
  <c r="F242" i="11"/>
  <c r="F241" i="11"/>
  <c r="E244" i="11"/>
  <c r="E243" i="11"/>
  <c r="E242" i="11"/>
  <c r="E241" i="11"/>
  <c r="G144" i="11"/>
  <c r="E145" i="11"/>
  <c r="F171" i="11"/>
  <c r="E172" i="11"/>
  <c r="E194" i="11"/>
  <c r="F194" i="11"/>
  <c r="G214" i="11"/>
  <c r="P214" i="11" s="1"/>
  <c r="AA214" i="11" s="1"/>
  <c r="E215" i="11"/>
  <c r="G135" i="11"/>
  <c r="G137" i="11" s="1"/>
  <c r="P137" i="11" s="1"/>
  <c r="AA137" i="11" s="1"/>
  <c r="F135" i="11"/>
  <c r="F155" i="11" s="1"/>
  <c r="E135" i="11"/>
  <c r="E142" i="11" s="1"/>
  <c r="E24" i="11"/>
  <c r="F134" i="11"/>
  <c r="E134" i="11"/>
  <c r="J128" i="11"/>
  <c r="J129" i="11" s="1"/>
  <c r="J15" i="11"/>
  <c r="J16" i="11" s="1"/>
  <c r="J17" i="11" s="1"/>
  <c r="J18" i="11" s="1"/>
  <c r="H18" i="11" s="1"/>
  <c r="K18" i="11" s="1"/>
  <c r="F131" i="11"/>
  <c r="F130" i="11"/>
  <c r="F129" i="11"/>
  <c r="F15" i="11"/>
  <c r="F14" i="11"/>
  <c r="F128" i="11"/>
  <c r="G131" i="11"/>
  <c r="G130" i="11"/>
  <c r="G129" i="11"/>
  <c r="G128" i="11"/>
  <c r="G15" i="11"/>
  <c r="G14" i="11"/>
  <c r="E131" i="11"/>
  <c r="E130" i="11"/>
  <c r="E129" i="11"/>
  <c r="E128" i="1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P380" i="11"/>
  <c r="AA380" i="11" s="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P338" i="11"/>
  <c r="AA338" i="11" s="1"/>
  <c r="AE337" i="11"/>
  <c r="AD337" i="11"/>
  <c r="AC337" i="11"/>
  <c r="AB337" i="11"/>
  <c r="P337" i="11"/>
  <c r="AA337" i="11" s="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P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P300" i="11"/>
  <c r="AA300" i="11" s="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P291" i="11"/>
  <c r="AA291" i="11" s="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P265" i="11"/>
  <c r="AA265" i="11" s="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P257" i="11"/>
  <c r="AA257" i="11" s="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P252" i="11"/>
  <c r="AA252" i="11" s="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O54" i="9" s="1"/>
  <c r="AC73" i="11"/>
  <c r="P56" i="9" s="1"/>
  <c r="AD73" i="11"/>
  <c r="Q54" i="9" s="1"/>
  <c r="AE73" i="11"/>
  <c r="S53" i="9" s="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P22" i="11"/>
  <c r="K21" i="11"/>
  <c r="P346" i="11" s="1"/>
  <c r="AA346" i="11" s="1"/>
  <c r="G26" i="11"/>
  <c r="G27" i="11"/>
  <c r="G28" i="11"/>
  <c r="P28" i="11" s="1"/>
  <c r="G29" i="11"/>
  <c r="P29" i="11" s="1"/>
  <c r="G30" i="11"/>
  <c r="P30" i="11" s="1"/>
  <c r="G31" i="11"/>
  <c r="P31" i="11" s="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F22" i="11"/>
  <c r="G22" i="11"/>
  <c r="E22" i="11"/>
  <c r="F10" i="4"/>
  <c r="H15" i="11"/>
  <c r="K15" i="11" s="1"/>
  <c r="H14" i="11"/>
  <c r="K14" i="11" s="1"/>
  <c r="G18" i="11"/>
  <c r="G16" i="11"/>
  <c r="F18" i="11"/>
  <c r="F17" i="11"/>
  <c r="F16" i="11"/>
  <c r="E15" i="11"/>
  <c r="E16" i="11"/>
  <c r="E17" i="11"/>
  <c r="E18" i="11"/>
  <c r="E14" i="11"/>
  <c r="E25" i="3"/>
  <c r="G23" i="3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F25" i="3"/>
  <c r="F24" i="3"/>
  <c r="F23" i="3"/>
  <c r="P334" i="11" l="1"/>
  <c r="AA334" i="11" s="1"/>
  <c r="P314" i="11"/>
  <c r="AA314" i="11" s="1"/>
  <c r="P285" i="11"/>
  <c r="AA285" i="11" s="1"/>
  <c r="P374" i="11"/>
  <c r="AA374" i="11" s="1"/>
  <c r="P107" i="11"/>
  <c r="P87" i="11"/>
  <c r="P67" i="11"/>
  <c r="P47" i="11"/>
  <c r="AA47" i="11" s="1"/>
  <c r="P27" i="11"/>
  <c r="AA27" i="11" s="1"/>
  <c r="P144" i="11"/>
  <c r="AA144" i="11" s="1"/>
  <c r="P345" i="11"/>
  <c r="AA345" i="11" s="1"/>
  <c r="P325" i="11"/>
  <c r="AA325" i="11" s="1"/>
  <c r="P305" i="11"/>
  <c r="AA305" i="11" s="1"/>
  <c r="P273" i="11"/>
  <c r="AA273" i="11" s="1"/>
  <c r="P261" i="11"/>
  <c r="AA261" i="11" s="1"/>
  <c r="P458" i="11"/>
  <c r="AA458" i="11" s="1"/>
  <c r="P440" i="11"/>
  <c r="AA440" i="11" s="1"/>
  <c r="P421" i="11"/>
  <c r="AA421" i="11" s="1"/>
  <c r="P402" i="11"/>
  <c r="AA402" i="11" s="1"/>
  <c r="P393" i="11"/>
  <c r="P106" i="11"/>
  <c r="P86" i="11"/>
  <c r="P66" i="11"/>
  <c r="P46" i="11"/>
  <c r="P26" i="11"/>
  <c r="AA26" i="11" s="1"/>
  <c r="P258" i="11"/>
  <c r="AA258" i="11" s="1"/>
  <c r="P287" i="11"/>
  <c r="AA287" i="11" s="1"/>
  <c r="K134" i="11"/>
  <c r="P343" i="11"/>
  <c r="AA343" i="11" s="1"/>
  <c r="P323" i="11"/>
  <c r="AA323" i="11" s="1"/>
  <c r="P293" i="11"/>
  <c r="AA293" i="11" s="1"/>
  <c r="P456" i="11"/>
  <c r="AA456" i="11" s="1"/>
  <c r="P448" i="11"/>
  <c r="AA448" i="11" s="1"/>
  <c r="K360" i="11"/>
  <c r="P292" i="11"/>
  <c r="AA292" i="11" s="1"/>
  <c r="P311" i="11"/>
  <c r="AA311" i="11" s="1"/>
  <c r="P301" i="11"/>
  <c r="AA301" i="11" s="1"/>
  <c r="P272" i="11"/>
  <c r="AA272" i="11" s="1"/>
  <c r="P420" i="11"/>
  <c r="AA420" i="11" s="1"/>
  <c r="P401" i="11"/>
  <c r="AA401" i="11" s="1"/>
  <c r="P278" i="11"/>
  <c r="AA278" i="11" s="1"/>
  <c r="P297" i="11"/>
  <c r="AA297" i="11" s="1"/>
  <c r="P341" i="11"/>
  <c r="AA341" i="11" s="1"/>
  <c r="P321" i="11"/>
  <c r="AA321" i="11" s="1"/>
  <c r="K247" i="11"/>
  <c r="P455" i="11"/>
  <c r="AA455" i="11" s="1"/>
  <c r="P447" i="11"/>
  <c r="AA447" i="11" s="1"/>
  <c r="P438" i="11"/>
  <c r="AA438" i="11" s="1"/>
  <c r="P65" i="11"/>
  <c r="AA65" i="11" s="1"/>
  <c r="P313" i="11"/>
  <c r="AA313" i="11" s="1"/>
  <c r="P429" i="11"/>
  <c r="AA429" i="11" s="1"/>
  <c r="P84" i="11"/>
  <c r="P103" i="11"/>
  <c r="P62" i="11"/>
  <c r="AA62" i="11" s="1"/>
  <c r="P331" i="11"/>
  <c r="AA331" i="11" s="1"/>
  <c r="P340" i="11"/>
  <c r="AA340" i="11" s="1"/>
  <c r="P312" i="11"/>
  <c r="AA312" i="11" s="1"/>
  <c r="P280" i="11"/>
  <c r="AA280" i="11" s="1"/>
  <c r="P436" i="11"/>
  <c r="AA436" i="11" s="1"/>
  <c r="P428" i="11"/>
  <c r="AA428" i="11" s="1"/>
  <c r="P409" i="11"/>
  <c r="AA409" i="11" s="1"/>
  <c r="P381" i="11"/>
  <c r="AA381" i="11" s="1"/>
  <c r="P105" i="11"/>
  <c r="P281" i="11"/>
  <c r="AA281" i="11" s="1"/>
  <c r="P382" i="11"/>
  <c r="AA382" i="11" s="1"/>
  <c r="P64" i="11"/>
  <c r="P43" i="11"/>
  <c r="AA43" i="11" s="1"/>
  <c r="P122" i="11"/>
  <c r="P121" i="11"/>
  <c r="P101" i="11"/>
  <c r="AA101" i="11" s="1"/>
  <c r="P81" i="11"/>
  <c r="AA81" i="11" s="1"/>
  <c r="P61" i="11"/>
  <c r="AA61" i="11" s="1"/>
  <c r="P41" i="11"/>
  <c r="AA41" i="11" s="1"/>
  <c r="P259" i="11"/>
  <c r="AA259" i="11" s="1"/>
  <c r="P383" i="11"/>
  <c r="AA383" i="11" s="1"/>
  <c r="P400" i="11"/>
  <c r="AA400" i="11" s="1"/>
  <c r="P333" i="11"/>
  <c r="AA333" i="11" s="1"/>
  <c r="P44" i="11"/>
  <c r="AA44" i="11" s="1"/>
  <c r="P63" i="11"/>
  <c r="AA63" i="11" s="1"/>
  <c r="P262" i="11"/>
  <c r="AA262" i="11" s="1"/>
  <c r="P320" i="11"/>
  <c r="AA320" i="11" s="1"/>
  <c r="P454" i="11"/>
  <c r="AA454" i="11" s="1"/>
  <c r="P446" i="11"/>
  <c r="AA446" i="11" s="1"/>
  <c r="P418" i="11"/>
  <c r="AA418" i="11" s="1"/>
  <c r="P389" i="11"/>
  <c r="AA389" i="11" s="1"/>
  <c r="P24" i="11"/>
  <c r="AA24" i="11" s="1"/>
  <c r="P45" i="11"/>
  <c r="P373" i="11"/>
  <c r="P123" i="11"/>
  <c r="AA123" i="11" s="1"/>
  <c r="P82" i="11"/>
  <c r="AA82" i="11" s="1"/>
  <c r="P100" i="11"/>
  <c r="AA100" i="11" s="1"/>
  <c r="P40" i="11"/>
  <c r="P119" i="11"/>
  <c r="P99" i="11"/>
  <c r="AA99" i="11" s="1"/>
  <c r="P79" i="11"/>
  <c r="AA79" i="11" s="1"/>
  <c r="P59" i="11"/>
  <c r="AA59" i="11" s="1"/>
  <c r="P39" i="11"/>
  <c r="AA39" i="11" s="1"/>
  <c r="P279" i="11"/>
  <c r="AA279" i="11" s="1"/>
  <c r="P268" i="11"/>
  <c r="AA268" i="11" s="1"/>
  <c r="P363" i="11"/>
  <c r="P435" i="11"/>
  <c r="AA435" i="11" s="1"/>
  <c r="P427" i="11"/>
  <c r="AA427" i="11" s="1"/>
  <c r="P416" i="11"/>
  <c r="AA416" i="11" s="1"/>
  <c r="P408" i="11"/>
  <c r="AA408" i="11" s="1"/>
  <c r="P369" i="11"/>
  <c r="AA369" i="11" s="1"/>
  <c r="P104" i="11"/>
  <c r="P83" i="11"/>
  <c r="P42" i="11"/>
  <c r="AA42" i="11" s="1"/>
  <c r="P80" i="11"/>
  <c r="AA80" i="11" s="1"/>
  <c r="P118" i="11"/>
  <c r="AA118" i="11" s="1"/>
  <c r="P98" i="11"/>
  <c r="AA98" i="11" s="1"/>
  <c r="P78" i="11"/>
  <c r="P58" i="11"/>
  <c r="AA58" i="11" s="1"/>
  <c r="P38" i="11"/>
  <c r="AA38" i="11" s="1"/>
  <c r="P298" i="11"/>
  <c r="AA298" i="11" s="1"/>
  <c r="P250" i="11"/>
  <c r="AA250" i="11" s="1"/>
  <c r="P299" i="11"/>
  <c r="AA299" i="11" s="1"/>
  <c r="P25" i="11"/>
  <c r="P21" i="11" s="1"/>
  <c r="P102" i="11"/>
  <c r="P120" i="11"/>
  <c r="P60" i="11"/>
  <c r="P117" i="11"/>
  <c r="P97" i="11"/>
  <c r="P77" i="11"/>
  <c r="P57" i="11"/>
  <c r="P37" i="11"/>
  <c r="P260" i="11"/>
  <c r="AA260" i="11" s="1"/>
  <c r="P332" i="11"/>
  <c r="AA332" i="11" s="1"/>
  <c r="P339" i="11"/>
  <c r="AA339" i="11" s="1"/>
  <c r="P319" i="11"/>
  <c r="AA319" i="11" s="1"/>
  <c r="P288" i="11"/>
  <c r="AA288" i="11" s="1"/>
  <c r="P462" i="11"/>
  <c r="AA462" i="11" s="1"/>
  <c r="P453" i="11"/>
  <c r="AA453" i="11" s="1"/>
  <c r="P398" i="11"/>
  <c r="AA398" i="11" s="1"/>
  <c r="P388" i="11"/>
  <c r="AA388" i="11" s="1"/>
  <c r="F232" i="11"/>
  <c r="E212" i="11"/>
  <c r="E186" i="11"/>
  <c r="F159" i="11"/>
  <c r="F160" i="11"/>
  <c r="F332" i="11"/>
  <c r="F292" i="11"/>
  <c r="F272" i="11"/>
  <c r="F252" i="11"/>
  <c r="F165" i="11"/>
  <c r="G185" i="11"/>
  <c r="P185" i="11" s="1"/>
  <c r="AA185" i="11" s="1"/>
  <c r="F205" i="1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F345" i="11"/>
  <c r="F325" i="11"/>
  <c r="F305" i="11"/>
  <c r="F285" i="11"/>
  <c r="F265" i="1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G379" i="11"/>
  <c r="P379" i="11" s="1"/>
  <c r="AA379" i="11" s="1"/>
  <c r="F188" i="11"/>
  <c r="E141" i="11"/>
  <c r="F138" i="11"/>
  <c r="F208" i="11"/>
  <c r="F228" i="11"/>
  <c r="F158" i="11"/>
  <c r="F312" i="11"/>
  <c r="F227" i="11"/>
  <c r="G201" i="11"/>
  <c r="P201" i="11" s="1"/>
  <c r="AA201" i="11" s="1"/>
  <c r="F179" i="11"/>
  <c r="E155" i="11"/>
  <c r="E345" i="11"/>
  <c r="F338" i="11"/>
  <c r="E325" i="11"/>
  <c r="F318" i="11"/>
  <c r="E305" i="11"/>
  <c r="F298" i="11"/>
  <c r="E285" i="11"/>
  <c r="F278" i="11"/>
  <c r="G271" i="11"/>
  <c r="P271" i="11" s="1"/>
  <c r="AA271" i="11" s="1"/>
  <c r="E265" i="11"/>
  <c r="F258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F139" i="11"/>
  <c r="G160" i="11"/>
  <c r="P160" i="11" s="1"/>
  <c r="AA160" i="11" s="1"/>
  <c r="F212" i="11"/>
  <c r="F231" i="11"/>
  <c r="E185" i="11"/>
  <c r="E227" i="11"/>
  <c r="E201" i="11"/>
  <c r="E179" i="11"/>
  <c r="E154" i="11"/>
  <c r="G344" i="11"/>
  <c r="P344" i="11" s="1"/>
  <c r="AA344" i="11" s="1"/>
  <c r="E338" i="11"/>
  <c r="F331" i="11"/>
  <c r="G324" i="11"/>
  <c r="P324" i="11" s="1"/>
  <c r="AA324" i="11" s="1"/>
  <c r="E318" i="11"/>
  <c r="F311" i="11"/>
  <c r="G304" i="11"/>
  <c r="P304" i="11" s="1"/>
  <c r="AA304" i="11" s="1"/>
  <c r="E298" i="11"/>
  <c r="F291" i="11"/>
  <c r="G284" i="11"/>
  <c r="P284" i="11" s="1"/>
  <c r="AA284" i="11" s="1"/>
  <c r="E278" i="11"/>
  <c r="F271" i="11"/>
  <c r="G264" i="11"/>
  <c r="P264" i="11" s="1"/>
  <c r="AA264" i="11" s="1"/>
  <c r="E258" i="11"/>
  <c r="F251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G385" i="11"/>
  <c r="P385" i="11" s="1"/>
  <c r="AA385" i="11" s="1"/>
  <c r="E379" i="11"/>
  <c r="F372" i="11"/>
  <c r="G365" i="11"/>
  <c r="P365" i="11" s="1"/>
  <c r="AA365" i="11" s="1"/>
  <c r="G200" i="11"/>
  <c r="P200" i="11" s="1"/>
  <c r="AA200" i="11" s="1"/>
  <c r="F144" i="1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F185" i="11"/>
  <c r="G226" i="11"/>
  <c r="P226" i="11" s="1"/>
  <c r="AA226" i="11" s="1"/>
  <c r="G153" i="11"/>
  <c r="P153" i="11" s="1"/>
  <c r="AA153" i="11" s="1"/>
  <c r="F324" i="11"/>
  <c r="F284" i="11"/>
  <c r="F264" i="11"/>
  <c r="E226" i="11"/>
  <c r="F200" i="11"/>
  <c r="F174" i="11"/>
  <c r="E152" i="11"/>
  <c r="E250" i="11"/>
  <c r="N250" i="11" s="1"/>
  <c r="E344" i="11"/>
  <c r="F337" i="11"/>
  <c r="G330" i="11"/>
  <c r="P330" i="11" s="1"/>
  <c r="AA330" i="11" s="1"/>
  <c r="E324" i="11"/>
  <c r="F317" i="11"/>
  <c r="G310" i="11"/>
  <c r="P310" i="11" s="1"/>
  <c r="AA310" i="11" s="1"/>
  <c r="E304" i="11"/>
  <c r="F297" i="11"/>
  <c r="G290" i="11"/>
  <c r="P290" i="11" s="1"/>
  <c r="AA290" i="11" s="1"/>
  <c r="E284" i="11"/>
  <c r="F277" i="11"/>
  <c r="G270" i="11"/>
  <c r="P270" i="11" s="1"/>
  <c r="AA270" i="11" s="1"/>
  <c r="E264" i="11"/>
  <c r="F257" i="11"/>
  <c r="F458" i="11"/>
  <c r="G451" i="11"/>
  <c r="P451" i="11" s="1"/>
  <c r="AA451" i="11" s="1"/>
  <c r="E445" i="11"/>
  <c r="F438" i="11"/>
  <c r="G431" i="11"/>
  <c r="P431" i="11" s="1"/>
  <c r="AA431" i="11" s="1"/>
  <c r="E425" i="11"/>
  <c r="F418" i="11"/>
  <c r="G411" i="11"/>
  <c r="P411" i="11" s="1"/>
  <c r="AA411" i="11" s="1"/>
  <c r="E405" i="11"/>
  <c r="F398" i="11"/>
  <c r="G391" i="11"/>
  <c r="P391" i="11" s="1"/>
  <c r="AA391" i="11" s="1"/>
  <c r="E385" i="11"/>
  <c r="F378" i="11"/>
  <c r="G371" i="11"/>
  <c r="P371" i="11" s="1"/>
  <c r="E365" i="11"/>
  <c r="F304" i="11"/>
  <c r="E225" i="11"/>
  <c r="F199" i="11"/>
  <c r="E174" i="11"/>
  <c r="G146" i="11"/>
  <c r="P146" i="11" s="1"/>
  <c r="AA146" i="11" s="1"/>
  <c r="E337" i="11"/>
  <c r="F330" i="11"/>
  <c r="E317" i="11"/>
  <c r="F310" i="11"/>
  <c r="G303" i="11"/>
  <c r="P303" i="11" s="1"/>
  <c r="AA303" i="11" s="1"/>
  <c r="E297" i="11"/>
  <c r="F290" i="11"/>
  <c r="G283" i="11"/>
  <c r="P283" i="11" s="1"/>
  <c r="AA283" i="11" s="1"/>
  <c r="E277" i="11"/>
  <c r="F270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F391" i="11"/>
  <c r="G384" i="11"/>
  <c r="P384" i="11" s="1"/>
  <c r="AA384" i="11" s="1"/>
  <c r="E378" i="11"/>
  <c r="F371" i="11"/>
  <c r="G364" i="11"/>
  <c r="P364" i="11" s="1"/>
  <c r="AA364" i="11" s="1"/>
  <c r="E221" i="11"/>
  <c r="E199" i="11"/>
  <c r="G173" i="11"/>
  <c r="P173" i="11" s="1"/>
  <c r="AA173" i="11" s="1"/>
  <c r="E146" i="11"/>
  <c r="F250" i="11"/>
  <c r="F343" i="11"/>
  <c r="F323" i="11"/>
  <c r="F303" i="11"/>
  <c r="F283" i="11"/>
  <c r="F263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F214" i="11"/>
  <c r="E235" i="11"/>
  <c r="E187" i="11"/>
  <c r="E234" i="11"/>
  <c r="G158" i="11"/>
  <c r="P158" i="11" s="1"/>
  <c r="AA158" i="11" s="1"/>
  <c r="F344" i="11"/>
  <c r="F220" i="11"/>
  <c r="F198" i="1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F336" i="11"/>
  <c r="G329" i="11"/>
  <c r="P329" i="11" s="1"/>
  <c r="AA329" i="11" s="1"/>
  <c r="E323" i="11"/>
  <c r="F316" i="11"/>
  <c r="G309" i="11"/>
  <c r="P309" i="11" s="1"/>
  <c r="AA309" i="11" s="1"/>
  <c r="E303" i="11"/>
  <c r="F296" i="11"/>
  <c r="G289" i="11"/>
  <c r="P289" i="11" s="1"/>
  <c r="AA289" i="11" s="1"/>
  <c r="E283" i="11"/>
  <c r="F276" i="11"/>
  <c r="G269" i="11"/>
  <c r="P269" i="11" s="1"/>
  <c r="AA269" i="11" s="1"/>
  <c r="E263" i="11"/>
  <c r="F256" i="11"/>
  <c r="F457" i="11"/>
  <c r="G450" i="11"/>
  <c r="P450" i="11" s="1"/>
  <c r="AA450" i="11" s="1"/>
  <c r="E444" i="11"/>
  <c r="F437" i="11"/>
  <c r="G430" i="11"/>
  <c r="P430" i="11" s="1"/>
  <c r="AA430" i="11" s="1"/>
  <c r="E424" i="11"/>
  <c r="F417" i="11"/>
  <c r="G410" i="11"/>
  <c r="P410" i="11" s="1"/>
  <c r="AA410" i="11" s="1"/>
  <c r="E404" i="11"/>
  <c r="F397" i="11"/>
  <c r="G390" i="11"/>
  <c r="P390" i="11" s="1"/>
  <c r="AA390" i="11" s="1"/>
  <c r="E384" i="11"/>
  <c r="F377" i="11"/>
  <c r="G370" i="11"/>
  <c r="P370" i="11" s="1"/>
  <c r="E364" i="11"/>
  <c r="F167" i="11"/>
  <c r="G187" i="11"/>
  <c r="P187" i="11" s="1"/>
  <c r="AA187" i="11" s="1"/>
  <c r="E166" i="11"/>
  <c r="F187" i="11"/>
  <c r="F234" i="11"/>
  <c r="E159" i="11"/>
  <c r="E207" i="11"/>
  <c r="G174" i="11"/>
  <c r="P174" i="11" s="1"/>
  <c r="AA174" i="11" s="1"/>
  <c r="G217" i="11"/>
  <c r="P217" i="11" s="1"/>
  <c r="AA217" i="11" s="1"/>
  <c r="E195" i="11"/>
  <c r="F172" i="11"/>
  <c r="F145" i="11"/>
  <c r="F349" i="11"/>
  <c r="G342" i="11"/>
  <c r="P342" i="11" s="1"/>
  <c r="AA342" i="11" s="1"/>
  <c r="E336" i="11"/>
  <c r="F329" i="11"/>
  <c r="G322" i="11"/>
  <c r="P322" i="11" s="1"/>
  <c r="AA322" i="11" s="1"/>
  <c r="E316" i="11"/>
  <c r="F309" i="11"/>
  <c r="G302" i="11"/>
  <c r="P302" i="11" s="1"/>
  <c r="AA302" i="11" s="1"/>
  <c r="E296" i="11"/>
  <c r="F289" i="11"/>
  <c r="G282" i="11"/>
  <c r="P282" i="11" s="1"/>
  <c r="AA282" i="11" s="1"/>
  <c r="E276" i="11"/>
  <c r="N276" i="11" s="1"/>
  <c r="Y276" i="11" s="1"/>
  <c r="E363" i="11"/>
  <c r="E457" i="11"/>
  <c r="F450" i="11"/>
  <c r="G443" i="11"/>
  <c r="P443" i="11" s="1"/>
  <c r="AA443" i="11" s="1"/>
  <c r="E437" i="11"/>
  <c r="F430" i="11"/>
  <c r="G423" i="11"/>
  <c r="P423" i="11" s="1"/>
  <c r="AA423" i="11" s="1"/>
  <c r="E417" i="11"/>
  <c r="F410" i="11"/>
  <c r="G403" i="11"/>
  <c r="P403" i="11" s="1"/>
  <c r="AA403" i="11" s="1"/>
  <c r="E397" i="11"/>
  <c r="F390" i="11"/>
  <c r="G225" i="11"/>
  <c r="P225" i="11" s="1"/>
  <c r="AA225" i="11" s="1"/>
  <c r="F225" i="11"/>
  <c r="G211" i="11"/>
  <c r="P211" i="11" s="1"/>
  <c r="AA211" i="11" s="1"/>
  <c r="G197" i="11"/>
  <c r="P197" i="11" s="1"/>
  <c r="AA197" i="11" s="1"/>
  <c r="G184" i="11"/>
  <c r="P184" i="11" s="1"/>
  <c r="AA184" i="11" s="1"/>
  <c r="F168" i="11"/>
  <c r="F154" i="1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G154" i="11"/>
  <c r="P154" i="11" s="1"/>
  <c r="AA154" i="11" s="1"/>
  <c r="F211" i="11"/>
  <c r="G181" i="11"/>
  <c r="P181" i="11" s="1"/>
  <c r="AA181" i="11" s="1"/>
  <c r="G167" i="11"/>
  <c r="P167" i="11" s="1"/>
  <c r="AA167" i="11" s="1"/>
  <c r="F140" i="1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F207" i="11"/>
  <c r="F180" i="11"/>
  <c r="F152" i="11"/>
  <c r="G138" i="11"/>
  <c r="P138" i="11" s="1"/>
  <c r="AA138" i="11" s="1"/>
  <c r="G233" i="11"/>
  <c r="P233" i="11" s="1"/>
  <c r="AA233" i="11" s="1"/>
  <c r="F219" i="11"/>
  <c r="E206" i="11"/>
  <c r="F192" i="11"/>
  <c r="G178" i="11"/>
  <c r="P178" i="11" s="1"/>
  <c r="AA178" i="11" s="1"/>
  <c r="E165" i="11"/>
  <c r="N165" i="11" s="1"/>
  <c r="Y165" i="11" s="1"/>
  <c r="F151" i="1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F178" i="11"/>
  <c r="G164" i="11"/>
  <c r="P164" i="11" s="1"/>
  <c r="AA164" i="11" s="1"/>
  <c r="F148" i="1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F218" i="11"/>
  <c r="E205" i="11"/>
  <c r="F191" i="11"/>
  <c r="E175" i="11"/>
  <c r="E161" i="11"/>
  <c r="F147" i="11"/>
  <c r="E228" i="11"/>
  <c r="F221" i="11"/>
  <c r="E208" i="11"/>
  <c r="F201" i="11"/>
  <c r="E188" i="11"/>
  <c r="F181" i="11"/>
  <c r="E168" i="11"/>
  <c r="F161" i="11"/>
  <c r="E148" i="11"/>
  <c r="F141" i="11"/>
  <c r="E167" i="11"/>
  <c r="E147" i="11"/>
  <c r="F233" i="11"/>
  <c r="E220" i="11"/>
  <c r="F213" i="11"/>
  <c r="E200" i="11"/>
  <c r="F193" i="11"/>
  <c r="E180" i="11"/>
  <c r="F173" i="11"/>
  <c r="E160" i="11"/>
  <c r="F153" i="11"/>
  <c r="E140" i="11"/>
  <c r="E233" i="11"/>
  <c r="F226" i="11"/>
  <c r="G219" i="11"/>
  <c r="P219" i="11" s="1"/>
  <c r="AA219" i="11" s="1"/>
  <c r="E213" i="11"/>
  <c r="F206" i="11"/>
  <c r="G199" i="11"/>
  <c r="P199" i="11" s="1"/>
  <c r="AA199" i="11" s="1"/>
  <c r="E193" i="11"/>
  <c r="F186" i="11"/>
  <c r="G179" i="11"/>
  <c r="P179" i="11" s="1"/>
  <c r="AA179" i="11" s="1"/>
  <c r="E173" i="11"/>
  <c r="F166" i="11"/>
  <c r="G159" i="11"/>
  <c r="P159" i="11" s="1"/>
  <c r="AA159" i="11" s="1"/>
  <c r="E153" i="11"/>
  <c r="F146" i="11"/>
  <c r="G139" i="11"/>
  <c r="P139" i="11" s="1"/>
  <c r="AA139" i="11" s="1"/>
  <c r="E231" i="11"/>
  <c r="E191" i="11"/>
  <c r="G230" i="11"/>
  <c r="P230" i="11" s="1"/>
  <c r="AA230" i="11" s="1"/>
  <c r="E224" i="11"/>
  <c r="F217" i="11"/>
  <c r="G210" i="11"/>
  <c r="P210" i="11" s="1"/>
  <c r="AA210" i="11" s="1"/>
  <c r="E204" i="11"/>
  <c r="F197" i="11"/>
  <c r="G190" i="11"/>
  <c r="P190" i="11" s="1"/>
  <c r="AA190" i="11" s="1"/>
  <c r="E184" i="11"/>
  <c r="F177" i="11"/>
  <c r="G170" i="11"/>
  <c r="P170" i="11" s="1"/>
  <c r="AA170" i="11" s="1"/>
  <c r="E164" i="11"/>
  <c r="F157" i="11"/>
  <c r="G150" i="11"/>
  <c r="P150" i="11" s="1"/>
  <c r="AA150" i="11" s="1"/>
  <c r="E144" i="11"/>
  <c r="F230" i="11"/>
  <c r="G223" i="11"/>
  <c r="P223" i="11" s="1"/>
  <c r="AA223" i="11" s="1"/>
  <c r="E217" i="11"/>
  <c r="F210" i="11"/>
  <c r="G203" i="11"/>
  <c r="P203" i="11" s="1"/>
  <c r="AA203" i="11" s="1"/>
  <c r="E197" i="11"/>
  <c r="F190" i="11"/>
  <c r="G183" i="11"/>
  <c r="P183" i="11" s="1"/>
  <c r="AA183" i="11" s="1"/>
  <c r="E177" i="11"/>
  <c r="F170" i="11"/>
  <c r="G163" i="11"/>
  <c r="P163" i="11" s="1"/>
  <c r="AA163" i="11" s="1"/>
  <c r="E157" i="11"/>
  <c r="F150" i="11"/>
  <c r="G143" i="11"/>
  <c r="P143" i="11" s="1"/>
  <c r="AA143" i="11" s="1"/>
  <c r="E151" i="11"/>
  <c r="G236" i="11"/>
  <c r="P236" i="11" s="1"/>
  <c r="AA236" i="11" s="1"/>
  <c r="E230" i="11"/>
  <c r="F223" i="11"/>
  <c r="G216" i="11"/>
  <c r="P216" i="11" s="1"/>
  <c r="AA216" i="11" s="1"/>
  <c r="E210" i="11"/>
  <c r="F203" i="11"/>
  <c r="G196" i="11"/>
  <c r="P196" i="11" s="1"/>
  <c r="AA196" i="11" s="1"/>
  <c r="E190" i="11"/>
  <c r="F183" i="11"/>
  <c r="G176" i="11"/>
  <c r="P176" i="11" s="1"/>
  <c r="AA176" i="11" s="1"/>
  <c r="E170" i="11"/>
  <c r="F163" i="11"/>
  <c r="G156" i="11"/>
  <c r="P156" i="11" s="1"/>
  <c r="AA156" i="11" s="1"/>
  <c r="E150" i="11"/>
  <c r="F143" i="11"/>
  <c r="E178" i="11"/>
  <c r="E138" i="11"/>
  <c r="F236" i="11"/>
  <c r="G229" i="11"/>
  <c r="P229" i="11" s="1"/>
  <c r="AA229" i="11" s="1"/>
  <c r="E223" i="11"/>
  <c r="F216" i="11"/>
  <c r="G209" i="11"/>
  <c r="P209" i="11" s="1"/>
  <c r="AA209" i="11" s="1"/>
  <c r="E203" i="11"/>
  <c r="F196" i="11"/>
  <c r="G189" i="11"/>
  <c r="P189" i="11" s="1"/>
  <c r="AA189" i="11" s="1"/>
  <c r="E183" i="11"/>
  <c r="F176" i="11"/>
  <c r="G169" i="11"/>
  <c r="P169" i="11" s="1"/>
  <c r="AA169" i="11" s="1"/>
  <c r="E163" i="11"/>
  <c r="F156" i="11"/>
  <c r="G149" i="11"/>
  <c r="P149" i="11" s="1"/>
  <c r="AA149" i="11" s="1"/>
  <c r="E143" i="11"/>
  <c r="E171" i="11"/>
  <c r="E236" i="11"/>
  <c r="F229" i="11"/>
  <c r="G222" i="11"/>
  <c r="P222" i="11" s="1"/>
  <c r="AA222" i="11" s="1"/>
  <c r="E216" i="11"/>
  <c r="F209" i="11"/>
  <c r="G202" i="11"/>
  <c r="P202" i="11" s="1"/>
  <c r="AA202" i="11" s="1"/>
  <c r="E196" i="11"/>
  <c r="F189" i="11"/>
  <c r="G182" i="11"/>
  <c r="P182" i="11" s="1"/>
  <c r="AA182" i="11" s="1"/>
  <c r="E176" i="11"/>
  <c r="F169" i="11"/>
  <c r="G162" i="11"/>
  <c r="P162" i="11" s="1"/>
  <c r="AA162" i="11" s="1"/>
  <c r="E156" i="11"/>
  <c r="F149" i="11"/>
  <c r="G142" i="11"/>
  <c r="P142" i="11" s="1"/>
  <c r="AA142" i="11" s="1"/>
  <c r="E137" i="11"/>
  <c r="E158" i="11"/>
  <c r="E211" i="11"/>
  <c r="F164" i="11"/>
  <c r="G235" i="11"/>
  <c r="P235" i="11" s="1"/>
  <c r="AA235" i="11" s="1"/>
  <c r="E229" i="11"/>
  <c r="F222" i="11"/>
  <c r="G215" i="11"/>
  <c r="P215" i="11" s="1"/>
  <c r="AA215" i="11" s="1"/>
  <c r="E209" i="11"/>
  <c r="F202" i="11"/>
  <c r="G195" i="11"/>
  <c r="P195" i="11" s="1"/>
  <c r="AA195" i="11" s="1"/>
  <c r="E189" i="11"/>
  <c r="F182" i="11"/>
  <c r="G175" i="11"/>
  <c r="P175" i="11" s="1"/>
  <c r="AA175" i="11" s="1"/>
  <c r="E169" i="11"/>
  <c r="F162" i="11"/>
  <c r="G155" i="11"/>
  <c r="P155" i="11" s="1"/>
  <c r="AA155" i="11" s="1"/>
  <c r="E149" i="11"/>
  <c r="F142" i="11"/>
  <c r="F137" i="11"/>
  <c r="E218" i="11"/>
  <c r="E198" i="11"/>
  <c r="F224" i="11"/>
  <c r="F204" i="11"/>
  <c r="F184" i="11"/>
  <c r="F235" i="11"/>
  <c r="G228" i="11"/>
  <c r="P228" i="11" s="1"/>
  <c r="AA228" i="11" s="1"/>
  <c r="E222" i="11"/>
  <c r="F215" i="11"/>
  <c r="G208" i="11"/>
  <c r="P208" i="11" s="1"/>
  <c r="AA208" i="11" s="1"/>
  <c r="E202" i="11"/>
  <c r="F195" i="11"/>
  <c r="G188" i="11"/>
  <c r="P188" i="11" s="1"/>
  <c r="AA188" i="11" s="1"/>
  <c r="E182" i="11"/>
  <c r="F175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H16" i="11"/>
  <c r="K16" i="11" s="1"/>
  <c r="J19" i="11"/>
  <c r="E21" i="11" s="1"/>
  <c r="N459" i="11" s="1"/>
  <c r="Y459" i="11" s="1"/>
  <c r="E31" i="11"/>
  <c r="N31" i="11" s="1"/>
  <c r="Y31" i="11" s="1"/>
  <c r="E89" i="11"/>
  <c r="N89" i="11" s="1"/>
  <c r="Y89" i="11" s="1"/>
  <c r="E59" i="11"/>
  <c r="N59" i="11" s="1"/>
  <c r="Y59" i="11" s="1"/>
  <c r="N315" i="11"/>
  <c r="Y315" i="11" s="1"/>
  <c r="N399" i="11"/>
  <c r="Y399" i="11" s="1"/>
  <c r="E107" i="11"/>
  <c r="N107" i="11" s="1"/>
  <c r="Y107" i="11" s="1"/>
  <c r="E77" i="11"/>
  <c r="N77" i="11" s="1"/>
  <c r="Y77" i="11" s="1"/>
  <c r="G17" i="11"/>
  <c r="H17" i="11" s="1"/>
  <c r="K17" i="11" s="1"/>
  <c r="AA373" i="11"/>
  <c r="AA449" i="11"/>
  <c r="AA366" i="11"/>
  <c r="AA399" i="11"/>
  <c r="AA370" i="11"/>
  <c r="AA386" i="11"/>
  <c r="AA393" i="11"/>
  <c r="AA433" i="11"/>
  <c r="AA363" i="11"/>
  <c r="AA426" i="11"/>
  <c r="AA348" i="11"/>
  <c r="AA318" i="11"/>
  <c r="AA141" i="11"/>
  <c r="H128" i="11"/>
  <c r="K128" i="11" s="1"/>
  <c r="S59" i="9"/>
  <c r="S58" i="9"/>
  <c r="S56" i="9"/>
  <c r="S55" i="9"/>
  <c r="Q58" i="9"/>
  <c r="S60" i="9"/>
  <c r="S57" i="9"/>
  <c r="Q57" i="9"/>
  <c r="O61" i="9"/>
  <c r="S54" i="9"/>
  <c r="S61" i="9"/>
  <c r="Q61" i="9"/>
  <c r="Q60" i="9"/>
  <c r="O60" i="9"/>
  <c r="O59" i="9"/>
  <c r="O57" i="9"/>
  <c r="O56" i="9"/>
  <c r="Q56" i="9"/>
  <c r="O53" i="9"/>
  <c r="O55" i="9"/>
  <c r="AA106" i="11"/>
  <c r="AA66" i="11"/>
  <c r="AA46" i="11"/>
  <c r="AA32" i="11"/>
  <c r="AA120" i="11"/>
  <c r="AA112" i="11"/>
  <c r="AA57" i="11"/>
  <c r="AA72" i="11"/>
  <c r="AA78" i="11"/>
  <c r="AA91" i="11"/>
  <c r="AA51" i="11"/>
  <c r="AA30" i="11"/>
  <c r="AA92" i="11"/>
  <c r="AA111" i="11"/>
  <c r="AA71" i="11"/>
  <c r="AA52" i="11"/>
  <c r="AA103" i="11"/>
  <c r="AA83" i="11"/>
  <c r="AA116" i="11"/>
  <c r="AA96" i="11"/>
  <c r="AA56" i="11"/>
  <c r="AA36" i="11"/>
  <c r="AA119" i="11"/>
  <c r="AA64" i="11"/>
  <c r="AA89" i="11"/>
  <c r="AA69" i="11"/>
  <c r="AA29" i="11"/>
  <c r="AA93" i="11"/>
  <c r="AA33" i="11"/>
  <c r="AA102" i="11"/>
  <c r="AA115" i="11"/>
  <c r="AA75" i="11"/>
  <c r="AA55" i="11"/>
  <c r="AA84" i="11"/>
  <c r="AA109" i="11"/>
  <c r="AA104" i="11"/>
  <c r="AA49" i="11"/>
  <c r="P59" i="9"/>
  <c r="P55" i="9"/>
  <c r="AA121" i="11"/>
  <c r="AA86" i="11"/>
  <c r="AA76" i="11"/>
  <c r="AA31" i="11"/>
  <c r="Q59" i="9"/>
  <c r="P58" i="9"/>
  <c r="P54" i="9"/>
  <c r="O58" i="9"/>
  <c r="AA113" i="11"/>
  <c r="AA108" i="11"/>
  <c r="AA88" i="11"/>
  <c r="AA73" i="11"/>
  <c r="AA68" i="11"/>
  <c r="AA53" i="11"/>
  <c r="AA48" i="11"/>
  <c r="AA28" i="11"/>
  <c r="Q53" i="9"/>
  <c r="Q55" i="9"/>
  <c r="P53" i="9"/>
  <c r="P61" i="9"/>
  <c r="P57" i="9"/>
  <c r="AA105" i="11"/>
  <c r="AA95" i="11"/>
  <c r="AA85" i="11"/>
  <c r="AA60" i="11"/>
  <c r="AA45" i="11"/>
  <c r="AA40" i="11"/>
  <c r="AA35" i="11"/>
  <c r="AA122" i="11"/>
  <c r="AA117" i="11"/>
  <c r="AA107" i="11"/>
  <c r="AA97" i="11"/>
  <c r="AA87" i="11"/>
  <c r="AA77" i="11"/>
  <c r="AA67" i="11"/>
  <c r="AA37" i="11"/>
  <c r="P60" i="9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P360" i="11" l="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K19" i="11"/>
  <c r="F21" i="11" s="1"/>
  <c r="O385" i="11" s="1"/>
  <c r="Z385" i="11" s="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L57" i="9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V292" i="11"/>
  <c r="AF292" i="11" s="1"/>
  <c r="N24" i="11"/>
  <c r="Y24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H19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335" i="11"/>
  <c r="AF335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N56" i="9"/>
  <c r="N60" i="9"/>
  <c r="N57" i="9"/>
  <c r="N61" i="9"/>
  <c r="N53" i="9"/>
  <c r="N54" i="9"/>
  <c r="N58" i="9"/>
  <c r="N55" i="9"/>
  <c r="N59" i="9"/>
  <c r="F29" i="9"/>
  <c r="E29" i="9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D55" i="9"/>
  <c r="D56" i="9"/>
  <c r="D57" i="9"/>
  <c r="D58" i="9"/>
  <c r="D59" i="9"/>
  <c r="D60" i="9"/>
  <c r="D61" i="9"/>
  <c r="I43" i="9"/>
  <c r="N46" i="9"/>
  <c r="M46" i="9" s="1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V225" i="11" l="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O209" i="11"/>
  <c r="Z209" i="11" s="1"/>
  <c r="O226" i="11"/>
  <c r="Z226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F39" i="11"/>
  <c r="O39" i="11" s="1"/>
  <c r="Z39" i="11" s="1"/>
  <c r="V73" i="11"/>
  <c r="AF73" i="11" s="1"/>
  <c r="U61" i="9" s="1"/>
  <c r="O182" i="11"/>
  <c r="Z182" i="11" s="1"/>
  <c r="O221" i="11"/>
  <c r="Z221" i="11" s="1"/>
  <c r="O198" i="11"/>
  <c r="Z198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O449" i="11"/>
  <c r="Z449" i="11" s="1"/>
  <c r="O430" i="11"/>
  <c r="Z430" i="11" s="1"/>
  <c r="F99" i="11"/>
  <c r="O99" i="11" s="1"/>
  <c r="Z99" i="11" s="1"/>
  <c r="F56" i="11"/>
  <c r="O56" i="11" s="1"/>
  <c r="Z56" i="11" s="1"/>
  <c r="F47" i="11"/>
  <c r="O47" i="11" s="1"/>
  <c r="Z47" i="11" s="1"/>
  <c r="O258" i="11"/>
  <c r="Z258" i="11" s="1"/>
  <c r="F51" i="11"/>
  <c r="O51" i="11" s="1"/>
  <c r="Z51" i="11" s="1"/>
  <c r="F80" i="11"/>
  <c r="O80" i="11" s="1"/>
  <c r="Z80" i="11" s="1"/>
  <c r="V190" i="11"/>
  <c r="AF190" i="11" s="1"/>
  <c r="V150" i="11"/>
  <c r="AF150" i="11" s="1"/>
  <c r="V324" i="11"/>
  <c r="AF324" i="11" s="1"/>
  <c r="O256" i="11"/>
  <c r="Z256" i="11" s="1"/>
  <c r="O192" i="11"/>
  <c r="Z192" i="11" s="1"/>
  <c r="F27" i="11"/>
  <c r="O27" i="11" s="1"/>
  <c r="Z27" i="11" s="1"/>
  <c r="F120" i="11"/>
  <c r="O120" i="11" s="1"/>
  <c r="Z120" i="11" s="1"/>
  <c r="F91" i="11"/>
  <c r="O91" i="11" s="1"/>
  <c r="Z91" i="11" s="1"/>
  <c r="O163" i="11"/>
  <c r="Z163" i="11" s="1"/>
  <c r="O152" i="11"/>
  <c r="Z152" i="11" s="1"/>
  <c r="O274" i="11"/>
  <c r="Z274" i="11" s="1"/>
  <c r="Y167" i="11"/>
  <c r="F45" i="11"/>
  <c r="O45" i="11" s="1"/>
  <c r="Z45" i="11" s="1"/>
  <c r="O191" i="11"/>
  <c r="Z191" i="11" s="1"/>
  <c r="O288" i="11"/>
  <c r="Z288" i="11" s="1"/>
  <c r="O149" i="11"/>
  <c r="Z149" i="11" s="1"/>
  <c r="F66" i="11"/>
  <c r="O66" i="11" s="1"/>
  <c r="Z66" i="11" s="1"/>
  <c r="O234" i="11"/>
  <c r="Z234" i="11" s="1"/>
  <c r="V445" i="11"/>
  <c r="AF445" i="11" s="1"/>
  <c r="O460" i="11"/>
  <c r="Z460" i="11" s="1"/>
  <c r="F88" i="11"/>
  <c r="O88" i="11" s="1"/>
  <c r="Z88" i="11" s="1"/>
  <c r="V210" i="11"/>
  <c r="AF210" i="11" s="1"/>
  <c r="O328" i="11"/>
  <c r="Z328" i="11" s="1"/>
  <c r="O317" i="11"/>
  <c r="Z317" i="11" s="1"/>
  <c r="V206" i="11"/>
  <c r="AF206" i="11" s="1"/>
  <c r="V414" i="11"/>
  <c r="AF414" i="11" s="1"/>
  <c r="V233" i="11"/>
  <c r="AF233" i="11" s="1"/>
  <c r="F103" i="11"/>
  <c r="O103" i="11" s="1"/>
  <c r="Z103" i="11" s="1"/>
  <c r="F68" i="11"/>
  <c r="O68" i="11" s="1"/>
  <c r="Z68" i="11" s="1"/>
  <c r="V88" i="11"/>
  <c r="AF88" i="11" s="1"/>
  <c r="F100" i="11"/>
  <c r="O100" i="11" s="1"/>
  <c r="Z100" i="11" s="1"/>
  <c r="O260" i="11"/>
  <c r="Z260" i="11" s="1"/>
  <c r="V438" i="11"/>
  <c r="AF438" i="11" s="1"/>
  <c r="F63" i="11"/>
  <c r="O63" i="11" s="1"/>
  <c r="Z63" i="11" s="1"/>
  <c r="F48" i="11"/>
  <c r="O48" i="11" s="1"/>
  <c r="Z48" i="11" s="1"/>
  <c r="V156" i="11"/>
  <c r="AF156" i="11" s="1"/>
  <c r="O433" i="11"/>
  <c r="Z433" i="11" s="1"/>
  <c r="F58" i="11"/>
  <c r="O58" i="11" s="1"/>
  <c r="Z58" i="11" s="1"/>
  <c r="V396" i="11"/>
  <c r="AF396" i="11" s="1"/>
  <c r="F84" i="11"/>
  <c r="O84" i="11" s="1"/>
  <c r="Z84" i="11" s="1"/>
  <c r="F43" i="11"/>
  <c r="O43" i="11" s="1"/>
  <c r="Z43" i="11" s="1"/>
  <c r="O139" i="11"/>
  <c r="Z139" i="11" s="1"/>
  <c r="V91" i="11"/>
  <c r="AF91" i="11" s="1"/>
  <c r="V346" i="11"/>
  <c r="AF346" i="11" s="1"/>
  <c r="V437" i="11"/>
  <c r="AF437" i="11" s="1"/>
  <c r="V386" i="11"/>
  <c r="AF386" i="11" s="1"/>
  <c r="O268" i="11"/>
  <c r="Z268" i="11" s="1"/>
  <c r="O178" i="11"/>
  <c r="Z178" i="11" s="1"/>
  <c r="V427" i="11"/>
  <c r="AF427" i="11" s="1"/>
  <c r="H243" i="11"/>
  <c r="O408" i="11"/>
  <c r="Z408" i="11" s="1"/>
  <c r="O426" i="11"/>
  <c r="Z426" i="11" s="1"/>
  <c r="O373" i="11"/>
  <c r="Z373" i="11" s="1"/>
  <c r="O418" i="11"/>
  <c r="Z418" i="11" s="1"/>
  <c r="O167" i="11"/>
  <c r="Z167" i="11" s="1"/>
  <c r="F109" i="11"/>
  <c r="O109" i="11" s="1"/>
  <c r="Z109" i="11" s="1"/>
  <c r="O311" i="11"/>
  <c r="Z311" i="11" s="1"/>
  <c r="F94" i="11"/>
  <c r="O94" i="11" s="1"/>
  <c r="Z94" i="11" s="1"/>
  <c r="V90" i="11"/>
  <c r="AF90" i="11" s="1"/>
  <c r="O419" i="11"/>
  <c r="Z419" i="11" s="1"/>
  <c r="F105" i="11"/>
  <c r="O105" i="11" s="1"/>
  <c r="Z105" i="11" s="1"/>
  <c r="O440" i="11"/>
  <c r="Z440" i="11" s="1"/>
  <c r="O384" i="11"/>
  <c r="Z384" i="11" s="1"/>
  <c r="O452" i="11"/>
  <c r="Z452" i="11" s="1"/>
  <c r="O175" i="11"/>
  <c r="Z175" i="11" s="1"/>
  <c r="F108" i="11"/>
  <c r="O108" i="11" s="1"/>
  <c r="Z108" i="11" s="1"/>
  <c r="O339" i="11"/>
  <c r="Z339" i="11" s="1"/>
  <c r="F67" i="11"/>
  <c r="O67" i="11" s="1"/>
  <c r="Z67" i="11" s="1"/>
  <c r="O405" i="11"/>
  <c r="Z405" i="11" s="1"/>
  <c r="O370" i="11"/>
  <c r="Z370" i="11" s="1"/>
  <c r="O431" i="11"/>
  <c r="Z431" i="11" s="1"/>
  <c r="O291" i="11"/>
  <c r="Z291" i="11" s="1"/>
  <c r="V336" i="11"/>
  <c r="AF336" i="11" s="1"/>
  <c r="O151" i="11"/>
  <c r="Z151" i="11" s="1"/>
  <c r="O216" i="11"/>
  <c r="Z216" i="11" s="1"/>
  <c r="O381" i="11"/>
  <c r="Z381" i="11" s="1"/>
  <c r="O403" i="11"/>
  <c r="Z403" i="11" s="1"/>
  <c r="F104" i="11"/>
  <c r="O104" i="11" s="1"/>
  <c r="Z104" i="11" s="1"/>
  <c r="O390" i="11"/>
  <c r="Z390" i="11" s="1"/>
  <c r="O308" i="11"/>
  <c r="Z308" i="11" s="1"/>
  <c r="O382" i="11"/>
  <c r="Z382" i="11" s="1"/>
  <c r="O212" i="11"/>
  <c r="Z212" i="11" s="1"/>
  <c r="V452" i="11"/>
  <c r="AF452" i="11" s="1"/>
  <c r="V146" i="11"/>
  <c r="AF146" i="11" s="1"/>
  <c r="O293" i="11"/>
  <c r="Z293" i="11" s="1"/>
  <c r="F117" i="11"/>
  <c r="O117" i="11" s="1"/>
  <c r="Z117" i="11" s="1"/>
  <c r="O343" i="11"/>
  <c r="Z343" i="11" s="1"/>
  <c r="O376" i="11"/>
  <c r="Z376" i="11" s="1"/>
  <c r="O342" i="11"/>
  <c r="Z342" i="11" s="1"/>
  <c r="O201" i="11"/>
  <c r="Z201" i="11" s="1"/>
  <c r="O289" i="11"/>
  <c r="Z289" i="11" s="1"/>
  <c r="O262" i="11"/>
  <c r="Z262" i="11" s="1"/>
  <c r="O398" i="11"/>
  <c r="Z398" i="11" s="1"/>
  <c r="O454" i="11"/>
  <c r="Z454" i="11" s="1"/>
  <c r="O166" i="11"/>
  <c r="Z166" i="11" s="1"/>
  <c r="F31" i="11"/>
  <c r="O31" i="11" s="1"/>
  <c r="Z31" i="11" s="1"/>
  <c r="O325" i="11"/>
  <c r="Z325" i="11" s="1"/>
  <c r="O413" i="11"/>
  <c r="Z413" i="11" s="1"/>
  <c r="O314" i="11"/>
  <c r="Z314" i="11" s="1"/>
  <c r="F73" i="11"/>
  <c r="O73" i="11" s="1"/>
  <c r="Z73" i="11" s="1"/>
  <c r="M59" i="9" s="1"/>
  <c r="O284" i="11"/>
  <c r="Z284" i="11" s="1"/>
  <c r="O142" i="11"/>
  <c r="Z142" i="11" s="1"/>
  <c r="F113" i="11"/>
  <c r="O113" i="11" s="1"/>
  <c r="Z113" i="11" s="1"/>
  <c r="O174" i="11"/>
  <c r="Z174" i="11" s="1"/>
  <c r="O147" i="11"/>
  <c r="Z147" i="11" s="1"/>
  <c r="O446" i="11"/>
  <c r="Z446" i="11" s="1"/>
  <c r="O379" i="11"/>
  <c r="Z379" i="11" s="1"/>
  <c r="O377" i="11"/>
  <c r="Z377" i="11" s="1"/>
  <c r="O422" i="11"/>
  <c r="Z422" i="11" s="1"/>
  <c r="O423" i="11"/>
  <c r="Z423" i="11" s="1"/>
  <c r="F59" i="11"/>
  <c r="O59" i="11" s="1"/>
  <c r="Z59" i="11" s="1"/>
  <c r="O299" i="11"/>
  <c r="Z299" i="11" s="1"/>
  <c r="F69" i="11"/>
  <c r="O69" i="11" s="1"/>
  <c r="Z69" i="11" s="1"/>
  <c r="O424" i="11"/>
  <c r="Z424" i="11" s="1"/>
  <c r="O442" i="11"/>
  <c r="Z442" i="11" s="1"/>
  <c r="O337" i="11"/>
  <c r="Z337" i="11" s="1"/>
  <c r="V99" i="11"/>
  <c r="AF99" i="11" s="1"/>
  <c r="V446" i="11"/>
  <c r="AF446" i="11" s="1"/>
  <c r="V317" i="11"/>
  <c r="AF317" i="11" s="1"/>
  <c r="V387" i="11"/>
  <c r="AF387" i="11" s="1"/>
  <c r="O319" i="11"/>
  <c r="Z319" i="11" s="1"/>
  <c r="O409" i="11"/>
  <c r="Z409" i="11" s="1"/>
  <c r="O456" i="11"/>
  <c r="Z456" i="11" s="1"/>
  <c r="V114" i="11"/>
  <c r="AF114" i="11" s="1"/>
  <c r="O305" i="11"/>
  <c r="Z305" i="11" s="1"/>
  <c r="O392" i="11"/>
  <c r="Z392" i="11" s="1"/>
  <c r="F89" i="11"/>
  <c r="O89" i="11" s="1"/>
  <c r="Z89" i="11" s="1"/>
  <c r="O292" i="11"/>
  <c r="Z292" i="11" s="1"/>
  <c r="O232" i="11"/>
  <c r="Z232" i="11" s="1"/>
  <c r="F79" i="11"/>
  <c r="O79" i="11" s="1"/>
  <c r="Z79" i="11" s="1"/>
  <c r="F110" i="11"/>
  <c r="O110" i="11" s="1"/>
  <c r="Z110" i="11" s="1"/>
  <c r="O257" i="11"/>
  <c r="Z257" i="11" s="1"/>
  <c r="O316" i="11"/>
  <c r="Z316" i="11" s="1"/>
  <c r="F49" i="11"/>
  <c r="O49" i="11" s="1"/>
  <c r="Z49" i="11" s="1"/>
  <c r="O458" i="11"/>
  <c r="Z458" i="11" s="1"/>
  <c r="O177" i="11"/>
  <c r="Z177" i="11" s="1"/>
  <c r="O224" i="11"/>
  <c r="Z224" i="11" s="1"/>
  <c r="O375" i="11"/>
  <c r="Z375" i="11" s="1"/>
  <c r="O255" i="11"/>
  <c r="Z255" i="11" s="1"/>
  <c r="F77" i="11"/>
  <c r="O77" i="11" s="1"/>
  <c r="Z77" i="11" s="1"/>
  <c r="O336" i="11"/>
  <c r="Z336" i="11" s="1"/>
  <c r="O364" i="11"/>
  <c r="Z364" i="11" s="1"/>
  <c r="O332" i="11"/>
  <c r="Z332" i="11" s="1"/>
  <c r="O368" i="11"/>
  <c r="Z368" i="11" s="1"/>
  <c r="V314" i="11"/>
  <c r="AF314" i="11" s="1"/>
  <c r="O320" i="11"/>
  <c r="Z320" i="11" s="1"/>
  <c r="F86" i="11"/>
  <c r="O86" i="11" s="1"/>
  <c r="Z86" i="11" s="1"/>
  <c r="O282" i="11"/>
  <c r="Z282" i="11" s="1"/>
  <c r="F98" i="11"/>
  <c r="O98" i="11" s="1"/>
  <c r="Z98" i="11" s="1"/>
  <c r="V263" i="11"/>
  <c r="AF263" i="11" s="1"/>
  <c r="V154" i="11"/>
  <c r="AF154" i="11" s="1"/>
  <c r="O165" i="11"/>
  <c r="Z165" i="11" s="1"/>
  <c r="O179" i="11"/>
  <c r="Z179" i="11" s="1"/>
  <c r="H244" i="11"/>
  <c r="O296" i="11"/>
  <c r="Z296" i="11" s="1"/>
  <c r="H354" i="11"/>
  <c r="O172" i="11"/>
  <c r="Z172" i="11" s="1"/>
  <c r="O386" i="11"/>
  <c r="Z386" i="11" s="1"/>
  <c r="O184" i="11"/>
  <c r="Z184" i="11" s="1"/>
  <c r="O171" i="11"/>
  <c r="Z171" i="11" s="1"/>
  <c r="V47" i="11"/>
  <c r="AF47" i="11" s="1"/>
  <c r="O253" i="11"/>
  <c r="Z253" i="11" s="1"/>
  <c r="F40" i="11"/>
  <c r="O40" i="11" s="1"/>
  <c r="Z40" i="11" s="1"/>
  <c r="O434" i="11"/>
  <c r="Z434" i="11" s="1"/>
  <c r="O203" i="11"/>
  <c r="Z203" i="11" s="1"/>
  <c r="O214" i="11"/>
  <c r="Z214" i="11" s="1"/>
  <c r="V431" i="11"/>
  <c r="AF431" i="11" s="1"/>
  <c r="O140" i="11"/>
  <c r="Z140" i="11" s="1"/>
  <c r="O327" i="11"/>
  <c r="Z327" i="11" s="1"/>
  <c r="O145" i="11"/>
  <c r="Z145" i="11" s="1"/>
  <c r="O391" i="11"/>
  <c r="Z391" i="11" s="1"/>
  <c r="O380" i="11"/>
  <c r="Z380" i="11" s="1"/>
  <c r="O367" i="11"/>
  <c r="Z367" i="11" s="1"/>
  <c r="O313" i="11"/>
  <c r="Z313" i="11" s="1"/>
  <c r="O387" i="11"/>
  <c r="Z387" i="11" s="1"/>
  <c r="F75" i="11"/>
  <c r="O75" i="11" s="1"/>
  <c r="Z75" i="11" s="1"/>
  <c r="F25" i="11"/>
  <c r="O25" i="11" s="1"/>
  <c r="Z25" i="11" s="1"/>
  <c r="O280" i="11"/>
  <c r="Z280" i="11" s="1"/>
  <c r="O417" i="11"/>
  <c r="Z417" i="11" s="1"/>
  <c r="V449" i="11"/>
  <c r="AF449" i="11" s="1"/>
  <c r="V119" i="11"/>
  <c r="AF119" i="11" s="1"/>
  <c r="O290" i="11"/>
  <c r="Z290" i="11" s="1"/>
  <c r="O345" i="11"/>
  <c r="Z345" i="11" s="1"/>
  <c r="F33" i="11"/>
  <c r="O33" i="11" s="1"/>
  <c r="Z33" i="11" s="1"/>
  <c r="F119" i="11"/>
  <c r="O119" i="11" s="1"/>
  <c r="Z119" i="11" s="1"/>
  <c r="O190" i="11"/>
  <c r="Z190" i="11" s="1"/>
  <c r="O427" i="11"/>
  <c r="Z427" i="11" s="1"/>
  <c r="F70" i="11"/>
  <c r="O70" i="11" s="1"/>
  <c r="Z70" i="11" s="1"/>
  <c r="F29" i="11"/>
  <c r="O29" i="11" s="1"/>
  <c r="Z29" i="11" s="1"/>
  <c r="O400" i="11"/>
  <c r="Z400" i="11" s="1"/>
  <c r="V392" i="11"/>
  <c r="AF392" i="11" s="1"/>
  <c r="V201" i="11"/>
  <c r="AF201" i="11" s="1"/>
  <c r="F106" i="11"/>
  <c r="O106" i="11" s="1"/>
  <c r="Z106" i="11" s="1"/>
  <c r="O425" i="11"/>
  <c r="Z425" i="11" s="1"/>
  <c r="O395" i="11"/>
  <c r="Z395" i="11" s="1"/>
  <c r="O344" i="11"/>
  <c r="Z344" i="11" s="1"/>
  <c r="O404" i="11"/>
  <c r="Z404" i="11" s="1"/>
  <c r="F55" i="11"/>
  <c r="O55" i="11" s="1"/>
  <c r="Z55" i="11" s="1"/>
  <c r="F57" i="11"/>
  <c r="O57" i="11" s="1"/>
  <c r="Z57" i="11" s="1"/>
  <c r="O294" i="11"/>
  <c r="Z294" i="11" s="1"/>
  <c r="F114" i="11"/>
  <c r="O114" i="11" s="1"/>
  <c r="Z114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L60" i="9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O462" i="11"/>
  <c r="Z462" i="11" s="1"/>
  <c r="F30" i="11"/>
  <c r="O30" i="11" s="1"/>
  <c r="Z30" i="11" s="1"/>
  <c r="O429" i="11"/>
  <c r="Z429" i="11" s="1"/>
  <c r="O168" i="11"/>
  <c r="Z168" i="11" s="1"/>
  <c r="O264" i="11"/>
  <c r="Z264" i="11" s="1"/>
  <c r="O150" i="11"/>
  <c r="Z150" i="11" s="1"/>
  <c r="O263" i="11"/>
  <c r="Z263" i="11" s="1"/>
  <c r="O217" i="11"/>
  <c r="Z217" i="11" s="1"/>
  <c r="O371" i="11"/>
  <c r="Z371" i="11" s="1"/>
  <c r="F118" i="11"/>
  <c r="O118" i="11" s="1"/>
  <c r="Z118" i="11" s="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F46" i="11"/>
  <c r="O46" i="11" s="1"/>
  <c r="Z46" i="11" s="1"/>
  <c r="O227" i="11"/>
  <c r="Z227" i="11" s="1"/>
  <c r="O141" i="11"/>
  <c r="Z141" i="11" s="1"/>
  <c r="O443" i="11"/>
  <c r="Z443" i="11" s="1"/>
  <c r="O185" i="11"/>
  <c r="Z185" i="11" s="1"/>
  <c r="O306" i="11"/>
  <c r="Z306" i="11" s="1"/>
  <c r="O161" i="11"/>
  <c r="Z161" i="11" s="1"/>
  <c r="O277" i="11"/>
  <c r="Z277" i="11" s="1"/>
  <c r="F121" i="11"/>
  <c r="O121" i="11" s="1"/>
  <c r="Z121" i="11" s="1"/>
  <c r="O399" i="11"/>
  <c r="Z399" i="11" s="1"/>
  <c r="O160" i="11"/>
  <c r="Z160" i="11" s="1"/>
  <c r="V102" i="11"/>
  <c r="AF102" i="11" s="1"/>
  <c r="V418" i="11"/>
  <c r="AF418" i="11" s="1"/>
  <c r="V398" i="11"/>
  <c r="AF398" i="11" s="1"/>
  <c r="V269" i="11"/>
  <c r="AF269" i="11" s="1"/>
  <c r="O363" i="11"/>
  <c r="Z363" i="11" s="1"/>
  <c r="O326" i="11"/>
  <c r="Z326" i="11" s="1"/>
  <c r="O265" i="11"/>
  <c r="Z265" i="11" s="1"/>
  <c r="O197" i="11"/>
  <c r="Z197" i="11" s="1"/>
  <c r="O340" i="11"/>
  <c r="Z340" i="11" s="1"/>
  <c r="O146" i="11"/>
  <c r="Z146" i="11" s="1"/>
  <c r="O211" i="11"/>
  <c r="Z211" i="11" s="1"/>
  <c r="O322" i="11"/>
  <c r="Z322" i="11" s="1"/>
  <c r="O159" i="11"/>
  <c r="Z159" i="11" s="1"/>
  <c r="O461" i="11"/>
  <c r="Z461" i="11" s="1"/>
  <c r="O199" i="11"/>
  <c r="Z199" i="11" s="1"/>
  <c r="V338" i="11"/>
  <c r="AF338" i="11" s="1"/>
  <c r="V221" i="11"/>
  <c r="AF221" i="11" s="1"/>
  <c r="O374" i="11"/>
  <c r="Z374" i="11" s="1"/>
  <c r="F111" i="11"/>
  <c r="O111" i="11" s="1"/>
  <c r="Z111" i="11" s="1"/>
  <c r="O324" i="11"/>
  <c r="Z324" i="11" s="1"/>
  <c r="O225" i="11"/>
  <c r="Z225" i="11" s="1"/>
  <c r="O372" i="11"/>
  <c r="Z372" i="11" s="1"/>
  <c r="F24" i="11"/>
  <c r="O24" i="11" s="1"/>
  <c r="Z24" i="11" s="1"/>
  <c r="F122" i="11"/>
  <c r="O122" i="11" s="1"/>
  <c r="Z122" i="11" s="1"/>
  <c r="O333" i="11"/>
  <c r="Z333" i="11" s="1"/>
  <c r="O220" i="11"/>
  <c r="Z220" i="11" s="1"/>
  <c r="O445" i="11"/>
  <c r="Z445" i="11" s="1"/>
  <c r="O295" i="11"/>
  <c r="Z295" i="11" s="1"/>
  <c r="V390" i="11"/>
  <c r="AF390" i="11" s="1"/>
  <c r="V440" i="11"/>
  <c r="AF440" i="11" s="1"/>
  <c r="Y434" i="11"/>
  <c r="V86" i="11"/>
  <c r="AF86" i="11" s="1"/>
  <c r="V106" i="11"/>
  <c r="AF106" i="11" s="1"/>
  <c r="O193" i="11"/>
  <c r="Z193" i="11" s="1"/>
  <c r="O215" i="11"/>
  <c r="Z215" i="11" s="1"/>
  <c r="F71" i="11"/>
  <c r="O71" i="11" s="1"/>
  <c r="Z71" i="11" s="1"/>
  <c r="O335" i="11"/>
  <c r="Z335" i="11" s="1"/>
  <c r="O254" i="11"/>
  <c r="Z254" i="11" s="1"/>
  <c r="O281" i="11"/>
  <c r="Z281" i="11" s="1"/>
  <c r="F78" i="11"/>
  <c r="O78" i="11" s="1"/>
  <c r="Z78" i="11" s="1"/>
  <c r="F82" i="11"/>
  <c r="O82" i="11" s="1"/>
  <c r="Z82" i="11" s="1"/>
  <c r="O365" i="11"/>
  <c r="Z365" i="11" s="1"/>
  <c r="O266" i="11"/>
  <c r="Z266" i="11" s="1"/>
  <c r="F76" i="11"/>
  <c r="O76" i="11" s="1"/>
  <c r="Z76" i="11" s="1"/>
  <c r="O298" i="11"/>
  <c r="Z298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O261" i="11"/>
  <c r="Z261" i="11" s="1"/>
  <c r="O275" i="11"/>
  <c r="Z275" i="11" s="1"/>
  <c r="O411" i="11"/>
  <c r="Z411" i="11" s="1"/>
  <c r="O138" i="11"/>
  <c r="Z138" i="11" s="1"/>
  <c r="O307" i="11"/>
  <c r="Z307" i="11" s="1"/>
  <c r="O338" i="11"/>
  <c r="Z338" i="11" s="1"/>
  <c r="O437" i="11"/>
  <c r="Z437" i="11" s="1"/>
  <c r="F85" i="11"/>
  <c r="O85" i="11" s="1"/>
  <c r="Z85" i="11" s="1"/>
  <c r="O285" i="11"/>
  <c r="Z285" i="11" s="1"/>
  <c r="O312" i="11"/>
  <c r="Z312" i="11" s="1"/>
  <c r="O186" i="11"/>
  <c r="Z186" i="11" s="1"/>
  <c r="O153" i="11"/>
  <c r="Z153" i="11" s="1"/>
  <c r="O304" i="11"/>
  <c r="Z304" i="11" s="1"/>
  <c r="O273" i="11"/>
  <c r="Z273" i="11" s="1"/>
  <c r="O206" i="11"/>
  <c r="Z206" i="11" s="1"/>
  <c r="O252" i="11"/>
  <c r="Z252" i="11" s="1"/>
  <c r="O170" i="11"/>
  <c r="Z170" i="11" s="1"/>
  <c r="O397" i="11"/>
  <c r="Z397" i="11" s="1"/>
  <c r="F107" i="11"/>
  <c r="O107" i="11" s="1"/>
  <c r="Z107" i="11" s="1"/>
  <c r="O416" i="11"/>
  <c r="Z416" i="11" s="1"/>
  <c r="L54" i="9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O269" i="11"/>
  <c r="Z269" i="11" s="1"/>
  <c r="O187" i="11"/>
  <c r="Z187" i="11" s="1"/>
  <c r="F65" i="11"/>
  <c r="O65" i="11" s="1"/>
  <c r="Z65" i="11" s="1"/>
  <c r="F87" i="11"/>
  <c r="O87" i="11" s="1"/>
  <c r="Z87" i="11" s="1"/>
  <c r="O450" i="11"/>
  <c r="Z450" i="11" s="1"/>
  <c r="L58" i="9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O135" i="11"/>
  <c r="F53" i="11"/>
  <c r="O53" i="11" s="1"/>
  <c r="Z53" i="11" s="1"/>
  <c r="O157" i="11"/>
  <c r="Z157" i="11" s="1"/>
  <c r="O188" i="11"/>
  <c r="Z188" i="11" s="1"/>
  <c r="F90" i="11"/>
  <c r="O90" i="11" s="1"/>
  <c r="Z90" i="11" s="1"/>
  <c r="F123" i="11"/>
  <c r="O123" i="11" s="1"/>
  <c r="Z123" i="11" s="1"/>
  <c r="O169" i="11"/>
  <c r="Z169" i="11" s="1"/>
  <c r="O415" i="11"/>
  <c r="Z415" i="11" s="1"/>
  <c r="O383" i="11"/>
  <c r="Z383" i="11" s="1"/>
  <c r="O432" i="11"/>
  <c r="Z432" i="11" s="1"/>
  <c r="H355" i="11"/>
  <c r="O200" i="11"/>
  <c r="Z200" i="11" s="1"/>
  <c r="O302" i="11"/>
  <c r="Z302" i="11" s="1"/>
  <c r="O393" i="11"/>
  <c r="Z393" i="11" s="1"/>
  <c r="O156" i="11"/>
  <c r="Z156" i="11" s="1"/>
  <c r="O396" i="11"/>
  <c r="Z396" i="11" s="1"/>
  <c r="O410" i="11"/>
  <c r="Z410" i="11" s="1"/>
  <c r="O402" i="11"/>
  <c r="Z402" i="11" s="1"/>
  <c r="O210" i="11"/>
  <c r="Z210" i="11" s="1"/>
  <c r="F60" i="11"/>
  <c r="O60" i="11" s="1"/>
  <c r="Z60" i="11" s="1"/>
  <c r="V298" i="11"/>
  <c r="AF298" i="11" s="1"/>
  <c r="V455" i="11"/>
  <c r="AF455" i="11" s="1"/>
  <c r="V141" i="11"/>
  <c r="AF141" i="11" s="1"/>
  <c r="L53" i="9"/>
  <c r="V379" i="11"/>
  <c r="AF379" i="11" s="1"/>
  <c r="O453" i="11"/>
  <c r="Z453" i="11" s="1"/>
  <c r="O303" i="11"/>
  <c r="Z303" i="11" s="1"/>
  <c r="O366" i="11"/>
  <c r="Z366" i="11" s="1"/>
  <c r="F44" i="11"/>
  <c r="O44" i="11" s="1"/>
  <c r="Z44" i="11" s="1"/>
  <c r="F50" i="11"/>
  <c r="O50" i="11" s="1"/>
  <c r="Z50" i="11" s="1"/>
  <c r="F83" i="11"/>
  <c r="O83" i="11" s="1"/>
  <c r="Z83" i="11" s="1"/>
  <c r="O208" i="11"/>
  <c r="Z208" i="11" s="1"/>
  <c r="O436" i="11"/>
  <c r="Z436" i="11" s="1"/>
  <c r="O318" i="11"/>
  <c r="Z318" i="11" s="1"/>
  <c r="O218" i="11"/>
  <c r="Z218" i="11" s="1"/>
  <c r="O451" i="11"/>
  <c r="Z451" i="11" s="1"/>
  <c r="O228" i="11"/>
  <c r="Z228" i="11" s="1"/>
  <c r="O330" i="11"/>
  <c r="Z330" i="11" s="1"/>
  <c r="O438" i="11"/>
  <c r="Z438" i="11" s="1"/>
  <c r="O195" i="11"/>
  <c r="Z195" i="11" s="1"/>
  <c r="O441" i="11"/>
  <c r="Z441" i="11" s="1"/>
  <c r="O444" i="11"/>
  <c r="Z444" i="11" s="1"/>
  <c r="O447" i="11"/>
  <c r="Z447" i="11" s="1"/>
  <c r="O213" i="11"/>
  <c r="Z213" i="11" s="1"/>
  <c r="O162" i="11"/>
  <c r="Z162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F26" i="11"/>
  <c r="O26" i="11" s="1"/>
  <c r="Z26" i="11" s="1"/>
  <c r="O286" i="11"/>
  <c r="Z286" i="11" s="1"/>
  <c r="F112" i="11"/>
  <c r="O112" i="11" s="1"/>
  <c r="Z112" i="11" s="1"/>
  <c r="O233" i="11"/>
  <c r="Z233" i="11" s="1"/>
  <c r="O158" i="11"/>
  <c r="Z158" i="11" s="1"/>
  <c r="O144" i="11"/>
  <c r="Z144" i="11" s="1"/>
  <c r="O271" i="11"/>
  <c r="Z271" i="11" s="1"/>
  <c r="O439" i="11"/>
  <c r="Z439" i="11" s="1"/>
  <c r="O155" i="11"/>
  <c r="Z155" i="11" s="1"/>
  <c r="O334" i="11"/>
  <c r="Z334" i="11" s="1"/>
  <c r="O259" i="11"/>
  <c r="Z259" i="11" s="1"/>
  <c r="F62" i="11"/>
  <c r="O62" i="11" s="1"/>
  <c r="Z62" i="11" s="1"/>
  <c r="O407" i="11"/>
  <c r="Z407" i="11" s="1"/>
  <c r="F38" i="11"/>
  <c r="O38" i="11" s="1"/>
  <c r="Z38" i="11" s="1"/>
  <c r="F101" i="11"/>
  <c r="O101" i="11" s="1"/>
  <c r="Z101" i="11" s="1"/>
  <c r="F96" i="11"/>
  <c r="O96" i="11" s="1"/>
  <c r="Z96" i="11" s="1"/>
  <c r="O448" i="11"/>
  <c r="Z448" i="11" s="1"/>
  <c r="O278" i="11"/>
  <c r="Z278" i="11" s="1"/>
  <c r="O194" i="11"/>
  <c r="Z194" i="11" s="1"/>
  <c r="O229" i="11"/>
  <c r="Z229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O204" i="11"/>
  <c r="Z204" i="11" s="1"/>
  <c r="O154" i="11"/>
  <c r="Z154" i="11" s="1"/>
  <c r="F52" i="11"/>
  <c r="O52" i="11" s="1"/>
  <c r="Z52" i="11" s="1"/>
  <c r="O301" i="11"/>
  <c r="Z301" i="11" s="1"/>
  <c r="O180" i="11"/>
  <c r="Z180" i="11" s="1"/>
  <c r="O183" i="11"/>
  <c r="Z183" i="11" s="1"/>
  <c r="O341" i="11"/>
  <c r="Z341" i="11" s="1"/>
  <c r="F92" i="11"/>
  <c r="O92" i="11" s="1"/>
  <c r="Z92" i="11" s="1"/>
  <c r="F102" i="11"/>
  <c r="O102" i="11" s="1"/>
  <c r="Z102" i="11" s="1"/>
  <c r="O394" i="11"/>
  <c r="Z394" i="11" s="1"/>
  <c r="O389" i="11"/>
  <c r="Z389" i="11" s="1"/>
  <c r="F42" i="11"/>
  <c r="O42" i="11" s="1"/>
  <c r="Z42" i="11" s="1"/>
  <c r="O421" i="11"/>
  <c r="Z421" i="11" s="1"/>
  <c r="O414" i="11"/>
  <c r="Z414" i="11" s="1"/>
  <c r="F81" i="11"/>
  <c r="O81" i="11" s="1"/>
  <c r="Z81" i="11" s="1"/>
  <c r="F28" i="11"/>
  <c r="O28" i="11" s="1"/>
  <c r="Z28" i="11" s="1"/>
  <c r="F37" i="11"/>
  <c r="O37" i="11" s="1"/>
  <c r="Z37" i="11" s="1"/>
  <c r="O323" i="11"/>
  <c r="Z323" i="11" s="1"/>
  <c r="O276" i="11"/>
  <c r="Z276" i="11" s="1"/>
  <c r="O272" i="11"/>
  <c r="Z272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O331" i="11"/>
  <c r="Z331" i="11" s="1"/>
  <c r="O176" i="11"/>
  <c r="Z176" i="11" s="1"/>
  <c r="O196" i="11"/>
  <c r="Z196" i="11" s="1"/>
  <c r="O329" i="11"/>
  <c r="Z329" i="11" s="1"/>
  <c r="O205" i="11"/>
  <c r="Z205" i="11" s="1"/>
  <c r="O222" i="11"/>
  <c r="Z222" i="11" s="1"/>
  <c r="O401" i="11"/>
  <c r="Z401" i="11" s="1"/>
  <c r="F72" i="11"/>
  <c r="O72" i="11" s="1"/>
  <c r="Z72" i="11" s="1"/>
  <c r="O164" i="11"/>
  <c r="Z164" i="11" s="1"/>
  <c r="O267" i="11"/>
  <c r="Z267" i="11" s="1"/>
  <c r="O406" i="11"/>
  <c r="Z406" i="11" s="1"/>
  <c r="F115" i="11"/>
  <c r="O115" i="11" s="1"/>
  <c r="Z115" i="11" s="1"/>
  <c r="O435" i="11"/>
  <c r="Z435" i="11" s="1"/>
  <c r="O202" i="11"/>
  <c r="Z202" i="11" s="1"/>
  <c r="F61" i="11"/>
  <c r="O61" i="11" s="1"/>
  <c r="Z61" i="11" s="1"/>
  <c r="F54" i="11"/>
  <c r="O54" i="11" s="1"/>
  <c r="Z54" i="11" s="1"/>
  <c r="O321" i="11"/>
  <c r="Z321" i="11" s="1"/>
  <c r="O459" i="11"/>
  <c r="Z459" i="11" s="1"/>
  <c r="O378" i="11"/>
  <c r="Z378" i="11" s="1"/>
  <c r="O283" i="11"/>
  <c r="Z283" i="11" s="1"/>
  <c r="V32" i="11"/>
  <c r="AF32" i="11" s="1"/>
  <c r="V54" i="11"/>
  <c r="AF54" i="11" s="1"/>
  <c r="V303" i="11"/>
  <c r="AF303" i="11" s="1"/>
  <c r="V289" i="11"/>
  <c r="AF289" i="11" s="1"/>
  <c r="O388" i="11"/>
  <c r="Z388" i="11" s="1"/>
  <c r="O300" i="11"/>
  <c r="Z300" i="11" s="1"/>
  <c r="O250" i="11"/>
  <c r="Z250" i="11" s="1"/>
  <c r="O349" i="11"/>
  <c r="Z349" i="11" s="1"/>
  <c r="O219" i="11"/>
  <c r="Z219" i="11" s="1"/>
  <c r="O251" i="11"/>
  <c r="Z251" i="11" s="1"/>
  <c r="O412" i="11"/>
  <c r="Z412" i="11" s="1"/>
  <c r="O143" i="11"/>
  <c r="Z143" i="11" s="1"/>
  <c r="O189" i="11"/>
  <c r="Z189" i="11" s="1"/>
  <c r="O309" i="11"/>
  <c r="Z309" i="11" s="1"/>
  <c r="O420" i="11"/>
  <c r="Z420" i="11" s="1"/>
  <c r="F95" i="11"/>
  <c r="O95" i="11" s="1"/>
  <c r="Z95" i="11" s="1"/>
  <c r="O455" i="11"/>
  <c r="Z455" i="11" s="1"/>
  <c r="O315" i="11"/>
  <c r="Z315" i="11" s="1"/>
  <c r="F41" i="11"/>
  <c r="O41" i="11" s="1"/>
  <c r="Z41" i="11" s="1"/>
  <c r="F34" i="11"/>
  <c r="O34" i="11" s="1"/>
  <c r="Z34" i="11" s="1"/>
  <c r="O457" i="11"/>
  <c r="Z457" i="11" s="1"/>
  <c r="F32" i="11"/>
  <c r="O32" i="11" s="1"/>
  <c r="Z32" i="11" s="1"/>
  <c r="F36" i="11"/>
  <c r="O36" i="11" s="1"/>
  <c r="Z36" i="11" s="1"/>
  <c r="O297" i="11"/>
  <c r="Z297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L61" i="9"/>
  <c r="V112" i="11"/>
  <c r="AF112" i="11" s="1"/>
  <c r="V80" i="11"/>
  <c r="AF80" i="11" s="1"/>
  <c r="L56" i="9"/>
  <c r="V217" i="11"/>
  <c r="AF217" i="11" s="1"/>
  <c r="V92" i="11"/>
  <c r="AF92" i="11" s="1"/>
  <c r="F93" i="11"/>
  <c r="O93" i="11" s="1"/>
  <c r="Z93" i="11" s="1"/>
  <c r="O173" i="11"/>
  <c r="Z173" i="11" s="1"/>
  <c r="O207" i="11"/>
  <c r="Z207" i="11" s="1"/>
  <c r="F97" i="11"/>
  <c r="O97" i="11" s="1"/>
  <c r="Z97" i="11" s="1"/>
  <c r="O279" i="11"/>
  <c r="Z279" i="11" s="1"/>
  <c r="O310" i="11"/>
  <c r="Z310" i="11" s="1"/>
  <c r="O230" i="11"/>
  <c r="Z230" i="11" s="1"/>
  <c r="O428" i="11"/>
  <c r="Z428" i="11" s="1"/>
  <c r="O231" i="11"/>
  <c r="Z231" i="11" s="1"/>
  <c r="O270" i="11"/>
  <c r="Z270" i="11" s="1"/>
  <c r="F116" i="11"/>
  <c r="O116" i="11" s="1"/>
  <c r="Z116" i="11" s="1"/>
  <c r="F35" i="11"/>
  <c r="O35" i="11" s="1"/>
  <c r="Z35" i="11" s="1"/>
  <c r="O287" i="11"/>
  <c r="Z287" i="11" s="1"/>
  <c r="F64" i="11"/>
  <c r="O64" i="11" s="1"/>
  <c r="Z64" i="11" s="1"/>
  <c r="O181" i="11"/>
  <c r="Z181" i="11" s="1"/>
  <c r="O223" i="11"/>
  <c r="Z223" i="11" s="1"/>
  <c r="O148" i="11"/>
  <c r="Z148" i="11" s="1"/>
  <c r="O369" i="11"/>
  <c r="Z369" i="11" s="1"/>
  <c r="F74" i="11"/>
  <c r="O74" i="11" s="1"/>
  <c r="Z74" i="11" s="1"/>
  <c r="V433" i="11"/>
  <c r="AF433" i="11" s="1"/>
  <c r="V430" i="11"/>
  <c r="AF430" i="11" s="1"/>
  <c r="V404" i="11"/>
  <c r="AF404" i="11" s="1"/>
  <c r="V138" i="11"/>
  <c r="AF138" i="11" s="1"/>
  <c r="L55" i="9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L59" i="9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R47" i="9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R43" i="9" l="1"/>
  <c r="R42" i="9"/>
  <c r="R50" i="9"/>
  <c r="R49" i="9"/>
  <c r="H241" i="11"/>
  <c r="K241" i="11" s="1"/>
  <c r="U54" i="9"/>
  <c r="U53" i="9"/>
  <c r="U59" i="9"/>
  <c r="U58" i="9"/>
  <c r="U60" i="9"/>
  <c r="O236" i="11"/>
  <c r="Z236" i="11" s="1"/>
  <c r="U55" i="9"/>
  <c r="V50" i="11"/>
  <c r="AF50" i="11" s="1"/>
  <c r="U57" i="9"/>
  <c r="O348" i="11"/>
  <c r="Z348" i="11" s="1"/>
  <c r="O347" i="11"/>
  <c r="Z347" i="11" s="1"/>
  <c r="U56" i="9"/>
  <c r="M56" i="9"/>
  <c r="V61" i="11"/>
  <c r="AF61" i="11" s="1"/>
  <c r="O361" i="11"/>
  <c r="O235" i="11"/>
  <c r="Z235" i="11" s="1"/>
  <c r="H240" i="11"/>
  <c r="M53" i="9"/>
  <c r="M55" i="9"/>
  <c r="V211" i="11"/>
  <c r="AF211" i="11" s="1"/>
  <c r="O22" i="11"/>
  <c r="M58" i="9"/>
  <c r="M54" i="9"/>
  <c r="H353" i="11"/>
  <c r="M61" i="9"/>
  <c r="M57" i="9"/>
  <c r="M60" i="9"/>
  <c r="O137" i="11"/>
  <c r="Z137" i="11" s="1"/>
  <c r="H242" i="11"/>
  <c r="K242" i="11" s="1"/>
  <c r="O346" i="11"/>
  <c r="Z346" i="11" s="1"/>
  <c r="H357" i="11"/>
  <c r="O248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R17" i="9"/>
  <c r="P11" i="9"/>
  <c r="R21" i="9"/>
  <c r="O18" i="9"/>
  <c r="R27" i="9"/>
  <c r="R13" i="9"/>
  <c r="R22" i="9"/>
  <c r="R14" i="9"/>
  <c r="P25" i="9"/>
  <c r="R10" i="9"/>
  <c r="O11" i="9"/>
  <c r="R15" i="9"/>
  <c r="Q11" i="9"/>
  <c r="N18" i="9"/>
  <c r="M18" i="9" s="1"/>
  <c r="R28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l="1"/>
  <c r="K353" i="11"/>
  <c r="K357" i="11"/>
  <c r="K355" i="11"/>
  <c r="K240" i="11"/>
  <c r="K245" i="11" s="1"/>
  <c r="F247" i="11" s="1"/>
  <c r="K354" i="11"/>
  <c r="K356" i="11"/>
  <c r="H358" i="11"/>
  <c r="A52" i="9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18" i="9"/>
  <c r="L25" i="9"/>
  <c r="L16" i="9"/>
  <c r="L11" i="9"/>
  <c r="L14" i="9"/>
  <c r="E32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O49" i="9" s="1"/>
  <c r="AH20" i="4"/>
  <c r="P49" i="9" s="1"/>
  <c r="AI20" i="4"/>
  <c r="Q49" i="9" s="1"/>
  <c r="AG21" i="4"/>
  <c r="AH21" i="4"/>
  <c r="AI21" i="4"/>
  <c r="AH10" i="4"/>
  <c r="P42" i="9" s="1"/>
  <c r="AI10" i="4"/>
  <c r="Q42" i="9" s="1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O47" i="9" l="1"/>
  <c r="P47" i="9"/>
  <c r="K358" i="11"/>
  <c r="F360" i="11" s="1"/>
  <c r="O48" i="9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9" i="1"/>
  <c r="H15" i="7" l="1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29" i="3"/>
  <c r="F32" i="3"/>
  <c r="E36" i="3" s="1"/>
  <c r="F31" i="3"/>
  <c r="F28" i="3"/>
  <c r="F30" i="3"/>
  <c r="R2" i="8"/>
  <c r="S5" i="8"/>
  <c r="M17" i="4"/>
  <c r="E44" i="1"/>
  <c r="E43" i="1"/>
  <c r="E40" i="1"/>
  <c r="L17" i="4"/>
  <c r="S5" i="7" l="1"/>
  <c r="E35" i="3"/>
  <c r="E34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K19" i="8" s="1"/>
  <c r="AD10" i="4"/>
  <c r="F23" i="4"/>
  <c r="L23" i="4" s="1"/>
  <c r="H9" i="8"/>
  <c r="K18" i="8" s="1"/>
  <c r="F21" i="4"/>
  <c r="L21" i="4" s="1"/>
  <c r="H7" i="8"/>
  <c r="K16" i="8" s="1"/>
  <c r="F20" i="4"/>
  <c r="L20" i="4" s="1"/>
  <c r="H6" i="8"/>
  <c r="K15" i="8" s="1"/>
  <c r="F19" i="4"/>
  <c r="L19" i="4" s="1"/>
  <c r="G28" i="4"/>
  <c r="H5" i="8"/>
  <c r="F22" i="4"/>
  <c r="L22" i="4" s="1"/>
  <c r="H8" i="8"/>
  <c r="K17" i="8" s="1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F14" i="8" l="1"/>
  <c r="N28" i="4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L49" i="9"/>
  <c r="L28" i="9"/>
  <c r="L44" i="9"/>
  <c r="L23" i="9"/>
  <c r="F5" i="7"/>
  <c r="V5" i="7" s="1"/>
  <c r="N5" i="7" s="1"/>
  <c r="T18" i="5"/>
  <c r="T14" i="5" s="1"/>
  <c r="L42" i="9"/>
  <c r="L21" i="9"/>
  <c r="F15" i="7"/>
  <c r="F6" i="7"/>
  <c r="F9" i="7"/>
  <c r="F11" i="7"/>
  <c r="F10" i="7"/>
  <c r="O22" i="3"/>
  <c r="O14" i="8"/>
  <c r="S14" i="8" s="1"/>
  <c r="P18" i="8"/>
  <c r="F17" i="8"/>
  <c r="J17" i="8" s="1"/>
  <c r="N31" i="4" s="1"/>
  <c r="O17" i="8"/>
  <c r="P16" i="8"/>
  <c r="F15" i="8"/>
  <c r="J15" i="8" s="1"/>
  <c r="N29" i="4" s="1"/>
  <c r="O15" i="8"/>
  <c r="S15" i="8" s="1"/>
  <c r="F16" i="8"/>
  <c r="J16" i="8" s="1"/>
  <c r="N30" i="4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N32" i="4" s="1"/>
  <c r="O18" i="8"/>
  <c r="F19" i="8"/>
  <c r="J19" i="8" s="1"/>
  <c r="N33" i="4" s="1"/>
  <c r="O19" i="8"/>
  <c r="S19" i="8" s="1"/>
  <c r="V49" i="9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F14" i="5" l="1"/>
  <c r="V42" i="9"/>
  <c r="V44" i="9"/>
  <c r="T16" i="5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W49" i="9" s="1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U14" i="8" l="1"/>
  <c r="X42" i="9" s="1"/>
  <c r="U49" i="9"/>
  <c r="X44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U12" i="9"/>
  <c r="U23" i="9"/>
  <c r="U10" i="9"/>
  <c r="U21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X17" i="9" l="1"/>
  <c r="X49" i="9"/>
  <c r="W22" i="9"/>
  <c r="W42" i="9"/>
  <c r="W12" i="9"/>
  <c r="W44" i="9"/>
  <c r="W10" i="9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L14" i="5" s="1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G14" i="5" l="1"/>
  <c r="N18" i="5"/>
  <c r="V18" i="5"/>
  <c r="V14" i="5" s="1"/>
  <c r="X5" i="7"/>
  <c r="N21" i="9"/>
  <c r="M21" i="9" s="1"/>
  <c r="N42" i="9"/>
  <c r="M42" i="9" s="1"/>
  <c r="N44" i="9"/>
  <c r="M44" i="9" s="1"/>
  <c r="N23" i="9"/>
  <c r="M23" i="9" s="1"/>
  <c r="N49" i="9"/>
  <c r="M49" i="9" s="1"/>
  <c r="N28" i="9"/>
  <c r="M28" i="9" s="1"/>
  <c r="N14" i="5"/>
  <c r="V19" i="5"/>
  <c r="X6" i="7"/>
  <c r="M18" i="5"/>
  <c r="N19" i="5"/>
  <c r="AJ18" i="5" l="1"/>
  <c r="U18" i="5"/>
  <c r="W5" i="7"/>
  <c r="O5" i="7" s="1"/>
  <c r="P5" i="7"/>
  <c r="U19" i="5"/>
  <c r="AI19" i="5" s="1"/>
  <c r="V20" i="5"/>
  <c r="AJ20" i="5" s="1"/>
  <c r="X7" i="7"/>
  <c r="AJ19" i="5"/>
  <c r="AM19" i="5" s="1"/>
  <c r="P6" i="7"/>
  <c r="W6" i="7"/>
  <c r="O6" i="7" s="1"/>
  <c r="M19" i="5"/>
  <c r="K18" i="5" s="1"/>
  <c r="N20" i="5"/>
  <c r="U14" i="5" l="1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<sst xmlns="http://schemas.openxmlformats.org/spreadsheetml/2006/main" count="945" uniqueCount="329">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</sst>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4" formatCode="0.0_ 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4" fontId="2" fillId="0" borderId="1" xfId="0" applyNumberFormat="1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81" t="s">
        <v>229</v>
      </c>
      <c r="B1" s="82"/>
    </row>
    <row r="2" spans="1:25" ht="14.25" customHeight="1" x14ac:dyDescent="0.2">
      <c r="A2" s="83"/>
      <c r="B2" s="84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289</v>
      </c>
      <c r="M52" s="1">
        <f>L50/M50</f>
        <v>10</v>
      </c>
      <c r="N52" s="2" t="s">
        <v>295</v>
      </c>
    </row>
    <row r="53" spans="11:21" ht="14.25" customHeight="1" x14ac:dyDescent="0.2">
      <c r="L53" s="1" t="s">
        <v>290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291</v>
      </c>
      <c r="M54" s="1">
        <f>L50/M53</f>
        <v>20</v>
      </c>
      <c r="N54" s="2" t="s">
        <v>296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292</v>
      </c>
      <c r="M55" s="1">
        <f>M54/M50</f>
        <v>2</v>
      </c>
      <c r="N55" s="2" t="s">
        <v>297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293</v>
      </c>
      <c r="M56" s="1">
        <f>M53*(1+M53)/2</f>
        <v>15</v>
      </c>
      <c r="N56" s="2" t="s">
        <v>298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294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302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299</v>
      </c>
      <c r="L60" s="2" t="s">
        <v>301</v>
      </c>
      <c r="N60" s="1">
        <f>L50/$M$53</f>
        <v>20</v>
      </c>
    </row>
    <row r="61" spans="11:21" ht="14.25" customHeight="1" x14ac:dyDescent="0.2">
      <c r="K61" s="1" t="s">
        <v>300</v>
      </c>
      <c r="L61" s="2" t="s">
        <v>303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Y23" sqref="Y23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81" t="s">
        <v>19</v>
      </c>
      <c r="B1" s="82"/>
    </row>
    <row r="2" spans="1:25" ht="14.25" customHeight="1" x14ac:dyDescent="0.2">
      <c r="A2" s="83"/>
      <c r="B2" s="84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220</v>
      </c>
      <c r="X5" s="3" t="s">
        <v>221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127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128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127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128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129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5" s="3" customFormat="1" ht="14.25" customHeight="1" x14ac:dyDescent="0.2">
      <c r="C15" s="3" t="s">
        <v>222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223</v>
      </c>
      <c r="D16" s="3" t="s">
        <v>224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225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226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25" ht="14.25" customHeight="1" x14ac:dyDescent="0.2">
      <c r="C19" s="1" t="s">
        <v>227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25.277777777777779</v>
      </c>
    </row>
    <row r="20" spans="3:25" ht="14.25" customHeight="1" x14ac:dyDescent="0.2">
      <c r="C20" s="1" t="s">
        <v>228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5">
        <f>IFERROR(VLOOKUP(Q21,Q$12:T$13,2,0),0)</f>
        <v>17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25" ht="14.25" customHeight="1" x14ac:dyDescent="0.2">
      <c r="D24" s="1">
        <v>1</v>
      </c>
      <c r="E24" s="1">
        <f>E18+E21/2</f>
        <v>12</v>
      </c>
      <c r="F24" s="1">
        <f>F18</f>
        <v>40</v>
      </c>
      <c r="G24" s="1">
        <f>G21/2</f>
        <v>3</v>
      </c>
      <c r="H24" s="6">
        <f>F18/(E24-G24)</f>
        <v>4.4444444444444446</v>
      </c>
      <c r="I24" s="9"/>
      <c r="N24" s="15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5">
        <f>IFERROR(VLOOKUP(Q23,Q$12:T$13,2,0),0)</f>
        <v>12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H26" s="40">
        <f>SUM(H23:H25)</f>
        <v>25.277777777777779</v>
      </c>
      <c r="N26" s="15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9.469696969696971E-2</v>
      </c>
      <c r="M28" s="15">
        <f>IFERROR(VLOOKUP(M27,K$12:N$13,4,0),0)</f>
        <v>0</v>
      </c>
      <c r="N28" s="15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127.77777777777779</v>
      </c>
      <c r="F29" s="5">
        <f t="shared" ref="F29:F32" si="3">E29/SUM($E$28:$E$32)</f>
        <v>0.29040404040404044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9.469696969696971E-2</v>
      </c>
      <c r="L30" s="1" t="s">
        <v>139</v>
      </c>
      <c r="M30" s="1" t="s">
        <v>24</v>
      </c>
      <c r="N30" s="15">
        <f>IFERROR(VLOOKUP(M29,K$12:N$13,2,0),0)</f>
        <v>0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127.77777777777779</v>
      </c>
      <c r="F31" s="5">
        <f t="shared" si="3"/>
        <v>0.29040404040404044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101.11111111111111</v>
      </c>
      <c r="F32" s="5">
        <f t="shared" si="3"/>
        <v>0.22979797979797981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5">
        <f>IFERROR(VLOOKUP(Q31,Q$14:T$15,2,0),0)</f>
        <v>17</v>
      </c>
    </row>
    <row r="33" spans="3:18" ht="14.25" customHeight="1" x14ac:dyDescent="0.2">
      <c r="C33" s="7"/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D34" s="1" t="s">
        <v>127</v>
      </c>
      <c r="E34" s="36">
        <f>F30+F28</f>
        <v>0.18939393939393942</v>
      </c>
      <c r="H34" s="6"/>
      <c r="N34" s="15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5">
        <f>IFERROR(VLOOKUP(Q33,Q$14:T$15,2,0),0)</f>
        <v>12</v>
      </c>
    </row>
    <row r="35" spans="3:18" ht="14.25" customHeight="1" x14ac:dyDescent="0.2">
      <c r="D35" s="1" t="s">
        <v>128</v>
      </c>
      <c r="E35" s="36">
        <f>F31+F29</f>
        <v>0.58080808080808088</v>
      </c>
      <c r="H35" s="6"/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0.22979797979797981</v>
      </c>
      <c r="H36" s="6"/>
      <c r="N36" s="15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0</v>
      </c>
      <c r="N38" s="15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H40" s="6"/>
      <c r="N40" s="15">
        <f>IFERROR(VLOOKUP(M39,K$14:N$15,2,0),0)</f>
        <v>0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4">S16</f>
        <v>50</v>
      </c>
      <c r="R44" s="1">
        <f t="shared" si="4"/>
        <v>0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D48" s="79"/>
      <c r="N48" s="15">
        <f>IFERROR(VLOOKUP(M47,K$14:N$15,2,0),0)</f>
        <v>12</v>
      </c>
      <c r="O48" s="6">
        <f>IFERROR(IF(O47&gt;0,O47/N47*VLOOKUP(M47,$K$41:$R$44,3,0),-O47/P47*VLOOKUP(Q47,$O$41:$R$44,3,0)),O46)</f>
        <v>0</v>
      </c>
      <c r="P48" s="15">
        <f>IFERROR(VLOOKUP(Q47,Q$14:T$15,2,0),0)</f>
        <v>12</v>
      </c>
    </row>
    <row r="49" spans="4:18" ht="14.25" customHeight="1" x14ac:dyDescent="0.2">
      <c r="D49" s="79"/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0</v>
      </c>
      <c r="P50" s="15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5">
        <f>IFERROR(VLOOKUP(M51,K$14:N$15,2,0),0)</f>
        <v>0</v>
      </c>
      <c r="O52" s="6">
        <f>IFERROR(IF(O51&gt;0,O51/N51*VLOOKUP(M51,$K$41:$R$44,3,0),-O51/P51*VLOOKUP(Q51,$O$41:$R$44,3,0)),O50)</f>
        <v>0</v>
      </c>
      <c r="P52" s="15">
        <f>IFERROR(VLOOKUP(Q51,Q$14:T$15,2,0),0)</f>
        <v>0</v>
      </c>
      <c r="Q52" s="6"/>
      <c r="R52" s="6">
        <f>SUM(R47:R51)</f>
        <v>12.5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21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81" t="s">
        <v>31</v>
      </c>
      <c r="B1" s="82"/>
    </row>
    <row r="2" spans="1:17" ht="14.25" customHeight="1" x14ac:dyDescent="0.2">
      <c r="A2" s="83"/>
      <c r="B2" s="84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7" t="s">
        <v>49</v>
      </c>
      <c r="I9" s="98"/>
      <c r="J9" s="98"/>
      <c r="K9" s="98"/>
      <c r="L9" s="98"/>
      <c r="M9" s="98"/>
      <c r="N9" s="98"/>
      <c r="O9" s="98"/>
      <c r="P9" s="98"/>
      <c r="Q9" s="99"/>
    </row>
    <row r="10" spans="1:17" ht="14.25" customHeight="1" x14ac:dyDescent="0.2">
      <c r="C10" s="85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100" t="s">
        <v>50</v>
      </c>
      <c r="I10" s="101"/>
      <c r="J10" s="101"/>
      <c r="K10" s="101"/>
      <c r="L10" s="101"/>
      <c r="M10" s="101"/>
      <c r="N10" s="101"/>
      <c r="O10" s="101"/>
      <c r="P10" s="101"/>
      <c r="Q10" s="102"/>
    </row>
    <row r="11" spans="1:17" ht="14.25" customHeight="1" x14ac:dyDescent="0.2">
      <c r="C11" s="86"/>
      <c r="D11" s="1" t="s">
        <v>35</v>
      </c>
      <c r="E11" s="1" t="s">
        <v>44</v>
      </c>
      <c r="F11" s="1" t="s">
        <v>48</v>
      </c>
      <c r="G11" s="13" t="s">
        <v>64</v>
      </c>
      <c r="H11" s="100" t="s">
        <v>51</v>
      </c>
      <c r="I11" s="101"/>
      <c r="J11" s="101"/>
      <c r="K11" s="101"/>
      <c r="L11" s="101"/>
      <c r="M11" s="101"/>
      <c r="N11" s="101"/>
      <c r="O11" s="101"/>
      <c r="P11" s="101"/>
      <c r="Q11" s="102"/>
    </row>
    <row r="12" spans="1:17" ht="14.25" customHeight="1" x14ac:dyDescent="0.2">
      <c r="C12" s="86"/>
      <c r="D12" s="1" t="s">
        <v>36</v>
      </c>
      <c r="E12" s="1" t="s">
        <v>44</v>
      </c>
      <c r="F12" s="1" t="s">
        <v>48</v>
      </c>
      <c r="G12" s="13" t="s">
        <v>64</v>
      </c>
      <c r="H12" s="100" t="s">
        <v>52</v>
      </c>
      <c r="I12" s="101"/>
      <c r="J12" s="101"/>
      <c r="K12" s="101"/>
      <c r="L12" s="101"/>
      <c r="M12" s="101"/>
      <c r="N12" s="101"/>
      <c r="O12" s="101"/>
      <c r="P12" s="101"/>
      <c r="Q12" s="102"/>
    </row>
    <row r="13" spans="1:17" ht="14.25" customHeight="1" x14ac:dyDescent="0.2">
      <c r="C13" s="86"/>
      <c r="D13" s="1" t="s">
        <v>37</v>
      </c>
      <c r="E13" s="1" t="s">
        <v>44</v>
      </c>
      <c r="F13" s="1" t="s">
        <v>48</v>
      </c>
      <c r="G13" s="13" t="s">
        <v>55</v>
      </c>
      <c r="H13" s="100" t="s">
        <v>53</v>
      </c>
      <c r="I13" s="101"/>
      <c r="J13" s="101"/>
      <c r="K13" s="101"/>
      <c r="L13" s="101"/>
      <c r="M13" s="101"/>
      <c r="N13" s="101"/>
      <c r="O13" s="101"/>
      <c r="P13" s="101"/>
      <c r="Q13" s="102"/>
    </row>
    <row r="14" spans="1:17" ht="14.25" customHeight="1" x14ac:dyDescent="0.2">
      <c r="C14" s="86"/>
      <c r="D14" s="1" t="s">
        <v>57</v>
      </c>
      <c r="E14" s="1" t="s">
        <v>44</v>
      </c>
      <c r="F14" s="1" t="s">
        <v>48</v>
      </c>
      <c r="G14" s="13" t="s">
        <v>56</v>
      </c>
      <c r="H14" s="100" t="s">
        <v>58</v>
      </c>
      <c r="I14" s="101"/>
      <c r="J14" s="101"/>
      <c r="K14" s="101"/>
      <c r="L14" s="101"/>
      <c r="M14" s="101"/>
      <c r="N14" s="101"/>
      <c r="O14" s="101"/>
      <c r="P14" s="101"/>
      <c r="Q14" s="102"/>
    </row>
    <row r="15" spans="1:17" ht="14.25" customHeight="1" x14ac:dyDescent="0.2">
      <c r="C15" s="87"/>
      <c r="D15" s="1" t="s">
        <v>13</v>
      </c>
      <c r="E15" s="1" t="s">
        <v>44</v>
      </c>
      <c r="F15" s="1" t="s">
        <v>48</v>
      </c>
      <c r="G15" s="13" t="s">
        <v>59</v>
      </c>
      <c r="H15" s="100" t="s">
        <v>60</v>
      </c>
      <c r="I15" s="101"/>
      <c r="J15" s="101"/>
      <c r="K15" s="101"/>
      <c r="L15" s="101"/>
      <c r="M15" s="101"/>
      <c r="N15" s="101"/>
      <c r="O15" s="101"/>
      <c r="P15" s="101"/>
      <c r="Q15" s="102"/>
    </row>
    <row r="16" spans="1:17" ht="14.25" customHeight="1" x14ac:dyDescent="0.2">
      <c r="C16" s="85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8" t="s">
        <v>63</v>
      </c>
      <c r="I16" s="89"/>
      <c r="J16" s="89"/>
      <c r="K16" s="89"/>
      <c r="L16" s="89"/>
      <c r="M16" s="89"/>
      <c r="N16" s="89"/>
      <c r="O16" s="89"/>
      <c r="P16" s="89"/>
      <c r="Q16" s="90"/>
    </row>
    <row r="17" spans="3:17" ht="14.25" customHeight="1" x14ac:dyDescent="0.2">
      <c r="C17" s="86"/>
      <c r="D17" s="1" t="s">
        <v>40</v>
      </c>
      <c r="E17" s="1" t="s">
        <v>45</v>
      </c>
      <c r="F17" s="1" t="s">
        <v>48</v>
      </c>
      <c r="G17" s="13" t="s">
        <v>65</v>
      </c>
      <c r="H17" s="91"/>
      <c r="I17" s="92"/>
      <c r="J17" s="92"/>
      <c r="K17" s="92"/>
      <c r="L17" s="92"/>
      <c r="M17" s="92"/>
      <c r="N17" s="92"/>
      <c r="O17" s="92"/>
      <c r="P17" s="92"/>
      <c r="Q17" s="93"/>
    </row>
    <row r="18" spans="3:17" ht="14.25" customHeight="1" x14ac:dyDescent="0.2">
      <c r="C18" s="87"/>
      <c r="D18" s="1" t="s">
        <v>41</v>
      </c>
      <c r="E18" s="1" t="s">
        <v>45</v>
      </c>
      <c r="F18" s="1" t="s">
        <v>48</v>
      </c>
      <c r="G18" s="13" t="s">
        <v>65</v>
      </c>
      <c r="H18" s="94"/>
      <c r="I18" s="95"/>
      <c r="J18" s="95"/>
      <c r="K18" s="95"/>
      <c r="L18" s="95"/>
      <c r="M18" s="95"/>
      <c r="N18" s="95"/>
      <c r="O18" s="95"/>
      <c r="P18" s="95"/>
      <c r="Q18" s="96"/>
    </row>
    <row r="19" spans="3:17" ht="14.25" customHeight="1" x14ac:dyDescent="0.2">
      <c r="C19" s="85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8" t="s">
        <v>67</v>
      </c>
      <c r="I19" s="89"/>
      <c r="J19" s="89"/>
      <c r="K19" s="89"/>
      <c r="L19" s="89"/>
      <c r="M19" s="89"/>
      <c r="N19" s="89"/>
      <c r="O19" s="89"/>
      <c r="P19" s="89"/>
      <c r="Q19" s="90"/>
    </row>
    <row r="20" spans="3:17" ht="14.25" customHeight="1" x14ac:dyDescent="0.2">
      <c r="C20" s="86"/>
      <c r="D20" s="1" t="s">
        <v>133</v>
      </c>
      <c r="E20" s="1" t="s">
        <v>45</v>
      </c>
      <c r="F20" s="1" t="s">
        <v>48</v>
      </c>
      <c r="G20" s="1" t="s">
        <v>126</v>
      </c>
      <c r="H20" s="91"/>
      <c r="I20" s="92"/>
      <c r="J20" s="92"/>
      <c r="K20" s="92"/>
      <c r="L20" s="92"/>
      <c r="M20" s="92"/>
      <c r="N20" s="92"/>
      <c r="O20" s="92"/>
      <c r="P20" s="92"/>
      <c r="Q20" s="93"/>
    </row>
    <row r="21" spans="3:17" ht="14.25" customHeight="1" x14ac:dyDescent="0.2">
      <c r="C21" s="87"/>
      <c r="D21" s="1" t="s">
        <v>125</v>
      </c>
      <c r="E21" s="1" t="s">
        <v>45</v>
      </c>
      <c r="F21" s="1" t="s">
        <v>48</v>
      </c>
      <c r="G21" s="1" t="s">
        <v>126</v>
      </c>
      <c r="H21" s="94"/>
      <c r="I21" s="95"/>
      <c r="J21" s="95"/>
      <c r="K21" s="95"/>
      <c r="L21" s="95"/>
      <c r="M21" s="95"/>
      <c r="N21" s="95"/>
      <c r="O21" s="95"/>
      <c r="P21" s="95"/>
      <c r="Q21" s="96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231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O10" sqref="O10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81" t="s">
        <v>91</v>
      </c>
      <c r="B1" s="82"/>
    </row>
    <row r="2" spans="1:36" ht="14.25" customHeight="1" x14ac:dyDescent="0.2">
      <c r="A2" s="83"/>
      <c r="B2" s="84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175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174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257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7.6~11</v>
      </c>
      <c r="Z10" s="6">
        <v>11</v>
      </c>
      <c r="AA10" s="1">
        <f>VLOOKUP(S10,$D$27:$M$33,MATCH(AA$9,$D$27:$M$27,0),0)</f>
        <v>0.75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0.45</v>
      </c>
      <c r="AE10" s="26">
        <f>X10/INDEX($G$26:$L$26,MATCH(AE$9,$G$27:$L$27,0))</f>
        <v>1.1111111111111112</v>
      </c>
      <c r="AF10" s="26">
        <f>Z10/INDEX($G$26:$L$26,MATCH(AF$9,$G$27:$L$27,0))</f>
        <v>1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0.9</v>
      </c>
      <c r="AJ10" s="1">
        <f>AA10</f>
        <v>0.75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258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7.6~11</v>
      </c>
      <c r="Z11" s="6">
        <v>11</v>
      </c>
      <c r="AA11" s="1">
        <f t="shared" ref="AA11:AA21" si="7">VLOOKUP(S11,$D$27:$M$33,MATCH(AA$9,$D$27:$M$27,0),0)</f>
        <v>0.75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0.5</v>
      </c>
      <c r="AE11" s="26">
        <f t="shared" ref="AE11:AE21" si="11">X11/INDEX($G$26:$L$26,MATCH(AE$9,$G$27:$L$27,0))</f>
        <v>1</v>
      </c>
      <c r="AF11" s="26">
        <f t="shared" ref="AF11:AF21" si="12">Z11/INDEX($G$26:$L$26,MATCH(AF$9,$G$27:$L$27,0))</f>
        <v>1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0.9</v>
      </c>
      <c r="AJ11" s="1">
        <f t="shared" ref="AJ11:AJ21" si="14">AA11</f>
        <v>0.75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259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5~9</v>
      </c>
      <c r="Z12" s="6">
        <v>9</v>
      </c>
      <c r="AA12" s="1">
        <f t="shared" si="7"/>
        <v>0.751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0.55000000000000004</v>
      </c>
      <c r="AE12" s="26">
        <f t="shared" si="11"/>
        <v>0.90909090909090906</v>
      </c>
      <c r="AF12" s="26">
        <f t="shared" si="12"/>
        <v>0.81818181818181823</v>
      </c>
      <c r="AG12" s="26">
        <f t="shared" si="13"/>
        <v>1</v>
      </c>
      <c r="AH12" s="26">
        <f t="shared" si="1"/>
        <v>1</v>
      </c>
      <c r="AI12" s="26">
        <f t="shared" si="1"/>
        <v>0.95</v>
      </c>
      <c r="AJ12" s="1">
        <f t="shared" si="14"/>
        <v>0.751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260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5~9</v>
      </c>
      <c r="Z13" s="6">
        <v>9</v>
      </c>
      <c r="AA13" s="1">
        <f t="shared" si="7"/>
        <v>0.751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0.6</v>
      </c>
      <c r="AE13" s="26">
        <f t="shared" si="11"/>
        <v>0.83333333333333326</v>
      </c>
      <c r="AF13" s="26">
        <f t="shared" si="12"/>
        <v>0.81818181818181823</v>
      </c>
      <c r="AG13" s="26">
        <f t="shared" si="13"/>
        <v>1</v>
      </c>
      <c r="AH13" s="26">
        <f t="shared" si="1"/>
        <v>1</v>
      </c>
      <c r="AI13" s="26">
        <f t="shared" si="1"/>
        <v>0.95</v>
      </c>
      <c r="AJ13" s="1">
        <f t="shared" si="14"/>
        <v>0.751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261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3~5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1.05</v>
      </c>
      <c r="AE14" s="26">
        <f t="shared" si="11"/>
        <v>0.38095238095238093</v>
      </c>
      <c r="AF14" s="26">
        <f t="shared" si="12"/>
        <v>0.45454545454545453</v>
      </c>
      <c r="AG14" s="26">
        <f t="shared" si="13"/>
        <v>1</v>
      </c>
      <c r="AH14" s="26">
        <f t="shared" si="1"/>
        <v>1</v>
      </c>
      <c r="AI14" s="26">
        <f t="shared" si="1"/>
        <v>1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262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3~5</v>
      </c>
      <c r="Z15" s="6">
        <v>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</v>
      </c>
      <c r="AE15" s="26">
        <f t="shared" si="11"/>
        <v>0.4</v>
      </c>
      <c r="AF15" s="26">
        <f t="shared" si="12"/>
        <v>0.45454545454545453</v>
      </c>
      <c r="AG15" s="26">
        <f t="shared" si="13"/>
        <v>1</v>
      </c>
      <c r="AH15" s="26">
        <f t="shared" si="1"/>
        <v>1</v>
      </c>
      <c r="AI15" s="26">
        <f t="shared" si="1"/>
        <v>1</v>
      </c>
      <c r="AJ15" s="1">
        <f t="shared" si="14"/>
        <v>0.8</v>
      </c>
    </row>
    <row r="16" spans="1:36" ht="14.25" customHeight="1" x14ac:dyDescent="0.2">
      <c r="F16" s="6">
        <f>MAX(F10:F15)</f>
        <v>10</v>
      </c>
      <c r="G16" s="6">
        <f>MAX(G10:G15)</f>
        <v>100</v>
      </c>
      <c r="H16" s="6">
        <f>MAX(G19:G24)</f>
        <v>11</v>
      </c>
      <c r="K16" s="23"/>
      <c r="L16" s="23"/>
      <c r="R16" s="1" t="s">
        <v>263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4~5</v>
      </c>
      <c r="Z16" s="6">
        <v>4.5</v>
      </c>
      <c r="AA16" s="1">
        <f t="shared" si="7"/>
        <v>0.80500000000000005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0.96</v>
      </c>
      <c r="AE16" s="26">
        <f t="shared" si="11"/>
        <v>0.41666666666666674</v>
      </c>
      <c r="AF16" s="26">
        <f t="shared" si="12"/>
        <v>0.40909090909090912</v>
      </c>
      <c r="AG16" s="26">
        <f t="shared" si="13"/>
        <v>1</v>
      </c>
      <c r="AH16" s="26">
        <f t="shared" si="1"/>
        <v>1</v>
      </c>
      <c r="AI16" s="26">
        <f t="shared" si="1"/>
        <v>1.1000000000000001</v>
      </c>
      <c r="AJ16" s="1">
        <f t="shared" si="14"/>
        <v>0.80500000000000005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264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4~5</v>
      </c>
      <c r="Z17" s="6">
        <v>4.5</v>
      </c>
      <c r="AA17" s="1">
        <f t="shared" si="7"/>
        <v>0.80500000000000005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0.98000000000000009</v>
      </c>
      <c r="AE17" s="26">
        <f t="shared" si="11"/>
        <v>0.40816326530612246</v>
      </c>
      <c r="AF17" s="26">
        <f t="shared" si="12"/>
        <v>0.40909090909090912</v>
      </c>
      <c r="AG17" s="26">
        <f t="shared" si="13"/>
        <v>1</v>
      </c>
      <c r="AH17" s="26">
        <f t="shared" si="1"/>
        <v>1</v>
      </c>
      <c r="AI17" s="26">
        <f t="shared" si="1"/>
        <v>1.1000000000000001</v>
      </c>
      <c r="AJ17" s="1">
        <f t="shared" si="14"/>
        <v>0.80500000000000005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265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5~9</v>
      </c>
      <c r="Z18" s="6">
        <v>7</v>
      </c>
      <c r="AA18" s="1">
        <f t="shared" si="7"/>
        <v>0.77400000000000002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0.93999999999999984</v>
      </c>
      <c r="AE18" s="26">
        <f t="shared" si="11"/>
        <v>0.42553191489361708</v>
      </c>
      <c r="AF18" s="26">
        <f t="shared" si="12"/>
        <v>0.63636363636363635</v>
      </c>
      <c r="AG18" s="26">
        <f t="shared" si="13"/>
        <v>1</v>
      </c>
      <c r="AH18" s="26">
        <f t="shared" si="1"/>
        <v>1</v>
      </c>
      <c r="AI18" s="26">
        <f t="shared" si="1"/>
        <v>1.2</v>
      </c>
      <c r="AJ18" s="1">
        <f t="shared" si="14"/>
        <v>0.77400000000000002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4.166666666666667</v>
      </c>
      <c r="G19" s="1">
        <v>11</v>
      </c>
      <c r="H19" s="6">
        <f>L10/(G19/$G$17+1)</f>
        <v>111.09889023318546</v>
      </c>
      <c r="I19" s="20">
        <v>0.4</v>
      </c>
      <c r="J19" s="20">
        <v>1.5</v>
      </c>
      <c r="K19" s="1">
        <v>0.9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7.6</v>
      </c>
      <c r="P19" s="21"/>
      <c r="R19" s="1" t="s">
        <v>266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5~9</v>
      </c>
      <c r="Z19" s="6">
        <v>7</v>
      </c>
      <c r="AA19" s="1">
        <f t="shared" si="7"/>
        <v>0.77400000000000002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0.9</v>
      </c>
      <c r="AE19" s="26">
        <f t="shared" si="11"/>
        <v>0.44444444444444442</v>
      </c>
      <c r="AF19" s="26">
        <f t="shared" si="12"/>
        <v>0.63636363636363635</v>
      </c>
      <c r="AG19" s="26">
        <f t="shared" si="13"/>
        <v>1</v>
      </c>
      <c r="AH19" s="26">
        <f t="shared" si="1"/>
        <v>1</v>
      </c>
      <c r="AI19" s="26">
        <f t="shared" si="1"/>
        <v>1.2</v>
      </c>
      <c r="AJ19" s="1">
        <f t="shared" si="14"/>
        <v>0.77400000000000002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5.2631578947368425</v>
      </c>
      <c r="G20" s="1">
        <v>9</v>
      </c>
      <c r="H20" s="6">
        <f t="shared" ref="H20:H24" si="20">L11/(G20/$G$17+1)</f>
        <v>83.325834008272594</v>
      </c>
      <c r="I20" s="20">
        <v>0.4</v>
      </c>
      <c r="J20" s="20">
        <v>1.5</v>
      </c>
      <c r="K20" s="1">
        <v>0.95</v>
      </c>
      <c r="L20" s="6">
        <f t="shared" ref="L20:L23" si="21">F20*$L$17*(1+I20*(J20-1))*K20</f>
        <v>150.00000000000003</v>
      </c>
      <c r="M20" s="6">
        <f>H20*$M$17*(1+G20*战斗公式!$E$40)+$M$17*基础模型!$G$17*$L$17</f>
        <v>133.33333333333331</v>
      </c>
      <c r="N20" s="22">
        <f t="shared" ref="N20:N23" si="22">L20+M20</f>
        <v>283.33333333333337</v>
      </c>
      <c r="O20" s="1">
        <v>5</v>
      </c>
      <c r="P20" s="21"/>
      <c r="R20" s="1" t="s">
        <v>267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2.5~3</v>
      </c>
      <c r="Z20" s="6">
        <v>2.8</v>
      </c>
      <c r="AA20" s="1">
        <f t="shared" si="7"/>
        <v>0.79800000000000004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0.36</v>
      </c>
      <c r="AE20" s="26">
        <f t="shared" si="11"/>
        <v>0.55555555555555558</v>
      </c>
      <c r="AF20" s="26">
        <f t="shared" si="12"/>
        <v>0.25454545454545452</v>
      </c>
      <c r="AG20" s="26">
        <f t="shared" si="13"/>
        <v>1</v>
      </c>
      <c r="AH20" s="26">
        <f t="shared" si="1"/>
        <v>1</v>
      </c>
      <c r="AI20" s="26">
        <f t="shared" si="1"/>
        <v>0.9</v>
      </c>
      <c r="AJ20" s="1">
        <f t="shared" si="14"/>
        <v>0.79800000000000004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8.75</v>
      </c>
      <c r="G21" s="1">
        <v>3</v>
      </c>
      <c r="H21" s="6">
        <f t="shared" si="20"/>
        <v>38.094095272379924</v>
      </c>
      <c r="I21" s="20">
        <v>0.4</v>
      </c>
      <c r="J21" s="20">
        <v>1.5</v>
      </c>
      <c r="K21" s="1">
        <v>1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5</v>
      </c>
      <c r="P21" s="21"/>
      <c r="R21" s="1" t="s">
        <v>268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2.5~3</v>
      </c>
      <c r="Z21" s="6">
        <v>2.8</v>
      </c>
      <c r="AA21" s="1">
        <f t="shared" si="7"/>
        <v>0.79800000000000004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0.4</v>
      </c>
      <c r="AE21" s="26">
        <f t="shared" si="11"/>
        <v>0.5</v>
      </c>
      <c r="AF21" s="26">
        <f t="shared" si="12"/>
        <v>0.25454545454545452</v>
      </c>
      <c r="AG21" s="26">
        <f t="shared" si="13"/>
        <v>1</v>
      </c>
      <c r="AH21" s="26">
        <f t="shared" si="1"/>
        <v>1</v>
      </c>
      <c r="AI21" s="26">
        <f t="shared" si="1"/>
        <v>0.9</v>
      </c>
      <c r="AJ21" s="1">
        <f t="shared" si="14"/>
        <v>0.79800000000000004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7.5757575757575752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1.1000000000000001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6.5972222222222223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1.2</v>
      </c>
      <c r="L23" s="6">
        <f t="shared" si="21"/>
        <v>237.5</v>
      </c>
      <c r="M23" s="6">
        <f>H23*$M$17*(1+G23*战斗公式!$E$40)</f>
        <v>42.10526315789474</v>
      </c>
      <c r="N23" s="22">
        <f t="shared" si="22"/>
        <v>279.60526315789474</v>
      </c>
      <c r="O23" s="1">
        <v>9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3.3333333333333335</v>
      </c>
      <c r="G24" s="1">
        <v>2.5</v>
      </c>
      <c r="H24" s="6">
        <f t="shared" si="20"/>
        <v>55.554166701388027</v>
      </c>
      <c r="I24" s="20">
        <v>0.4</v>
      </c>
      <c r="J24" s="20">
        <v>1.5</v>
      </c>
      <c r="K24" s="1">
        <v>0.9</v>
      </c>
      <c r="L24" s="6">
        <f>F24*$L$17*(1+I24*(J24-1))*K24</f>
        <v>90.000000000000014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3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10</v>
      </c>
      <c r="H26" s="6">
        <f>G16</f>
        <v>100</v>
      </c>
      <c r="I26" s="6">
        <f>H16</f>
        <v>11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175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0.45</v>
      </c>
      <c r="H28" s="6">
        <f t="shared" ref="G28:H33" si="23">L10/H$26</f>
        <v>1.1111111111111112</v>
      </c>
      <c r="I28" s="6">
        <f>G19/I$26</f>
        <v>1</v>
      </c>
      <c r="J28" s="6">
        <f>0.05/J$26</f>
        <v>0.125</v>
      </c>
      <c r="K28" s="6">
        <f t="shared" ref="K28:L33" si="24">J19/K$26</f>
        <v>1</v>
      </c>
      <c r="L28" s="6">
        <f t="shared" si="24"/>
        <v>0.9</v>
      </c>
      <c r="M28" s="1">
        <v>0.75</v>
      </c>
      <c r="N28" s="36">
        <f>技能模板!J14</f>
        <v>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0.6</v>
      </c>
      <c r="H29" s="6">
        <f t="shared" si="23"/>
        <v>0.83333333333333326</v>
      </c>
      <c r="I29" s="6">
        <f t="shared" ref="I29:I33" si="25">G20/I$26</f>
        <v>0.81818181818181823</v>
      </c>
      <c r="J29" s="6">
        <f t="shared" ref="J29:J33" si="26">0.05/J$26</f>
        <v>0.125</v>
      </c>
      <c r="K29" s="6">
        <f t="shared" si="24"/>
        <v>1</v>
      </c>
      <c r="L29" s="6">
        <f t="shared" si="24"/>
        <v>0.95</v>
      </c>
      <c r="M29" s="1">
        <v>0.751</v>
      </c>
      <c r="N29" s="36">
        <f>技能模板!J15</f>
        <v>2.5198402130492674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1.05</v>
      </c>
      <c r="H30" s="6">
        <f t="shared" si="23"/>
        <v>0.38095238095238093</v>
      </c>
      <c r="I30" s="6">
        <f t="shared" si="25"/>
        <v>0.27272727272727271</v>
      </c>
      <c r="J30" s="6">
        <f t="shared" si="26"/>
        <v>0.125</v>
      </c>
      <c r="K30" s="6">
        <f t="shared" si="24"/>
        <v>1</v>
      </c>
      <c r="L30" s="6">
        <f t="shared" si="24"/>
        <v>1</v>
      </c>
      <c r="M30" s="1">
        <v>0.8</v>
      </c>
      <c r="N30" s="36">
        <f>技能模板!J16</f>
        <v>4.9999999999999982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</v>
      </c>
      <c r="H31" s="6">
        <f t="shared" si="23"/>
        <v>0.4</v>
      </c>
      <c r="I31" s="6">
        <f t="shared" si="25"/>
        <v>0.36363636363636365</v>
      </c>
      <c r="J31" s="6">
        <f t="shared" si="26"/>
        <v>0.125</v>
      </c>
      <c r="K31" s="6">
        <f t="shared" si="24"/>
        <v>1</v>
      </c>
      <c r="L31" s="6">
        <f t="shared" si="24"/>
        <v>1.1000000000000001</v>
      </c>
      <c r="M31" s="1">
        <v>0.80500000000000005</v>
      </c>
      <c r="N31" s="36">
        <f>技能模板!J17</f>
        <v>3.9968944099378874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0.95</v>
      </c>
      <c r="H32" s="6">
        <f t="shared" si="23"/>
        <v>0.4210526315789474</v>
      </c>
      <c r="I32" s="6">
        <f t="shared" si="25"/>
        <v>0.45454545454545453</v>
      </c>
      <c r="J32" s="6">
        <f t="shared" si="26"/>
        <v>0.125</v>
      </c>
      <c r="K32" s="6">
        <f t="shared" si="24"/>
        <v>1</v>
      </c>
      <c r="L32" s="6">
        <f t="shared" si="24"/>
        <v>1.2</v>
      </c>
      <c r="M32" s="1">
        <v>0.77400000000000002</v>
      </c>
      <c r="N32" s="36">
        <f>技能模板!J18</f>
        <v>3.5038759689922472</v>
      </c>
    </row>
    <row r="33" spans="4:14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0.36</v>
      </c>
      <c r="H33" s="6">
        <f t="shared" si="23"/>
        <v>0.55555555555555558</v>
      </c>
      <c r="I33" s="6">
        <f t="shared" si="25"/>
        <v>0.22727272727272727</v>
      </c>
      <c r="J33" s="6">
        <f t="shared" si="26"/>
        <v>0.125</v>
      </c>
      <c r="K33" s="6">
        <f t="shared" si="24"/>
        <v>1</v>
      </c>
      <c r="L33" s="6">
        <f t="shared" si="24"/>
        <v>0.9</v>
      </c>
      <c r="M33" s="1">
        <v>0.79800000000000004</v>
      </c>
      <c r="N33" s="36">
        <f>技能模板!J19</f>
        <v>2.5060150375939845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U16" sqref="U16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81" t="s">
        <v>116</v>
      </c>
      <c r="B1" s="82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3"/>
      <c r="B2" s="84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190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327</v>
      </c>
      <c r="G4" s="1"/>
      <c r="H4" s="106" t="s">
        <v>168</v>
      </c>
      <c r="I4" s="15"/>
      <c r="J4" s="2" t="s">
        <v>326</v>
      </c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30</v>
      </c>
      <c r="F5" s="24">
        <f>E5/SUM($E$5:$E$8)</f>
        <v>0.3</v>
      </c>
      <c r="H5" s="107">
        <f>E5/SUM($E$5:$E$7)</f>
        <v>0.35294117647058826</v>
      </c>
      <c r="I5" s="108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182</v>
      </c>
      <c r="E6" s="1">
        <v>30</v>
      </c>
      <c r="F6" s="24">
        <f>E6/SUM($E$5:$E$8)</f>
        <v>0.3</v>
      </c>
      <c r="G6" s="4">
        <f>F6/F5</f>
        <v>1</v>
      </c>
      <c r="H6" s="107">
        <f t="shared" ref="H6:H7" si="0">E6/SUM($E$5:$E$7)</f>
        <v>0.35294117647058826</v>
      </c>
      <c r="I6" s="109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25</v>
      </c>
      <c r="F7" s="24">
        <f>E7/SUM($E$5:$E$8)</f>
        <v>0.25</v>
      </c>
      <c r="G7" s="4">
        <f>F7/SUM($F$5:$F$6)</f>
        <v>0.41666666666666669</v>
      </c>
      <c r="H7" s="107">
        <f t="shared" si="0"/>
        <v>0.29411764705882354</v>
      </c>
      <c r="I7" s="109">
        <f>H7/SUM($H$5:$H$6)</f>
        <v>0.41666666666666663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15</v>
      </c>
      <c r="F8" s="24">
        <f>E8/SUM($E$5:$E$8)</f>
        <v>0.15</v>
      </c>
      <c r="G8" s="4">
        <f>F8/SUM($F$5:$F$6)</f>
        <v>0.25</v>
      </c>
      <c r="H8" s="15"/>
      <c r="I8" s="110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169</v>
      </c>
      <c r="D13" s="2" t="s">
        <v>198</v>
      </c>
      <c r="E13" s="2"/>
      <c r="L13" s="2"/>
      <c r="R13" s="3" t="s">
        <v>170</v>
      </c>
      <c r="S13" s="1" t="s">
        <v>257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131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3">
        <f>MAX($U$18:$U$117)</f>
        <v>513303.34971270675</v>
      </c>
      <c r="V15" s="33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33">
        <v>100000</v>
      </c>
      <c r="T16" s="1">
        <f>T18*H5</f>
        <v>82.720588235294116</v>
      </c>
      <c r="U16" s="21">
        <f>U18*F5</f>
        <v>2479.5437639474335</v>
      </c>
      <c r="W16" s="20">
        <f>角色设定!J26</f>
        <v>0.4</v>
      </c>
      <c r="X16" s="20">
        <f>角色设定!K26</f>
        <v>1.5</v>
      </c>
      <c r="AE16" s="22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171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171</v>
      </c>
      <c r="T17" s="1" t="s">
        <v>172</v>
      </c>
      <c r="U17" s="1" t="s">
        <v>173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175</v>
      </c>
      <c r="AE17" s="1" t="s">
        <v>176</v>
      </c>
      <c r="AF17" s="1" t="s">
        <v>177</v>
      </c>
      <c r="AH17" s="1" t="s">
        <v>178</v>
      </c>
      <c r="AI17" s="1" t="s">
        <v>179</v>
      </c>
      <c r="AJ17" s="1" t="s">
        <v>180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6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T18*战斗公式!$E$39*(1+W18*(X18-1))*Y18</f>
        <v>6328.125</v>
      </c>
      <c r="AD18" s="6">
        <f>U18*战斗公式!$E$41*(1+V18*战斗公式!$E$40)</f>
        <v>8333.3333333333339</v>
      </c>
      <c r="AE18" s="22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6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8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T19*战斗公式!$E$39*(1+W19*(X19-1))*Y19</f>
        <v>6644.53125</v>
      </c>
      <c r="AD19" s="6">
        <f>U19*战斗公式!$E$41*(1+V19*战斗公式!$E$40)</f>
        <v>8750</v>
      </c>
      <c r="AE19" s="22">
        <f t="shared" ref="AE19:AE82" si="12">AC19+AD19</f>
        <v>15394.53125</v>
      </c>
      <c r="AF19" s="22">
        <f>AE19-AE18</f>
        <v>733.07291666666606</v>
      </c>
      <c r="AG19" s="22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6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8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T20*战斗公式!$E$39*(1+W20*(X20-1))*Y20</f>
        <v>6976.7578125</v>
      </c>
      <c r="AD20" s="6">
        <f>U20*战斗公式!$E$41*(1+V20*战斗公式!$E$40)</f>
        <v>9187.5</v>
      </c>
      <c r="AE20" s="22">
        <f t="shared" si="12"/>
        <v>16164.2578125</v>
      </c>
      <c r="AF20" s="22">
        <f t="shared" ref="AF20:AF83" si="16">AE20-AE19</f>
        <v>769.7265625</v>
      </c>
      <c r="AG20" s="22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6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8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T21*战斗公式!$E$39*(1+W21*(X21-1))*Y21</f>
        <v>7325.595703125</v>
      </c>
      <c r="AD21" s="6">
        <f>U21*战斗公式!$E$41*(1+V21*战斗公式!$E$40)</f>
        <v>9646.8750000000018</v>
      </c>
      <c r="AE21" s="22">
        <f t="shared" si="12"/>
        <v>16972.470703125</v>
      </c>
      <c r="AF21" s="22">
        <f t="shared" si="16"/>
        <v>808.212890625</v>
      </c>
      <c r="AG21" s="22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6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8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T22*战斗公式!$E$39*(1+W22*(X22-1))*Y22</f>
        <v>7691.87548828125</v>
      </c>
      <c r="AD22" s="6">
        <f>U22*战斗公式!$E$41*(1+V22*战斗公式!$E$40)</f>
        <v>10129.21875</v>
      </c>
      <c r="AE22" s="22">
        <f t="shared" si="12"/>
        <v>17821.09423828125</v>
      </c>
      <c r="AF22" s="22">
        <f t="shared" si="16"/>
        <v>848.62353515625</v>
      </c>
      <c r="AG22" s="22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6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8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T23*战斗公式!$E$39*(1+W23*(X23-1))*Y23</f>
        <v>8076.4692626953129</v>
      </c>
      <c r="AD23" s="6">
        <f>U23*战斗公式!$E$41*(1+V23*战斗公式!$E$40)</f>
        <v>10635.679687500004</v>
      </c>
      <c r="AE23" s="22">
        <f t="shared" si="12"/>
        <v>18712.148950195318</v>
      </c>
      <c r="AF23" s="22">
        <f t="shared" si="16"/>
        <v>891.05471191406832</v>
      </c>
      <c r="AG23" s="22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6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8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T24*战斗公式!$E$39*(1+W24*(X24-1))*Y24</f>
        <v>8480.2927258300788</v>
      </c>
      <c r="AD24" s="6">
        <f>U24*战斗公式!$E$41*(1+V24*战斗公式!$E$40)</f>
        <v>11167.463671875001</v>
      </c>
      <c r="AE24" s="22">
        <f t="shared" si="12"/>
        <v>19647.756397705081</v>
      </c>
      <c r="AF24" s="22">
        <f t="shared" si="16"/>
        <v>935.60744750976301</v>
      </c>
      <c r="AG24" s="22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3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6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8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T25*战斗公式!$E$39*(1+W25*(X25-1))*Y25</f>
        <v>8904.3073621215863</v>
      </c>
      <c r="AD25" s="6">
        <f>U25*战斗公式!$E$41*(1+V25*战斗公式!$E$40)</f>
        <v>11725.836855468751</v>
      </c>
      <c r="AE25" s="22">
        <f t="shared" si="12"/>
        <v>20630.144217590336</v>
      </c>
      <c r="AF25" s="22">
        <f t="shared" si="16"/>
        <v>982.38781988525443</v>
      </c>
      <c r="AG25" s="22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3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6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8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T26*战斗公式!$E$39*(1+W26*(X26-1))*Y26</f>
        <v>9349.5227302276617</v>
      </c>
      <c r="AD26" s="6">
        <f>U26*战斗公式!$E$41*(1+V26*战斗公式!$E$40)</f>
        <v>12312.128698242188</v>
      </c>
      <c r="AE26" s="22">
        <f t="shared" si="12"/>
        <v>21661.65142846985</v>
      </c>
      <c r="AF26" s="22">
        <f t="shared" si="16"/>
        <v>1031.5072108795139</v>
      </c>
      <c r="AG26" s="22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3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6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8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T27*战斗公式!$E$39*(1+W27*(X27-1))*Y27</f>
        <v>9816.9988667390444</v>
      </c>
      <c r="AD27" s="6">
        <f>U27*战斗公式!$E$41*(1+V27*战斗公式!$E$40)</f>
        <v>12927.735133154298</v>
      </c>
      <c r="AE27" s="22">
        <f t="shared" si="12"/>
        <v>22744.733999893342</v>
      </c>
      <c r="AF27" s="22">
        <f t="shared" si="16"/>
        <v>1083.0825714234925</v>
      </c>
      <c r="AG27" s="22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3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6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8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T28*战斗公式!$E$39*(1+W28*(X28-1))*Y28</f>
        <v>10307.848810076001</v>
      </c>
      <c r="AD28" s="6">
        <f>U28*战斗公式!$E$41*(1+V28*战斗公式!$E$40)</f>
        <v>13574.121889812013</v>
      </c>
      <c r="AE28" s="22">
        <f t="shared" si="12"/>
        <v>23881.970699888014</v>
      </c>
      <c r="AF28" s="22">
        <f t="shared" si="16"/>
        <v>1137.2366999946717</v>
      </c>
      <c r="AG28" s="22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3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6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8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T29*战斗公式!$E$39*(1+W29*(X29-1))*Y29</f>
        <v>10823.2412505798</v>
      </c>
      <c r="AD29" s="6">
        <f>U29*战斗公式!$E$41*(1+V29*战斗公式!$E$40)</f>
        <v>14252.827984302616</v>
      </c>
      <c r="AE29" s="22">
        <f t="shared" si="12"/>
        <v>25076.069234882416</v>
      </c>
      <c r="AF29" s="22">
        <f t="shared" si="16"/>
        <v>1194.0985349944021</v>
      </c>
      <c r="AG29" s="22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3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6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8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T30*战斗公式!$E$39*(1+W30*(X30-1))*Y30</f>
        <v>11364.403313108789</v>
      </c>
      <c r="AD30" s="6">
        <f>U30*战斗公式!$E$41*(1+V30*战斗公式!$E$40)</f>
        <v>14965.469383517744</v>
      </c>
      <c r="AE30" s="22">
        <f t="shared" si="12"/>
        <v>26329.872696626531</v>
      </c>
      <c r="AF30" s="22">
        <f t="shared" si="16"/>
        <v>1253.8034617441153</v>
      </c>
      <c r="AG30" s="22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6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8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T31*战斗公式!$E$39*(1+W31*(X31-1))*Y31</f>
        <v>11932.62347876423</v>
      </c>
      <c r="AD31" s="6">
        <f>U31*战斗公式!$E$41*(1+V31*战斗公式!$E$40)</f>
        <v>15713.742852693635</v>
      </c>
      <c r="AE31" s="22">
        <f t="shared" si="12"/>
        <v>27646.366331457866</v>
      </c>
      <c r="AF31" s="22">
        <f t="shared" si="16"/>
        <v>1316.4936348313349</v>
      </c>
      <c r="AG31" s="22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6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8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T32*战斗公式!$E$39*(1+W32*(X32-1))*Y32</f>
        <v>12529.254652702435</v>
      </c>
      <c r="AD32" s="6">
        <f>U32*战斗公式!$E$41*(1+V32*战斗公式!$E$40)</f>
        <v>16499.429995328312</v>
      </c>
      <c r="AE32" s="22">
        <f t="shared" si="12"/>
        <v>29028.684648030747</v>
      </c>
      <c r="AF32" s="22">
        <f t="shared" si="16"/>
        <v>1382.3183165728806</v>
      </c>
      <c r="AG32" s="22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6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8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T33*战斗公式!$E$39*(1+W33*(X33-1))*Y33</f>
        <v>13155.717385337563</v>
      </c>
      <c r="AD33" s="6">
        <f>U33*战斗公式!$E$41*(1+V33*战斗公式!$E$40)</f>
        <v>17324.401495094735</v>
      </c>
      <c r="AE33" s="22">
        <f t="shared" si="12"/>
        <v>30480.118880432296</v>
      </c>
      <c r="AF33" s="22">
        <f t="shared" si="16"/>
        <v>1451.4342324015488</v>
      </c>
      <c r="AG33" s="22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6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8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T34*战斗公式!$E$39*(1+W34*(X34-1))*Y34</f>
        <v>13813.503254604439</v>
      </c>
      <c r="AD34" s="6">
        <f>U34*战斗公式!$E$41*(1+V34*战斗公式!$E$40)</f>
        <v>18190.621569849467</v>
      </c>
      <c r="AE34" s="22">
        <f t="shared" si="12"/>
        <v>32004.124824453906</v>
      </c>
      <c r="AF34" s="22">
        <f t="shared" si="16"/>
        <v>1524.00594402161</v>
      </c>
      <c r="AG34" s="22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6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8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T35*战斗公式!$E$39*(1+W35*(X35-1))*Y35</f>
        <v>14504.178417334666</v>
      </c>
      <c r="AD35" s="6">
        <f>U35*战斗公式!$E$41*(1+V35*战斗公式!$E$40)</f>
        <v>19100.152648341944</v>
      </c>
      <c r="AE35" s="22">
        <f t="shared" si="12"/>
        <v>33604.331065676612</v>
      </c>
      <c r="AF35" s="22">
        <f t="shared" si="16"/>
        <v>1600.206241222706</v>
      </c>
      <c r="AG35" s="22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6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8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T36*战斗公式!$E$39*(1+W36*(X36-1))*Y36</f>
        <v>15229.387338201397</v>
      </c>
      <c r="AD36" s="6">
        <f>U36*战斗公式!$E$41*(1+V36*战斗公式!$E$40)</f>
        <v>20055.160280759039</v>
      </c>
      <c r="AE36" s="22">
        <f t="shared" si="12"/>
        <v>35284.547618960438</v>
      </c>
      <c r="AF36" s="22">
        <f t="shared" si="16"/>
        <v>1680.2165532838262</v>
      </c>
      <c r="AG36" s="22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6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8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T37*战斗公式!$E$39*(1+W37*(X37-1))*Y37</f>
        <v>15990.856705111466</v>
      </c>
      <c r="AD37" s="6">
        <f>U37*战斗公式!$E$41*(1+V37*战斗公式!$E$40)</f>
        <v>21057.918294796993</v>
      </c>
      <c r="AE37" s="22">
        <f t="shared" si="12"/>
        <v>37048.774999908463</v>
      </c>
      <c r="AF37" s="22">
        <f t="shared" si="16"/>
        <v>1764.2273809480248</v>
      </c>
      <c r="AG37" s="22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6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8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T38*战斗公式!$E$39*(1+W38*(X38-1))*Y38</f>
        <v>16790.399540367041</v>
      </c>
      <c r="AD38" s="6">
        <f>U38*战斗公式!$E$41*(1+V38*战斗公式!$E$40)</f>
        <v>22110.814209536842</v>
      </c>
      <c r="AE38" s="22">
        <f t="shared" si="12"/>
        <v>38901.21374990388</v>
      </c>
      <c r="AF38" s="22">
        <f t="shared" si="16"/>
        <v>1852.4387499954173</v>
      </c>
      <c r="AG38" s="22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6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8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T39*战斗公式!$E$39*(1+W39*(X39-1))*Y39</f>
        <v>17629.919517385391</v>
      </c>
      <c r="AD39" s="6">
        <f>U39*战斗公式!$E$41*(1+V39*战斗公式!$E$40)</f>
        <v>23216.354920013684</v>
      </c>
      <c r="AE39" s="22">
        <f t="shared" si="12"/>
        <v>40846.274437399072</v>
      </c>
      <c r="AF39" s="22">
        <f t="shared" si="16"/>
        <v>1945.0606874951918</v>
      </c>
      <c r="AG39" s="22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6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8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T40*战斗公式!$E$39*(1+W40*(X40-1))*Y40</f>
        <v>18511.415493254655</v>
      </c>
      <c r="AD40" s="6">
        <f>U40*战斗公式!$E$41*(1+V40*战斗公式!$E$40)</f>
        <v>24377.172666014361</v>
      </c>
      <c r="AE40" s="22">
        <f t="shared" si="12"/>
        <v>42888.588159269013</v>
      </c>
      <c r="AF40" s="22">
        <f t="shared" si="16"/>
        <v>2042.3137218699412</v>
      </c>
      <c r="AG40" s="22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6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8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T41*战斗公式!$E$39*(1+W41*(X41-1))*Y41</f>
        <v>19436.986267917393</v>
      </c>
      <c r="AD41" s="6">
        <f>U41*战斗公式!$E$41*(1+V41*战斗公式!$E$40)</f>
        <v>25596.031299315087</v>
      </c>
      <c r="AE41" s="22">
        <f t="shared" si="12"/>
        <v>45033.017567232484</v>
      </c>
      <c r="AF41" s="22">
        <f t="shared" si="16"/>
        <v>2144.429407963471</v>
      </c>
      <c r="AG41" s="22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6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8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T42*战斗公式!$E$39*(1+W42*(X42-1))*Y42</f>
        <v>20408.835581313266</v>
      </c>
      <c r="AD42" s="6">
        <f>U42*战斗公式!$E$41*(1+V42*战斗公式!$E$40)</f>
        <v>26875.832864280841</v>
      </c>
      <c r="AE42" s="22">
        <f t="shared" si="12"/>
        <v>47284.668445594107</v>
      </c>
      <c r="AF42" s="22">
        <f t="shared" si="16"/>
        <v>2251.6508783616227</v>
      </c>
      <c r="AG42" s="22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6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8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T43*战斗公式!$E$39*(1+W43*(X43-1))*Y43</f>
        <v>21429.277360378925</v>
      </c>
      <c r="AD43" s="6">
        <f>U43*战斗公式!$E$41*(1+V43*战斗公式!$E$40)</f>
        <v>28219.624507494882</v>
      </c>
      <c r="AE43" s="22">
        <f t="shared" si="12"/>
        <v>49648.901867873807</v>
      </c>
      <c r="AF43" s="22">
        <f t="shared" si="16"/>
        <v>2364.2334222796999</v>
      </c>
      <c r="AG43" s="22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6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8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T44*战斗公式!$E$39*(1+W44*(X44-1))*Y44</f>
        <v>22500.741228397874</v>
      </c>
      <c r="AD44" s="6">
        <f>U44*战斗公式!$E$41*(1+V44*战斗公式!$E$40)</f>
        <v>29630.605732869626</v>
      </c>
      <c r="AE44" s="22">
        <f t="shared" si="12"/>
        <v>52131.346961267496</v>
      </c>
      <c r="AF44" s="22">
        <f t="shared" si="16"/>
        <v>2482.4450933936896</v>
      </c>
      <c r="AG44" s="22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6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8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T45*战斗公式!$E$39*(1+W45*(X45-1))*Y45</f>
        <v>23625.778289817772</v>
      </c>
      <c r="AD45" s="6">
        <f>U45*战斗公式!$E$41*(1+V45*战斗公式!$E$40)</f>
        <v>31112.136019513113</v>
      </c>
      <c r="AE45" s="22">
        <f t="shared" si="12"/>
        <v>54737.914309330881</v>
      </c>
      <c r="AF45" s="22">
        <f t="shared" si="16"/>
        <v>2606.567348063385</v>
      </c>
      <c r="AG45" s="22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6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8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T46*战斗公式!$E$39*(1+W46*(X46-1))*Y46</f>
        <v>24807.067204308652</v>
      </c>
      <c r="AD46" s="6">
        <f>U46*战斗公式!$E$41*(1+V46*战斗公式!$E$40)</f>
        <v>32667.742820488766</v>
      </c>
      <c r="AE46" s="22">
        <f t="shared" si="12"/>
        <v>57474.810024797422</v>
      </c>
      <c r="AF46" s="22">
        <f t="shared" si="16"/>
        <v>2736.8957154665404</v>
      </c>
      <c r="AG46" s="22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6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8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T47*战斗公式!$E$39*(1+W47*(X47-1))*Y47</f>
        <v>26047.420564524087</v>
      </c>
      <c r="AD47" s="6">
        <f>U47*战斗公式!$E$41*(1+V47*战斗公式!$E$40)</f>
        <v>34301.129961513208</v>
      </c>
      <c r="AE47" s="22">
        <f t="shared" si="12"/>
        <v>60348.550526037296</v>
      </c>
      <c r="AF47" s="22">
        <f t="shared" si="16"/>
        <v>2873.740501239874</v>
      </c>
      <c r="AG47" s="22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6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8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T48*战斗公式!$E$39*(1+W48*(X48-1))*Y48</f>
        <v>27349.791592750284</v>
      </c>
      <c r="AD48" s="6">
        <f>U48*战斗公式!$E$41*(1+V48*战斗公式!$E$40)</f>
        <v>36016.186459588855</v>
      </c>
      <c r="AE48" s="22">
        <f t="shared" si="12"/>
        <v>63365.978052339138</v>
      </c>
      <c r="AF48" s="22">
        <f t="shared" si="16"/>
        <v>3017.4275263018426</v>
      </c>
      <c r="AG48" s="22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6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8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T49*战斗公式!$E$39*(1+W49*(X49-1))*Y49</f>
        <v>28717.281172387815</v>
      </c>
      <c r="AD49" s="6">
        <f>U49*战斗公式!$E$41*(1+V49*战斗公式!$E$40)</f>
        <v>37816.995782568316</v>
      </c>
      <c r="AE49" s="22">
        <f t="shared" si="12"/>
        <v>66534.276954956134</v>
      </c>
      <c r="AF49" s="22">
        <f t="shared" si="16"/>
        <v>3168.2989026169962</v>
      </c>
      <c r="AG49" s="22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6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T50*战斗公式!$E$39*(1+W50*(X50-1))*Y50</f>
        <v>30153.145231007202</v>
      </c>
      <c r="AD50" s="6">
        <f>U50*战斗公式!$E$41*(1+V50*战斗公式!$E$40)</f>
        <v>39707.845571696729</v>
      </c>
      <c r="AE50" s="22">
        <f t="shared" si="12"/>
        <v>69860.990802703935</v>
      </c>
      <c r="AF50" s="22">
        <f t="shared" si="16"/>
        <v>3326.7138477478002</v>
      </c>
      <c r="AG50" s="22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6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8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T51*战斗公式!$E$39*(1+W51*(X51-1))*Y51</f>
        <v>31660.802492557559</v>
      </c>
      <c r="AD51" s="6">
        <f>U51*战斗公式!$E$41*(1+V51*战斗公式!$E$40)</f>
        <v>41693.23785028157</v>
      </c>
      <c r="AE51" s="22">
        <f t="shared" si="12"/>
        <v>73354.040342839129</v>
      </c>
      <c r="AF51" s="22">
        <f t="shared" si="16"/>
        <v>3493.0495401351945</v>
      </c>
      <c r="AG51" s="22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6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8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T52*战斗公式!$E$39*(1+W52*(X52-1))*Y52</f>
        <v>33243.842617185437</v>
      </c>
      <c r="AD52" s="6">
        <f>U52*战斗公式!$E$41*(1+V52*战斗公式!$E$40)</f>
        <v>43777.899742795635</v>
      </c>
      <c r="AE52" s="22">
        <f t="shared" si="12"/>
        <v>77021.742359981072</v>
      </c>
      <c r="AF52" s="22">
        <f t="shared" si="16"/>
        <v>3667.7020171419426</v>
      </c>
      <c r="AG52" s="22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6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8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T53*战斗公式!$E$39*(1+W53*(X53-1))*Y53</f>
        <v>34906.034748044716</v>
      </c>
      <c r="AD53" s="6">
        <f>U53*战斗公式!$E$41*(1+V53*战斗公式!$E$40)</f>
        <v>45966.794729935435</v>
      </c>
      <c r="AE53" s="22">
        <f t="shared" si="12"/>
        <v>80872.829477980151</v>
      </c>
      <c r="AF53" s="22">
        <f t="shared" si="16"/>
        <v>3851.0871179990791</v>
      </c>
      <c r="AG53" s="22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6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8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T54*战斗公式!$E$39*(1+W54*(X54-1))*Y54</f>
        <v>36651.336485446947</v>
      </c>
      <c r="AD54" s="6">
        <f>U54*战斗公式!$E$41*(1+V54*战斗公式!$E$40)</f>
        <v>48265.134466432195</v>
      </c>
      <c r="AE54" s="22">
        <f t="shared" si="12"/>
        <v>84916.470951879135</v>
      </c>
      <c r="AF54" s="22">
        <f t="shared" si="16"/>
        <v>4043.6414738989843</v>
      </c>
      <c r="AG54" s="22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6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8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T55*战斗公式!$E$39*(1+W55*(X55-1))*Y55</f>
        <v>38483.903309719295</v>
      </c>
      <c r="AD55" s="6">
        <f>U55*战斗公式!$E$41*(1+V55*战斗公式!$E$40)</f>
        <v>50678.391189753806</v>
      </c>
      <c r="AE55" s="22">
        <f t="shared" si="12"/>
        <v>89162.294499473093</v>
      </c>
      <c r="AF55" s="22">
        <f t="shared" si="16"/>
        <v>4245.8235475939582</v>
      </c>
      <c r="AG55" s="22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6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8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T56*战斗公式!$E$39*(1+W56*(X56-1))*Y56</f>
        <v>40408.098475205246</v>
      </c>
      <c r="AD56" s="6">
        <f>U56*战斗公式!$E$41*(1+V56*战斗公式!$E$40)</f>
        <v>53212.310749241493</v>
      </c>
      <c r="AE56" s="22">
        <f t="shared" si="12"/>
        <v>93620.409224446747</v>
      </c>
      <c r="AF56" s="22">
        <f t="shared" si="16"/>
        <v>4458.1147249736532</v>
      </c>
      <c r="AG56" s="22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6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8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T57*战斗公式!$E$39*(1+W57*(X57-1))*Y57</f>
        <v>42428.503398965528</v>
      </c>
      <c r="AD57" s="6">
        <f>U57*战斗公式!$E$41*(1+V57*战斗公式!$E$40)</f>
        <v>55872.92628670358</v>
      </c>
      <c r="AE57" s="22">
        <f t="shared" si="12"/>
        <v>98301.429685669107</v>
      </c>
      <c r="AF57" s="22">
        <f t="shared" si="16"/>
        <v>4681.0204612223606</v>
      </c>
      <c r="AG57" s="22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6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8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T58*战斗公式!$E$39*(1+W58*(X58-1))*Y58</f>
        <v>44549.928568913798</v>
      </c>
      <c r="AD58" s="6">
        <f>U58*战斗公式!$E$41*(1+V58*战斗公式!$E$40)</f>
        <v>58666.572601038752</v>
      </c>
      <c r="AE58" s="22">
        <f t="shared" si="12"/>
        <v>103216.50116995255</v>
      </c>
      <c r="AF58" s="22">
        <f t="shared" si="16"/>
        <v>4915.0714842834423</v>
      </c>
      <c r="AG58" s="22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6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8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T59*战斗公式!$E$39*(1+W59*(X59-1))*Y59</f>
        <v>46777.424997359478</v>
      </c>
      <c r="AD59" s="6">
        <f>U59*战斗公式!$E$41*(1+V59*战斗公式!$E$40)</f>
        <v>61599.901231090691</v>
      </c>
      <c r="AE59" s="22">
        <f t="shared" si="12"/>
        <v>108377.32622845017</v>
      </c>
      <c r="AF59" s="22">
        <f t="shared" si="16"/>
        <v>5160.8250584976195</v>
      </c>
      <c r="AG59" s="22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6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8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T60*战斗公式!$E$39*(1+W60*(X60-1))*Y60</f>
        <v>49116.296247227467</v>
      </c>
      <c r="AD60" s="6">
        <f>U60*战斗公式!$E$41*(1+V60*战斗公式!$E$40)</f>
        <v>64679.896292645222</v>
      </c>
      <c r="AE60" s="22">
        <f t="shared" si="12"/>
        <v>113796.19253987269</v>
      </c>
      <c r="AF60" s="22">
        <f t="shared" si="16"/>
        <v>5418.8663114225201</v>
      </c>
      <c r="AG60" s="22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6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8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T61*战斗公式!$E$39*(1+W61*(X61-1))*Y61</f>
        <v>51572.111059588853</v>
      </c>
      <c r="AD61" s="6">
        <f>U61*战斗公式!$E$41*(1+V61*战斗公式!$E$40)</f>
        <v>67913.891107277494</v>
      </c>
      <c r="AE61" s="22">
        <f t="shared" si="12"/>
        <v>119486.00216686635</v>
      </c>
      <c r="AF61" s="22">
        <f t="shared" si="16"/>
        <v>5689.809626993665</v>
      </c>
      <c r="AG61" s="22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6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8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T62*战斗公式!$E$39*(1+W62*(X62-1))*Y62</f>
        <v>54150.716612568263</v>
      </c>
      <c r="AD62" s="6">
        <f>U62*战斗公式!$E$41*(1+V62*战斗公式!$E$40)</f>
        <v>71309.585662641344</v>
      </c>
      <c r="AE62" s="22">
        <f t="shared" si="12"/>
        <v>125460.3022752096</v>
      </c>
      <c r="AF62" s="22">
        <f t="shared" si="16"/>
        <v>5974.3001083432464</v>
      </c>
      <c r="AG62" s="22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6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8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T63*战斗公式!$E$39*(1+W63*(X63-1))*Y63</f>
        <v>56858.252443196703</v>
      </c>
      <c r="AD63" s="6">
        <f>U63*战斗公式!$E$41*(1+V63*战斗公式!$E$40)</f>
        <v>74875.06494577344</v>
      </c>
      <c r="AE63" s="22">
        <f t="shared" si="12"/>
        <v>131733.31738897014</v>
      </c>
      <c r="AF63" s="22">
        <f t="shared" si="16"/>
        <v>6273.0151137605426</v>
      </c>
      <c r="AG63" s="22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6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8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T64*战斗公式!$E$39*(1+W64*(X64-1))*Y64</f>
        <v>59701.165065356523</v>
      </c>
      <c r="AD64" s="6">
        <f>U64*战斗公式!$E$41*(1+V64*战斗公式!$E$40)</f>
        <v>78618.818193062092</v>
      </c>
      <c r="AE64" s="22">
        <f t="shared" si="12"/>
        <v>138319.98325841862</v>
      </c>
      <c r="AF64" s="22">
        <f t="shared" si="16"/>
        <v>6586.6658694484795</v>
      </c>
      <c r="AG64" s="22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6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8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T65*战斗公式!$E$39*(1+W65*(X65-1))*Y65</f>
        <v>62686.223318624383</v>
      </c>
      <c r="AD65" s="6">
        <f>U65*战斗公式!$E$41*(1+V65*战斗公式!$E$40)</f>
        <v>82549.759102715238</v>
      </c>
      <c r="AE65" s="22">
        <f t="shared" si="12"/>
        <v>145235.98242133961</v>
      </c>
      <c r="AF65" s="22">
        <f t="shared" si="16"/>
        <v>6915.9991629209835</v>
      </c>
      <c r="AG65" s="22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6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8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T66*战斗公式!$E$39*(1+W66*(X66-1))*Y66</f>
        <v>65820.534484555581</v>
      </c>
      <c r="AD66" s="6">
        <f>U66*战斗公式!$E$41*(1+V66*战斗公式!$E$40)</f>
        <v>86677.247057850967</v>
      </c>
      <c r="AE66" s="22">
        <f t="shared" si="12"/>
        <v>152497.78154240653</v>
      </c>
      <c r="AF66" s="22">
        <f t="shared" si="16"/>
        <v>7261.7991210669279</v>
      </c>
      <c r="AG66" s="22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6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8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T67*战斗公式!$E$39*(1+W67*(X67-1))*Y67</f>
        <v>69111.561208783372</v>
      </c>
      <c r="AD67" s="6">
        <f>U67*战斗公式!$E$41*(1+V67*战斗公式!$E$40)</f>
        <v>91011.109410743535</v>
      </c>
      <c r="AE67" s="22">
        <f t="shared" si="12"/>
        <v>160122.67061952691</v>
      </c>
      <c r="AF67" s="22">
        <f t="shared" si="16"/>
        <v>7624.8890771203733</v>
      </c>
      <c r="AG67" s="22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6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8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T68*战斗公式!$E$39*(1+W68*(X68-1))*Y68</f>
        <v>72567.139269222534</v>
      </c>
      <c r="AD68" s="6">
        <f>U68*战斗公式!$E$41*(1+V68*战斗公式!$E$40)</f>
        <v>95561.664881280711</v>
      </c>
      <c r="AE68" s="22">
        <f t="shared" si="12"/>
        <v>168128.80415050325</v>
      </c>
      <c r="AF68" s="22">
        <f t="shared" si="16"/>
        <v>8006.1335309763381</v>
      </c>
      <c r="AG68" s="22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6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8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T69*战斗公式!$E$39*(1+W69*(X69-1))*Y69</f>
        <v>76195.496232683654</v>
      </c>
      <c r="AD69" s="6">
        <f>U69*战斗公式!$E$41*(1+V69*战斗公式!$E$40)</f>
        <v>100339.74812534475</v>
      </c>
      <c r="AE69" s="22">
        <f t="shared" si="12"/>
        <v>176535.2443580284</v>
      </c>
      <c r="AF69" s="22">
        <f t="shared" si="16"/>
        <v>8406.4402075251564</v>
      </c>
      <c r="AG69" s="22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6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8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T70*战斗公式!$E$39*(1+W70*(X70-1))*Y70</f>
        <v>80005.271044317851</v>
      </c>
      <c r="AD70" s="6">
        <f>U70*战斗公式!$E$41*(1+V70*战斗公式!$E$40)</f>
        <v>105356.73553161198</v>
      </c>
      <c r="AE70" s="22">
        <f t="shared" si="12"/>
        <v>185362.00657592982</v>
      </c>
      <c r="AF70" s="22">
        <f t="shared" si="16"/>
        <v>8826.7622179014143</v>
      </c>
      <c r="AG70" s="22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6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8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T71*战斗公式!$E$39*(1+W71*(X71-1))*Y71</f>
        <v>84005.534596533747</v>
      </c>
      <c r="AD71" s="6">
        <f>U71*战斗公式!$E$41*(1+V71*战斗公式!$E$40)</f>
        <v>110624.57230819257</v>
      </c>
      <c r="AE71" s="22">
        <f t="shared" si="12"/>
        <v>194630.1069047263</v>
      </c>
      <c r="AF71" s="22">
        <f t="shared" si="16"/>
        <v>9268.100328796485</v>
      </c>
      <c r="AG71" s="22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6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8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T72*战斗公式!$E$39*(1+W72*(X72-1))*Y72</f>
        <v>88205.811326360403</v>
      </c>
      <c r="AD72" s="6">
        <f>U72*战斗公式!$E$41*(1+V72*战斗公式!$E$40)</f>
        <v>116155.8009236022</v>
      </c>
      <c r="AE72" s="22">
        <f t="shared" si="12"/>
        <v>204361.61224996261</v>
      </c>
      <c r="AF72" s="22">
        <f t="shared" si="16"/>
        <v>9731.5053452363063</v>
      </c>
      <c r="AG72" s="22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6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8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T73*战斗公式!$E$39*(1+W73*(X73-1))*Y73</f>
        <v>92616.10189267846</v>
      </c>
      <c r="AD73" s="6">
        <f>U73*战斗公式!$E$41*(1+V73*战斗公式!$E$40)</f>
        <v>121963.59096978235</v>
      </c>
      <c r="AE73" s="22">
        <f t="shared" si="12"/>
        <v>214579.6928624608</v>
      </c>
      <c r="AF73" s="22">
        <f t="shared" si="16"/>
        <v>10218.08061249819</v>
      </c>
      <c r="AG73" s="22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6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8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T74*战斗公式!$E$39*(1+W74*(X74-1))*Y74</f>
        <v>97246.906987312337</v>
      </c>
      <c r="AD74" s="6">
        <f>U74*战斗公式!$E$41*(1+V74*战斗公式!$E$40)</f>
        <v>128061.77051827141</v>
      </c>
      <c r="AE74" s="22">
        <f t="shared" si="12"/>
        <v>225308.67750558374</v>
      </c>
      <c r="AF74" s="22">
        <f t="shared" si="16"/>
        <v>10728.984643122938</v>
      </c>
      <c r="AG74" s="22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6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8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T75*战斗公式!$E$39*(1+W75*(X75-1))*Y75</f>
        <v>102109.25233667795</v>
      </c>
      <c r="AD75" s="6">
        <f>U75*战斗公式!$E$41*(1+V75*战斗公式!$E$40)</f>
        <v>134464.85904418502</v>
      </c>
      <c r="AE75" s="22">
        <f t="shared" si="12"/>
        <v>236574.11138086297</v>
      </c>
      <c r="AF75" s="22">
        <f t="shared" si="16"/>
        <v>11265.433875279239</v>
      </c>
      <c r="AG75" s="22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6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8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T76*战斗公式!$E$39*(1+W76*(X76-1))*Y76</f>
        <v>107214.7149535119</v>
      </c>
      <c r="AD76" s="6">
        <f>U76*战斗公式!$E$41*(1+V76*战斗公式!$E$40)</f>
        <v>141188.10199639428</v>
      </c>
      <c r="AE76" s="22">
        <f t="shared" si="12"/>
        <v>248402.81694990618</v>
      </c>
      <c r="AF76" s="22">
        <f t="shared" si="16"/>
        <v>11828.705569043203</v>
      </c>
      <c r="AG76" s="22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6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8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T77*战斗公式!$E$39*(1+W77*(X77-1))*Y77</f>
        <v>112575.45070118752</v>
      </c>
      <c r="AD77" s="6">
        <f>U77*战斗公式!$E$41*(1+V77*战斗公式!$E$40)</f>
        <v>148247.50709621399</v>
      </c>
      <c r="AE77" s="22">
        <f t="shared" si="12"/>
        <v>260822.95779740153</v>
      </c>
      <c r="AF77" s="22">
        <f t="shared" si="16"/>
        <v>12420.14084749535</v>
      </c>
      <c r="AG77" s="22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6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8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T78*战斗公式!$E$39*(1+W78*(X78-1))*Y78</f>
        <v>118204.22323624686</v>
      </c>
      <c r="AD78" s="6">
        <f>U78*战斗公式!$E$41*(1+V78*战斗公式!$E$40)</f>
        <v>155659.88245102466</v>
      </c>
      <c r="AE78" s="22">
        <f t="shared" si="12"/>
        <v>273864.10568727151</v>
      </c>
      <c r="AF78" s="22">
        <f t="shared" si="16"/>
        <v>13041.147889869986</v>
      </c>
      <c r="AG78" s="22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6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8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T79*战斗公式!$E$39*(1+W79*(X79-1))*Y79</f>
        <v>124114.43439805921</v>
      </c>
      <c r="AD79" s="6">
        <f>U79*战斗公式!$E$41*(1+V79*战斗公式!$E$40)</f>
        <v>163442.87657357595</v>
      </c>
      <c r="AE79" s="22">
        <f t="shared" si="12"/>
        <v>287557.31097163516</v>
      </c>
      <c r="AF79" s="22">
        <f t="shared" si="16"/>
        <v>13693.205284363648</v>
      </c>
      <c r="AG79" s="22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6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8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T80*战斗公式!$E$39*(1+W80*(X80-1))*Y80</f>
        <v>130320.15611796218</v>
      </c>
      <c r="AD80" s="6">
        <f>U80*战斗公式!$E$41*(1+V80*战斗公式!$E$40)</f>
        <v>171615.02040225465</v>
      </c>
      <c r="AE80" s="22">
        <f t="shared" si="12"/>
        <v>301935.17652021686</v>
      </c>
      <c r="AF80" s="22">
        <f t="shared" si="16"/>
        <v>14377.8655485817</v>
      </c>
      <c r="AG80" s="22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6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8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T81*战斗公式!$E$39*(1+W81*(X81-1))*Y81</f>
        <v>136836.16392386027</v>
      </c>
      <c r="AD81" s="6">
        <f>U81*战斗公式!$E$41*(1+V81*战斗公式!$E$40)</f>
        <v>180195.77142236748</v>
      </c>
      <c r="AE81" s="22">
        <f t="shared" si="12"/>
        <v>317031.93534622772</v>
      </c>
      <c r="AF81" s="22">
        <f t="shared" si="16"/>
        <v>15096.758826010861</v>
      </c>
      <c r="AG81" s="22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6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T82*战斗公式!$E$39*(1+W82*(X82-1))*Y82</f>
        <v>143677.97212005331</v>
      </c>
      <c r="AD82" s="6">
        <f>U82*战斗公式!$E$41*(1+V82*战斗公式!$E$40)</f>
        <v>189205.5599934858</v>
      </c>
      <c r="AE82" s="22">
        <f t="shared" si="12"/>
        <v>332883.53211353911</v>
      </c>
      <c r="AF82" s="22">
        <f t="shared" si="16"/>
        <v>15851.596767311392</v>
      </c>
      <c r="AG82" s="22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6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8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T83*战斗公式!$E$39*(1+W83*(X83-1))*Y83</f>
        <v>150861.87072605599</v>
      </c>
      <c r="AD83" s="6">
        <f>U83*战斗公式!$E$41*(1+V83*战斗公式!$E$40)</f>
        <v>198665.83799316018</v>
      </c>
      <c r="AE83" s="22">
        <f t="shared" ref="AE83:AE117" si="35">AC83+AD83</f>
        <v>349527.70871921617</v>
      </c>
      <c r="AF83" s="22">
        <f t="shared" si="16"/>
        <v>16644.176605677058</v>
      </c>
      <c r="AG83" s="22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6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8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T84*战斗公式!$E$39*(1+W84*(X84-1))*Y84</f>
        <v>158404.96426235876</v>
      </c>
      <c r="AD84" s="6">
        <f>U84*战斗公式!$E$41*(1+V84*战斗公式!$E$40)</f>
        <v>208599.12989281816</v>
      </c>
      <c r="AE84" s="22">
        <f t="shared" si="35"/>
        <v>367004.09415517689</v>
      </c>
      <c r="AF84" s="22">
        <f t="shared" ref="AF84:AF117" si="39">AE84-AE83</f>
        <v>17476.385435960721</v>
      </c>
      <c r="AG84" s="22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6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8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T85*战斗公式!$E$39*(1+W85*(X85-1))*Y85</f>
        <v>166325.2124754767</v>
      </c>
      <c r="AD85" s="6">
        <f>U85*战斗公式!$E$41*(1+V85*战斗公式!$E$40)</f>
        <v>219029.0863874591</v>
      </c>
      <c r="AE85" s="22">
        <f t="shared" si="35"/>
        <v>385354.2988629358</v>
      </c>
      <c r="AF85" s="22">
        <f t="shared" si="39"/>
        <v>18350.204707758909</v>
      </c>
      <c r="AG85" s="22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6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8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T86*战斗公式!$E$39*(1+W86*(X86-1))*Y86</f>
        <v>174641.47309925055</v>
      </c>
      <c r="AD86" s="6">
        <f>U86*战斗公式!$E$41*(1+V86*战斗公式!$E$40)</f>
        <v>229980.54070683199</v>
      </c>
      <c r="AE86" s="22">
        <f t="shared" si="35"/>
        <v>404622.01380608254</v>
      </c>
      <c r="AF86" s="22">
        <f t="shared" si="39"/>
        <v>19267.714943146741</v>
      </c>
      <c r="AG86" s="22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6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8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T87*战斗公式!$E$39*(1+W87*(X87-1))*Y87</f>
        <v>183373.54675421305</v>
      </c>
      <c r="AD87" s="6">
        <f>U87*战斗公式!$E$41*(1+V87*战斗公式!$E$40)</f>
        <v>241479.56774217362</v>
      </c>
      <c r="AE87" s="22">
        <f t="shared" si="35"/>
        <v>424853.11449638667</v>
      </c>
      <c r="AF87" s="22">
        <f t="shared" si="39"/>
        <v>20231.100690304127</v>
      </c>
      <c r="AG87" s="22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6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8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T88*战斗公式!$E$39*(1+W88*(X88-1))*Y88</f>
        <v>192542.22409192371</v>
      </c>
      <c r="AD88" s="6">
        <f>U88*战斗公式!$E$41*(1+V88*战斗公式!$E$40)</f>
        <v>253553.54612928227</v>
      </c>
      <c r="AE88" s="22">
        <f t="shared" si="35"/>
        <v>446095.77022120601</v>
      </c>
      <c r="AF88" s="22">
        <f t="shared" si="39"/>
        <v>21242.655724819342</v>
      </c>
      <c r="AG88" s="22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6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8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T89*战斗公式!$E$39*(1+W89*(X89-1))*Y89</f>
        <v>202169.33529651992</v>
      </c>
      <c r="AD89" s="6">
        <f>U89*战斗公式!$E$41*(1+V89*战斗公式!$E$40)</f>
        <v>266231.22343574645</v>
      </c>
      <c r="AE89" s="22">
        <f t="shared" si="35"/>
        <v>468400.55873226636</v>
      </c>
      <c r="AF89" s="22">
        <f t="shared" si="39"/>
        <v>22304.788511060353</v>
      </c>
      <c r="AG89" s="22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6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8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T90*战斗公式!$E$39*(1+W90*(X90-1))*Y90</f>
        <v>212277.80206134598</v>
      </c>
      <c r="AD90" s="6">
        <f>U90*战斗公式!$E$41*(1+V90*战斗公式!$E$40)</f>
        <v>279542.78460753371</v>
      </c>
      <c r="AE90" s="22">
        <f t="shared" si="35"/>
        <v>491820.58666887973</v>
      </c>
      <c r="AF90" s="22">
        <f t="shared" si="39"/>
        <v>23420.027936613362</v>
      </c>
      <c r="AG90" s="22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6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8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T91*战斗公式!$E$39*(1+W91*(X91-1))*Y91</f>
        <v>222891.69216441319</v>
      </c>
      <c r="AD91" s="6">
        <f>U91*战斗公式!$E$41*(1+V91*战斗公式!$E$40)</f>
        <v>293519.92383791041</v>
      </c>
      <c r="AE91" s="22">
        <f t="shared" si="35"/>
        <v>516411.61600232357</v>
      </c>
      <c r="AF91" s="22">
        <f t="shared" si="39"/>
        <v>24591.029333443847</v>
      </c>
      <c r="AG91" s="22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6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8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T92*战斗公式!$E$39*(1+W92*(X92-1))*Y92</f>
        <v>234036.27677263386</v>
      </c>
      <c r="AD92" s="6">
        <f>U92*战斗公式!$E$41*(1+V92*战斗公式!$E$40)</f>
        <v>308195.92002980591</v>
      </c>
      <c r="AE92" s="22">
        <f t="shared" si="35"/>
        <v>542232.19680243975</v>
      </c>
      <c r="AF92" s="22">
        <f t="shared" si="39"/>
        <v>25820.580800116179</v>
      </c>
      <c r="AG92" s="22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6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8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T93*战斗公式!$E$39*(1+W93*(X93-1))*Y93</f>
        <v>245738.09061126559</v>
      </c>
      <c r="AD93" s="6">
        <f>U93*战斗公式!$E$41*(1+V93*战斗公式!$E$40)</f>
        <v>323605.71603129624</v>
      </c>
      <c r="AE93" s="22">
        <f t="shared" si="35"/>
        <v>569343.8066425618</v>
      </c>
      <c r="AF93" s="22">
        <f t="shared" si="39"/>
        <v>27111.609840122052</v>
      </c>
      <c r="AG93" s="22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6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8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T94*战斗公式!$E$39*(1+W94*(X94-1))*Y94</f>
        <v>258024.99514182887</v>
      </c>
      <c r="AD94" s="6">
        <f>U94*战斗公式!$E$41*(1+V94*战斗公式!$E$40)</f>
        <v>339786.00183286099</v>
      </c>
      <c r="AE94" s="22">
        <f t="shared" si="35"/>
        <v>597810.99697468989</v>
      </c>
      <c r="AF94" s="22">
        <f t="shared" si="39"/>
        <v>28467.190332128084</v>
      </c>
      <c r="AG94" s="22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6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T95*战斗公式!$E$39*(1+W95*(X95-1))*Y95</f>
        <v>270926.24489892035</v>
      </c>
      <c r="AD95" s="6">
        <f>U95*战斗公式!$E$41*(1+V95*战斗公式!$E$40)</f>
        <v>356775.30192450417</v>
      </c>
      <c r="AE95" s="22">
        <f t="shared" si="35"/>
        <v>627701.54682342452</v>
      </c>
      <c r="AF95" s="22">
        <f t="shared" si="39"/>
        <v>29890.549848734634</v>
      </c>
      <c r="AG95" s="22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6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8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T96*战斗公式!$E$39*(1+W96*(X96-1))*Y96</f>
        <v>284472.55714386626</v>
      </c>
      <c r="AD96" s="6">
        <f>U96*战斗公式!$E$41*(1+V96*战斗公式!$E$40)</f>
        <v>374614.06702072924</v>
      </c>
      <c r="AE96" s="22">
        <f t="shared" si="35"/>
        <v>659086.6241645955</v>
      </c>
      <c r="AF96" s="22">
        <f t="shared" si="39"/>
        <v>31385.077341170982</v>
      </c>
      <c r="AG96" s="22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6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8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T97*战斗公式!$E$39*(1+W97*(X97-1))*Y97</f>
        <v>298696.18500105967</v>
      </c>
      <c r="AD97" s="6">
        <f>U97*战斗公式!$E$41*(1+V97*战斗公式!$E$40)</f>
        <v>393344.77037176583</v>
      </c>
      <c r="AE97" s="22">
        <f t="shared" si="35"/>
        <v>692040.9553728255</v>
      </c>
      <c r="AF97" s="22">
        <f t="shared" si="39"/>
        <v>32954.331208229996</v>
      </c>
      <c r="AG97" s="22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6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8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T98*战斗公式!$E$39*(1+W98*(X98-1))*Y98</f>
        <v>313630.99425111263</v>
      </c>
      <c r="AD98" s="6">
        <f>U98*战斗公式!$E$41*(1+V98*战斗公式!$E$40)</f>
        <v>413012.00889035413</v>
      </c>
      <c r="AE98" s="22">
        <f t="shared" si="35"/>
        <v>726643.00314146676</v>
      </c>
      <c r="AF98" s="22">
        <f t="shared" si="39"/>
        <v>34602.047768641263</v>
      </c>
      <c r="AG98" s="22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6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8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T99*战斗公式!$E$39*(1+W99*(X99-1))*Y99</f>
        <v>329312.54396366829</v>
      </c>
      <c r="AD99" s="6">
        <f>U99*战斗公式!$E$41*(1+V99*战斗公式!$E$40)</f>
        <v>433662.60933487187</v>
      </c>
      <c r="AE99" s="22">
        <f t="shared" si="35"/>
        <v>762975.15329854016</v>
      </c>
      <c r="AF99" s="22">
        <f t="shared" si="39"/>
        <v>36332.150157073396</v>
      </c>
      <c r="AG99" s="22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6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T100*战斗公式!$E$39*(1+W100*(X100-1))*Y100</f>
        <v>345778.17116185179</v>
      </c>
      <c r="AD100" s="6">
        <f>U100*战斗公式!$E$41*(1+V100*战斗公式!$E$40)</f>
        <v>455345.73980161548</v>
      </c>
      <c r="AE100" s="22">
        <f t="shared" si="35"/>
        <v>801123.91096346732</v>
      </c>
      <c r="AF100" s="22">
        <f t="shared" si="39"/>
        <v>38148.757664927165</v>
      </c>
      <c r="AG100" s="22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6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T101*战斗公式!$E$39*(1+W101*(X101-1))*Y101</f>
        <v>363067.07971994422</v>
      </c>
      <c r="AD101" s="6">
        <f>U101*战斗公式!$E$41*(1+V101*战斗公式!$E$40)</f>
        <v>478113.0267916962</v>
      </c>
      <c r="AE101" s="22">
        <f t="shared" si="35"/>
        <v>841180.10651164036</v>
      </c>
      <c r="AF101" s="22">
        <f t="shared" si="39"/>
        <v>40056.19554817304</v>
      </c>
      <c r="AG101" s="22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6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T102*战斗公式!$E$39*(1+W102*(X102-1))*Y102</f>
        <v>381220.4337059416</v>
      </c>
      <c r="AD102" s="6">
        <f>U102*战斗公式!$E$41*(1+V102*战斗公式!$E$40)</f>
        <v>502018.67813128117</v>
      </c>
      <c r="AE102" s="22">
        <f t="shared" si="35"/>
        <v>883239.11183722271</v>
      </c>
      <c r="AF102" s="22">
        <f t="shared" si="39"/>
        <v>42059.005325582344</v>
      </c>
      <c r="AG102" s="22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6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T103*战斗公式!$E$39*(1+W103*(X103-1))*Y103</f>
        <v>400281.45539123856</v>
      </c>
      <c r="AD103" s="6">
        <f>U103*战斗公式!$E$41*(1+V103*战斗公式!$E$40)</f>
        <v>527119.61203784507</v>
      </c>
      <c r="AE103" s="22">
        <f t="shared" si="35"/>
        <v>927401.06742908363</v>
      </c>
      <c r="AF103" s="22">
        <f t="shared" si="39"/>
        <v>44161.955591860926</v>
      </c>
      <c r="AG103" s="22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6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T104*战斗公式!$E$39*(1+W104*(X104-1))*Y104</f>
        <v>420295.5281608004</v>
      </c>
      <c r="AD104" s="6">
        <f>U104*战斗公式!$E$41*(1+V104*战斗公式!$E$40)</f>
        <v>553475.5926397373</v>
      </c>
      <c r="AE104" s="22">
        <f t="shared" si="35"/>
        <v>973771.12080053776</v>
      </c>
      <c r="AF104" s="22">
        <f t="shared" si="39"/>
        <v>46370.053371454123</v>
      </c>
      <c r="AG104" s="22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6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T105*战斗公式!$E$39*(1+W105*(X105-1))*Y105</f>
        <v>441310.30456884066</v>
      </c>
      <c r="AD105" s="6">
        <f>U105*战斗公式!$E$41*(1+V105*战斗公式!$E$40)</f>
        <v>581149.37227172428</v>
      </c>
      <c r="AE105" s="22">
        <f t="shared" si="35"/>
        <v>1022459.6768405649</v>
      </c>
      <c r="AF105" s="22">
        <f t="shared" si="39"/>
        <v>48688.556040027179</v>
      </c>
      <c r="AG105" s="22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6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T106*战斗公式!$E$39*(1+W106*(X106-1))*Y106</f>
        <v>463375.81979728251</v>
      </c>
      <c r="AD106" s="6">
        <f>U106*战斗公式!$E$41*(1+V106*战斗公式!$E$40)</f>
        <v>610206.84088531032</v>
      </c>
      <c r="AE106" s="22">
        <f t="shared" si="35"/>
        <v>1073582.6606825928</v>
      </c>
      <c r="AF106" s="22">
        <f t="shared" si="39"/>
        <v>51122.983842027839</v>
      </c>
      <c r="AG106" s="22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6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T107*战斗公式!$E$39*(1+W107*(X107-1))*Y107</f>
        <v>486544.61078714667</v>
      </c>
      <c r="AD107" s="6">
        <f>U107*战斗公式!$E$41*(1+V107*战斗公式!$E$40)</f>
        <v>640717.18292957603</v>
      </c>
      <c r="AE107" s="22">
        <f t="shared" si="35"/>
        <v>1127261.7937167226</v>
      </c>
      <c r="AF107" s="22">
        <f t="shared" si="39"/>
        <v>53679.13303412986</v>
      </c>
      <c r="AG107" s="22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6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T108*战斗公式!$E$39*(1+W108*(X108-1))*Y108</f>
        <v>510871.84132650413</v>
      </c>
      <c r="AD108" s="6">
        <f>U108*战斗公式!$E$41*(1+V108*战斗公式!$E$40)</f>
        <v>672753.04207605473</v>
      </c>
      <c r="AE108" s="22">
        <f t="shared" si="35"/>
        <v>1183624.883402559</v>
      </c>
      <c r="AF108" s="22">
        <f t="shared" si="39"/>
        <v>56363.089685836341</v>
      </c>
      <c r="AG108" s="22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6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T109*战斗公式!$E$39*(1+W109*(X109-1))*Y109</f>
        <v>536415.43339282938</v>
      </c>
      <c r="AD109" s="6">
        <f>U109*战斗公式!$E$41*(1+V109*战斗公式!$E$40)</f>
        <v>706390.69417985762</v>
      </c>
      <c r="AE109" s="22">
        <f t="shared" si="35"/>
        <v>1242806.1275726869</v>
      </c>
      <c r="AF109" s="22">
        <f t="shared" si="39"/>
        <v>59181.244170127902</v>
      </c>
      <c r="AG109" s="22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6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T110*战斗公式!$E$39*(1+W110*(X110-1))*Y110</f>
        <v>563236.20506247063</v>
      </c>
      <c r="AD110" s="6">
        <f>U110*战斗公式!$E$41*(1+V110*战斗公式!$E$40)</f>
        <v>741710.22888885043</v>
      </c>
      <c r="AE110" s="22">
        <f t="shared" si="35"/>
        <v>1304946.4339513211</v>
      </c>
      <c r="AF110" s="22">
        <f t="shared" si="39"/>
        <v>62140.306378634181</v>
      </c>
      <c r="AG110" s="22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6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T111*战斗公式!$E$39*(1+W111*(X111-1))*Y111</f>
        <v>591398.01531559438</v>
      </c>
      <c r="AD111" s="6">
        <f>U111*战斗公式!$E$41*(1+V111*战斗公式!$E$40)</f>
        <v>778795.7403332931</v>
      </c>
      <c r="AE111" s="22">
        <f t="shared" si="35"/>
        <v>1370193.7556488875</v>
      </c>
      <c r="AF111" s="22">
        <f t="shared" si="39"/>
        <v>65247.321697566425</v>
      </c>
      <c r="AG111" s="22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6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T112*战斗公式!$E$39*(1+W112*(X112-1))*Y112</f>
        <v>620967.91608137381</v>
      </c>
      <c r="AD112" s="6">
        <f>U112*战斗公式!$E$41*(1+V112*战斗公式!$E$40)</f>
        <v>817735.52734995738</v>
      </c>
      <c r="AE112" s="22">
        <f t="shared" si="35"/>
        <v>1438703.4434313313</v>
      </c>
      <c r="AF112" s="22">
        <f t="shared" si="39"/>
        <v>68509.687782443827</v>
      </c>
      <c r="AG112" s="22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6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T113*战斗公式!$E$39*(1+W113*(X113-1))*Y113</f>
        <v>652016.3118854427</v>
      </c>
      <c r="AD113" s="6">
        <f>U113*战斗公式!$E$41*(1+V113*战斗公式!$E$40)</f>
        <v>858622.30371745571</v>
      </c>
      <c r="AE113" s="22">
        <f t="shared" si="35"/>
        <v>1510638.6156028984</v>
      </c>
      <c r="AF113" s="22">
        <f t="shared" si="39"/>
        <v>71935.172171567101</v>
      </c>
      <c r="AG113" s="22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6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T114*战斗公式!$E$39*(1+W114*(X114-1))*Y114</f>
        <v>684617.12747971481</v>
      </c>
      <c r="AD114" s="6">
        <f>U114*战斗公式!$E$41*(1+V114*战斗公式!$E$40)</f>
        <v>901553.41890332813</v>
      </c>
      <c r="AE114" s="22">
        <f t="shared" si="35"/>
        <v>1586170.5463830428</v>
      </c>
      <c r="AF114" s="22">
        <f t="shared" si="39"/>
        <v>75531.930780144408</v>
      </c>
      <c r="AG114" s="22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6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T115*战斗公式!$E$39*(1+W115*(X115-1))*Y115</f>
        <v>718847.98385370069</v>
      </c>
      <c r="AD115" s="6">
        <f>U115*战斗公式!$E$41*(1+V115*战斗公式!$E$40)</f>
        <v>946631.08984849462</v>
      </c>
      <c r="AE115" s="22">
        <f t="shared" si="35"/>
        <v>1665479.0737021952</v>
      </c>
      <c r="AF115" s="22">
        <f t="shared" si="39"/>
        <v>79308.527319152374</v>
      </c>
      <c r="AG115" s="22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6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T116*战斗公式!$E$39*(1+W116*(X116-1))*Y116</f>
        <v>754790.38304638572</v>
      </c>
      <c r="AD116" s="6">
        <f>U116*战斗公式!$E$41*(1+V116*战斗公式!$E$40)</f>
        <v>993962.64434091945</v>
      </c>
      <c r="AE116" s="22">
        <f t="shared" si="35"/>
        <v>1748753.0273873052</v>
      </c>
      <c r="AF116" s="22">
        <f t="shared" si="39"/>
        <v>83273.953685109969</v>
      </c>
      <c r="AG116" s="22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6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T117*战斗公式!$E$39*(1+W117*(X117-1))*Y117</f>
        <v>792529.90219870501</v>
      </c>
      <c r="AD117" s="6">
        <f>U117*战斗公式!$E$41*(1+V117*战斗公式!$E$40)</f>
        <v>1043660.7765579656</v>
      </c>
      <c r="AE117" s="22">
        <f t="shared" si="35"/>
        <v>1836190.6787566706</v>
      </c>
      <c r="AF117" s="22">
        <f t="shared" si="39"/>
        <v>87437.651369365398</v>
      </c>
      <c r="AG117" s="22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81" t="s">
        <v>184</v>
      </c>
      <c r="B1" s="82"/>
      <c r="AB1" s="9"/>
    </row>
    <row r="2" spans="1:33" ht="14.25" customHeight="1" x14ac:dyDescent="0.2">
      <c r="A2" s="83"/>
      <c r="B2" s="84"/>
      <c r="E2" s="24"/>
      <c r="AB2" s="9"/>
    </row>
    <row r="3" spans="1:33" ht="14.25" customHeight="1" x14ac:dyDescent="0.2">
      <c r="C3" s="3" t="s">
        <v>183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186</v>
      </c>
      <c r="D16" s="41" t="s">
        <v>185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187</v>
      </c>
      <c r="D18" s="1">
        <v>0.8</v>
      </c>
    </row>
    <row r="19" spans="2:37" ht="14.25" customHeight="1" x14ac:dyDescent="0.2">
      <c r="C19" s="6" t="s">
        <v>188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189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P2" sqref="P2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81" t="s">
        <v>181</v>
      </c>
      <c r="B1" s="82"/>
      <c r="M1" s="3" t="s">
        <v>157</v>
      </c>
      <c r="N1" s="1" t="s">
        <v>257</v>
      </c>
      <c r="AC1" s="9"/>
    </row>
    <row r="2" spans="1:34" ht="14.25" customHeight="1" x14ac:dyDescent="0.2">
      <c r="A2" s="83"/>
      <c r="B2" s="84"/>
      <c r="M2" s="3" t="s">
        <v>186</v>
      </c>
      <c r="N2" s="1" t="s">
        <v>194</v>
      </c>
      <c r="O2" s="2" t="s">
        <v>199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191</v>
      </c>
      <c r="D3" s="2" t="s">
        <v>197</v>
      </c>
      <c r="L3" s="3" t="s">
        <v>192</v>
      </c>
      <c r="M3" s="3" t="s">
        <v>183</v>
      </c>
      <c r="N3" s="1">
        <v>1</v>
      </c>
      <c r="O3" s="100" t="str">
        <f>N2</f>
        <v>SSR</v>
      </c>
      <c r="P3" s="101"/>
      <c r="Q3" s="101"/>
      <c r="R3" s="101"/>
      <c r="S3" s="101"/>
      <c r="T3" s="37"/>
      <c r="U3" s="37"/>
      <c r="V3" s="100" t="s">
        <v>195</v>
      </c>
      <c r="W3" s="101"/>
      <c r="X3" s="101"/>
      <c r="Y3" s="101"/>
      <c r="Z3" s="101"/>
      <c r="AA3" s="101"/>
      <c r="AB3" s="102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174</v>
      </c>
      <c r="K4" s="1"/>
      <c r="L4" s="6">
        <f>MIN(L5:L104)</f>
        <v>1.4903929811649099</v>
      </c>
      <c r="M4" s="3" t="s">
        <v>193</v>
      </c>
      <c r="N4" s="3" t="s">
        <v>172</v>
      </c>
      <c r="O4" s="3" t="s">
        <v>173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196</v>
      </c>
      <c r="V4" s="3" t="s">
        <v>172</v>
      </c>
      <c r="W4" s="3" t="s">
        <v>173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174</v>
      </c>
      <c r="AC4" s="9"/>
    </row>
    <row r="5" spans="1:34" ht="14.25" customHeight="1" x14ac:dyDescent="0.2">
      <c r="D5" s="32" t="s">
        <v>257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45.496323529411768</v>
      </c>
      <c r="O5" s="6">
        <f>VLOOKUP($N$2,角色品星!$C$16:$D$20,2,0)*VLOOKUP($N$3,角色品星!$C$3:$E$14,3,0)*W5</f>
        <v>1363.7490701710883</v>
      </c>
      <c r="P5" s="6">
        <f>VLOOKUP($N$2,角色品星!$C$16:$D$20,2,0)*VLOOKUP($N$3,角色品星!$C$3:$E$14,3,0)*X5</f>
        <v>453.75000000000006</v>
      </c>
      <c r="Q5" s="24">
        <f>Y5</f>
        <v>0.05</v>
      </c>
      <c r="R5" s="24">
        <f t="shared" ref="R5:S5" si="0">Z5</f>
        <v>1.5</v>
      </c>
      <c r="S5" s="24">
        <f t="shared" si="0"/>
        <v>0.9</v>
      </c>
      <c r="T5" s="42">
        <f>N5*(1+Q5*(R5-1))*S5*战斗公式!$E$39+(P5*战斗公式!$E$40+1)*O5*战斗公式!$E$41</f>
        <v>2419.1960429740484</v>
      </c>
      <c r="U5" s="42">
        <f>T6-T5</f>
        <v>120.69628167757583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2" t="s">
        <v>258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3.0042784680733443</v>
      </c>
      <c r="M6" s="1">
        <v>2</v>
      </c>
      <c r="N6" s="6">
        <f>VLOOKUP($N$2,角色品星!$C$16:$D$20,2,0)*VLOOKUP($N$3,角色品星!$C$3:$E$14,3,0)*V6</f>
        <v>47.771139705882355</v>
      </c>
      <c r="O6" s="6">
        <f>VLOOKUP($N$2,角色品星!$C$16:$D$20,2,0)*VLOOKUP($N$3,角色品星!$C$3:$E$14,3,0)*W6</f>
        <v>1431.3509226326942</v>
      </c>
      <c r="P6" s="6">
        <f>VLOOKUP($N$2,角色品星!$C$16:$D$20,2,0)*VLOOKUP($N$3,角色品星!$C$3:$E$14,3,0)*X6</f>
        <v>476.43750000000006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0.9</v>
      </c>
      <c r="T6" s="42">
        <f>N6*(1+Q6*(R6-1))*S6*战斗公式!$E$39+(P6*战斗公式!$E$40+1)*O6*战斗公式!$E$41</f>
        <v>2539.8923246516242</v>
      </c>
      <c r="U6" s="42">
        <f t="shared" ref="U6:U69" si="6">T7-T6</f>
        <v>126.70432837923499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2" t="s">
        <v>259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0.16500000000000001</v>
      </c>
      <c r="G7" s="6">
        <f>VLOOKUP($D7,角色设定!$AB:$AJ,MATCH(G$4,角色设定!$AB$9:$AJ$9,0),0)*IF($E7=G$4,角色成长!$F$5,角色成长!$H$5)</f>
        <v>0.32085561497326204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50.159696691176485</v>
      </c>
      <c r="O7" s="6">
        <f>VLOOKUP($N$2,角色品星!$C$16:$D$20,2,0)*VLOOKUP($N$3,角色品星!$C$3:$E$14,3,0)*W7</f>
        <v>1502.2733846457811</v>
      </c>
      <c r="P7" s="6">
        <f>VLOOKUP($N$2,角色品星!$C$16:$D$20,2,0)*VLOOKUP($N$3,角色品星!$C$3:$E$14,3,0)*X7</f>
        <v>500.25937500000009</v>
      </c>
      <c r="Q7" s="24">
        <f t="shared" si="3"/>
        <v>0.05</v>
      </c>
      <c r="R7" s="24">
        <f t="shared" si="4"/>
        <v>1.5</v>
      </c>
      <c r="S7" s="24">
        <f t="shared" si="5"/>
        <v>0.9</v>
      </c>
      <c r="T7" s="42">
        <f>N7*(1+Q7*(R7-1))*S7*战斗公式!$E$39+(P7*战斗公式!$E$40+1)*O7*战斗公式!$E$41</f>
        <v>2666.5966530308592</v>
      </c>
      <c r="U7" s="42">
        <f t="shared" si="6"/>
        <v>133.0100717725968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2" t="s">
        <v>260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0.18</v>
      </c>
      <c r="G8" s="6">
        <f>VLOOKUP($D8,角色设定!$AB:$AJ,MATCH(G$4,角色设定!$AB$9:$AJ$9,0),0)*IF($E8=G$4,角色成长!$F$5,角色成长!$H$5)</f>
        <v>0.29411764705882354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3.0016361853185378</v>
      </c>
      <c r="M8" s="1">
        <v>4</v>
      </c>
      <c r="N8" s="6">
        <f>VLOOKUP($N$2,角色品星!$C$16:$D$20,2,0)*VLOOKUP($N$3,角色品星!$C$3:$E$14,3,0)*V8</f>
        <v>52.667681525735311</v>
      </c>
      <c r="O8" s="6">
        <f>VLOOKUP($N$2,角色品星!$C$16:$D$20,2,0)*VLOOKUP($N$3,角色品星!$C$3:$E$14,3,0)*W8</f>
        <v>1576.6764741470781</v>
      </c>
      <c r="P8" s="6">
        <f>VLOOKUP($N$2,角色品星!$C$16:$D$20,2,0)*VLOOKUP($N$3,角色品星!$C$3:$E$14,3,0)*X8</f>
        <v>525.27234375000012</v>
      </c>
      <c r="Q8" s="24">
        <f t="shared" si="3"/>
        <v>0.05</v>
      </c>
      <c r="R8" s="24">
        <f t="shared" si="4"/>
        <v>1.5</v>
      </c>
      <c r="S8" s="24">
        <f t="shared" si="5"/>
        <v>0.9</v>
      </c>
      <c r="T8" s="42">
        <f>N8*(1+Q8*(R8-1))*S8*战斗公式!$E$39+(P8*战斗公式!$E$40+1)*O8*战斗公式!$E$41</f>
        <v>2799.606724803456</v>
      </c>
      <c r="U8" s="42">
        <f t="shared" si="6"/>
        <v>139.62812527818369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2" t="s">
        <v>261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0.315</v>
      </c>
      <c r="G9" s="6">
        <f>VLOOKUP($D9,角色设定!$AB:$AJ,MATCH(G$4,角色设定!$AB$9:$AJ$9,0),0)*IF($E9=G$4,角色成长!$F$5,角色成长!$H$5)</f>
        <v>0.13445378151260504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3.0002170738152523</v>
      </c>
      <c r="M9" s="1">
        <v>5</v>
      </c>
      <c r="N9" s="6">
        <f>VLOOKUP($N$2,角色品星!$C$16:$D$20,2,0)*VLOOKUP($N$3,角色品星!$C$3:$E$14,3,0)*V9</f>
        <v>55.301065602022071</v>
      </c>
      <c r="O9" s="6">
        <f>VLOOKUP($N$2,角色品星!$C$16:$D$20,2,0)*VLOOKUP($N$3,角色品星!$C$3:$E$14,3,0)*W9</f>
        <v>1654.7276068277895</v>
      </c>
      <c r="P9" s="6">
        <f>VLOOKUP($N$2,角色品星!$C$16:$D$20,2,0)*VLOOKUP($N$3,角色品星!$C$3:$E$14,3,0)*X9</f>
        <v>551.53596093750002</v>
      </c>
      <c r="Q9" s="24">
        <f t="shared" si="3"/>
        <v>0.05</v>
      </c>
      <c r="R9" s="24">
        <f t="shared" si="4"/>
        <v>1.5</v>
      </c>
      <c r="S9" s="24">
        <f t="shared" si="5"/>
        <v>0.9</v>
      </c>
      <c r="T9" s="42">
        <f>N9*(1+Q9*(R9-1))*S9*战斗公式!$E$39+(P9*战斗公式!$E$40+1)*O9*战斗公式!$E$41</f>
        <v>2939.2348500816397</v>
      </c>
      <c r="U9" s="42">
        <f t="shared" si="6"/>
        <v>146.57380608337917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2" t="s">
        <v>262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</v>
      </c>
      <c r="G10" s="6">
        <f>VLOOKUP($D10,角色设定!$AB:$AJ,MATCH(G$4,角色设定!$AB$9:$AJ$9,0),0)*IF($E10=G$4,角色成长!$F$5,角色成长!$H$5)</f>
        <v>0.14117647058823532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58.066118882123185</v>
      </c>
      <c r="O10" s="6">
        <f>VLOOKUP($N$2,角色品星!$C$16:$D$20,2,0)*VLOOKUP($N$3,角色品星!$C$3:$E$14,3,0)*W10</f>
        <v>1736.6019062342848</v>
      </c>
      <c r="P10" s="6">
        <f>VLOOKUP($N$2,角色品星!$C$16:$D$20,2,0)*VLOOKUP($N$3,角色品星!$C$3:$E$14,3,0)*X10</f>
        <v>579.11275898437509</v>
      </c>
      <c r="Q10" s="24">
        <f t="shared" si="3"/>
        <v>0.05</v>
      </c>
      <c r="R10" s="24">
        <f t="shared" si="4"/>
        <v>1.5</v>
      </c>
      <c r="S10" s="24">
        <f t="shared" si="5"/>
        <v>0.9</v>
      </c>
      <c r="T10" s="42">
        <f>N10*(1+Q10*(R10-1))*S10*战斗公式!$E$39+(P10*战斗公式!$E$40+1)*O10*战斗公式!$E$41</f>
        <v>3085.8086561650189</v>
      </c>
      <c r="U10" s="42">
        <f t="shared" si="6"/>
        <v>153.86316771394468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2" t="s">
        <v>263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0.28799999999999998</v>
      </c>
      <c r="G11" s="6">
        <f>VLOOKUP($D11,角色设定!$AB:$AJ,MATCH(G$4,角色设定!$AB$9:$AJ$9,0),0)*IF($E11=G$4,角色成长!$F$5,角色成长!$H$5)</f>
        <v>0.1470588235294118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60.969424826229329</v>
      </c>
      <c r="O11" s="6">
        <f>VLOOKUP($N$2,角色品星!$C$16:$D$20,2,0)*VLOOKUP($N$3,角色品星!$C$3:$E$14,3,0)*W11</f>
        <v>1822.4825235586516</v>
      </c>
      <c r="P11" s="6">
        <f>VLOOKUP($N$2,角色品星!$C$16:$D$20,2,0)*VLOOKUP($N$3,角色品星!$C$3:$E$14,3,0)*X11</f>
        <v>608.0683969335937</v>
      </c>
      <c r="Q11" s="24">
        <f t="shared" si="3"/>
        <v>0.05</v>
      </c>
      <c r="R11" s="24">
        <f t="shared" si="4"/>
        <v>1.5</v>
      </c>
      <c r="S11" s="24">
        <f t="shared" si="5"/>
        <v>0.9</v>
      </c>
      <c r="T11" s="42">
        <f>N11*(1+Q11*(R11-1))*S11*战斗公式!$E$39+(P11*战斗公式!$E$40+1)*O11*战斗公式!$E$41</f>
        <v>3239.6718238789636</v>
      </c>
      <c r="U11" s="42">
        <f t="shared" si="6"/>
        <v>161.51303398735945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2" t="s">
        <v>264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0.29400000000000004</v>
      </c>
      <c r="G12" s="6">
        <f>VLOOKUP($D12,角色设定!$AB:$AJ,MATCH(G$4,角色设定!$AB$9:$AJ$9,0),0)*IF($E12=G$4,角色成长!$F$5,角色成长!$H$5)</f>
        <v>0.14405762304921971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2.9955291945383888</v>
      </c>
      <c r="M12" s="1">
        <v>8</v>
      </c>
      <c r="N12" s="6">
        <f>VLOOKUP($N$2,角色品星!$C$16:$D$20,2,0)*VLOOKUP($N$3,角色品星!$C$3:$E$14,3,0)*V12</f>
        <v>64.017896067540832</v>
      </c>
      <c r="O12" s="6">
        <f>VLOOKUP($N$2,角色品星!$C$16:$D$20,2,0)*VLOOKUP($N$3,角色品星!$C$3:$E$14,3,0)*W12</f>
        <v>1912.5609670552749</v>
      </c>
      <c r="P12" s="6">
        <f>VLOOKUP($N$2,角色品星!$C$16:$D$20,2,0)*VLOOKUP($N$3,角色品星!$C$3:$E$14,3,0)*X12</f>
        <v>638.47181678027368</v>
      </c>
      <c r="Q12" s="24">
        <f t="shared" si="3"/>
        <v>0.05</v>
      </c>
      <c r="R12" s="24">
        <f t="shared" si="4"/>
        <v>1.5</v>
      </c>
      <c r="S12" s="24">
        <f t="shared" si="5"/>
        <v>0.9</v>
      </c>
      <c r="T12" s="42">
        <f>N12*(1+Q12*(R12-1))*S12*战斗公式!$E$39+(P12*战斗公式!$E$40+1)*O12*战斗公式!$E$41</f>
        <v>3401.184857866323</v>
      </c>
      <c r="U12" s="42">
        <f t="shared" si="6"/>
        <v>169.54103439499886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2" t="s">
        <v>265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0.28199999999999992</v>
      </c>
      <c r="G13" s="6">
        <f>VLOOKUP($D13,角色设定!$AB:$AJ,MATCH(G$4,角色设定!$AB$9:$AJ$9,0),0)*IF($E13=G$4,角色成长!$F$5,角色成长!$H$5)</f>
        <v>0.15018773466833546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2.9938114404672604</v>
      </c>
      <c r="M13" s="1">
        <v>9</v>
      </c>
      <c r="N13" s="6">
        <f>VLOOKUP($N$2,角色品星!$C$16:$D$20,2,0)*VLOOKUP($N$3,角色品星!$C$3:$E$14,3,0)*V13</f>
        <v>67.218790870917843</v>
      </c>
      <c r="O13" s="6">
        <f>VLOOKUP($N$2,角色品星!$C$16:$D$20,2,0)*VLOOKUP($N$3,角色品星!$C$3:$E$14,3,0)*W13</f>
        <v>2007.0374409673345</v>
      </c>
      <c r="P13" s="6">
        <f>VLOOKUP($N$2,角色品星!$C$16:$D$20,2,0)*VLOOKUP($N$3,角色品星!$C$3:$E$14,3,0)*X13</f>
        <v>670.3954076192872</v>
      </c>
      <c r="Q13" s="24">
        <f t="shared" si="3"/>
        <v>0.05</v>
      </c>
      <c r="R13" s="24">
        <f t="shared" si="4"/>
        <v>1.5</v>
      </c>
      <c r="S13" s="24">
        <f t="shared" si="5"/>
        <v>0.9</v>
      </c>
      <c r="T13" s="42">
        <f>N13*(1+Q13*(R13-1))*S13*战斗公式!$E$39+(P13*战斗公式!$E$40+1)*O13*战斗公式!$E$41</f>
        <v>3570.7258922613219</v>
      </c>
      <c r="U13" s="42">
        <f t="shared" si="6"/>
        <v>177.96564096076145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2" t="s">
        <v>266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0.27</v>
      </c>
      <c r="G14" s="6">
        <f>VLOOKUP($D14,角色设定!$AB:$AJ,MATCH(G$4,角色设定!$AB$9:$AJ$9,0),0)*IF($E14=G$4,角色成长!$F$5,角色成长!$H$5)</f>
        <v>0.15686274509803921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70.579730414463754</v>
      </c>
      <c r="O14" s="6">
        <f>VLOOKUP($N$2,角色品星!$C$16:$D$20,2,0)*VLOOKUP($N$3,角色品星!$C$3:$E$14,3,0)*W14</f>
        <v>2106.1211937883568</v>
      </c>
      <c r="P14" s="6">
        <f>VLOOKUP($N$2,角色品星!$C$16:$D$20,2,0)*VLOOKUP($N$3,角色品星!$C$3:$E$14,3,0)*X14</f>
        <v>703.91517800025167</v>
      </c>
      <c r="Q14" s="24">
        <f t="shared" si="3"/>
        <v>0.05</v>
      </c>
      <c r="R14" s="24">
        <f t="shared" si="4"/>
        <v>1.5</v>
      </c>
      <c r="S14" s="24">
        <f t="shared" si="5"/>
        <v>0.9</v>
      </c>
      <c r="T14" s="42">
        <f>N14*(1+Q14*(R14-1))*S14*战斗公式!$E$39+(P14*战斗公式!$E$40+1)*O14*战斗公式!$E$41</f>
        <v>3748.6915332220833</v>
      </c>
      <c r="U14" s="42">
        <f t="shared" si="6"/>
        <v>186.80620662418551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2" t="s">
        <v>267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0.12705882352941178</v>
      </c>
      <c r="G15" s="6">
        <f>VLOOKUP($D15,角色设定!$AB:$AJ,MATCH(G$4,角色设定!$AB$9:$AJ$9,0),0)*IF($E15=G$4,角色成长!$F$5,角色成长!$H$5)</f>
        <v>0.19607843137254904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74.108716935186948</v>
      </c>
      <c r="O15" s="6">
        <f>VLOOKUP($N$2,角色品星!$C$16:$D$20,2,0)*VLOOKUP($N$3,角色品星!$C$3:$E$14,3,0)*W15</f>
        <v>2210.0308756179547</v>
      </c>
      <c r="P15" s="6">
        <f>VLOOKUP($N$2,角色品星!$C$16:$D$20,2,0)*VLOOKUP($N$3,角色品星!$C$3:$E$14,3,0)*X15</f>
        <v>739.11093690026416</v>
      </c>
      <c r="Q15" s="24">
        <f t="shared" si="3"/>
        <v>0.05</v>
      </c>
      <c r="R15" s="24">
        <f t="shared" si="4"/>
        <v>1.5</v>
      </c>
      <c r="S15" s="24">
        <f t="shared" si="5"/>
        <v>0.9</v>
      </c>
      <c r="T15" s="42">
        <f>N15*(1+Q15*(R15-1))*S15*战斗公式!$E$39+(P15*战斗公式!$E$40+1)*O15*战斗公式!$E$41</f>
        <v>3935.4977398462688</v>
      </c>
      <c r="U15" s="42">
        <f t="shared" si="6"/>
        <v>196.08300519656405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6"/>
      <c r="F16" s="26"/>
      <c r="G16" s="26"/>
      <c r="L16" s="6">
        <f t="shared" si="2"/>
        <v>2.9881394865885373</v>
      </c>
      <c r="M16" s="1">
        <v>12</v>
      </c>
      <c r="N16" s="6">
        <f>VLOOKUP($N$2,角色品星!$C$16:$D$20,2,0)*VLOOKUP($N$3,角色品星!$C$3:$E$14,3,0)*V16</f>
        <v>77.814152781946291</v>
      </c>
      <c r="O16" s="6">
        <f>VLOOKUP($N$2,角色品星!$C$16:$D$20,2,0)*VLOOKUP($N$3,角色品星!$C$3:$E$14,3,0)*W16</f>
        <v>2318.9949042971843</v>
      </c>
      <c r="P16" s="6">
        <f>VLOOKUP($N$2,角色品星!$C$16:$D$20,2,0)*VLOOKUP($N$3,角色品星!$C$3:$E$14,3,0)*X16</f>
        <v>776.06648374527731</v>
      </c>
      <c r="Q16" s="24">
        <f t="shared" si="3"/>
        <v>0.05</v>
      </c>
      <c r="R16" s="24">
        <f t="shared" si="4"/>
        <v>1.5</v>
      </c>
      <c r="S16" s="24">
        <f t="shared" si="5"/>
        <v>0.9</v>
      </c>
      <c r="T16" s="42">
        <f>N16*(1+Q16*(R16-1))*S16*战斗公式!$E$39+(P16*战斗公式!$E$40+1)*O16*战斗公式!$E$41</f>
        <v>4131.5807450428329</v>
      </c>
      <c r="U16" s="42">
        <f t="shared" si="6"/>
        <v>205.8172729387552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2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81.704860421043605</v>
      </c>
      <c r="O17" s="6">
        <f>VLOOKUP($N$2,角色品星!$C$16:$D$20,2,0)*VLOOKUP($N$3,角色品星!$C$3:$E$14,3,0)*W17</f>
        <v>2433.2518399267437</v>
      </c>
      <c r="P17" s="6">
        <f>VLOOKUP($N$2,角色品星!$C$16:$D$20,2,0)*VLOOKUP($N$3,角色品星!$C$3:$E$14,3,0)*X17</f>
        <v>814.86980793254122</v>
      </c>
      <c r="Q17" s="24">
        <f t="shared" si="3"/>
        <v>0.05</v>
      </c>
      <c r="R17" s="24">
        <f t="shared" si="4"/>
        <v>1.5</v>
      </c>
      <c r="S17" s="24">
        <f t="shared" si="5"/>
        <v>0.9</v>
      </c>
      <c r="T17" s="42">
        <f>N17*(1+Q17*(R17-1))*S17*战斗公式!$E$39+(P17*战斗公式!$E$40+1)*O17*战斗公式!$E$41</f>
        <v>4337.3980179815881</v>
      </c>
      <c r="U17" s="42">
        <f t="shared" si="6"/>
        <v>216.03125180969619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2.9838839254433931</v>
      </c>
      <c r="M18" s="1">
        <v>14</v>
      </c>
      <c r="N18" s="6">
        <f>VLOOKUP($N$2,角色品星!$C$16:$D$20,2,0)*VLOOKUP($N$3,角色品星!$C$3:$E$14,3,0)*V18</f>
        <v>85.79010344209577</v>
      </c>
      <c r="O18" s="6">
        <f>VLOOKUP($N$2,角色品星!$C$16:$D$20,2,0)*VLOOKUP($N$3,角色品星!$C$3:$E$14,3,0)*W18</f>
        <v>2553.0507672800081</v>
      </c>
      <c r="P18" s="6">
        <f>VLOOKUP($N$2,角色品星!$C$16:$D$20,2,0)*VLOOKUP($N$3,角色品星!$C$3:$E$14,3,0)*X18</f>
        <v>855.6132983291684</v>
      </c>
      <c r="Q18" s="24">
        <f t="shared" si="3"/>
        <v>0.05</v>
      </c>
      <c r="R18" s="24">
        <f t="shared" si="4"/>
        <v>1.5</v>
      </c>
      <c r="S18" s="24">
        <f t="shared" si="5"/>
        <v>0.9</v>
      </c>
      <c r="T18" s="42">
        <f>N18*(1+Q18*(R18-1))*S18*战斗公式!$E$39+(P18*战斗公式!$E$40+1)*O18*战斗公式!$E$41</f>
        <v>4553.4292697912842</v>
      </c>
      <c r="U18" s="42">
        <f t="shared" si="6"/>
        <v>226.74823443452897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2.981600272384453</v>
      </c>
      <c r="M19" s="1">
        <v>15</v>
      </c>
      <c r="N19" s="6">
        <f>VLOOKUP($N$2,角色品星!$C$16:$D$20,2,0)*VLOOKUP($N$3,角色品星!$C$3:$E$14,3,0)*V19</f>
        <v>90.079608614200538</v>
      </c>
      <c r="O19" s="6">
        <f>VLOOKUP($N$2,角色品星!$C$16:$D$20,2,0)*VLOOKUP($N$3,角色品星!$C$3:$E$14,3,0)*W19</f>
        <v>2678.6516855217092</v>
      </c>
      <c r="P19" s="6">
        <f>VLOOKUP($N$2,角色品星!$C$16:$D$20,2,0)*VLOOKUP($N$3,角色品星!$C$3:$E$14,3,0)*X19</f>
        <v>898.39396324562676</v>
      </c>
      <c r="Q19" s="24">
        <f t="shared" si="3"/>
        <v>0.05</v>
      </c>
      <c r="R19" s="24">
        <f t="shared" si="4"/>
        <v>1.5</v>
      </c>
      <c r="S19" s="24">
        <f t="shared" si="5"/>
        <v>0.9</v>
      </c>
      <c r="T19" s="42">
        <f>N19*(1+Q19*(R19-1))*S19*战斗公式!$E$39+(P19*战斗公式!$E$40+1)*O19*战斗公式!$E$41</f>
        <v>4780.1775042258132</v>
      </c>
      <c r="U19" s="42">
        <f t="shared" si="6"/>
        <v>237.99261084145201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94.583589044910568</v>
      </c>
      <c r="O20" s="6">
        <f>VLOOKUP($N$2,角色品星!$C$16:$D$20,2,0)*VLOOKUP($N$3,角色品星!$C$3:$E$14,3,0)*W20</f>
        <v>2810.3259045314844</v>
      </c>
      <c r="P20" s="6">
        <f>VLOOKUP($N$2,角色品星!$C$16:$D$20,2,0)*VLOOKUP($N$3,角色品星!$C$3:$E$14,3,0)*X20</f>
        <v>943.31366140790828</v>
      </c>
      <c r="Q20" s="24">
        <f t="shared" si="3"/>
        <v>0.05</v>
      </c>
      <c r="R20" s="24">
        <f t="shared" si="4"/>
        <v>1.5</v>
      </c>
      <c r="S20" s="24">
        <f t="shared" si="5"/>
        <v>0.9</v>
      </c>
      <c r="T20" s="42">
        <f>N20*(1+Q20*(R20-1))*S20*战斗公式!$E$39+(P20*战斗公式!$E$40+1)*O20*战斗公式!$E$41</f>
        <v>5018.1701150672652</v>
      </c>
      <c r="U20" s="42">
        <f t="shared" si="6"/>
        <v>249.78991701602172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2.9766965494483317</v>
      </c>
      <c r="M21" s="1">
        <v>17</v>
      </c>
      <c r="N21" s="6">
        <f>VLOOKUP($N$2,角色品星!$C$16:$D$20,2,0)*VLOOKUP($N$3,角色品星!$C$3:$E$14,3,0)*V21</f>
        <v>99.3127684971561</v>
      </c>
      <c r="O21" s="6">
        <f>VLOOKUP($N$2,角色品星!$C$16:$D$20,2,0)*VLOOKUP($N$3,角色品星!$C$3:$E$14,3,0)*W21</f>
        <v>2948.3564470084116</v>
      </c>
      <c r="P21" s="6">
        <f>VLOOKUP($N$2,角色品星!$C$16:$D$20,2,0)*VLOOKUP($N$3,角色品星!$C$3:$E$14,3,0)*X21</f>
        <v>990.47934447830357</v>
      </c>
      <c r="Q21" s="24">
        <f t="shared" si="3"/>
        <v>0.05</v>
      </c>
      <c r="R21" s="24">
        <f t="shared" si="4"/>
        <v>1.5</v>
      </c>
      <c r="S21" s="24">
        <f t="shared" si="5"/>
        <v>0.9</v>
      </c>
      <c r="T21" s="42">
        <f>N21*(1+Q21*(R21-1))*S21*战斗公式!$E$39+(P21*战斗公式!$E$40+1)*O21*战斗公式!$E$41</f>
        <v>5267.9600320832869</v>
      </c>
      <c r="U21" s="42">
        <f t="shared" si="6"/>
        <v>262.16688532160515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104.27840692201394</v>
      </c>
      <c r="O22" s="6">
        <f>VLOOKUP($N$2,角色品星!$C$16:$D$20,2,0)*VLOOKUP($N$3,角色品星!$C$3:$E$14,3,0)*W22</f>
        <v>3093.0384553975878</v>
      </c>
      <c r="P22" s="6">
        <f>VLOOKUP($N$2,角色品星!$C$16:$D$20,2,0)*VLOOKUP($N$3,角色品星!$C$3:$E$14,3,0)*X22</f>
        <v>1040.0033117022188</v>
      </c>
      <c r="Q22" s="24">
        <f t="shared" si="3"/>
        <v>0.05</v>
      </c>
      <c r="R22" s="24">
        <f t="shared" si="4"/>
        <v>1.5</v>
      </c>
      <c r="S22" s="24">
        <f t="shared" si="5"/>
        <v>0.9</v>
      </c>
      <c r="T22" s="42">
        <f>N22*(1+Q22*(R22-1))*S22*战斗公式!$E$39+(P22*战斗公式!$E$40+1)*O22*战斗公式!$E$41</f>
        <v>5530.1269174048921</v>
      </c>
      <c r="U22" s="42">
        <f t="shared" si="6"/>
        <v>275.15149683412528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2.9713088557115461</v>
      </c>
      <c r="M23" s="1">
        <v>19</v>
      </c>
      <c r="N23" s="6">
        <f>VLOOKUP($N$2,角色品星!$C$16:$D$20,2,0)*VLOOKUP($N$3,角色品星!$C$3:$E$14,3,0)*V23</f>
        <v>109.49232726811465</v>
      </c>
      <c r="O23" s="6">
        <f>VLOOKUP($N$2,角色品星!$C$16:$D$20,2,0)*VLOOKUP($N$3,角色品星!$C$3:$E$14,3,0)*W23</f>
        <v>3244.6796025316453</v>
      </c>
      <c r="P23" s="6">
        <f>VLOOKUP($N$2,角色品星!$C$16:$D$20,2,0)*VLOOKUP($N$3,角色品星!$C$3:$E$14,3,0)*X23</f>
        <v>1092.0034772873298</v>
      </c>
      <c r="Q23" s="24">
        <f t="shared" si="3"/>
        <v>0.05</v>
      </c>
      <c r="R23" s="24">
        <f t="shared" si="4"/>
        <v>1.5</v>
      </c>
      <c r="S23" s="24">
        <f t="shared" si="5"/>
        <v>0.9</v>
      </c>
      <c r="T23" s="42">
        <f>N23*(1+Q23*(R23-1))*S23*战斗公式!$E$39+(P23*战斗公式!$E$40+1)*O23*战斗公式!$E$41</f>
        <v>5805.2784142390174</v>
      </c>
      <c r="U23" s="42">
        <f t="shared" si="6"/>
        <v>288.77303563901842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2.9684193847626958</v>
      </c>
      <c r="M24" s="1">
        <v>20</v>
      </c>
      <c r="N24" s="6">
        <f>VLOOKUP($N$2,角色品星!$C$16:$D$20,2,0)*VLOOKUP($N$3,角色品星!$C$3:$E$14,3,0)*V24</f>
        <v>114.96694363152037</v>
      </c>
      <c r="O24" s="6">
        <f>VLOOKUP($N$2,角色品星!$C$16:$D$20,2,0)*VLOOKUP($N$3,角色品星!$C$3:$E$14,3,0)*W24</f>
        <v>3403.6005047183789</v>
      </c>
      <c r="P24" s="6">
        <f>VLOOKUP($N$2,角色品星!$C$16:$D$20,2,0)*VLOOKUP($N$3,角色品星!$C$3:$E$14,3,0)*X24</f>
        <v>1146.6036511516963</v>
      </c>
      <c r="Q24" s="24">
        <f t="shared" si="3"/>
        <v>0.05</v>
      </c>
      <c r="R24" s="24">
        <f t="shared" si="4"/>
        <v>1.5</v>
      </c>
      <c r="S24" s="24">
        <f t="shared" si="5"/>
        <v>0.9</v>
      </c>
      <c r="T24" s="42">
        <f>N24*(1+Q24*(R24-1))*S24*战斗公式!$E$39+(P24*战斗公式!$E$40+1)*O24*战斗公式!$E$41</f>
        <v>6094.0514498780358</v>
      </c>
      <c r="U24" s="42">
        <f t="shared" si="6"/>
        <v>303.06214513762279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2.9653914823788621</v>
      </c>
      <c r="M25" s="1">
        <v>21</v>
      </c>
      <c r="N25" s="6">
        <f>VLOOKUP($N$2,角色品星!$C$16:$D$20,2,0)*VLOOKUP($N$3,角色品星!$C$3:$E$14,3,0)*V25</f>
        <v>120.71529081309639</v>
      </c>
      <c r="O25" s="6">
        <f>VLOOKUP($N$2,角色品星!$C$16:$D$20,2,0)*VLOOKUP($N$3,角色品星!$C$3:$E$14,3,0)*W25</f>
        <v>3570.1351358292322</v>
      </c>
      <c r="P25" s="6">
        <f>VLOOKUP($N$2,角色品星!$C$16:$D$20,2,0)*VLOOKUP($N$3,角色品星!$C$3:$E$14,3,0)*X25</f>
        <v>1203.9338337092813</v>
      </c>
      <c r="Q25" s="24">
        <f t="shared" si="3"/>
        <v>0.05</v>
      </c>
      <c r="R25" s="24">
        <f t="shared" si="4"/>
        <v>1.5</v>
      </c>
      <c r="S25" s="24">
        <f t="shared" si="5"/>
        <v>0.9</v>
      </c>
      <c r="T25" s="42">
        <f>N25*(1+Q25*(R25-1))*S25*战斗公式!$E$39+(P25*战斗公式!$E$40+1)*O25*战斗公式!$E$41</f>
        <v>6397.1135950156586</v>
      </c>
      <c r="U25" s="42">
        <f t="shared" si="6"/>
        <v>318.0508864097319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126.7510553537512</v>
      </c>
      <c r="O26" s="6">
        <f>VLOOKUP($N$2,角色品星!$C$16:$D$20,2,0)*VLOOKUP($N$3,角色品星!$C$3:$E$14,3,0)*W26</f>
        <v>3744.6312407516934</v>
      </c>
      <c r="P26" s="6">
        <f>VLOOKUP($N$2,角色品星!$C$16:$D$20,2,0)*VLOOKUP($N$3,角色品星!$C$3:$E$14,3,0)*X26</f>
        <v>1264.1305253947451</v>
      </c>
      <c r="Q26" s="24">
        <f t="shared" si="3"/>
        <v>0.05</v>
      </c>
      <c r="R26" s="24">
        <f t="shared" si="4"/>
        <v>1.5</v>
      </c>
      <c r="S26" s="24">
        <f t="shared" si="5"/>
        <v>0.9</v>
      </c>
      <c r="T26" s="42">
        <f>N26*(1+Q26*(R26-1))*S26*战斗公式!$E$39+(P26*战斗公式!$E$40+1)*O26*战斗公式!$E$41</f>
        <v>6715.1644814253905</v>
      </c>
      <c r="U26" s="42">
        <f t="shared" si="6"/>
        <v>333.77279867848847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133.08860812143874</v>
      </c>
      <c r="O27" s="6">
        <f>VLOOKUP($N$2,角色品星!$C$16:$D$20,2,0)*VLOOKUP($N$3,角色品星!$C$3:$E$14,3,0)*W27</f>
        <v>3927.4507463608779</v>
      </c>
      <c r="P27" s="6">
        <f>VLOOKUP($N$2,角色品星!$C$16:$D$20,2,0)*VLOOKUP($N$3,角色品星!$C$3:$E$14,3,0)*X27</f>
        <v>1327.3370516644823</v>
      </c>
      <c r="Q27" s="24">
        <f t="shared" si="3"/>
        <v>0.05</v>
      </c>
      <c r="R27" s="24">
        <f t="shared" si="4"/>
        <v>1.5</v>
      </c>
      <c r="S27" s="24">
        <f t="shared" si="5"/>
        <v>0.9</v>
      </c>
      <c r="T27" s="42">
        <f>N27*(1+Q27*(R27-1))*S27*战斗公式!$E$39+(P27*战斗公式!$E$40+1)*O27*战斗公式!$E$41</f>
        <v>7048.9372801038789</v>
      </c>
      <c r="U27" s="42">
        <f t="shared" si="6"/>
        <v>350.26296192305381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2.9554126636131972</v>
      </c>
      <c r="M28" s="1">
        <v>24</v>
      </c>
      <c r="N28" s="6">
        <f>VLOOKUP($N$2,角色品星!$C$16:$D$20,2,0)*VLOOKUP($N$3,角色品星!$C$3:$E$14,3,0)*V28</f>
        <v>139.74303852751072</v>
      </c>
      <c r="O28" s="6">
        <f>VLOOKUP($N$2,角色品星!$C$16:$D$20,2,0)*VLOOKUP($N$3,角色品星!$C$3:$E$14,3,0)*W28</f>
        <v>4118.9701679408272</v>
      </c>
      <c r="P28" s="6">
        <f>VLOOKUP($N$2,角色品星!$C$16:$D$20,2,0)*VLOOKUP($N$3,角色品星!$C$3:$E$14,3,0)*X28</f>
        <v>1393.7039042477068</v>
      </c>
      <c r="Q28" s="24">
        <f t="shared" si="3"/>
        <v>0.05</v>
      </c>
      <c r="R28" s="24">
        <f t="shared" si="4"/>
        <v>1.5</v>
      </c>
      <c r="S28" s="24">
        <f t="shared" si="5"/>
        <v>0.9</v>
      </c>
      <c r="T28" s="42">
        <f>N28*(1+Q28*(R28-1))*S28*战斗公式!$E$39+(P28*战斗公式!$E$40+1)*O28*战斗公式!$E$41</f>
        <v>7399.2002420269328</v>
      </c>
      <c r="U28" s="42">
        <f t="shared" si="6"/>
        <v>367.55806168408799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2.9517651937804135</v>
      </c>
      <c r="M29" s="1">
        <v>25</v>
      </c>
      <c r="N29" s="6">
        <f>VLOOKUP($N$2,角色品星!$C$16:$D$20,2,0)*VLOOKUP($N$3,角色品星!$C$3:$E$14,3,0)*V29</f>
        <v>146.73019045388622</v>
      </c>
      <c r="O29" s="6">
        <f>VLOOKUP($N$2,角色品星!$C$16:$D$20,2,0)*VLOOKUP($N$3,角色品星!$C$3:$E$14,3,0)*W29</f>
        <v>4319.5810087439622</v>
      </c>
      <c r="P29" s="6">
        <f>VLOOKUP($N$2,角色品星!$C$16:$D$20,2,0)*VLOOKUP($N$3,角色品星!$C$3:$E$14,3,0)*X29</f>
        <v>1463.3890994600918</v>
      </c>
      <c r="Q29" s="24">
        <f t="shared" si="3"/>
        <v>0.05</v>
      </c>
      <c r="R29" s="24">
        <f t="shared" si="4"/>
        <v>1.5</v>
      </c>
      <c r="S29" s="24">
        <f t="shared" si="5"/>
        <v>0.9</v>
      </c>
      <c r="T29" s="42">
        <f>N29*(1+Q29*(R29-1))*S29*战斗公式!$E$39+(P29*战斗公式!$E$40+1)*O29*战斗公式!$E$41</f>
        <v>7766.7583037110207</v>
      </c>
      <c r="U29" s="42">
        <f t="shared" si="6"/>
        <v>385.6964561065779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154.06669997658054</v>
      </c>
      <c r="O30" s="6">
        <f>VLOOKUP($N$2,角色品星!$C$16:$D$20,2,0)*VLOOKUP($N$3,角色品星!$C$3:$E$14,3,0)*W30</f>
        <v>4529.6901501167777</v>
      </c>
      <c r="P30" s="6">
        <f>VLOOKUP($N$2,角色品星!$C$16:$D$20,2,0)*VLOOKUP($N$3,角色品星!$C$3:$E$14,3,0)*X30</f>
        <v>1536.5585544330963</v>
      </c>
      <c r="Q30" s="24">
        <f t="shared" si="3"/>
        <v>0.05</v>
      </c>
      <c r="R30" s="24">
        <f t="shared" si="4"/>
        <v>1.5</v>
      </c>
      <c r="S30" s="24">
        <f t="shared" si="5"/>
        <v>0.9</v>
      </c>
      <c r="T30" s="42">
        <f>N30*(1+Q30*(R30-1))*S30*战斗公式!$E$39+(P30*战斗公式!$E$40+1)*O30*战斗公式!$E$41</f>
        <v>8152.4547598175986</v>
      </c>
      <c r="U30" s="42">
        <f t="shared" si="6"/>
        <v>404.71824526416185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161.77003497540954</v>
      </c>
      <c r="O31" s="6">
        <f>VLOOKUP($N$2,角色品星!$C$16:$D$20,2,0)*VLOOKUP($N$3,角色品星!$C$3:$E$14,3,0)*W31</f>
        <v>4749.7202293410201</v>
      </c>
      <c r="P31" s="6">
        <f>VLOOKUP($N$2,角色品星!$C$16:$D$20,2,0)*VLOOKUP($N$3,角色品星!$C$3:$E$14,3,0)*X31</f>
        <v>1613.3864821547515</v>
      </c>
      <c r="Q31" s="24">
        <f t="shared" si="3"/>
        <v>0.05</v>
      </c>
      <c r="R31" s="24">
        <f t="shared" si="4"/>
        <v>1.5</v>
      </c>
      <c r="S31" s="24">
        <f t="shared" si="5"/>
        <v>0.9</v>
      </c>
      <c r="T31" s="42">
        <f>N31*(1+Q31*(R31-1))*S31*战斗公式!$E$39+(P31*战斗公式!$E$40+1)*O31*战斗公式!$E$41</f>
        <v>8557.1730050817605</v>
      </c>
      <c r="U31" s="42">
        <f t="shared" si="6"/>
        <v>424.66534280924861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169.85853672418008</v>
      </c>
      <c r="O32" s="6">
        <f>VLOOKUP($N$2,角色品星!$C$16:$D$20,2,0)*VLOOKUP($N$3,角色品星!$C$3:$E$14,3,0)*W32</f>
        <v>4980.1100020417589</v>
      </c>
      <c r="P32" s="6">
        <f>VLOOKUP($N$2,角色品星!$C$16:$D$20,2,0)*VLOOKUP($N$3,角色品星!$C$3:$E$14,3,0)*X32</f>
        <v>1694.0558062624891</v>
      </c>
      <c r="Q32" s="24">
        <f t="shared" si="3"/>
        <v>0.05</v>
      </c>
      <c r="R32" s="24">
        <f t="shared" si="4"/>
        <v>1.5</v>
      </c>
      <c r="S32" s="24">
        <f t="shared" si="5"/>
        <v>0.9</v>
      </c>
      <c r="T32" s="42">
        <f>N32*(1+Q32*(R32-1))*S32*战斗公式!$E$39+(P32*战斗公式!$E$40+1)*O32*战斗公式!$E$41</f>
        <v>8981.8383478910091</v>
      </c>
      <c r="U32" s="42">
        <f t="shared" si="6"/>
        <v>445.58154999339422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2.9353700360176327</v>
      </c>
      <c r="M33" s="1">
        <v>29</v>
      </c>
      <c r="N33" s="6">
        <f>VLOOKUP($N$2,角色品星!$C$16:$D$20,2,0)*VLOOKUP($N$3,角色品星!$C$3:$E$14,3,0)*V33</f>
        <v>178.35146356038905</v>
      </c>
      <c r="O33" s="6">
        <f>VLOOKUP($N$2,角色品星!$C$16:$D$20,2,0)*VLOOKUP($N$3,角色品星!$C$3:$E$14,3,0)*W33</f>
        <v>5221.3146856968324</v>
      </c>
      <c r="P33" s="6">
        <f>VLOOKUP($N$2,角色品星!$C$16:$D$20,2,0)*VLOOKUP($N$3,角色品星!$C$3:$E$14,3,0)*X33</f>
        <v>1778.7585965756134</v>
      </c>
      <c r="Q33" s="24">
        <f t="shared" si="3"/>
        <v>0.05</v>
      </c>
      <c r="R33" s="24">
        <f t="shared" si="4"/>
        <v>1.5</v>
      </c>
      <c r="S33" s="24">
        <f t="shared" si="5"/>
        <v>0.9</v>
      </c>
      <c r="T33" s="42">
        <f>N33*(1+Q33*(R33-1))*S33*战斗公式!$E$39+(P33*战斗公式!$E$40+1)*O33*战斗公式!$E$41</f>
        <v>9427.4198978844033</v>
      </c>
      <c r="U33" s="42">
        <f t="shared" si="6"/>
        <v>467.51263210318939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187.26903673840857</v>
      </c>
      <c r="O34" s="6">
        <f>VLOOKUP($N$2,角色品星!$C$16:$D$20,2,0)*VLOOKUP($N$3,角色品星!$C$3:$E$14,3,0)*W34</f>
        <v>5473.8062804460496</v>
      </c>
      <c r="P34" s="6">
        <f>VLOOKUP($N$2,角色品星!$C$16:$D$20,2,0)*VLOOKUP($N$3,角色品星!$C$3:$E$14,3,0)*X34</f>
        <v>1867.6965264043943</v>
      </c>
      <c r="Q34" s="24">
        <f t="shared" si="3"/>
        <v>0.05</v>
      </c>
      <c r="R34" s="24">
        <f t="shared" si="4"/>
        <v>1.5</v>
      </c>
      <c r="S34" s="24">
        <f t="shared" si="5"/>
        <v>0.9</v>
      </c>
      <c r="T34" s="42">
        <f>N34*(1+Q34*(R34-1))*S34*战斗公式!$E$39+(P34*战斗公式!$E$40+1)*O34*战斗公式!$E$41</f>
        <v>9894.9325299875927</v>
      </c>
      <c r="U34" s="42">
        <f t="shared" si="6"/>
        <v>490.50639735823461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196.63248857532889</v>
      </c>
      <c r="O35" s="6">
        <f>VLOOKUP($N$2,角色品星!$C$16:$D$20,2,0)*VLOOKUP($N$3,角色品星!$C$3:$E$14,3,0)*W35</f>
        <v>5738.0738630435917</v>
      </c>
      <c r="P35" s="6">
        <f>VLOOKUP($N$2,角色品星!$C$16:$D$20,2,0)*VLOOKUP($N$3,角色品星!$C$3:$E$14,3,0)*X35</f>
        <v>1961.0813527246132</v>
      </c>
      <c r="Q35" s="24">
        <f t="shared" si="3"/>
        <v>0.05</v>
      </c>
      <c r="R35" s="24">
        <f t="shared" si="4"/>
        <v>1.5</v>
      </c>
      <c r="S35" s="24">
        <f t="shared" si="5"/>
        <v>0.9</v>
      </c>
      <c r="T35" s="42">
        <f>N35*(1+Q35*(R35-1))*S35*战斗公式!$E$39+(P35*战斗公式!$E$40+1)*O35*战斗公式!$E$41</f>
        <v>10385.438927345827</v>
      </c>
      <c r="U35" s="42">
        <f t="shared" si="6"/>
        <v>514.61277831992993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206.46411300409542</v>
      </c>
      <c r="O36" s="6">
        <f>VLOOKUP($N$2,角色品星!$C$16:$D$20,2,0)*VLOOKUP($N$3,角色品星!$C$3:$E$14,3,0)*W36</f>
        <v>6014.6238494238496</v>
      </c>
      <c r="P36" s="6">
        <f>VLOOKUP($N$2,角色品星!$C$16:$D$20,2,0)*VLOOKUP($N$3,角色品星!$C$3:$E$14,3,0)*X36</f>
        <v>2059.1354203608444</v>
      </c>
      <c r="Q36" s="24">
        <f t="shared" si="3"/>
        <v>0.05</v>
      </c>
      <c r="R36" s="24">
        <f t="shared" si="4"/>
        <v>1.5</v>
      </c>
      <c r="S36" s="24">
        <f t="shared" si="5"/>
        <v>0.9</v>
      </c>
      <c r="T36" s="42">
        <f>N36*(1+Q36*(R36-1))*S36*战斗公式!$E$39+(P36*战斗公式!$E$40+1)*O36*战斗公式!$E$41</f>
        <v>10900.051705665757</v>
      </c>
      <c r="U36" s="42">
        <f t="shared" si="6"/>
        <v>539.88391586254329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2.9156852081037568</v>
      </c>
      <c r="M37" s="1">
        <v>33</v>
      </c>
      <c r="N37" s="6">
        <f>VLOOKUP($N$2,角色品星!$C$16:$D$20,2,0)*VLOOKUP($N$3,角色品星!$C$3:$E$14,3,0)*V37</f>
        <v>216.78731865430018</v>
      </c>
      <c r="O37" s="6">
        <f>VLOOKUP($N$2,角色品星!$C$16:$D$20,2,0)*VLOOKUP($N$3,角色品星!$C$3:$E$14,3,0)*W37</f>
        <v>6303.9802209600566</v>
      </c>
      <c r="P37" s="6">
        <f>VLOOKUP($N$2,角色品星!$C$16:$D$20,2,0)*VLOOKUP($N$3,角色品星!$C$3:$E$14,3,0)*X37</f>
        <v>2162.0921913788866</v>
      </c>
      <c r="Q37" s="24">
        <f t="shared" si="3"/>
        <v>0.05</v>
      </c>
      <c r="R37" s="24">
        <f t="shared" si="4"/>
        <v>1.5</v>
      </c>
      <c r="S37" s="24">
        <f t="shared" si="5"/>
        <v>0.9</v>
      </c>
      <c r="T37" s="42">
        <f>N37*(1+Q37*(R37-1))*S37*战斗公式!$E$39+(P37*战斗公式!$E$40+1)*O37*战斗公式!$E$41</f>
        <v>11439.935621528301</v>
      </c>
      <c r="U37" s="42">
        <f t="shared" si="6"/>
        <v>566.37424576256308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227.62668458701515</v>
      </c>
      <c r="O38" s="6">
        <f>VLOOKUP($N$2,角色品星!$C$16:$D$20,2,0)*VLOOKUP($N$3,角色品星!$C$3:$E$14,3,0)*W38</f>
        <v>6606.6847090883948</v>
      </c>
      <c r="P38" s="6">
        <f>VLOOKUP($N$2,角色品星!$C$16:$D$20,2,0)*VLOOKUP($N$3,角色品星!$C$3:$E$14,3,0)*X38</f>
        <v>2270.1968009478314</v>
      </c>
      <c r="Q38" s="24">
        <f t="shared" si="3"/>
        <v>0.05</v>
      </c>
      <c r="R38" s="24">
        <f t="shared" si="4"/>
        <v>1.5</v>
      </c>
      <c r="S38" s="24">
        <f t="shared" si="5"/>
        <v>0.9</v>
      </c>
      <c r="T38" s="42">
        <f>N38*(1+Q38*(R38-1))*S38*战斗公式!$E$39+(P38*战斗公式!$E$40+1)*O38*战斗公式!$E$41</f>
        <v>12006.309867290864</v>
      </c>
      <c r="U38" s="42">
        <f t="shared" si="6"/>
        <v>594.14058796714562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2.9044249042566928</v>
      </c>
      <c r="M39" s="1">
        <v>35</v>
      </c>
      <c r="N39" s="6">
        <f>VLOOKUP($N$2,角色品星!$C$16:$D$20,2,0)*VLOOKUP($N$3,角色品星!$C$3:$E$14,3,0)*V39</f>
        <v>239.00801881636588</v>
      </c>
      <c r="O39" s="6">
        <f>VLOOKUP($N$2,角色品星!$C$16:$D$20,2,0)*VLOOKUP($N$3,角色品星!$C$3:$E$14,3,0)*W39</f>
        <v>6923.296932548591</v>
      </c>
      <c r="P39" s="6">
        <f>VLOOKUP($N$2,角色品星!$C$16:$D$20,2,0)*VLOOKUP($N$3,角色品星!$C$3:$E$14,3,0)*X39</f>
        <v>2383.7066409952222</v>
      </c>
      <c r="Q39" s="24">
        <f t="shared" si="3"/>
        <v>0.05</v>
      </c>
      <c r="R39" s="24">
        <f t="shared" si="4"/>
        <v>1.5</v>
      </c>
      <c r="S39" s="24">
        <f t="shared" si="5"/>
        <v>0.9</v>
      </c>
      <c r="T39" s="42">
        <f>N39*(1+Q39*(R39-1))*S39*战斗公式!$E$39+(P39*战斗公式!$E$40+1)*O39*战斗公式!$E$41</f>
        <v>12600.450455258009</v>
      </c>
      <c r="U39" s="42">
        <f t="shared" si="6"/>
        <v>623.24223861004248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2.8984049488292385</v>
      </c>
      <c r="M40" s="1">
        <v>36</v>
      </c>
      <c r="N40" s="6">
        <f>VLOOKUP($N$2,角色品星!$C$16:$D$20,2,0)*VLOOKUP($N$3,角色品星!$C$3:$E$14,3,0)*V40</f>
        <v>250.95841975718429</v>
      </c>
      <c r="O40" s="6">
        <f>VLOOKUP($N$2,角色品星!$C$16:$D$20,2,0)*VLOOKUP($N$3,角色品星!$C$3:$E$14,3,0)*W40</f>
        <v>7254.3944810585581</v>
      </c>
      <c r="P40" s="6">
        <f>VLOOKUP($N$2,角色品星!$C$16:$D$20,2,0)*VLOOKUP($N$3,角色品星!$C$3:$E$14,3,0)*X40</f>
        <v>2502.8919730449838</v>
      </c>
      <c r="Q40" s="24">
        <f t="shared" si="3"/>
        <v>0.05</v>
      </c>
      <c r="R40" s="24">
        <f t="shared" si="4"/>
        <v>1.5</v>
      </c>
      <c r="S40" s="24">
        <f t="shared" si="5"/>
        <v>0.9</v>
      </c>
      <c r="T40" s="42">
        <f>N40*(1+Q40*(R40-1))*S40*战斗公式!$E$39+(P40*战斗公式!$E$40+1)*O40*战斗公式!$E$41</f>
        <v>13223.692693868052</v>
      </c>
      <c r="U40" s="42">
        <f t="shared" si="6"/>
        <v>653.74106485208904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263.50634074504342</v>
      </c>
      <c r="O41" s="6">
        <f>VLOOKUP($N$2,角色品星!$C$16:$D$20,2,0)*VLOOKUP($N$3,角色品星!$C$3:$E$14,3,0)*W41</f>
        <v>7600.5729387974552</v>
      </c>
      <c r="P41" s="6">
        <f>VLOOKUP($N$2,角色品星!$C$16:$D$20,2,0)*VLOOKUP($N$3,角色品星!$C$3:$E$14,3,0)*X41</f>
        <v>2628.0365716972333</v>
      </c>
      <c r="Q41" s="24">
        <f t="shared" si="3"/>
        <v>0.05</v>
      </c>
      <c r="R41" s="24">
        <f t="shared" si="4"/>
        <v>1.5</v>
      </c>
      <c r="S41" s="24">
        <f t="shared" si="5"/>
        <v>0.9</v>
      </c>
      <c r="T41" s="42">
        <f>N41*(1+Q41*(R41-1))*S41*战斗公式!$E$39+(P41*战斗公式!$E$40+1)*O41*战斗公式!$E$41</f>
        <v>13877.433758720141</v>
      </c>
      <c r="U41" s="42">
        <f t="shared" si="6"/>
        <v>685.70160263432081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276.68165778229564</v>
      </c>
      <c r="O42" s="6">
        <f>VLOOKUP($N$2,角色品星!$C$16:$D$20,2,0)*VLOOKUP($N$3,角色品星!$C$3:$E$14,3,0)*W42</f>
        <v>7962.4458406224676</v>
      </c>
      <c r="P42" s="6">
        <f>VLOOKUP($N$2,角色品星!$C$16:$D$20,2,0)*VLOOKUP($N$3,角色品星!$C$3:$E$14,3,0)*X42</f>
        <v>2759.4384002820948</v>
      </c>
      <c r="Q42" s="24">
        <f t="shared" si="3"/>
        <v>0.05</v>
      </c>
      <c r="R42" s="24">
        <f t="shared" si="4"/>
        <v>1.5</v>
      </c>
      <c r="S42" s="24">
        <f t="shared" si="5"/>
        <v>0.9</v>
      </c>
      <c r="T42" s="42">
        <f>N42*(1+Q42*(R42-1))*S42*战斗公式!$E$39+(P42*战斗公式!$E$40+1)*O42*战斗公式!$E$41</f>
        <v>14563.135361354462</v>
      </c>
      <c r="U42" s="42">
        <f t="shared" si="6"/>
        <v>719.19115744575356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2.8786549475122367</v>
      </c>
      <c r="M43" s="1">
        <v>39</v>
      </c>
      <c r="N43" s="6">
        <f>VLOOKUP($N$2,角色品星!$C$16:$D$20,2,0)*VLOOKUP($N$3,角色品星!$C$3:$E$14,3,0)*V43</f>
        <v>290.5157406714103</v>
      </c>
      <c r="O43" s="6">
        <f>VLOOKUP($N$2,角色品星!$C$16:$D$20,2,0)*VLOOKUP($N$3,角色品星!$C$3:$E$14,3,0)*W43</f>
        <v>8340.6445534936684</v>
      </c>
      <c r="P43" s="6">
        <f>VLOOKUP($N$2,角色品星!$C$16:$D$20,2,0)*VLOOKUP($N$3,角色品星!$C$3:$E$14,3,0)*X43</f>
        <v>2897.4103202961992</v>
      </c>
      <c r="Q43" s="24">
        <f t="shared" si="3"/>
        <v>0.05</v>
      </c>
      <c r="R43" s="24">
        <f t="shared" si="4"/>
        <v>1.5</v>
      </c>
      <c r="S43" s="24">
        <f t="shared" si="5"/>
        <v>0.9</v>
      </c>
      <c r="T43" s="42">
        <f>N43*(1+Q43*(R43-1))*S43*战斗公式!$E$39+(P43*战斗公式!$E$40+1)*O43*战斗公式!$E$41</f>
        <v>15282.326518800215</v>
      </c>
      <c r="U43" s="42">
        <f t="shared" si="6"/>
        <v>754.27990822444917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2.8714699743915082</v>
      </c>
      <c r="M44" s="1">
        <v>40</v>
      </c>
      <c r="N44" s="6">
        <f>VLOOKUP($N$2,角色品星!$C$16:$D$20,2,0)*VLOOKUP($N$3,角色品星!$C$3:$E$14,3,0)*V44</f>
        <v>305.04152770498098</v>
      </c>
      <c r="O44" s="6">
        <f>VLOOKUP($N$2,角色品星!$C$16:$D$20,2,0)*VLOOKUP($N$3,角色品星!$C$3:$E$14,3,0)*W44</f>
        <v>8735.8180751337513</v>
      </c>
      <c r="P44" s="6">
        <f>VLOOKUP($N$2,角色品星!$C$16:$D$20,2,0)*VLOOKUP($N$3,角色品星!$C$3:$E$14,3,0)*X44</f>
        <v>3042.2808363110098</v>
      </c>
      <c r="Q44" s="24">
        <f t="shared" si="3"/>
        <v>0.05</v>
      </c>
      <c r="R44" s="24">
        <f t="shared" si="4"/>
        <v>1.5</v>
      </c>
      <c r="S44" s="24">
        <f t="shared" si="5"/>
        <v>0.9</v>
      </c>
      <c r="T44" s="42">
        <f>N44*(1+Q44*(R44-1))*S44*战斗公式!$E$39+(P44*战斗公式!$E$40+1)*O44*战斗公式!$E$41</f>
        <v>16036.606427024664</v>
      </c>
      <c r="U44" s="42">
        <f t="shared" si="6"/>
        <v>791.04101453031035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320.29360409023002</v>
      </c>
      <c r="O45" s="6">
        <f>VLOOKUP($N$2,角色品星!$C$16:$D$20,2,0)*VLOOKUP($N$3,角色品星!$C$3:$E$14,3,0)*W45</f>
        <v>9148.6327415106207</v>
      </c>
      <c r="P45" s="6">
        <f>VLOOKUP($N$2,角色品星!$C$16:$D$20,2,0)*VLOOKUP($N$3,角色品星!$C$3:$E$14,3,0)*X45</f>
        <v>3194.3948781265603</v>
      </c>
      <c r="Q45" s="24">
        <f t="shared" si="3"/>
        <v>0.05</v>
      </c>
      <c r="R45" s="24">
        <f t="shared" si="4"/>
        <v>1.5</v>
      </c>
      <c r="S45" s="24">
        <f t="shared" si="5"/>
        <v>0.9</v>
      </c>
      <c r="T45" s="42">
        <f>N45*(1+Q45*(R45-1))*S45*战斗公式!$E$39+(P45*战斗公式!$E$40+1)*O45*战斗公式!$E$41</f>
        <v>16827.647441554975</v>
      </c>
      <c r="U45" s="42">
        <f t="shared" si="6"/>
        <v>829.55072715270944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2.8561253605883352</v>
      </c>
      <c r="M46" s="1">
        <v>42</v>
      </c>
      <c r="N46" s="6">
        <f>VLOOKUP($N$2,角色品星!$C$16:$D$20,2,0)*VLOOKUP($N$3,角色品星!$C$3:$E$14,3,0)*V46</f>
        <v>336.30828429474144</v>
      </c>
      <c r="O46" s="6">
        <f>VLOOKUP($N$2,角色品星!$C$16:$D$20,2,0)*VLOOKUP($N$3,角色品星!$C$3:$E$14,3,0)*W46</f>
        <v>9579.7718343082888</v>
      </c>
      <c r="P46" s="6">
        <f>VLOOKUP($N$2,角色品星!$C$16:$D$20,2,0)*VLOOKUP($N$3,角色品星!$C$3:$E$14,3,0)*X46</f>
        <v>3354.1146220328878</v>
      </c>
      <c r="Q46" s="24">
        <f t="shared" si="3"/>
        <v>0.05</v>
      </c>
      <c r="R46" s="24">
        <f t="shared" si="4"/>
        <v>1.5</v>
      </c>
      <c r="S46" s="24">
        <f t="shared" si="5"/>
        <v>0.9</v>
      </c>
      <c r="T46" s="42">
        <f>N46*(1+Q46*(R46-1))*S46*战斗公式!$E$39+(P46*战斗公式!$E$40+1)*O46*战斗公式!$E$41</f>
        <v>17657.198168707684</v>
      </c>
      <c r="U46" s="42">
        <f t="shared" si="6"/>
        <v>869.88850234327037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353.12369850947863</v>
      </c>
      <c r="O47" s="6">
        <f>VLOOKUP($N$2,角色品星!$C$16:$D$20,2,0)*VLOOKUP($N$3,角色品星!$C$3:$E$14,3,0)*W47</f>
        <v>10029.935079152337</v>
      </c>
      <c r="P47" s="6">
        <f>VLOOKUP($N$2,角色品星!$C$16:$D$20,2,0)*VLOOKUP($N$3,角色品星!$C$3:$E$14,3,0)*X47</f>
        <v>3521.8203531345325</v>
      </c>
      <c r="Q47" s="24">
        <f t="shared" si="3"/>
        <v>0.05</v>
      </c>
      <c r="R47" s="24">
        <f t="shared" si="4"/>
        <v>1.5</v>
      </c>
      <c r="S47" s="24">
        <f t="shared" si="5"/>
        <v>0.9</v>
      </c>
      <c r="T47" s="42">
        <f>N47*(1+Q47*(R47-1))*S47*战斗公式!$E$39+(P47*战斗公式!$E$40+1)*O47*战斗公式!$E$41</f>
        <v>18527.086671050954</v>
      </c>
      <c r="U47" s="42">
        <f t="shared" si="6"/>
        <v>912.13711989869262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370.77988343495258</v>
      </c>
      <c r="O48" s="6">
        <f>VLOOKUP($N$2,角色品星!$C$16:$D$20,2,0)*VLOOKUP($N$3,角色品星!$C$3:$E$14,3,0)*W48</f>
        <v>10499.838024990275</v>
      </c>
      <c r="P48" s="6">
        <f>VLOOKUP($N$2,角色品星!$C$16:$D$20,2,0)*VLOOKUP($N$3,角色品星!$C$3:$E$14,3,0)*X48</f>
        <v>3697.9113707912593</v>
      </c>
      <c r="Q48" s="24">
        <f t="shared" si="3"/>
        <v>0.05</v>
      </c>
      <c r="R48" s="24">
        <f t="shared" si="4"/>
        <v>1.5</v>
      </c>
      <c r="S48" s="24">
        <f t="shared" si="5"/>
        <v>0.9</v>
      </c>
      <c r="T48" s="42">
        <f>N48*(1+Q48*(R48-1))*S48*战斗公式!$E$39+(P48*战斗公式!$E$40+1)*O48*战斗公式!$E$41</f>
        <v>19439.223790949647</v>
      </c>
      <c r="U48" s="42">
        <f t="shared" si="6"/>
        <v>956.38280535608646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2.83048100676297</v>
      </c>
      <c r="M49" s="1">
        <v>45</v>
      </c>
      <c r="N49" s="6">
        <f>VLOOKUP($N$2,角色品星!$C$16:$D$20,2,0)*VLOOKUP($N$3,角色品星!$C$3:$E$14,3,0)*V49</f>
        <v>389.3188776067002</v>
      </c>
      <c r="O49" s="6">
        <f>VLOOKUP($N$2,角色品星!$C$16:$D$20,2,0)*VLOOKUP($N$3,角色品星!$C$3:$E$14,3,0)*W49</f>
        <v>10990.211294703349</v>
      </c>
      <c r="P49" s="6">
        <f>VLOOKUP($N$2,角色品星!$C$16:$D$20,2,0)*VLOOKUP($N$3,角色品星!$C$3:$E$14,3,0)*X49</f>
        <v>3882.8069393308215</v>
      </c>
      <c r="Q49" s="24">
        <f t="shared" si="3"/>
        <v>0.05</v>
      </c>
      <c r="R49" s="24">
        <f t="shared" si="4"/>
        <v>1.5</v>
      </c>
      <c r="S49" s="24">
        <f t="shared" si="5"/>
        <v>0.9</v>
      </c>
      <c r="T49" s="42">
        <f>N49*(1+Q49*(R49-1))*S49*战斗公式!$E$39+(P49*战斗公式!$E$40+1)*O49*战斗公式!$E$41</f>
        <v>20395.606596305734</v>
      </c>
      <c r="U49" s="42">
        <f t="shared" si="6"/>
        <v>1002.7153566088273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408.78482148703517</v>
      </c>
      <c r="O50" s="6">
        <f>VLOOKUP($N$2,角色品星!$C$16:$D$20,2,0)*VLOOKUP($N$3,角色品星!$C$3:$E$14,3,0)*W50</f>
        <v>11501.7996967575</v>
      </c>
      <c r="P50" s="6">
        <f>VLOOKUP($N$2,角色品星!$C$16:$D$20,2,0)*VLOOKUP($N$3,角色品星!$C$3:$E$14,3,0)*X50</f>
        <v>4076.9472862973639</v>
      </c>
      <c r="Q50" s="24">
        <f t="shared" si="3"/>
        <v>0.05</v>
      </c>
      <c r="R50" s="24">
        <f t="shared" si="4"/>
        <v>1.5</v>
      </c>
      <c r="S50" s="24">
        <f t="shared" si="5"/>
        <v>0.9</v>
      </c>
      <c r="T50" s="42">
        <f>N50*(1+Q50*(R50-1))*S50*战斗公式!$E$39+(P50*战斗公式!$E$40+1)*O50*战斗公式!$E$41</f>
        <v>21398.321952914561</v>
      </c>
      <c r="U50" s="42">
        <f t="shared" si="6"/>
        <v>1051.2282753020736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2.8114782814394239</v>
      </c>
      <c r="M51" s="1">
        <v>47</v>
      </c>
      <c r="N51" s="6">
        <f>VLOOKUP($N$2,角色品星!$C$16:$D$20,2,0)*VLOOKUP($N$3,角色品星!$C$3:$E$14,3,0)*V51</f>
        <v>429.22406256138697</v>
      </c>
      <c r="O51" s="6">
        <f>VLOOKUP($N$2,角色品星!$C$16:$D$20,2,0)*VLOOKUP($N$3,角色品星!$C$3:$E$14,3,0)*W51</f>
        <v>12035.361187498354</v>
      </c>
      <c r="P51" s="6">
        <f>VLOOKUP($N$2,角色品星!$C$16:$D$20,2,0)*VLOOKUP($N$3,角色品星!$C$3:$E$14,3,0)*X51</f>
        <v>4280.7946506122307</v>
      </c>
      <c r="Q51" s="24">
        <f t="shared" si="3"/>
        <v>0.05</v>
      </c>
      <c r="R51" s="24">
        <f t="shared" si="4"/>
        <v>1.5</v>
      </c>
      <c r="S51" s="24">
        <f t="shared" si="5"/>
        <v>0.9</v>
      </c>
      <c r="T51" s="42">
        <f>N51*(1+Q51*(R51-1))*S51*战斗公式!$E$39+(P51*战斗公式!$E$40+1)*O51*战斗公式!$E$41</f>
        <v>22449.550228216634</v>
      </c>
      <c r="U51" s="42">
        <f t="shared" si="6"/>
        <v>1102.0189034257855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2.8013636544198812</v>
      </c>
      <c r="M52" s="1">
        <v>48</v>
      </c>
      <c r="N52" s="6">
        <f>VLOOKUP($N$2,角色品星!$C$16:$D$20,2,0)*VLOOKUP($N$3,角色品星!$C$3:$E$14,3,0)*V52</f>
        <v>450.68526568945634</v>
      </c>
      <c r="O52" s="6">
        <f>VLOOKUP($N$2,角色品星!$C$16:$D$20,2,0)*VLOOKUP($N$3,角色品星!$C$3:$E$14,3,0)*W52</f>
        <v>12591.665673573172</v>
      </c>
      <c r="P52" s="6">
        <f>VLOOKUP($N$2,角色品星!$C$16:$D$20,2,0)*VLOOKUP($N$3,角色品星!$C$3:$E$14,3,0)*X52</f>
        <v>4494.8343831428447</v>
      </c>
      <c r="Q52" s="24">
        <f t="shared" si="3"/>
        <v>0.05</v>
      </c>
      <c r="R52" s="24">
        <f t="shared" si="4"/>
        <v>1.5</v>
      </c>
      <c r="S52" s="24">
        <f t="shared" si="5"/>
        <v>0.9</v>
      </c>
      <c r="T52" s="42">
        <f>N52*(1+Q52*(R52-1))*S52*战斗公式!$E$39+(P52*战斗公式!$E$40+1)*O52*战斗公式!$E$41</f>
        <v>23551.56913164242</v>
      </c>
      <c r="U52" s="42">
        <f t="shared" si="6"/>
        <v>1155.1885655900041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2.790821327686011</v>
      </c>
      <c r="M53" s="1">
        <v>49</v>
      </c>
      <c r="N53" s="6">
        <f>VLOOKUP($N$2,角色品星!$C$16:$D$20,2,0)*VLOOKUP($N$3,角色品星!$C$3:$E$14,3,0)*V53</f>
        <v>473.21952897392924</v>
      </c>
      <c r="O53" s="6">
        <f>VLOOKUP($N$2,角色品星!$C$16:$D$20,2,0)*VLOOKUP($N$3,角色品星!$C$3:$E$14,3,0)*W53</f>
        <v>13171.493643936015</v>
      </c>
      <c r="P53" s="6">
        <f>VLOOKUP($N$2,角色品星!$C$16:$D$20,2,0)*VLOOKUP($N$3,角色品星!$C$3:$E$14,3,0)*X53</f>
        <v>4719.5761022999859</v>
      </c>
      <c r="Q53" s="24">
        <f t="shared" si="3"/>
        <v>0.05</v>
      </c>
      <c r="R53" s="24">
        <f t="shared" si="4"/>
        <v>1.5</v>
      </c>
      <c r="S53" s="24">
        <f t="shared" si="5"/>
        <v>0.9</v>
      </c>
      <c r="T53" s="42">
        <f>N53*(1+Q53*(R53-1))*S53*战斗公式!$E$39+(P53*战斗公式!$E$40+1)*O53*战斗公式!$E$41</f>
        <v>24706.757697232424</v>
      </c>
      <c r="U53" s="42">
        <f t="shared" si="6"/>
        <v>1210.8427175416873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496.88050542262567</v>
      </c>
      <c r="O54" s="6">
        <f>VLOOKUP($N$2,角色品星!$C$16:$D$20,2,0)*VLOOKUP($N$3,角色品星!$C$3:$E$14,3,0)*W54</f>
        <v>13775.634620977406</v>
      </c>
      <c r="P54" s="6">
        <f>VLOOKUP($N$2,角色品星!$C$16:$D$20,2,0)*VLOOKUP($N$3,角色品星!$C$3:$E$14,3,0)*X54</f>
        <v>4955.5549074149849</v>
      </c>
      <c r="Q54" s="24">
        <f t="shared" si="3"/>
        <v>0.05</v>
      </c>
      <c r="R54" s="24">
        <f t="shared" si="4"/>
        <v>1.5</v>
      </c>
      <c r="S54" s="24">
        <f t="shared" si="5"/>
        <v>0.9</v>
      </c>
      <c r="T54" s="42">
        <f>N54*(1+Q54*(R54-1))*S54*战斗公式!$E$39+(P54*战斗公式!$E$40+1)*O54*战斗公式!$E$41</f>
        <v>25917.600414774111</v>
      </c>
      <c r="U54" s="42">
        <f t="shared" si="6"/>
        <v>1269.0911015668098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521.72453069375695</v>
      </c>
      <c r="O55" s="6">
        <f>VLOOKUP($N$2,角色品星!$C$16:$D$20,2,0)*VLOOKUP($N$3,角色品星!$C$3:$E$14,3,0)*W55</f>
        <v>14404.885420533179</v>
      </c>
      <c r="P55" s="6">
        <f>VLOOKUP($N$2,角色品星!$C$16:$D$20,2,0)*VLOOKUP($N$3,角色品星!$C$3:$E$14,3,0)*X55</f>
        <v>5203.3326527857344</v>
      </c>
      <c r="Q55" s="24">
        <f t="shared" si="3"/>
        <v>0.05</v>
      </c>
      <c r="R55" s="24">
        <f t="shared" si="4"/>
        <v>1.5</v>
      </c>
      <c r="S55" s="24">
        <f t="shared" si="5"/>
        <v>0.9</v>
      </c>
      <c r="T55" s="42">
        <f>N55*(1+Q55*(R55-1))*S55*战斗公式!$E$39+(P55*战斗公式!$E$40+1)*O55*战斗公式!$E$41</f>
        <v>27186.691516340921</v>
      </c>
      <c r="U55" s="42">
        <f t="shared" si="6"/>
        <v>1330.0479095148039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547.8107572284448</v>
      </c>
      <c r="O56" s="6">
        <f>VLOOKUP($N$2,角色品星!$C$16:$D$20,2,0)*VLOOKUP($N$3,角色品星!$C$3:$E$14,3,0)*W56</f>
        <v>15060.048210888177</v>
      </c>
      <c r="P56" s="6">
        <f>VLOOKUP($N$2,角色品星!$C$16:$D$20,2,0)*VLOOKUP($N$3,角色品星!$C$3:$E$14,3,0)*X56</f>
        <v>5463.4992854250213</v>
      </c>
      <c r="Q56" s="24">
        <f t="shared" si="3"/>
        <v>0.05</v>
      </c>
      <c r="R56" s="24">
        <f t="shared" si="4"/>
        <v>1.5</v>
      </c>
      <c r="S56" s="24">
        <f t="shared" si="5"/>
        <v>0.9</v>
      </c>
      <c r="T56" s="42">
        <f>N56*(1+Q56*(R56-1))*S56*战斗公式!$E$39+(P56*战斗公式!$E$40+1)*O56*战斗公式!$E$41</f>
        <v>28516.739425855725</v>
      </c>
      <c r="U56" s="42">
        <f t="shared" si="6"/>
        <v>1393.8319542853205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575.20129508986702</v>
      </c>
      <c r="O57" s="6">
        <f>VLOOKUP($N$2,角色品星!$C$16:$D$20,2,0)*VLOOKUP($N$3,角色品星!$C$3:$E$14,3,0)*W57</f>
        <v>15741.928361416001</v>
      </c>
      <c r="P57" s="6">
        <f>VLOOKUP($N$2,角色品星!$C$16:$D$20,2,0)*VLOOKUP($N$3,角色品星!$C$3:$E$14,3,0)*X57</f>
        <v>5736.6742496962725</v>
      </c>
      <c r="Q57" s="24">
        <f t="shared" si="3"/>
        <v>0.05</v>
      </c>
      <c r="R57" s="24">
        <f t="shared" si="4"/>
        <v>1.5</v>
      </c>
      <c r="S57" s="24">
        <f t="shared" si="5"/>
        <v>0.9</v>
      </c>
      <c r="T57" s="42">
        <f>N57*(1+Q57*(R57-1))*S57*战斗公式!$E$39+(P57*战斗公式!$E$40+1)*O57*战斗公式!$E$41</f>
        <v>29910.571380141046</v>
      </c>
      <c r="U57" s="42">
        <f t="shared" si="6"/>
        <v>1460.5668507314258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603.96135984436046</v>
      </c>
      <c r="O58" s="6">
        <f>VLOOKUP($N$2,角色品星!$C$16:$D$20,2,0)*VLOOKUP($N$3,角色品星!$C$3:$E$14,3,0)*W58</f>
        <v>16451.332072207631</v>
      </c>
      <c r="P58" s="6">
        <f>VLOOKUP($N$2,角色品星!$C$16:$D$20,2,0)*VLOOKUP($N$3,角色品星!$C$3:$E$14,3,0)*X58</f>
        <v>6023.5079621810855</v>
      </c>
      <c r="Q58" s="24">
        <f t="shared" si="3"/>
        <v>0.05</v>
      </c>
      <c r="R58" s="24">
        <f t="shared" si="4"/>
        <v>1.5</v>
      </c>
      <c r="S58" s="24">
        <f t="shared" si="5"/>
        <v>0.9</v>
      </c>
      <c r="T58" s="42">
        <f>N58*(1+Q58*(R58-1))*S58*战斗公式!$E$39+(P58*战斗公式!$E$40+1)*O58*战斗公式!$E$41</f>
        <v>31371.138230872471</v>
      </c>
      <c r="U58" s="42">
        <f t="shared" si="6"/>
        <v>1530.3812070559361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634.15942783657829</v>
      </c>
      <c r="O59" s="6">
        <f>VLOOKUP($N$2,角色品星!$C$16:$D$20,2,0)*VLOOKUP($N$3,角色品星!$C$3:$E$14,3,0)*W59</f>
        <v>17189.063776956496</v>
      </c>
      <c r="P59" s="6">
        <f>VLOOKUP($N$2,角色品星!$C$16:$D$20,2,0)*VLOOKUP($N$3,角色品星!$C$3:$E$14,3,0)*X59</f>
        <v>6324.6833602901397</v>
      </c>
      <c r="Q59" s="24">
        <f t="shared" si="3"/>
        <v>0.05</v>
      </c>
      <c r="R59" s="24">
        <f t="shared" si="4"/>
        <v>1.5</v>
      </c>
      <c r="S59" s="24">
        <f t="shared" si="5"/>
        <v>0.9</v>
      </c>
      <c r="T59" s="42">
        <f>N59*(1+Q59*(R59-1))*S59*战斗公式!$E$39+(P59*战斗公式!$E$40+1)*O59*战斗公式!$E$41</f>
        <v>32901.519437928408</v>
      </c>
      <c r="U59" s="42">
        <f t="shared" si="6"/>
        <v>1603.4088279123971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665.86739922840729</v>
      </c>
      <c r="O60" s="6">
        <f>VLOOKUP($N$2,角色品星!$C$16:$D$20,2,0)*VLOOKUP($N$3,角色品星!$C$3:$E$14,3,0)*W60</f>
        <v>17955.923312506482</v>
      </c>
      <c r="P60" s="6">
        <f>VLOOKUP($N$2,角色品星!$C$16:$D$20,2,0)*VLOOKUP($N$3,角色品星!$C$3:$E$14,3,0)*X60</f>
        <v>6640.9175283046479</v>
      </c>
      <c r="Q60" s="24">
        <f t="shared" si="3"/>
        <v>0.05</v>
      </c>
      <c r="R60" s="24">
        <f t="shared" si="4"/>
        <v>1.5</v>
      </c>
      <c r="S60" s="24">
        <f t="shared" si="5"/>
        <v>0.9</v>
      </c>
      <c r="T60" s="42">
        <f>N60*(1+Q60*(R60-1))*S60*战斗公式!$E$39+(P60*战斗公式!$E$40+1)*O60*战斗公式!$E$41</f>
        <v>34504.928265840805</v>
      </c>
      <c r="U60" s="42">
        <f t="shared" si="6"/>
        <v>1679.7889305650242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2.6893447966694017</v>
      </c>
      <c r="M61" s="1">
        <v>57</v>
      </c>
      <c r="N61" s="6">
        <f>VLOOKUP($N$2,角色品星!$C$16:$D$20,2,0)*VLOOKUP($N$3,角色品星!$C$3:$E$14,3,0)*V61</f>
        <v>699.16076918982753</v>
      </c>
      <c r="O61" s="6">
        <f>VLOOKUP($N$2,角色品星!$C$16:$D$20,2,0)*VLOOKUP($N$3,角色品星!$C$3:$E$14,3,0)*W61</f>
        <v>18752.70284984956</v>
      </c>
      <c r="P61" s="6">
        <f>VLOOKUP($N$2,角色品星!$C$16:$D$20,2,0)*VLOOKUP($N$3,角色品星!$C$3:$E$14,3,0)*X61</f>
        <v>6972.9634047198788</v>
      </c>
      <c r="Q61" s="24">
        <f t="shared" si="3"/>
        <v>0.05</v>
      </c>
      <c r="R61" s="24">
        <f t="shared" si="4"/>
        <v>1.5</v>
      </c>
      <c r="S61" s="24">
        <f t="shared" si="5"/>
        <v>0.9</v>
      </c>
      <c r="T61" s="42">
        <f>N61*(1+Q61*(R61-1))*S61*战斗公式!$E$39+(P61*战斗公式!$E$40+1)*O61*战斗公式!$E$41</f>
        <v>36184.717196405829</v>
      </c>
      <c r="U61" s="42">
        <f t="shared" si="6"/>
        <v>1759.6663756158378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734.11880764931891</v>
      </c>
      <c r="O62" s="6">
        <f>VLOOKUP($N$2,角色品星!$C$16:$D$20,2,0)*VLOOKUP($N$3,角色品星!$C$3:$E$14,3,0)*W62</f>
        <v>19580.183582998798</v>
      </c>
      <c r="P62" s="6">
        <f>VLOOKUP($N$2,角色品星!$C$16:$D$20,2,0)*VLOOKUP($N$3,角色品星!$C$3:$E$14,3,0)*X62</f>
        <v>7321.6115749558749</v>
      </c>
      <c r="Q62" s="24">
        <f t="shared" si="3"/>
        <v>0.05</v>
      </c>
      <c r="R62" s="24">
        <f t="shared" si="4"/>
        <v>1.5</v>
      </c>
      <c r="S62" s="24">
        <f t="shared" si="5"/>
        <v>0.9</v>
      </c>
      <c r="T62" s="42">
        <f>N62*(1+Q62*(R62-1))*S62*战斗公式!$E$39+(P62*战斗公式!$E$40+1)*O62*战斗公式!$E$41</f>
        <v>37944.383572021667</v>
      </c>
      <c r="U62" s="42">
        <f t="shared" si="6"/>
        <v>1843.1919139679303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770.82474803178502</v>
      </c>
      <c r="O63" s="6">
        <f>VLOOKUP($N$2,角色品星!$C$16:$D$20,2,0)*VLOOKUP($N$3,角色品星!$C$3:$E$14,3,0)*W63</f>
        <v>20439.132174075072</v>
      </c>
      <c r="P63" s="6">
        <f>VLOOKUP($N$2,角色品星!$C$16:$D$20,2,0)*VLOOKUP($N$3,角色品星!$C$3:$E$14,3,0)*X63</f>
        <v>7687.6921537036687</v>
      </c>
      <c r="Q63" s="24">
        <f t="shared" si="3"/>
        <v>0.05</v>
      </c>
      <c r="R63" s="24">
        <f t="shared" si="4"/>
        <v>1.5</v>
      </c>
      <c r="S63" s="24">
        <f t="shared" si="5"/>
        <v>0.9</v>
      </c>
      <c r="T63" s="42">
        <f>N63*(1+Q63*(R63-1))*S63*战斗公式!$E$39+(P63*战斗公式!$E$40+1)*O63*战斗公式!$E$41</f>
        <v>39787.575485989597</v>
      </c>
      <c r="U63" s="42">
        <f t="shared" si="6"/>
        <v>1930.5224518643954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809.36598543337436</v>
      </c>
      <c r="O64" s="6">
        <f>VLOOKUP($N$2,角色品星!$C$16:$D$20,2,0)*VLOOKUP($N$3,角色品星!$C$3:$E$14,3,0)*W64</f>
        <v>21330.296955145281</v>
      </c>
      <c r="P64" s="6">
        <f>VLOOKUP($N$2,角色品星!$C$16:$D$20,2,0)*VLOOKUP($N$3,角色品星!$C$3:$E$14,3,0)*X64</f>
        <v>8072.076761388852</v>
      </c>
      <c r="Q64" s="24">
        <f t="shared" si="3"/>
        <v>0.05</v>
      </c>
      <c r="R64" s="24">
        <f t="shared" si="4"/>
        <v>1.5</v>
      </c>
      <c r="S64" s="24">
        <f t="shared" si="5"/>
        <v>0.9</v>
      </c>
      <c r="T64" s="42">
        <f>N64*(1+Q64*(R64-1))*S64*战斗公式!$E$39+(P64*战斗公式!$E$40+1)*O64*战斗公式!$E$41</f>
        <v>41718.097937853992</v>
      </c>
      <c r="U64" s="42">
        <f t="shared" si="6"/>
        <v>2021.8213360161171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849.83428470504282</v>
      </c>
      <c r="O65" s="6">
        <f>VLOOKUP($N$2,角色品星!$C$16:$D$20,2,0)*VLOOKUP($N$3,角色品星!$C$3:$E$14,3,0)*W65</f>
        <v>22254.40388984351</v>
      </c>
      <c r="P65" s="6">
        <f>VLOOKUP($N$2,角色品星!$C$16:$D$20,2,0)*VLOOKUP($N$3,角色品星!$C$3:$E$14,3,0)*X65</f>
        <v>8475.6805994582937</v>
      </c>
      <c r="Q65" s="24">
        <f t="shared" si="3"/>
        <v>0.05</v>
      </c>
      <c r="R65" s="24">
        <f t="shared" si="4"/>
        <v>1.5</v>
      </c>
      <c r="S65" s="24">
        <f t="shared" si="5"/>
        <v>0.9</v>
      </c>
      <c r="T65" s="42">
        <f>N65*(1+Q65*(R65-1))*S65*战斗公式!$E$39+(P65*战斗公式!$E$40+1)*O65*战斗公式!$E$41</f>
        <v>43739.919273870109</v>
      </c>
      <c r="U65" s="42">
        <f t="shared" si="6"/>
        <v>2117.2586610127619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892.32599894029522</v>
      </c>
      <c r="O66" s="6">
        <f>VLOOKUP($N$2,角色品星!$C$16:$D$20,2,0)*VLOOKUP($N$3,角色品星!$C$3:$E$14,3,0)*W66</f>
        <v>23212.152300600654</v>
      </c>
      <c r="P66" s="6">
        <f>VLOOKUP($N$2,角色品星!$C$16:$D$20,2,0)*VLOOKUP($N$3,角色品星!$C$3:$E$14,3,0)*X66</f>
        <v>8899.4646294312097</v>
      </c>
      <c r="Q66" s="24">
        <f t="shared" si="3"/>
        <v>0.05</v>
      </c>
      <c r="R66" s="24">
        <f t="shared" si="4"/>
        <v>1.5</v>
      </c>
      <c r="S66" s="24">
        <f t="shared" si="5"/>
        <v>0.9</v>
      </c>
      <c r="T66" s="42">
        <f>N66*(1+Q66*(R66-1))*S66*战斗公式!$E$39+(P66*战斗公式!$E$40+1)*O66*战斗公式!$E$41</f>
        <v>45857.177934882871</v>
      </c>
      <c r="U66" s="42">
        <f t="shared" si="6"/>
        <v>2217.0116013905936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936.94229888730956</v>
      </c>
      <c r="O67" s="6">
        <f>VLOOKUP($N$2,角色品星!$C$16:$D$20,2,0)*VLOOKUP($N$3,角色品星!$C$3:$E$14,3,0)*W67</f>
        <v>24204.210370400619</v>
      </c>
      <c r="P67" s="6">
        <f>VLOOKUP($N$2,角色品星!$C$16:$D$20,2,0)*VLOOKUP($N$3,角色品星!$C$3:$E$14,3,0)*X67</f>
        <v>9344.4378609027663</v>
      </c>
      <c r="Q67" s="24">
        <f t="shared" si="3"/>
        <v>0.05</v>
      </c>
      <c r="R67" s="24">
        <f t="shared" si="4"/>
        <v>1.5</v>
      </c>
      <c r="S67" s="24">
        <f t="shared" si="5"/>
        <v>0.9</v>
      </c>
      <c r="T67" s="42">
        <f>N67*(1+Q67*(R67-1))*S67*战斗公式!$E$39+(P67*战斗公式!$E$40+1)*O67*战斗公式!$E$41</f>
        <v>48074.189536273465</v>
      </c>
      <c r="U67" s="42">
        <f t="shared" si="6"/>
        <v>2321.264770914313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2.5715537497327308</v>
      </c>
      <c r="M68" s="1">
        <v>64</v>
      </c>
      <c r="N68" s="6">
        <f>VLOOKUP($N$2,角色品星!$C$16:$D$20,2,0)*VLOOKUP($N$3,角色品星!$C$3:$E$14,3,0)*V68</f>
        <v>983.78941383167546</v>
      </c>
      <c r="O68" s="6">
        <f>VLOOKUP($N$2,角色品星!$C$16:$D$20,2,0)*VLOOKUP($N$3,角色品星!$C$3:$E$14,3,0)*W68</f>
        <v>25231.210431366471</v>
      </c>
      <c r="P68" s="6">
        <f>VLOOKUP($N$2,角色品星!$C$16:$D$20,2,0)*VLOOKUP($N$3,角色品星!$C$3:$E$14,3,0)*X68</f>
        <v>9811.6597539479098</v>
      </c>
      <c r="Q68" s="24">
        <f t="shared" si="3"/>
        <v>0.05</v>
      </c>
      <c r="R68" s="24">
        <f t="shared" si="4"/>
        <v>1.5</v>
      </c>
      <c r="S68" s="24">
        <f t="shared" si="5"/>
        <v>0.9</v>
      </c>
      <c r="T68" s="42">
        <f>N68*(1+Q68*(R68-1))*S68*战斗公式!$E$39+(P68*战斗公式!$E$40+1)*O68*战斗公式!$E$41</f>
        <v>50395.454307187778</v>
      </c>
      <c r="U68" s="42">
        <f t="shared" si="6"/>
        <v>2430.2106118026713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1032.9788845232595</v>
      </c>
      <c r="O69" s="6">
        <f>VLOOKUP($N$2,角色品星!$C$16:$D$20,2,0)*VLOOKUP($N$3,角色品星!$C$3:$E$14,3,0)*W69</f>
        <v>26293.744056142084</v>
      </c>
      <c r="P69" s="6">
        <f>VLOOKUP($N$2,角色品星!$C$16:$D$20,2,0)*VLOOKUP($N$3,角色品星!$C$3:$E$14,3,0)*X69</f>
        <v>10302.242741645305</v>
      </c>
      <c r="Q69" s="24">
        <f t="shared" si="3"/>
        <v>0.05</v>
      </c>
      <c r="R69" s="24">
        <f t="shared" si="4"/>
        <v>1.5</v>
      </c>
      <c r="S69" s="24">
        <f t="shared" si="5"/>
        <v>0.9</v>
      </c>
      <c r="T69" s="42">
        <f>N69*(1+Q69*(R69-1))*S69*战斗公式!$E$39+(P69*战斗公式!$E$40+1)*O69*战斗公式!$E$41</f>
        <v>52825.664918990449</v>
      </c>
      <c r="U69" s="42">
        <f t="shared" si="6"/>
        <v>2544.0498168019913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2.5322601762674908</v>
      </c>
      <c r="M70" s="1">
        <v>66</v>
      </c>
      <c r="N70" s="6">
        <f>VLOOKUP($N$2,角色品星!$C$16:$D$20,2,0)*VLOOKUP($N$3,角色品星!$C$3:$E$14,3,0)*V70</f>
        <v>1084.6278287494224</v>
      </c>
      <c r="O70" s="6">
        <f>VLOOKUP($N$2,角色品星!$C$16:$D$20,2,0)*VLOOKUP($N$3,角色品星!$C$3:$E$14,3,0)*W70</f>
        <v>27392.356971954679</v>
      </c>
      <c r="P70" s="6">
        <f>VLOOKUP($N$2,角色品星!$C$16:$D$20,2,0)*VLOOKUP($N$3,角色品星!$C$3:$E$14,3,0)*X70</f>
        <v>10817.35487872757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0.9</v>
      </c>
      <c r="T70" s="42">
        <f>N70*(1+Q70*(R70-1))*S70*战斗公式!$E$39+(P70*战斗公式!$E$40+1)*O70*战斗公式!$E$41</f>
        <v>55369.71473579244</v>
      </c>
      <c r="U70" s="42">
        <f t="shared" ref="U70:U104" si="13">T71-T70</f>
        <v>2662.9917871646758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1138.8592201868935</v>
      </c>
      <c r="O71" s="6">
        <f>VLOOKUP($N$2,角色品星!$C$16:$D$20,2,0)*VLOOKUP($N$3,角色品星!$C$3:$E$14,3,0)*W71</f>
        <v>28527.543821385872</v>
      </c>
      <c r="P71" s="6">
        <f>VLOOKUP($N$2,角色品星!$C$16:$D$20,2,0)*VLOOKUP($N$3,角色品星!$C$3:$E$14,3,0)*X71</f>
        <v>11358.222622663949</v>
      </c>
      <c r="Q71" s="24">
        <f t="shared" si="10"/>
        <v>0.05</v>
      </c>
      <c r="R71" s="24">
        <f t="shared" si="11"/>
        <v>1.5</v>
      </c>
      <c r="S71" s="24">
        <f t="shared" si="12"/>
        <v>0.9</v>
      </c>
      <c r="T71" s="42">
        <f>N71*(1+Q71*(R71-1))*S71*战斗公式!$E$39+(P71*战斗公式!$E$40+1)*O71*战斗公式!$E$41</f>
        <v>58032.706522957116</v>
      </c>
      <c r="U71" s="42">
        <f t="shared" si="13"/>
        <v>2787.2551297362807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2.4903077066992618</v>
      </c>
      <c r="M72" s="1">
        <v>68</v>
      </c>
      <c r="N72" s="6">
        <f>VLOOKUP($N$2,角色品星!$C$16:$D$20,2,0)*VLOOKUP($N$3,角色品星!$C$3:$E$14,3,0)*V72</f>
        <v>1195.8021811962381</v>
      </c>
      <c r="O72" s="6">
        <f>VLOOKUP($N$2,角色品星!$C$16:$D$20,2,0)*VLOOKUP($N$3,角色品星!$C$3:$E$14,3,0)*W72</f>
        <v>29699.742798207237</v>
      </c>
      <c r="P72" s="6">
        <f>VLOOKUP($N$2,角色品星!$C$16:$D$20,2,0)*VLOOKUP($N$3,角色品星!$C$3:$E$14,3,0)*X72</f>
        <v>11926.133753797149</v>
      </c>
      <c r="Q72" s="24">
        <f t="shared" si="10"/>
        <v>0.05</v>
      </c>
      <c r="R72" s="24">
        <f t="shared" si="11"/>
        <v>1.5</v>
      </c>
      <c r="S72" s="24">
        <f t="shared" si="12"/>
        <v>0.9</v>
      </c>
      <c r="T72" s="42">
        <f>N72*(1+Q72*(R72-1))*S72*战斗公式!$E$39+(P72*战斗公式!$E$40+1)*O72*战斗公式!$E$41</f>
        <v>60819.961652693397</v>
      </c>
      <c r="U72" s="42">
        <f t="shared" si="13"/>
        <v>2917.0681964747273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1255.5922902560503</v>
      </c>
      <c r="O73" s="6">
        <f>VLOOKUP($N$2,角色品星!$C$16:$D$20,2,0)*VLOOKUP($N$3,角色品星!$C$3:$E$14,3,0)*W73</f>
        <v>30909.330191095472</v>
      </c>
      <c r="P73" s="6">
        <f>VLOOKUP($N$2,角色品星!$C$16:$D$20,2,0)*VLOOKUP($N$3,角色品星!$C$3:$E$14,3,0)*X73</f>
        <v>12522.440441487004</v>
      </c>
      <c r="Q73" s="24">
        <f t="shared" si="10"/>
        <v>0.05</v>
      </c>
      <c r="R73" s="24">
        <f t="shared" si="11"/>
        <v>1.5</v>
      </c>
      <c r="S73" s="24">
        <f t="shared" si="12"/>
        <v>0.9</v>
      </c>
      <c r="T73" s="42">
        <f>N73*(1+Q73*(R73-1))*S73*战斗公式!$E$39+(P73*战斗公式!$E$40+1)*O73*战斗公式!$E$41</f>
        <v>63737.029849168124</v>
      </c>
      <c r="U73" s="42">
        <f t="shared" si="13"/>
        <v>3052.6696698236119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1318.3719047688523</v>
      </c>
      <c r="O74" s="6">
        <f>VLOOKUP($N$2,角色品星!$C$16:$D$20,2,0)*VLOOKUP($N$3,角色品星!$C$3:$E$14,3,0)*W74</f>
        <v>32156.614872572973</v>
      </c>
      <c r="P74" s="6">
        <f>VLOOKUP($N$2,角色品星!$C$16:$D$20,2,0)*VLOOKUP($N$3,角色品星!$C$3:$E$14,3,0)*X74</f>
        <v>13148.562463561353</v>
      </c>
      <c r="Q74" s="24">
        <f t="shared" si="10"/>
        <v>0.05</v>
      </c>
      <c r="R74" s="24">
        <f t="shared" si="11"/>
        <v>1.5</v>
      </c>
      <c r="S74" s="24">
        <f t="shared" si="12"/>
        <v>0.9</v>
      </c>
      <c r="T74" s="42">
        <f>N74*(1+Q74*(R74-1))*S74*战斗公式!$E$39+(P74*战斗公式!$E$40+1)*O74*战斗公式!$E$41</f>
        <v>66789.699518991736</v>
      </c>
      <c r="U74" s="42">
        <f t="shared" si="13"/>
        <v>3194.3091974302806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1384.2905000072951</v>
      </c>
      <c r="O75" s="6">
        <f>VLOOKUP($N$2,角色品星!$C$16:$D$20,2,0)*VLOOKUP($N$3,角色品星!$C$3:$E$14,3,0)*W75</f>
        <v>33441.832775047573</v>
      </c>
      <c r="P75" s="6">
        <f>VLOOKUP($N$2,角色品星!$C$16:$D$20,2,0)*VLOOKUP($N$3,角色品星!$C$3:$E$14,3,0)*X75</f>
        <v>13805.990586739421</v>
      </c>
      <c r="Q75" s="24">
        <f t="shared" si="10"/>
        <v>0.05</v>
      </c>
      <c r="R75" s="24">
        <f t="shared" si="11"/>
        <v>1.5</v>
      </c>
      <c r="S75" s="24">
        <f t="shared" si="12"/>
        <v>0.9</v>
      </c>
      <c r="T75" s="42">
        <f>N75*(1+Q75*(R75-1))*S75*战斗公式!$E$39+(P75*战斗公式!$E$40+1)*O75*战斗公式!$E$41</f>
        <v>69984.008716422017</v>
      </c>
      <c r="U75" s="42">
        <f t="shared" si="13"/>
        <v>3342.2480797314493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1453.5050250076599</v>
      </c>
      <c r="O76" s="6">
        <f>VLOOKUP($N$2,角色品星!$C$16:$D$20,2,0)*VLOOKUP($N$3,角色品星!$C$3:$E$14,3,0)*W76</f>
        <v>34765.141400267363</v>
      </c>
      <c r="P76" s="6">
        <f>VLOOKUP($N$2,角色品星!$C$16:$D$20,2,0)*VLOOKUP($N$3,角色品星!$C$3:$E$14,3,0)*X76</f>
        <v>14496.290116076394</v>
      </c>
      <c r="Q76" s="24">
        <f t="shared" si="10"/>
        <v>0.05</v>
      </c>
      <c r="R76" s="24">
        <f t="shared" si="11"/>
        <v>1.5</v>
      </c>
      <c r="S76" s="24">
        <f t="shared" si="12"/>
        <v>0.9</v>
      </c>
      <c r="T76" s="42">
        <f>N76*(1+Q76*(R76-1))*S76*战斗公式!$E$39+(P76*战斗公式!$E$40+1)*O76*战斗公式!$E$41</f>
        <v>73326.256796153466</v>
      </c>
      <c r="U76" s="42">
        <f t="shared" si="13"/>
        <v>3496.7600139273272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2.3734554955254148</v>
      </c>
      <c r="M77" s="1">
        <v>73</v>
      </c>
      <c r="N77" s="6">
        <f>VLOOKUP($N$2,角色品星!$C$16:$D$20,2,0)*VLOOKUP($N$3,角色品星!$C$3:$E$14,3,0)*V77</f>
        <v>1526.1802762580428</v>
      </c>
      <c r="O77" s="6">
        <f>VLOOKUP($N$2,角色品星!$C$16:$D$20,2,0)*VLOOKUP($N$3,角色品星!$C$3:$E$14,3,0)*W77</f>
        <v>36126.614412768875</v>
      </c>
      <c r="P77" s="6">
        <f>VLOOKUP($N$2,角色品星!$C$16:$D$20,2,0)*VLOOKUP($N$3,角色品星!$C$3:$E$14,3,0)*X77</f>
        <v>15221.104621880211</v>
      </c>
      <c r="Q77" s="24">
        <f t="shared" si="10"/>
        <v>0.05</v>
      </c>
      <c r="R77" s="24">
        <f t="shared" si="11"/>
        <v>1.5</v>
      </c>
      <c r="S77" s="24">
        <f t="shared" si="12"/>
        <v>0.9</v>
      </c>
      <c r="T77" s="42">
        <f>N77*(1+Q77*(R77-1))*S77*战斗公式!$E$39+(P77*战斗公式!$E$40+1)*O77*战斗公式!$E$41</f>
        <v>76823.016810080793</v>
      </c>
      <c r="U77" s="42">
        <f t="shared" si="13"/>
        <v>3658.131897815183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1602.4892900709449</v>
      </c>
      <c r="O78" s="6">
        <f>VLOOKUP($N$2,角色品星!$C$16:$D$20,2,0)*VLOOKUP($N$3,角色品星!$C$3:$E$14,3,0)*W78</f>
        <v>37526.236371876555</v>
      </c>
      <c r="P78" s="6">
        <f>VLOOKUP($N$2,角色品星!$C$16:$D$20,2,0)*VLOOKUP($N$3,角色品星!$C$3:$E$14,3,0)*X78</f>
        <v>15982.15985297422</v>
      </c>
      <c r="Q78" s="24">
        <f t="shared" si="10"/>
        <v>0.05</v>
      </c>
      <c r="R78" s="24">
        <f t="shared" si="11"/>
        <v>1.5</v>
      </c>
      <c r="S78" s="24">
        <f t="shared" si="12"/>
        <v>0.9</v>
      </c>
      <c r="T78" s="42">
        <f>N78*(1+Q78*(R78-1))*S78*战斗公式!$E$39+(P78*战斗公式!$E$40+1)*O78*战斗公式!$E$41</f>
        <v>80481.148707895976</v>
      </c>
      <c r="U78" s="42">
        <f t="shared" si="13"/>
        <v>3826.6646968623681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2.321868527386699</v>
      </c>
      <c r="M79" s="1">
        <v>75</v>
      </c>
      <c r="N79" s="6">
        <f>VLOOKUP($N$2,角色品星!$C$16:$D$20,2,0)*VLOOKUP($N$3,角色品星!$C$3:$E$14,3,0)*V79</f>
        <v>1682.6137545744923</v>
      </c>
      <c r="O79" s="6">
        <f>VLOOKUP($N$2,角色品星!$C$16:$D$20,2,0)*VLOOKUP($N$3,角色品星!$C$3:$E$14,3,0)*W79</f>
        <v>38963.897660398274</v>
      </c>
      <c r="P79" s="6">
        <f>VLOOKUP($N$2,角色品星!$C$16:$D$20,2,0)*VLOOKUP($N$3,角色品星!$C$3:$E$14,3,0)*X79</f>
        <v>16781.26784562293</v>
      </c>
      <c r="Q79" s="24">
        <f t="shared" si="10"/>
        <v>0.05</v>
      </c>
      <c r="R79" s="24">
        <f t="shared" si="11"/>
        <v>1.5</v>
      </c>
      <c r="S79" s="24">
        <f t="shared" si="12"/>
        <v>0.9</v>
      </c>
      <c r="T79" s="42">
        <f>N79*(1+Q79*(R79-1))*S79*战斗公式!$E$39+(P79*战斗公式!$E$40+1)*O79*战斗公式!$E$41</f>
        <v>84307.813404758344</v>
      </c>
      <c r="U79" s="42">
        <f t="shared" si="13"/>
        <v>4002.6743777570373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2.2950413999168768</v>
      </c>
      <c r="M80" s="1">
        <v>76</v>
      </c>
      <c r="N80" s="6">
        <f>VLOOKUP($N$2,角色品星!$C$16:$D$20,2,0)*VLOOKUP($N$3,角色品星!$C$3:$E$14,3,0)*V80</f>
        <v>1766.7444423032171</v>
      </c>
      <c r="O80" s="6">
        <f>VLOOKUP($N$2,角色品星!$C$16:$D$20,2,0)*VLOOKUP($N$3,角色品星!$C$3:$E$14,3,0)*W80</f>
        <v>40439.389671238452</v>
      </c>
      <c r="P80" s="6">
        <f>VLOOKUP($N$2,角色品星!$C$16:$D$20,2,0)*VLOOKUP($N$3,角色品星!$C$3:$E$14,3,0)*X80</f>
        <v>17620.33123790408</v>
      </c>
      <c r="Q80" s="24">
        <f t="shared" si="10"/>
        <v>0.05</v>
      </c>
      <c r="R80" s="24">
        <f t="shared" si="11"/>
        <v>1.5</v>
      </c>
      <c r="S80" s="24">
        <f t="shared" si="12"/>
        <v>0.9</v>
      </c>
      <c r="T80" s="42">
        <f>N80*(1+Q80*(R80-1))*S80*战斗公式!$E$39+(P80*战斗公式!$E$40+1)*O80*战斗公式!$E$41</f>
        <v>88310.487782515382</v>
      </c>
      <c r="U80" s="42">
        <f t="shared" si="13"/>
        <v>4186.4929114848928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1855.0816644183776</v>
      </c>
      <c r="O81" s="6">
        <f>VLOOKUP($N$2,角色品星!$C$16:$D$20,2,0)*VLOOKUP($N$3,角色品星!$C$3:$E$14,3,0)*W81</f>
        <v>41952.400315598483</v>
      </c>
      <c r="P81" s="6">
        <f>VLOOKUP($N$2,角色品星!$C$16:$D$20,2,0)*VLOOKUP($N$3,角色品星!$C$3:$E$14,3,0)*X81</f>
        <v>18501.347799799281</v>
      </c>
      <c r="Q81" s="24">
        <f t="shared" si="10"/>
        <v>0.05</v>
      </c>
      <c r="R81" s="24">
        <f t="shared" si="11"/>
        <v>1.5</v>
      </c>
      <c r="S81" s="24">
        <f t="shared" si="12"/>
        <v>0.9</v>
      </c>
      <c r="T81" s="42">
        <f>N81*(1+Q81*(R81-1))*S81*战斗公式!$E$39+(P81*战斗公式!$E$40+1)*O81*战斗公式!$E$41</f>
        <v>92496.980694000275</v>
      </c>
      <c r="U81" s="42">
        <f t="shared" si="13"/>
        <v>4378.4693487394979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1947.8357476392966</v>
      </c>
      <c r="O82" s="6">
        <f>VLOOKUP($N$2,角色品星!$C$16:$D$20,2,0)*VLOOKUP($N$3,角色品星!$C$3:$E$14,3,0)*W82</f>
        <v>43502.509918132782</v>
      </c>
      <c r="P82" s="6">
        <f>VLOOKUP($N$2,角色品星!$C$16:$D$20,2,0)*VLOOKUP($N$3,角色品星!$C$3:$E$14,3,0)*X82</f>
        <v>19426.415189789252</v>
      </c>
      <c r="Q82" s="24">
        <f t="shared" si="10"/>
        <v>0.05</v>
      </c>
      <c r="R82" s="24">
        <f t="shared" si="11"/>
        <v>1.5</v>
      </c>
      <c r="S82" s="24">
        <f t="shared" si="12"/>
        <v>0.9</v>
      </c>
      <c r="T82" s="42">
        <f>N82*(1+Q82*(R82-1))*S82*战斗公式!$E$39+(P82*战斗公式!$E$40+1)*O82*战斗公式!$E$41</f>
        <v>96875.450042739772</v>
      </c>
      <c r="U82" s="42">
        <f t="shared" si="13"/>
        <v>4578.9709701871034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2045.227535021261</v>
      </c>
      <c r="O83" s="6">
        <f>VLOOKUP($N$2,角色品星!$C$16:$D$20,2,0)*VLOOKUP($N$3,角色品星!$C$3:$E$14,3,0)*W83</f>
        <v>45089.187565261906</v>
      </c>
      <c r="P83" s="6">
        <f>VLOOKUP($N$2,角色品星!$C$16:$D$20,2,0)*VLOOKUP($N$3,角色品星!$C$3:$E$14,3,0)*X83</f>
        <v>20397.735949278704</v>
      </c>
      <c r="Q83" s="24">
        <f t="shared" si="10"/>
        <v>0.05</v>
      </c>
      <c r="R83" s="24">
        <f t="shared" si="11"/>
        <v>1.5</v>
      </c>
      <c r="S83" s="24">
        <f t="shared" si="12"/>
        <v>0.9</v>
      </c>
      <c r="T83" s="42">
        <f>N83*(1+Q83*(R83-1))*S83*战斗公式!$E$39+(P83*战斗公式!$E$40+1)*O83*战斗公式!$E$41</f>
        <v>101454.42101292688</v>
      </c>
      <c r="U83" s="42">
        <f t="shared" si="13"/>
        <v>4788.3845137760363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2147.4889117723251</v>
      </c>
      <c r="O84" s="6">
        <f>VLOOKUP($N$2,角色品星!$C$16:$D$20,2,0)*VLOOKUP($N$3,角色品星!$C$3:$E$14,3,0)*W84</f>
        <v>46711.787972702034</v>
      </c>
      <c r="P84" s="6">
        <f>VLOOKUP($N$2,角色品星!$C$16:$D$20,2,0)*VLOOKUP($N$3,角色品星!$C$3:$E$14,3,0)*X84</f>
        <v>21417.622746742654</v>
      </c>
      <c r="Q84" s="24">
        <f t="shared" si="10"/>
        <v>0.05</v>
      </c>
      <c r="R84" s="24">
        <f t="shared" si="11"/>
        <v>1.5</v>
      </c>
      <c r="S84" s="24">
        <f t="shared" si="12"/>
        <v>0.9</v>
      </c>
      <c r="T84" s="42">
        <f>N84*(1+Q84*(R84-1))*S84*战斗公式!$E$39+(P84*战斗公式!$E$40+1)*O84*战斗公式!$E$41</f>
        <v>106242.80552670291</v>
      </c>
      <c r="U84" s="42">
        <f t="shared" si="13"/>
        <v>5007.1174809069635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2254.8633573609409</v>
      </c>
      <c r="O85" s="6">
        <f>VLOOKUP($N$2,角色品星!$C$16:$D$20,2,0)*VLOOKUP($N$3,角色品星!$C$3:$E$14,3,0)*W85</f>
        <v>48369.548937052299</v>
      </c>
      <c r="P85" s="6">
        <f>VLOOKUP($N$2,角色品星!$C$16:$D$20,2,0)*VLOOKUP($N$3,角色品星!$C$3:$E$14,3,0)*X85</f>
        <v>22488.503884079782</v>
      </c>
      <c r="Q85" s="24">
        <f t="shared" si="10"/>
        <v>0.05</v>
      </c>
      <c r="R85" s="24">
        <f t="shared" si="11"/>
        <v>1.5</v>
      </c>
      <c r="S85" s="24">
        <f t="shared" si="12"/>
        <v>0.9</v>
      </c>
      <c r="T85" s="42">
        <f>N85*(1+Q85*(R85-1))*S85*战斗公式!$E$39+(P85*战斗公式!$E$40+1)*O85*战斗公式!$E$41</f>
        <v>111249.92300760988</v>
      </c>
      <c r="U85" s="42">
        <f t="shared" si="13"/>
        <v>5235.5995228818501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2367.6065252289886</v>
      </c>
      <c r="O86" s="6">
        <f>VLOOKUP($N$2,角色品星!$C$16:$D$20,2,0)*VLOOKUP($N$3,角色品星!$C$3:$E$14,3,0)*W86</f>
        <v>50061.589433907895</v>
      </c>
      <c r="P86" s="6">
        <f>VLOOKUP($N$2,角色品星!$C$16:$D$20,2,0)*VLOOKUP($N$3,角色品星!$C$3:$E$14,3,0)*X86</f>
        <v>23612.929078283774</v>
      </c>
      <c r="Q86" s="24">
        <f t="shared" si="10"/>
        <v>0.05</v>
      </c>
      <c r="R86" s="24">
        <f t="shared" si="11"/>
        <v>1.5</v>
      </c>
      <c r="S86" s="24">
        <f t="shared" si="12"/>
        <v>0.9</v>
      </c>
      <c r="T86" s="42">
        <f>N86*(1+Q86*(R86-1))*S86*战斗公式!$E$39+(P86*战斗公式!$E$40+1)*O86*战斗公式!$E$41</f>
        <v>116485.52253049173</v>
      </c>
      <c r="U86" s="42">
        <f t="shared" si="13"/>
        <v>5474.2839086199237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2485.9868514904379</v>
      </c>
      <c r="O87" s="6">
        <f>VLOOKUP($N$2,角色品星!$C$16:$D$20,2,0)*VLOOKUP($N$3,角色品星!$C$3:$E$14,3,0)*W87</f>
        <v>51786.908421370688</v>
      </c>
      <c r="P87" s="6">
        <f>VLOOKUP($N$2,角色品星!$C$16:$D$20,2,0)*VLOOKUP($N$3,角色品星!$C$3:$E$14,3,0)*X87</f>
        <v>24793.57553219796</v>
      </c>
      <c r="Q87" s="24">
        <f t="shared" si="10"/>
        <v>0.05</v>
      </c>
      <c r="R87" s="24">
        <f t="shared" si="11"/>
        <v>1.5</v>
      </c>
      <c r="S87" s="24">
        <f t="shared" si="12"/>
        <v>0.9</v>
      </c>
      <c r="T87" s="42">
        <f>N87*(1+Q87*(R87-1))*S87*战斗公式!$E$39+(P87*战斗公式!$E$40+1)*O87*战斗公式!$E$41</f>
        <v>121959.80643911165</v>
      </c>
      <c r="U87" s="42">
        <f t="shared" si="13"/>
        <v>5723.649074195564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2610.2861940649591</v>
      </c>
      <c r="O88" s="6">
        <f>VLOOKUP($N$2,角色品星!$C$16:$D$20,2,0)*VLOOKUP($N$3,角色品星!$C$3:$E$14,3,0)*W88</f>
        <v>53544.384402972588</v>
      </c>
      <c r="P88" s="6">
        <f>VLOOKUP($N$2,角色品星!$C$16:$D$20,2,0)*VLOOKUP($N$3,角色品星!$C$3:$E$14,3,0)*X88</f>
        <v>26033.25430880786</v>
      </c>
      <c r="Q88" s="24">
        <f t="shared" si="10"/>
        <v>0.05</v>
      </c>
      <c r="R88" s="24">
        <f t="shared" si="11"/>
        <v>1.5</v>
      </c>
      <c r="S88" s="24">
        <f t="shared" si="12"/>
        <v>0.9</v>
      </c>
      <c r="T88" s="42">
        <f>N88*(1+Q88*(R88-1))*S88*战斗公式!$E$39+(P88*战斗公式!$E$40+1)*O88*战斗公式!$E$41</f>
        <v>127683.45551330721</v>
      </c>
      <c r="U88" s="42">
        <f t="shared" si="13"/>
        <v>5984.2002543155395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2740.8005037682078</v>
      </c>
      <c r="O89" s="6">
        <f>VLOOKUP($N$2,角色品星!$C$16:$D$20,2,0)*VLOOKUP($N$3,角色品星!$C$3:$E$14,3,0)*W89</f>
        <v>55332.775797899354</v>
      </c>
      <c r="P89" s="6">
        <f>VLOOKUP($N$2,角色品星!$C$16:$D$20,2,0)*VLOOKUP($N$3,角色品星!$C$3:$E$14,3,0)*X89</f>
        <v>27334.917024248251</v>
      </c>
      <c r="Q89" s="24">
        <f t="shared" si="10"/>
        <v>0.05</v>
      </c>
      <c r="R89" s="24">
        <f t="shared" si="11"/>
        <v>1.5</v>
      </c>
      <c r="S89" s="24">
        <f t="shared" si="12"/>
        <v>0.9</v>
      </c>
      <c r="T89" s="42">
        <f>N89*(1+Q89*(R89-1))*S89*战斗公式!$E$39+(P89*战斗公式!$E$40+1)*O89*战斗公式!$E$41</f>
        <v>133667.65576762275</v>
      </c>
      <c r="U89" s="42">
        <f t="shared" si="13"/>
        <v>6256.4711954328232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2877.8405289566181</v>
      </c>
      <c r="O90" s="6">
        <f>VLOOKUP($N$2,角色品星!$C$16:$D$20,2,0)*VLOOKUP($N$3,角色品星!$C$3:$E$14,3,0)*W90</f>
        <v>57150.722159020384</v>
      </c>
      <c r="P90" s="6">
        <f>VLOOKUP($N$2,角色品星!$C$16:$D$20,2,0)*VLOOKUP($N$3,角色品星!$C$3:$E$14,3,0)*X90</f>
        <v>28701.662875460665</v>
      </c>
      <c r="Q90" s="24">
        <f t="shared" si="10"/>
        <v>0.05</v>
      </c>
      <c r="R90" s="24">
        <f t="shared" si="11"/>
        <v>1.5</v>
      </c>
      <c r="S90" s="24">
        <f t="shared" si="12"/>
        <v>0.9</v>
      </c>
      <c r="T90" s="42">
        <f>N90*(1+Q90*(R90-1))*S90*战斗公式!$E$39+(P90*战斗公式!$E$40+1)*O90*战斗公式!$E$41</f>
        <v>139924.12696305558</v>
      </c>
      <c r="U90" s="42">
        <f t="shared" si="13"/>
        <v>6541.0259498087689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1.9576349162911875</v>
      </c>
      <c r="M91" s="1">
        <v>87</v>
      </c>
      <c r="N91" s="6">
        <f>VLOOKUP($N$2,角色品星!$C$16:$D$20,2,0)*VLOOKUP($N$3,角色品星!$C$3:$E$14,3,0)*V91</f>
        <v>3021.7325554044482</v>
      </c>
      <c r="O91" s="6">
        <f>VLOOKUP($N$2,角色品星!$C$16:$D$20,2,0)*VLOOKUP($N$3,角色品星!$C$3:$E$14,3,0)*W91</f>
        <v>58996.746270651332</v>
      </c>
      <c r="P91" s="6">
        <f>VLOOKUP($N$2,角色品星!$C$16:$D$20,2,0)*VLOOKUP($N$3,角色品星!$C$3:$E$14,3,0)*X91</f>
        <v>30136.746019233695</v>
      </c>
      <c r="Q91" s="24">
        <f t="shared" si="10"/>
        <v>0.05</v>
      </c>
      <c r="R91" s="24">
        <f t="shared" si="11"/>
        <v>1.5</v>
      </c>
      <c r="S91" s="24">
        <f t="shared" si="12"/>
        <v>0.9</v>
      </c>
      <c r="T91" s="42">
        <f>N91*(1+Q91*(R91-1))*S91*战斗公式!$E$39+(P91*战斗公式!$E$40+1)*O91*战斗公式!$E$41</f>
        <v>146465.15291286435</v>
      </c>
      <c r="U91" s="42">
        <f t="shared" si="13"/>
        <v>6838.4607494890806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1.9235892639705612</v>
      </c>
      <c r="M92" s="1">
        <v>88</v>
      </c>
      <c r="N92" s="6">
        <f>VLOOKUP($N$2,角色品星!$C$16:$D$20,2,0)*VLOOKUP($N$3,角色品星!$C$3:$E$14,3,0)*V92</f>
        <v>3172.8191831746713</v>
      </c>
      <c r="O92" s="6">
        <f>VLOOKUP($N$2,角色品星!$C$16:$D$20,2,0)*VLOOKUP($N$3,角色品星!$C$3:$E$14,3,0)*W92</f>
        <v>60869.257148285767</v>
      </c>
      <c r="P92" s="6">
        <f>VLOOKUP($N$2,角色品星!$C$16:$D$20,2,0)*VLOOKUP($N$3,角色品星!$C$3:$E$14,3,0)*X92</f>
        <v>31643.583320195386</v>
      </c>
      <c r="Q92" s="24">
        <f t="shared" si="10"/>
        <v>0.05</v>
      </c>
      <c r="R92" s="24">
        <f t="shared" si="11"/>
        <v>1.5</v>
      </c>
      <c r="S92" s="24">
        <f t="shared" si="12"/>
        <v>0.9</v>
      </c>
      <c r="T92" s="42">
        <f>N92*(1+Q92*(R92-1))*S92*战斗公式!$E$39+(P92*战斗公式!$E$40+1)*O92*战斗公式!$E$41</f>
        <v>153303.61366235343</v>
      </c>
      <c r="U92" s="42">
        <f t="shared" si="13"/>
        <v>7149.4059588886739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1.8890929584510689</v>
      </c>
      <c r="M93" s="1">
        <v>89</v>
      </c>
      <c r="N93" s="6">
        <f>VLOOKUP($N$2,角色品星!$C$16:$D$20,2,0)*VLOOKUP($N$3,角色品星!$C$3:$E$14,3,0)*V93</f>
        <v>3331.4601423334047</v>
      </c>
      <c r="O93" s="6">
        <f>VLOOKUP($N$2,角色品星!$C$16:$D$20,2,0)*VLOOKUP($N$3,角色品星!$C$3:$E$14,3,0)*W93</f>
        <v>62766.553951857837</v>
      </c>
      <c r="P93" s="6">
        <f>VLOOKUP($N$2,角色品星!$C$16:$D$20,2,0)*VLOOKUP($N$3,角色品星!$C$3:$E$14,3,0)*X93</f>
        <v>33225.762486205153</v>
      </c>
      <c r="Q93" s="24">
        <f t="shared" si="10"/>
        <v>0.05</v>
      </c>
      <c r="R93" s="24">
        <f t="shared" si="11"/>
        <v>1.5</v>
      </c>
      <c r="S93" s="24">
        <f t="shared" si="12"/>
        <v>0.9</v>
      </c>
      <c r="T93" s="42">
        <f>N93*(1+Q93*(R93-1))*S93*战斗公式!$E$39+(P93*战斗公式!$E$40+1)*O93*战斗公式!$E$41</f>
        <v>160453.0196212421</v>
      </c>
      <c r="U93" s="42">
        <f t="shared" si="13"/>
        <v>7474.528104478668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3498.0331494500751</v>
      </c>
      <c r="O94" s="6">
        <f>VLOOKUP($N$2,角色品星!$C$16:$D$20,2,0)*VLOOKUP($N$3,角色品星!$C$3:$E$14,3,0)*W94</f>
        <v>64686.830812598651</v>
      </c>
      <c r="P94" s="6">
        <f>VLOOKUP($N$2,角色品星!$C$16:$D$20,2,0)*VLOOKUP($N$3,角色品星!$C$3:$E$14,3,0)*X94</f>
        <v>34887.050610515405</v>
      </c>
      <c r="Q94" s="24">
        <f t="shared" si="10"/>
        <v>0.05</v>
      </c>
      <c r="R94" s="24">
        <f t="shared" si="11"/>
        <v>1.5</v>
      </c>
      <c r="S94" s="24">
        <f t="shared" si="12"/>
        <v>0.9</v>
      </c>
      <c r="T94" s="42">
        <f>N94*(1+Q94*(R94-1))*S94*战斗公式!$E$39+(P94*战斗公式!$E$40+1)*O94*战斗公式!$E$41</f>
        <v>167927.54772572077</v>
      </c>
      <c r="U94" s="42">
        <f t="shared" si="13"/>
        <v>7814.5319799713616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3672.9348069225789</v>
      </c>
      <c r="O95" s="6">
        <f>VLOOKUP($N$2,角色品星!$C$16:$D$20,2,0)*VLOOKUP($N$3,角色品星!$C$3:$E$14,3,0)*W95</f>
        <v>66628.182561418158</v>
      </c>
      <c r="P95" s="6">
        <f>VLOOKUP($N$2,角色品星!$C$16:$D$20,2,0)*VLOOKUP($N$3,角色品星!$C$3:$E$14,3,0)*X95</f>
        <v>36631.403141041177</v>
      </c>
      <c r="Q95" s="24">
        <f t="shared" si="10"/>
        <v>0.05</v>
      </c>
      <c r="R95" s="24">
        <f t="shared" si="11"/>
        <v>1.5</v>
      </c>
      <c r="S95" s="24">
        <f t="shared" si="12"/>
        <v>0.9</v>
      </c>
      <c r="T95" s="42">
        <f>N95*(1+Q95*(R95-1))*S95*战斗公式!$E$39+(P95*战斗公式!$E$40+1)*O95*战斗公式!$E$41</f>
        <v>175742.07970569213</v>
      </c>
      <c r="U95" s="42">
        <f t="shared" si="13"/>
        <v>8170.1628254072857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3856.5815472687077</v>
      </c>
      <c r="O96" s="6">
        <f>VLOOKUP($N$2,角色品星!$C$16:$D$20,2,0)*VLOOKUP($N$3,角色品星!$C$3:$E$14,3,0)*W96</f>
        <v>68588.611334206173</v>
      </c>
      <c r="P96" s="6">
        <f>VLOOKUP($N$2,角色品星!$C$16:$D$20,2,0)*VLOOKUP($N$3,角色品星!$C$3:$E$14,3,0)*X96</f>
        <v>38462.973298093253</v>
      </c>
      <c r="Q96" s="24">
        <f t="shared" si="10"/>
        <v>0.05</v>
      </c>
      <c r="R96" s="24">
        <f t="shared" si="11"/>
        <v>1.5</v>
      </c>
      <c r="S96" s="24">
        <f t="shared" si="12"/>
        <v>0.9</v>
      </c>
      <c r="T96" s="42">
        <f>N96*(1+Q96*(R96-1))*S96*战斗公式!$E$39+(P96*战斗公式!$E$40+1)*O96*战斗公式!$E$41</f>
        <v>183912.24253109941</v>
      </c>
      <c r="U96" s="42">
        <f t="shared" si="13"/>
        <v>8542.2085786779353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4049.4106246321444</v>
      </c>
      <c r="O97" s="6">
        <f>VLOOKUP($N$2,角色品星!$C$16:$D$20,2,0)*VLOOKUP($N$3,角色品星!$C$3:$E$14,3,0)*W97</f>
        <v>70566.034016745209</v>
      </c>
      <c r="P97" s="6">
        <f>VLOOKUP($N$2,角色品星!$C$16:$D$20,2,0)*VLOOKUP($N$3,角色品星!$C$3:$E$14,3,0)*X97</f>
        <v>40386.121962997902</v>
      </c>
      <c r="Q97" s="24">
        <f t="shared" si="10"/>
        <v>0.05</v>
      </c>
      <c r="R97" s="24">
        <f t="shared" si="11"/>
        <v>1.5</v>
      </c>
      <c r="S97" s="24">
        <f t="shared" si="12"/>
        <v>0.9</v>
      </c>
      <c r="T97" s="42">
        <f>N97*(1+Q97*(R97-1))*S97*战斗公式!$E$39+(P97*战斗公式!$E$40+1)*O97*战斗公式!$E$41</f>
        <v>192454.45110977735</v>
      </c>
      <c r="U97" s="42">
        <f t="shared" si="13"/>
        <v>8931.5021982770704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1.7110613852242305</v>
      </c>
      <c r="M98" s="1">
        <v>94</v>
      </c>
      <c r="N98" s="6">
        <f>VLOOKUP($N$2,角色品星!$C$16:$D$20,2,0)*VLOOKUP($N$3,角色品星!$C$3:$E$14,3,0)*V98</f>
        <v>4251.8811558637517</v>
      </c>
      <c r="O98" s="6">
        <f>VLOOKUP($N$2,角色品星!$C$16:$D$20,2,0)*VLOOKUP($N$3,角色品星!$C$3:$E$14,3,0)*W98</f>
        <v>72558.290479334013</v>
      </c>
      <c r="P98" s="6">
        <f>VLOOKUP($N$2,角色品星!$C$16:$D$20,2,0)*VLOOKUP($N$3,角色品星!$C$3:$E$14,3,0)*X98</f>
        <v>42405.428061147803</v>
      </c>
      <c r="Q98" s="24">
        <f t="shared" si="10"/>
        <v>0.05</v>
      </c>
      <c r="R98" s="24">
        <f t="shared" si="11"/>
        <v>1.5</v>
      </c>
      <c r="S98" s="24">
        <f t="shared" si="12"/>
        <v>0.9</v>
      </c>
      <c r="T98" s="42">
        <f>N98*(1+Q98*(R98-1))*S98*战斗公式!$E$39+(P98*战斗公式!$E$40+1)*O98*战斗公式!$E$41</f>
        <v>201385.95330805442</v>
      </c>
      <c r="U98" s="42">
        <f t="shared" si="13"/>
        <v>9338.9240564702777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1.6746093477756363</v>
      </c>
      <c r="M99" s="1">
        <v>95</v>
      </c>
      <c r="N99" s="6">
        <f>VLOOKUP($N$2,角色品星!$C$16:$D$20,2,0)*VLOOKUP($N$3,角色品星!$C$3:$E$14,3,0)*V99</f>
        <v>4464.4752136569368</v>
      </c>
      <c r="O99" s="6">
        <f>VLOOKUP($N$2,角色品星!$C$16:$D$20,2,0)*VLOOKUP($N$3,角色品星!$C$3:$E$14,3,0)*W99</f>
        <v>74563.152539006638</v>
      </c>
      <c r="P99" s="6">
        <f>VLOOKUP($N$2,角色品星!$C$16:$D$20,2,0)*VLOOKUP($N$3,角色品星!$C$3:$E$14,3,0)*X99</f>
        <v>44525.69946420518</v>
      </c>
      <c r="Q99" s="24">
        <f t="shared" si="10"/>
        <v>0.05</v>
      </c>
      <c r="R99" s="24">
        <f t="shared" si="11"/>
        <v>1.5</v>
      </c>
      <c r="S99" s="24">
        <f t="shared" si="12"/>
        <v>0.9</v>
      </c>
      <c r="T99" s="42">
        <f>N99*(1+Q99*(R99-1))*S99*战斗公式!$E$39+(P99*战斗公式!$E$40+1)*O99*战斗公式!$E$41</f>
        <v>210724.8773645247</v>
      </c>
      <c r="U99" s="42">
        <f t="shared" si="13"/>
        <v>9765.4044026021729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4687.6989743397853</v>
      </c>
      <c r="O100" s="6">
        <f>VLOOKUP($N$2,角色品星!$C$16:$D$20,2,0)*VLOOKUP($N$3,角色品星!$C$3:$E$14,3,0)*W100</f>
        <v>76578.33357568107</v>
      </c>
      <c r="P100" s="6">
        <f>VLOOKUP($N$2,角色品星!$C$16:$D$20,2,0)*VLOOKUP($N$3,角色品星!$C$3:$E$14,3,0)*X100</f>
        <v>46751.984437415449</v>
      </c>
      <c r="Q100" s="24">
        <f t="shared" si="10"/>
        <v>0.05</v>
      </c>
      <c r="R100" s="24">
        <f t="shared" si="11"/>
        <v>1.5</v>
      </c>
      <c r="S100" s="24">
        <f t="shared" si="12"/>
        <v>0.9</v>
      </c>
      <c r="T100" s="42">
        <f>N100*(1+Q100*(R100-1))*S100*战斗公式!$E$39+(P100*战斗公式!$E$40+1)*O100*战斗公式!$E$41</f>
        <v>220490.28176712687</v>
      </c>
      <c r="U100" s="42">
        <f t="shared" si="13"/>
        <v>10211.925896926085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1.6011848717947836</v>
      </c>
      <c r="M101" s="1">
        <v>97</v>
      </c>
      <c r="N101" s="6">
        <f>VLOOKUP($N$2,角色品星!$C$16:$D$20,2,0)*VLOOKUP($N$3,角色品星!$C$3:$E$14,3,0)*V101</f>
        <v>4922.0839230567753</v>
      </c>
      <c r="O101" s="6">
        <f>VLOOKUP($N$2,角色品星!$C$16:$D$20,2,0)*VLOOKUP($N$3,角色品星!$C$3:$E$14,3,0)*W101</f>
        <v>78601.498717953524</v>
      </c>
      <c r="P101" s="6">
        <f>VLOOKUP($N$2,角色品星!$C$16:$D$20,2,0)*VLOOKUP($N$3,角色品星!$C$3:$E$14,3,0)*X101</f>
        <v>49089.583659286225</v>
      </c>
      <c r="Q101" s="24">
        <f t="shared" si="10"/>
        <v>0.05</v>
      </c>
      <c r="R101" s="24">
        <f t="shared" si="11"/>
        <v>1.5</v>
      </c>
      <c r="S101" s="24">
        <f t="shared" si="12"/>
        <v>0.9</v>
      </c>
      <c r="T101" s="42">
        <f>N101*(1+Q101*(R101-1))*S101*战斗公式!$E$39+(P101*战斗公式!$E$40+1)*O101*战斗公式!$E$41</f>
        <v>230702.20766405296</v>
      </c>
      <c r="U101" s="42">
        <f t="shared" si="13"/>
        <v>10679.526216145256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5168.1881192096134</v>
      </c>
      <c r="O102" s="6">
        <f>VLOOKUP($N$2,角色品星!$C$16:$D$20,2,0)*VLOOKUP($N$3,角色品星!$C$3:$E$14,3,0)*W102</f>
        <v>80630.275504834746</v>
      </c>
      <c r="P102" s="6">
        <f>VLOOKUP($N$2,角色品星!$C$16:$D$20,2,0)*VLOOKUP($N$3,角色品星!$C$3:$E$14,3,0)*X102</f>
        <v>51544.06284225054</v>
      </c>
      <c r="Q102" s="24">
        <f t="shared" si="10"/>
        <v>0.05</v>
      </c>
      <c r="R102" s="24">
        <f t="shared" si="11"/>
        <v>1.5</v>
      </c>
      <c r="S102" s="24">
        <f t="shared" si="12"/>
        <v>0.9</v>
      </c>
      <c r="T102" s="42">
        <f>N102*(1+Q102*(R102-1))*S102*战斗公式!$E$39+(P102*战斗公式!$E$40+1)*O102*战斗公式!$E$41</f>
        <v>241381.73388019821</v>
      </c>
      <c r="U102" s="42">
        <f t="shared" si="13"/>
        <v>11169.300732753414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5426.5975251700947</v>
      </c>
      <c r="O103" s="6">
        <f>VLOOKUP($N$2,角色品星!$C$16:$D$20,2,0)*VLOOKUP($N$3,角色品星!$C$3:$E$14,3,0)*W103</f>
        <v>82662.264921728711</v>
      </c>
      <c r="P103" s="6">
        <f>VLOOKUP($N$2,角色品星!$C$16:$D$20,2,0)*VLOOKUP($N$3,角色品星!$C$3:$E$14,3,0)*X103</f>
        <v>54121.265984363061</v>
      </c>
      <c r="Q103" s="24">
        <f t="shared" si="10"/>
        <v>0.05</v>
      </c>
      <c r="R103" s="24">
        <f t="shared" si="11"/>
        <v>1.5</v>
      </c>
      <c r="S103" s="24">
        <f t="shared" si="12"/>
        <v>0.9</v>
      </c>
      <c r="T103" s="42">
        <f>N103*(1+Q103*(R103-1))*S103*战斗公式!$E$39+(P103*战斗公式!$E$40+1)*O103*战斗公式!$E$41</f>
        <v>252551.03461295163</v>
      </c>
      <c r="U103" s="42">
        <f t="shared" si="13"/>
        <v>11682.405271299358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5697.9274014286002</v>
      </c>
      <c r="O104" s="6">
        <f>VLOOKUP($N$2,角色品星!$C$16:$D$20,2,0)*VLOOKUP($N$3,角色品星!$C$3:$E$14,3,0)*W104</f>
        <v>84695.052702596615</v>
      </c>
      <c r="P104" s="6">
        <f>VLOOKUP($N$2,角色品星!$C$16:$D$20,2,0)*VLOOKUP($N$3,角色品星!$C$3:$E$14,3,0)*X104</f>
        <v>56827.329283581232</v>
      </c>
      <c r="Q104" s="24">
        <f t="shared" si="10"/>
        <v>0.05</v>
      </c>
      <c r="R104" s="24">
        <f t="shared" si="11"/>
        <v>1.5</v>
      </c>
      <c r="S104" s="24">
        <f t="shared" si="12"/>
        <v>0.9</v>
      </c>
      <c r="T104" s="42">
        <f>N104*(1+Q104*(R104-1))*S104*战斗公式!$E$39+(P104*战斗公式!$E$40+1)*O104*战斗公式!$E$41</f>
        <v>264233.43988425098</v>
      </c>
      <c r="U104" s="42">
        <f t="shared" si="13"/>
        <v>-264233.43988425098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23" sqref="O23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81" t="s">
        <v>200</v>
      </c>
      <c r="B1" s="82"/>
    </row>
    <row r="2" spans="1:21" ht="14.25" customHeight="1" x14ac:dyDescent="0.2">
      <c r="A2" s="83"/>
      <c r="B2" s="84"/>
      <c r="Q2" s="36">
        <f>Q5+Q6+Q7+Q8+Q10</f>
        <v>1.0959999999999999</v>
      </c>
      <c r="R2" s="36">
        <f>R5+R6+R7+R8+R10</f>
        <v>1.0960000000000001</v>
      </c>
    </row>
    <row r="3" spans="1:21" s="3" customFormat="1" ht="14.25" customHeight="1" x14ac:dyDescent="0.2">
      <c r="C3" s="3" t="s">
        <v>218</v>
      </c>
    </row>
    <row r="4" spans="1:21" s="3" customFormat="1" ht="14.25" customHeight="1" x14ac:dyDescent="0.2">
      <c r="D4" s="3" t="s">
        <v>204</v>
      </c>
      <c r="E4" s="3" t="s">
        <v>201</v>
      </c>
      <c r="F4" s="3" t="s">
        <v>152</v>
      </c>
      <c r="G4" s="3" t="s">
        <v>174</v>
      </c>
      <c r="H4" s="3" t="s">
        <v>202</v>
      </c>
      <c r="I4" s="3" t="s">
        <v>203</v>
      </c>
      <c r="J4" s="25" t="s">
        <v>211</v>
      </c>
      <c r="K4" s="3" t="s">
        <v>146</v>
      </c>
      <c r="L4" s="3" t="s">
        <v>147</v>
      </c>
      <c r="M4" s="3" t="s">
        <v>13</v>
      </c>
      <c r="N4" s="3" t="s">
        <v>5</v>
      </c>
      <c r="O4" s="3" t="s">
        <v>213</v>
      </c>
      <c r="P4" s="3" t="s">
        <v>214</v>
      </c>
      <c r="Q4" s="3" t="s">
        <v>215</v>
      </c>
      <c r="R4" s="3" t="s">
        <v>216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111">
        <f>1+J5</f>
        <v>1.5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111">
        <f t="shared" ref="T6:T10" si="3">1+J6</f>
        <v>1.5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111">
        <f t="shared" si="3"/>
        <v>1.35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111">
        <f t="shared" si="3"/>
        <v>1.35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111">
        <f t="shared" si="3"/>
        <v>1.35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111">
        <f t="shared" si="3"/>
        <v>1.35</v>
      </c>
    </row>
    <row r="11" spans="1:21" ht="14.25" customHeight="1" x14ac:dyDescent="0.2"/>
    <row r="12" spans="1:21" ht="14.25" customHeight="1" x14ac:dyDescent="0.2">
      <c r="I12" s="1">
        <v>0.5</v>
      </c>
      <c r="J12" s="2"/>
    </row>
    <row r="13" spans="1:21" ht="14.25" customHeight="1" x14ac:dyDescent="0.2">
      <c r="C13" s="3"/>
      <c r="D13" s="3" t="s">
        <v>204</v>
      </c>
      <c r="E13" s="3" t="s">
        <v>201</v>
      </c>
      <c r="F13" s="3" t="s">
        <v>34</v>
      </c>
      <c r="G13" s="3" t="s">
        <v>212</v>
      </c>
      <c r="H13" s="25" t="s">
        <v>205</v>
      </c>
      <c r="I13" s="25" t="s">
        <v>273</v>
      </c>
      <c r="J13" s="3" t="s">
        <v>206</v>
      </c>
      <c r="K13" s="3" t="s">
        <v>208</v>
      </c>
      <c r="L13" s="3" t="s">
        <v>210</v>
      </c>
      <c r="M13" s="3" t="s">
        <v>217</v>
      </c>
      <c r="N13" s="3" t="s">
        <v>237</v>
      </c>
      <c r="O13" s="3" t="s">
        <v>238</v>
      </c>
      <c r="P13" s="3" t="s">
        <v>239</v>
      </c>
      <c r="Q13" s="3" t="s">
        <v>240</v>
      </c>
      <c r="R13" s="3" t="s">
        <v>245</v>
      </c>
      <c r="S13" s="3" t="s">
        <v>246</v>
      </c>
      <c r="T13" s="3" t="s">
        <v>247</v>
      </c>
      <c r="U13" s="3" t="s">
        <v>248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5</v>
      </c>
      <c r="J14" s="5">
        <f>H5*(1-G5)/(1/H14)/(1+K5*(L5-1))/F14</f>
        <v>3</v>
      </c>
      <c r="K14" s="4">
        <f>N5/H5*H14/(1+0.4*0.5)</f>
        <v>9.2592592592592595</v>
      </c>
      <c r="L14" s="5">
        <f>N5*H14/G14/(1+J5)</f>
        <v>0.6</v>
      </c>
      <c r="M14" s="36">
        <f>N5*H14/SUMPRODUCT($G$14:$G$19,$T$5:$T$10)</f>
        <v>0.16663374362542405</v>
      </c>
      <c r="N14" s="5">
        <f t="shared" ref="N14:N19" si="5">H5*(1-P5)/(1/H14)/(1+K5*(L5-1))/F14</f>
        <v>4.8</v>
      </c>
      <c r="O14" s="24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1.9734488471068232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4</v>
      </c>
      <c r="J15" s="5">
        <f t="shared" ref="J15:J19" si="11">H6*(1-G6)/(1/H15)/(1+K6*(L6-1))/F15</f>
        <v>2.5198402130492674</v>
      </c>
      <c r="K15" s="4">
        <f t="shared" ref="K15:K19" si="12">N6/H6*H15/(1+0.4*0.5)</f>
        <v>5.5555555555555562</v>
      </c>
      <c r="L15" s="5">
        <f t="shared" ref="L15:L19" si="13">N6*H15/G15/(1+J6)</f>
        <v>0.64</v>
      </c>
      <c r="M15" s="36"/>
      <c r="N15" s="5">
        <f t="shared" si="5"/>
        <v>4.0349723187338151</v>
      </c>
      <c r="O15" s="24">
        <f t="shared" si="6"/>
        <v>8.0717948717948715</v>
      </c>
      <c r="P15" s="5">
        <f t="shared" si="7"/>
        <v>1.1623384615384615</v>
      </c>
      <c r="R15" s="6">
        <f t="shared" ref="R15:R19" si="14">N15/J15</f>
        <v>1.6012810248198559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9"/>
        <v>7.0000000000000009</v>
      </c>
      <c r="G16" s="6">
        <f t="shared" si="4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6"/>
      <c r="N16" s="5">
        <f t="shared" si="5"/>
        <v>8.3333333333333304</v>
      </c>
      <c r="O16" s="24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9"/>
        <v>6.0984848484848486</v>
      </c>
      <c r="G17" s="6">
        <f t="shared" si="4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13"/>
        <v>0</v>
      </c>
      <c r="M17" s="36"/>
      <c r="N17" s="5">
        <f t="shared" si="5"/>
        <v>6.6893630291847472</v>
      </c>
      <c r="O17" s="24">
        <f t="shared" si="6"/>
        <v>0</v>
      </c>
      <c r="P17" s="5">
        <f t="shared" si="7"/>
        <v>0</v>
      </c>
      <c r="R17" s="6">
        <f t="shared" si="14"/>
        <v>1.6736401673640164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9"/>
        <v>5.1062500000000002</v>
      </c>
      <c r="G18" s="6">
        <f t="shared" si="4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13"/>
        <v>0</v>
      </c>
      <c r="M18" s="36"/>
      <c r="N18" s="5">
        <f t="shared" si="5"/>
        <v>5.7159477471325415</v>
      </c>
      <c r="O18" s="24">
        <f t="shared" si="6"/>
        <v>0</v>
      </c>
      <c r="P18" s="5">
        <f t="shared" si="7"/>
        <v>0</v>
      </c>
      <c r="R18" s="6">
        <f t="shared" si="14"/>
        <v>1.6313213703099514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>N10/H10*H19/(1+0.4*0.5)</f>
        <v>40.740740740740748</v>
      </c>
      <c r="L19" s="5">
        <f>N10*H19/G19/(1+J10)</f>
        <v>3.6102564102564094</v>
      </c>
      <c r="M19" s="36">
        <f>N10*H19/SUMPRODUCT($G$14:$G$19,$T$5:$T$10)</f>
        <v>0.58655077756149265</v>
      </c>
      <c r="N19" s="5">
        <f t="shared" si="5"/>
        <v>4.1697421590582104</v>
      </c>
      <c r="O19" s="24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4"/>
        <v>1.6638935108153079</v>
      </c>
      <c r="S19" s="6">
        <f t="shared" si="15"/>
        <v>2.009353846153846</v>
      </c>
      <c r="T19" s="6">
        <f t="shared" si="16"/>
        <v>2.2605230769230769</v>
      </c>
      <c r="U19" s="6">
        <f t="shared" ref="U19" si="17">Q19/M19</f>
        <v>2.7292270968120285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2" t="s">
        <v>328</v>
      </c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219</v>
      </c>
      <c r="D22" s="2" t="s">
        <v>287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230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212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211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6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K5" sqref="K5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81" t="s">
        <v>218</v>
      </c>
      <c r="B1" s="82"/>
    </row>
    <row r="2" spans="1:14" ht="14.25" customHeight="1" x14ac:dyDescent="0.2">
      <c r="A2" s="83"/>
      <c r="B2" s="84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205</v>
      </c>
      <c r="H4" s="1" t="s">
        <v>273</v>
      </c>
      <c r="I4" s="1" t="s">
        <v>206</v>
      </c>
      <c r="J4" s="1" t="s">
        <v>208</v>
      </c>
      <c r="K4" s="1" t="s">
        <v>210</v>
      </c>
      <c r="L4" s="1" t="s">
        <v>217</v>
      </c>
      <c r="N4" s="3" t="s">
        <v>236</v>
      </c>
    </row>
    <row r="5" spans="1:14" ht="14.25" customHeight="1" x14ac:dyDescent="0.2">
      <c r="D5" s="1" t="s">
        <v>257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5" t="s">
        <v>242</v>
      </c>
    </row>
    <row r="6" spans="1:14" ht="14.25" customHeight="1" x14ac:dyDescent="0.2">
      <c r="D6" s="1" t="s">
        <v>258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259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260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261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262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263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264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265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266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267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0.53322797960135704</v>
      </c>
    </row>
    <row r="16" spans="1:14" ht="14.25" customHeight="1" x14ac:dyDescent="0.2">
      <c r="D16" s="1" t="s">
        <v>268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0.53322797960135704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D2" sqref="D2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81" t="s">
        <v>304</v>
      </c>
      <c r="B1" s="82"/>
    </row>
    <row r="2" spans="1:17" ht="14.25" customHeight="1" x14ac:dyDescent="0.2">
      <c r="A2" s="83"/>
      <c r="B2" s="84"/>
      <c r="D2" s="2" t="s">
        <v>305</v>
      </c>
    </row>
    <row r="3" spans="1:17" ht="14.25" customHeight="1" x14ac:dyDescent="0.2">
      <c r="D3" s="2" t="s">
        <v>306</v>
      </c>
    </row>
    <row r="4" spans="1:17" ht="14.25" customHeight="1" x14ac:dyDescent="0.2">
      <c r="C4" s="3" t="s">
        <v>311</v>
      </c>
      <c r="I4" s="2" t="s">
        <v>325</v>
      </c>
    </row>
    <row r="5" spans="1:17" ht="14.25" customHeight="1" x14ac:dyDescent="0.2">
      <c r="C5" s="3" t="s">
        <v>223</v>
      </c>
      <c r="D5" s="3" t="s">
        <v>224</v>
      </c>
      <c r="E5" s="3" t="s">
        <v>153</v>
      </c>
      <c r="F5" s="3" t="s">
        <v>154</v>
      </c>
      <c r="G5" s="3" t="s">
        <v>129</v>
      </c>
    </row>
    <row r="6" spans="1:17" ht="14.25" customHeight="1" x14ac:dyDescent="0.2">
      <c r="C6" s="1" t="s">
        <v>307</v>
      </c>
      <c r="D6" s="1" t="s">
        <v>127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7" ht="14.25" customHeight="1" x14ac:dyDescent="0.2">
      <c r="C7" s="1" t="s">
        <v>308</v>
      </c>
      <c r="D7" s="1" t="s">
        <v>128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7" ht="14.25" customHeight="1" x14ac:dyDescent="0.2">
      <c r="C8" s="1" t="s">
        <v>309</v>
      </c>
      <c r="D8" s="1" t="s">
        <v>127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7" ht="14.25" customHeight="1" x14ac:dyDescent="0.2">
      <c r="C9" s="1" t="s">
        <v>310</v>
      </c>
      <c r="D9" s="1" t="s">
        <v>128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7" ht="14.25" customHeight="1" x14ac:dyDescent="0.2">
      <c r="C10" s="1">
        <v>0</v>
      </c>
      <c r="D10" s="1" t="s">
        <v>129</v>
      </c>
      <c r="E10" s="1">
        <f>基础模型!E21</f>
        <v>4</v>
      </c>
      <c r="F10" s="1">
        <f>基础模型!F21</f>
        <v>50</v>
      </c>
      <c r="G10" s="1">
        <f>基础模型!G21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313</v>
      </c>
      <c r="D12" s="2" t="s">
        <v>321</v>
      </c>
      <c r="I12" s="3" t="s">
        <v>314</v>
      </c>
      <c r="Q12" s="2"/>
    </row>
    <row r="13" spans="1:17" ht="14.25" customHeight="1" x14ac:dyDescent="0.2">
      <c r="D13" s="3" t="s">
        <v>312</v>
      </c>
      <c r="E13" s="3" t="s">
        <v>153</v>
      </c>
      <c r="F13" s="3" t="s">
        <v>154</v>
      </c>
      <c r="G13" s="3" t="s">
        <v>129</v>
      </c>
      <c r="H13" s="80" t="s">
        <v>17</v>
      </c>
      <c r="J13" s="25" t="s">
        <v>15</v>
      </c>
      <c r="K13" s="3" t="s">
        <v>154</v>
      </c>
    </row>
    <row r="14" spans="1:17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10.575296108291033</v>
      </c>
      <c r="J14" s="1">
        <v>19.456</v>
      </c>
      <c r="K14" s="6">
        <f>E14*H14</f>
        <v>359.56006768189513</v>
      </c>
    </row>
    <row r="15" spans="1:17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8.7290502793296092</v>
      </c>
      <c r="J15" s="1">
        <f>J14</f>
        <v>19.456</v>
      </c>
      <c r="K15" s="6">
        <f t="shared" ref="K15:K18" si="1">E15*H15</f>
        <v>253.14245810055866</v>
      </c>
    </row>
    <row r="16" spans="1:17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3.4916201117318435</v>
      </c>
      <c r="J16" s="1">
        <f t="shared" ref="J16:J18" si="2">J15</f>
        <v>19.456</v>
      </c>
      <c r="K16" s="6">
        <f t="shared" si="1"/>
        <v>66.340782122905026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3.4916201117318435</v>
      </c>
      <c r="J17" s="1">
        <f t="shared" si="2"/>
        <v>19.456</v>
      </c>
      <c r="K17" s="6">
        <f t="shared" si="1"/>
        <v>48.882681564245807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3.7158145065398336</v>
      </c>
      <c r="J18" s="1">
        <f t="shared" si="2"/>
        <v>19.456</v>
      </c>
      <c r="K18" s="6">
        <f t="shared" si="1"/>
        <v>14.863258026159334</v>
      </c>
    </row>
    <row r="19" spans="3:32" ht="14.25" customHeight="1" x14ac:dyDescent="0.2">
      <c r="H19" s="6">
        <f>SUM(H14:H18)</f>
        <v>30.003401117624161</v>
      </c>
      <c r="I19" s="1" t="s">
        <v>315</v>
      </c>
      <c r="J19" s="1">
        <f>MAX(J14:J18)</f>
        <v>19.456</v>
      </c>
      <c r="K19" s="6">
        <f>SUM(K14:K18)</f>
        <v>742.7892474957639</v>
      </c>
    </row>
    <row r="21" spans="3:32" ht="14.25" customHeight="1" x14ac:dyDescent="0.2">
      <c r="C21" s="3" t="s">
        <v>169</v>
      </c>
      <c r="E21" s="1">
        <f>J19</f>
        <v>19.456</v>
      </c>
      <c r="F21" s="6">
        <f>K19</f>
        <v>742.7892474957639</v>
      </c>
      <c r="G21" s="18">
        <v>5</v>
      </c>
      <c r="J21" s="1" t="s">
        <v>317</v>
      </c>
      <c r="K21" s="1">
        <f>角色成长!L15</f>
        <v>75</v>
      </c>
      <c r="L21" s="3" t="s">
        <v>316</v>
      </c>
      <c r="P21" s="6">
        <f>MAX(P24:P123)</f>
        <v>46964.734945108452</v>
      </c>
      <c r="X21" s="1" t="s">
        <v>320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55709.193562182292</v>
      </c>
      <c r="P22" s="1">
        <f>10000</f>
        <v>10000</v>
      </c>
      <c r="X22" s="1">
        <v>9</v>
      </c>
    </row>
    <row r="23" spans="3:32" ht="14.25" customHeight="1" outlineLevel="1" x14ac:dyDescent="0.2">
      <c r="D23" s="1" t="s">
        <v>193</v>
      </c>
      <c r="E23" s="1" t="s">
        <v>153</v>
      </c>
      <c r="F23" s="1" t="s">
        <v>154</v>
      </c>
      <c r="G23" s="1" t="s">
        <v>145</v>
      </c>
      <c r="H23" s="18" t="s">
        <v>146</v>
      </c>
      <c r="I23" s="18" t="s">
        <v>147</v>
      </c>
      <c r="J23" s="18" t="s">
        <v>148</v>
      </c>
      <c r="M23" s="1" t="s">
        <v>171</v>
      </c>
      <c r="N23" s="1" t="s">
        <v>172</v>
      </c>
      <c r="O23" s="1" t="s">
        <v>173</v>
      </c>
      <c r="P23" s="1" t="s">
        <v>145</v>
      </c>
      <c r="Q23" s="18" t="s">
        <v>146</v>
      </c>
      <c r="R23" s="18" t="s">
        <v>147</v>
      </c>
      <c r="S23" s="18" t="s">
        <v>148</v>
      </c>
      <c r="T23" s="18" t="s">
        <v>174</v>
      </c>
      <c r="U23" s="18" t="s">
        <v>205</v>
      </c>
      <c r="V23" s="1" t="s">
        <v>319</v>
      </c>
      <c r="X23" s="1" t="s">
        <v>171</v>
      </c>
      <c r="Y23" s="1" t="s">
        <v>172</v>
      </c>
      <c r="Z23" s="1" t="s">
        <v>173</v>
      </c>
      <c r="AA23" s="1" t="s">
        <v>145</v>
      </c>
      <c r="AB23" s="1" t="s">
        <v>146</v>
      </c>
      <c r="AC23" s="1" t="s">
        <v>147</v>
      </c>
      <c r="AD23" s="1" t="s">
        <v>148</v>
      </c>
      <c r="AE23" s="1" t="s">
        <v>318</v>
      </c>
      <c r="AF23" s="1" t="s">
        <v>206</v>
      </c>
    </row>
    <row r="24" spans="3:32" ht="14.25" customHeight="1" outlineLevel="1" x14ac:dyDescent="0.2">
      <c r="D24" s="1">
        <v>1</v>
      </c>
      <c r="E24" s="6">
        <f>E$21*E$22^($D24-1)</f>
        <v>19.456</v>
      </c>
      <c r="F24" s="6">
        <f t="shared" ref="F24:G39" si="3">F$21*F$22^($D24-1)</f>
        <v>742.7892474957639</v>
      </c>
      <c r="G24" s="6">
        <f t="shared" si="3"/>
        <v>5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972.8</v>
      </c>
      <c r="O24" s="6">
        <f>F24*$K$21/(1+P24/$P$22)</f>
        <v>53695.608252705817</v>
      </c>
      <c r="P24" s="6">
        <f>G24*$K$21</f>
        <v>375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194.56</v>
      </c>
      <c r="Z24" s="6">
        <f>O24/$X$22</f>
        <v>5966.178694745091</v>
      </c>
      <c r="AA24" s="6">
        <f>P24</f>
        <v>375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6">
        <f>V24</f>
        <v>2.4999999999999996</v>
      </c>
    </row>
    <row r="25" spans="3:32" ht="14.25" customHeight="1" outlineLevel="1" x14ac:dyDescent="0.2">
      <c r="D25" s="1">
        <v>2</v>
      </c>
      <c r="E25" s="6">
        <f>E$21*E$22^($D25-1)</f>
        <v>20.428799999999999</v>
      </c>
      <c r="F25" s="6">
        <f t="shared" si="3"/>
        <v>779.9287098705521</v>
      </c>
      <c r="G25" s="6">
        <f t="shared" si="3"/>
        <v>5.25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1021.4399999999999</v>
      </c>
      <c r="O25" s="6">
        <f t="shared" ref="O25:O88" si="5">F25*$K$21/(1+P25/$P$22)</f>
        <v>56278.680207135454</v>
      </c>
      <c r="P25" s="6">
        <f t="shared" ref="P25:P88" si="6">G25*$K$21</f>
        <v>393.75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2.4999999999999991</v>
      </c>
      <c r="X25" s="1">
        <v>2</v>
      </c>
      <c r="Y25" s="6">
        <f>2*N25/(1+$X$22)</f>
        <v>204.28799999999998</v>
      </c>
      <c r="Z25" s="6">
        <f>O25/$X$22</f>
        <v>6253.1866896817173</v>
      </c>
      <c r="AA25" s="6">
        <f>P25</f>
        <v>393.75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6">
        <f>V25</f>
        <v>2.4999999999999991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21.450240000000001</v>
      </c>
      <c r="F26" s="6">
        <f t="shared" si="3"/>
        <v>818.92514536407975</v>
      </c>
      <c r="G26" s="6">
        <f t="shared" si="3"/>
        <v>5.5125000000000002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1072.5120000000002</v>
      </c>
      <c r="O26" s="6">
        <f t="shared" si="5"/>
        <v>58980.894543522234</v>
      </c>
      <c r="P26" s="6">
        <f t="shared" si="6"/>
        <v>413.4375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2.4999999999999991</v>
      </c>
      <c r="X26" s="1">
        <v>3</v>
      </c>
      <c r="Y26" s="6">
        <f t="shared" ref="Y26:Y89" si="12">2*N26/(1+$X$22)</f>
        <v>214.50240000000002</v>
      </c>
      <c r="Z26" s="6">
        <f t="shared" ref="Z26:Z89" si="13">O26/$X$22</f>
        <v>6553.4327270580261</v>
      </c>
      <c r="AA26" s="6">
        <f t="shared" ref="AA26:AA89" si="14">P26</f>
        <v>413.4375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6">
        <f t="shared" ref="AF26:AF89" si="17">V26</f>
        <v>2.4999999999999991</v>
      </c>
    </row>
    <row r="27" spans="3:32" ht="14.25" customHeight="1" outlineLevel="1" x14ac:dyDescent="0.2">
      <c r="D27" s="1">
        <v>4</v>
      </c>
      <c r="E27" s="6">
        <f t="shared" si="10"/>
        <v>22.522752000000001</v>
      </c>
      <c r="F27" s="6">
        <f t="shared" si="3"/>
        <v>859.87140263228378</v>
      </c>
      <c r="G27" s="6">
        <f t="shared" si="3"/>
        <v>5.7881250000000009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1126.1376000000002</v>
      </c>
      <c r="O27" s="6">
        <f t="shared" si="5"/>
        <v>61807.244758176865</v>
      </c>
      <c r="P27" s="6">
        <f t="shared" si="6"/>
        <v>434.10937500000006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225.22752000000006</v>
      </c>
      <c r="Z27" s="6">
        <f t="shared" si="13"/>
        <v>6867.4716397974298</v>
      </c>
      <c r="AA27" s="6">
        <f t="shared" si="14"/>
        <v>434.10937500000006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6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23.6488896</v>
      </c>
      <c r="F28" s="6">
        <f t="shared" si="3"/>
        <v>902.86497276389787</v>
      </c>
      <c r="G28" s="6">
        <f t="shared" si="3"/>
        <v>6.0775312499999998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1182.4444800000001</v>
      </c>
      <c r="O28" s="6">
        <f t="shared" si="5"/>
        <v>64762.884547223155</v>
      </c>
      <c r="P28" s="6">
        <f t="shared" si="6"/>
        <v>455.81484374999997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236.48889600000001</v>
      </c>
      <c r="Z28" s="6">
        <f t="shared" si="13"/>
        <v>7195.8760608025732</v>
      </c>
      <c r="AA28" s="6">
        <f t="shared" si="14"/>
        <v>455.81484374999997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6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24.831334080000001</v>
      </c>
      <c r="F29" s="6">
        <f t="shared" si="3"/>
        <v>948.00822140209289</v>
      </c>
      <c r="G29" s="6">
        <f t="shared" si="3"/>
        <v>6.3814078125000009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1241.5667040000003</v>
      </c>
      <c r="O29" s="6">
        <f t="shared" si="5"/>
        <v>67853.127996892479</v>
      </c>
      <c r="P29" s="6">
        <f t="shared" si="6"/>
        <v>478.60558593750005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2.4999999999999987</v>
      </c>
      <c r="X29" s="1">
        <v>6</v>
      </c>
      <c r="Y29" s="6">
        <f t="shared" si="12"/>
        <v>248.31334080000005</v>
      </c>
      <c r="Z29" s="6">
        <f t="shared" si="13"/>
        <v>7539.2364440991641</v>
      </c>
      <c r="AA29" s="6">
        <f t="shared" si="14"/>
        <v>478.60558593750005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6">
        <f t="shared" si="17"/>
        <v>2.4999999999999987</v>
      </c>
    </row>
    <row r="30" spans="3:32" ht="14.25" customHeight="1" outlineLevel="1" x14ac:dyDescent="0.2">
      <c r="D30" s="1">
        <v>7</v>
      </c>
      <c r="E30" s="6">
        <f t="shared" si="10"/>
        <v>26.072900783999998</v>
      </c>
      <c r="F30" s="6">
        <f t="shared" si="3"/>
        <v>995.40863247219738</v>
      </c>
      <c r="G30" s="6">
        <f t="shared" si="3"/>
        <v>6.7004782031249999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1303.6450392000002</v>
      </c>
      <c r="O30" s="6">
        <f t="shared" si="5"/>
        <v>71083.449172062217</v>
      </c>
      <c r="P30" s="6">
        <f t="shared" si="6"/>
        <v>502.53586523437497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260.72900784000001</v>
      </c>
      <c r="Z30" s="6">
        <f t="shared" si="13"/>
        <v>7898.1610191180243</v>
      </c>
      <c r="AA30" s="6">
        <f t="shared" si="14"/>
        <v>502.53586523437497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6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27.376545823200004</v>
      </c>
      <c r="F31" s="6">
        <f t="shared" si="3"/>
        <v>1045.1790640958075</v>
      </c>
      <c r="G31" s="6">
        <f t="shared" si="3"/>
        <v>7.0355021132812512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1368.8272911600004</v>
      </c>
      <c r="O31" s="6">
        <f t="shared" si="5"/>
        <v>74459.481035825258</v>
      </c>
      <c r="P31" s="6">
        <f t="shared" si="6"/>
        <v>527.66265849609385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273.76545823200007</v>
      </c>
      <c r="Z31" s="6">
        <f t="shared" si="13"/>
        <v>8273.2756706472501</v>
      </c>
      <c r="AA31" s="6">
        <f t="shared" si="14"/>
        <v>527.66265849609385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6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28.74537311436</v>
      </c>
      <c r="F32" s="6">
        <f t="shared" si="3"/>
        <v>1097.4380173005977</v>
      </c>
      <c r="G32" s="6">
        <f t="shared" si="3"/>
        <v>7.3872772189453126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1437.2686557180002</v>
      </c>
      <c r="O32" s="6">
        <f t="shared" si="5"/>
        <v>77987.013628887871</v>
      </c>
      <c r="P32" s="6">
        <f t="shared" si="6"/>
        <v>554.04579142089847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2.4999999999999987</v>
      </c>
      <c r="X32" s="1">
        <v>9</v>
      </c>
      <c r="Y32" s="6">
        <f t="shared" si="12"/>
        <v>287.45373114360007</v>
      </c>
      <c r="Z32" s="6">
        <f t="shared" si="13"/>
        <v>8665.2237365430974</v>
      </c>
      <c r="AA32" s="6">
        <f t="shared" si="14"/>
        <v>554.04579142089847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6">
        <f t="shared" si="17"/>
        <v>2.4999999999999987</v>
      </c>
    </row>
    <row r="33" spans="4:32" ht="14.25" customHeight="1" outlineLevel="1" x14ac:dyDescent="0.2">
      <c r="D33" s="1">
        <v>10</v>
      </c>
      <c r="E33" s="6">
        <f t="shared" si="10"/>
        <v>30.182641770078003</v>
      </c>
      <c r="F33" s="6">
        <f t="shared" si="3"/>
        <v>1152.3099181656276</v>
      </c>
      <c r="G33" s="6">
        <f t="shared" si="3"/>
        <v>7.7566410798925789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1509.1320885039004</v>
      </c>
      <c r="O33" s="6">
        <f t="shared" si="5"/>
        <v>81671.991433688207</v>
      </c>
      <c r="P33" s="6">
        <f t="shared" si="6"/>
        <v>581.74808099194343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301.8264177007801</v>
      </c>
      <c r="Z33" s="6">
        <f t="shared" si="13"/>
        <v>9074.6657148542454</v>
      </c>
      <c r="AA33" s="6">
        <f t="shared" si="14"/>
        <v>581.74808099194343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6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31.691773858581904</v>
      </c>
      <c r="F34" s="6">
        <f t="shared" si="3"/>
        <v>1209.925414073909</v>
      </c>
      <c r="G34" s="6">
        <f t="shared" si="3"/>
        <v>8.1444731338872085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1584.5886929290953</v>
      </c>
      <c r="O34" s="6">
        <f t="shared" si="5"/>
        <v>85520.509844364933</v>
      </c>
      <c r="P34" s="6">
        <f t="shared" si="6"/>
        <v>610.83548504154066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316.91773858581905</v>
      </c>
      <c r="Z34" s="6">
        <f t="shared" si="13"/>
        <v>9502.2788715961033</v>
      </c>
      <c r="AA34" s="6">
        <f t="shared" si="14"/>
        <v>610.83548504154066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6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33.276362551510999</v>
      </c>
      <c r="F35" s="6">
        <f t="shared" si="3"/>
        <v>1270.4216847776045</v>
      </c>
      <c r="G35" s="6">
        <f t="shared" si="3"/>
        <v>8.5516967905815697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1663.8181275755503</v>
      </c>
      <c r="O35" s="6">
        <f t="shared" si="5"/>
        <v>89538.810660158095</v>
      </c>
      <c r="P35" s="6">
        <f t="shared" si="6"/>
        <v>641.37725929361773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332.76362551511005</v>
      </c>
      <c r="Z35" s="6">
        <f t="shared" si="13"/>
        <v>9948.7567400175667</v>
      </c>
      <c r="AA35" s="6">
        <f t="shared" si="14"/>
        <v>641.37725929361773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6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34.940180679086545</v>
      </c>
      <c r="F36" s="6">
        <f t="shared" si="3"/>
        <v>1333.9427690164846</v>
      </c>
      <c r="G36" s="6">
        <f t="shared" si="3"/>
        <v>8.9792816301106466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1747.0090339543274</v>
      </c>
      <c r="O36" s="6">
        <f t="shared" si="5"/>
        <v>93733.276516571364</v>
      </c>
      <c r="P36" s="6">
        <f t="shared" si="6"/>
        <v>673.44612225829849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2.4999999999999991</v>
      </c>
      <c r="X36" s="1">
        <v>13</v>
      </c>
      <c r="Y36" s="6">
        <f t="shared" si="12"/>
        <v>349.40180679086546</v>
      </c>
      <c r="Z36" s="6">
        <f t="shared" si="13"/>
        <v>10414.808501841262</v>
      </c>
      <c r="AA36" s="6">
        <f t="shared" si="14"/>
        <v>673.44612225829849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6">
        <f t="shared" si="17"/>
        <v>2.4999999999999991</v>
      </c>
    </row>
    <row r="37" spans="4:32" ht="14.25" customHeight="1" outlineLevel="1" x14ac:dyDescent="0.2">
      <c r="D37" s="1">
        <v>14</v>
      </c>
      <c r="E37" s="6">
        <f t="shared" si="10"/>
        <v>36.68718971304088</v>
      </c>
      <c r="F37" s="6">
        <f t="shared" si="3"/>
        <v>1400.6399074673091</v>
      </c>
      <c r="G37" s="6">
        <f t="shared" si="3"/>
        <v>9.4282457116161797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1834.359485652044</v>
      </c>
      <c r="O37" s="6">
        <f t="shared" si="5"/>
        <v>98110.424165755918</v>
      </c>
      <c r="P37" s="6">
        <f t="shared" si="6"/>
        <v>707.11842837121344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2.4999999999999991</v>
      </c>
      <c r="X37" s="1">
        <v>14</v>
      </c>
      <c r="Y37" s="6">
        <f t="shared" si="12"/>
        <v>366.8718971304088</v>
      </c>
      <c r="Z37" s="6">
        <f t="shared" si="13"/>
        <v>10901.158240639546</v>
      </c>
      <c r="AA37" s="6">
        <f t="shared" si="14"/>
        <v>707.11842837121344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6">
        <f t="shared" si="17"/>
        <v>2.4999999999999991</v>
      </c>
    </row>
    <row r="38" spans="4:32" ht="14.25" customHeight="1" outlineLevel="1" x14ac:dyDescent="0.2">
      <c r="D38" s="1">
        <v>15</v>
      </c>
      <c r="E38" s="6">
        <f t="shared" si="10"/>
        <v>38.521549198692917</v>
      </c>
      <c r="F38" s="6">
        <f t="shared" si="3"/>
        <v>1470.6719028406742</v>
      </c>
      <c r="G38" s="6">
        <f t="shared" si="3"/>
        <v>9.8996579971969858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1926.077459934646</v>
      </c>
      <c r="O38" s="6">
        <f t="shared" si="5"/>
        <v>102676.89651519539</v>
      </c>
      <c r="P38" s="6">
        <f t="shared" si="6"/>
        <v>742.4743497897739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385.21549198692918</v>
      </c>
      <c r="Z38" s="6">
        <f t="shared" si="13"/>
        <v>11408.544057243933</v>
      </c>
      <c r="AA38" s="6">
        <f t="shared" si="14"/>
        <v>742.4743497897739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6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40.44762665862757</v>
      </c>
      <c r="F39" s="6">
        <f t="shared" si="3"/>
        <v>1544.2054979827085</v>
      </c>
      <c r="G39" s="6">
        <f t="shared" si="3"/>
        <v>10.394640897056838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2022.3813329313787</v>
      </c>
      <c r="O39" s="6">
        <f t="shared" si="5"/>
        <v>107439.45333198733</v>
      </c>
      <c r="P39" s="6">
        <f t="shared" si="6"/>
        <v>779.59806727926286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404.47626658627576</v>
      </c>
      <c r="Z39" s="6">
        <f t="shared" si="13"/>
        <v>11937.717036887481</v>
      </c>
      <c r="AA39" s="6">
        <f t="shared" si="14"/>
        <v>779.59806727926286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6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42.470007991558944</v>
      </c>
      <c r="F40" s="6">
        <f t="shared" si="10"/>
        <v>1621.4157728818436</v>
      </c>
      <c r="G40" s="6">
        <f t="shared" si="10"/>
        <v>10.914372941909679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2123.5003995779471</v>
      </c>
      <c r="O40" s="6">
        <f t="shared" si="5"/>
        <v>112404.9605189545</v>
      </c>
      <c r="P40" s="6">
        <f t="shared" si="6"/>
        <v>818.57797064322597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424.70007991558941</v>
      </c>
      <c r="Z40" s="6">
        <f t="shared" si="13"/>
        <v>12489.44005766161</v>
      </c>
      <c r="AA40" s="6">
        <f t="shared" si="14"/>
        <v>818.57797064322597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6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44.593508391136901</v>
      </c>
      <c r="F41" s="6">
        <f t="shared" si="10"/>
        <v>1702.4865615259362</v>
      </c>
      <c r="G41" s="6">
        <f t="shared" si="10"/>
        <v>11.460091589005167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2229.6754195568451</v>
      </c>
      <c r="O41" s="6">
        <f t="shared" si="5"/>
        <v>117580.37786861406</v>
      </c>
      <c r="P41" s="6">
        <f t="shared" si="6"/>
        <v>859.50686917538746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445.93508391136902</v>
      </c>
      <c r="Z41" s="6">
        <f t="shared" si="13"/>
        <v>13064.486429846007</v>
      </c>
      <c r="AA41" s="6">
        <f t="shared" si="14"/>
        <v>859.50686917538746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6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46.823183810693742</v>
      </c>
      <c r="F42" s="6">
        <f t="shared" si="10"/>
        <v>1787.6108896022329</v>
      </c>
      <c r="G42" s="6">
        <f t="shared" si="10"/>
        <v>12.033096168455424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2341.1591905346877</v>
      </c>
      <c r="O42" s="6">
        <f t="shared" si="5"/>
        <v>122972.74520182365</v>
      </c>
      <c r="P42" s="6">
        <f t="shared" si="6"/>
        <v>902.48221263415678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2.4999999999999987</v>
      </c>
      <c r="X42" s="1">
        <v>19</v>
      </c>
      <c r="Y42" s="6">
        <f t="shared" si="12"/>
        <v>468.23183810693752</v>
      </c>
      <c r="Z42" s="6">
        <f t="shared" si="13"/>
        <v>13663.638355758183</v>
      </c>
      <c r="AA42" s="6">
        <f t="shared" si="14"/>
        <v>902.48221263415678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6">
        <f t="shared" si="17"/>
        <v>2.4999999999999987</v>
      </c>
    </row>
    <row r="43" spans="4:32" ht="14.25" customHeight="1" outlineLevel="1" x14ac:dyDescent="0.2">
      <c r="D43" s="1">
        <v>20</v>
      </c>
      <c r="E43" s="6">
        <f t="shared" si="10"/>
        <v>49.164343001228431</v>
      </c>
      <c r="F43" s="6">
        <f t="shared" si="10"/>
        <v>1876.9914340823445</v>
      </c>
      <c r="G43" s="6">
        <f t="shared" si="10"/>
        <v>12.634750976878195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2458.2171500614222</v>
      </c>
      <c r="O43" s="6">
        <f t="shared" si="5"/>
        <v>128589.16679987116</v>
      </c>
      <c r="P43" s="6">
        <f t="shared" si="6"/>
        <v>947.6063232658646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491.64343001228445</v>
      </c>
      <c r="Z43" s="6">
        <f t="shared" si="13"/>
        <v>14287.685199985684</v>
      </c>
      <c r="AA43" s="6">
        <f t="shared" si="14"/>
        <v>947.6063232658646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6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51.622560151289854</v>
      </c>
      <c r="F44" s="6">
        <f t="shared" si="10"/>
        <v>1970.8410057864617</v>
      </c>
      <c r="G44" s="6">
        <f t="shared" si="10"/>
        <v>13.266488525722105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2581.1280075644931</v>
      </c>
      <c r="O44" s="6">
        <f t="shared" si="5"/>
        <v>134436.79404203338</v>
      </c>
      <c r="P44" s="6">
        <f t="shared" si="6"/>
        <v>994.98663942915789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516.22560151289861</v>
      </c>
      <c r="Z44" s="6">
        <f t="shared" si="13"/>
        <v>14937.42156022593</v>
      </c>
      <c r="AA44" s="6">
        <f t="shared" si="14"/>
        <v>994.98663942915789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6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54.203688158854341</v>
      </c>
      <c r="F45" s="6">
        <f t="shared" si="10"/>
        <v>2069.3830560757847</v>
      </c>
      <c r="G45" s="6">
        <f t="shared" si="10"/>
        <v>13.929812952008209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2710.1844079427174</v>
      </c>
      <c r="O45" s="6">
        <f t="shared" si="5"/>
        <v>140522.80616537185</v>
      </c>
      <c r="P45" s="6">
        <f t="shared" si="6"/>
        <v>1044.7359714006157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542.03688158854345</v>
      </c>
      <c r="Z45" s="6">
        <f t="shared" si="13"/>
        <v>15613.645129485762</v>
      </c>
      <c r="AA45" s="6">
        <f t="shared" si="14"/>
        <v>1044.7359714006157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6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56.913872566797053</v>
      </c>
      <c r="F46" s="6">
        <f t="shared" si="10"/>
        <v>2172.8522088795739</v>
      </c>
      <c r="G46" s="6">
        <f t="shared" si="10"/>
        <v>14.626303599608619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2845.6936283398531</v>
      </c>
      <c r="O46" s="6">
        <f t="shared" si="5"/>
        <v>146854.38906992934</v>
      </c>
      <c r="P46" s="6">
        <f t="shared" si="6"/>
        <v>1096.9727699706464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2.4999999999999987</v>
      </c>
      <c r="X46" s="1">
        <v>23</v>
      </c>
      <c r="Y46" s="6">
        <f t="shared" si="12"/>
        <v>569.13872566797068</v>
      </c>
      <c r="Z46" s="6">
        <f t="shared" si="13"/>
        <v>16317.15434110326</v>
      </c>
      <c r="AA46" s="6">
        <f t="shared" si="14"/>
        <v>1096.9727699706464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6">
        <f t="shared" si="17"/>
        <v>2.4999999999999987</v>
      </c>
    </row>
    <row r="47" spans="4:32" ht="14.25" customHeight="1" outlineLevel="1" x14ac:dyDescent="0.2">
      <c r="D47" s="1">
        <v>24</v>
      </c>
      <c r="E47" s="6">
        <f t="shared" si="10"/>
        <v>59.759566195136919</v>
      </c>
      <c r="F47" s="6">
        <f t="shared" si="10"/>
        <v>2281.4948193235527</v>
      </c>
      <c r="G47" s="6">
        <f t="shared" si="10"/>
        <v>15.357618779589053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2987.9783097568461</v>
      </c>
      <c r="O47" s="6">
        <f t="shared" si="5"/>
        <v>153438.71210071252</v>
      </c>
      <c r="P47" s="6">
        <f t="shared" si="6"/>
        <v>1151.821408469179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597.59566195136927</v>
      </c>
      <c r="Z47" s="6">
        <f t="shared" si="13"/>
        <v>17048.745788968059</v>
      </c>
      <c r="AA47" s="6">
        <f t="shared" si="14"/>
        <v>1151.821408469179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6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62.74754450489376</v>
      </c>
      <c r="F48" s="6">
        <f t="shared" si="10"/>
        <v>2395.5695602897304</v>
      </c>
      <c r="G48" s="6">
        <f t="shared" si="10"/>
        <v>16.125499718568502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3137.3772252446879</v>
      </c>
      <c r="O48" s="6">
        <f t="shared" si="5"/>
        <v>160282.90274806524</v>
      </c>
      <c r="P48" s="6">
        <f t="shared" si="6"/>
        <v>1209.4124788926376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2.5</v>
      </c>
      <c r="X48" s="1">
        <v>25</v>
      </c>
      <c r="Y48" s="6">
        <f t="shared" si="12"/>
        <v>627.47544504893756</v>
      </c>
      <c r="Z48" s="6">
        <f t="shared" si="13"/>
        <v>17809.211416451693</v>
      </c>
      <c r="AA48" s="6">
        <f t="shared" si="14"/>
        <v>1209.4124788926376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6">
        <f t="shared" si="17"/>
        <v>2.5</v>
      </c>
    </row>
    <row r="49" spans="4:32" ht="14.25" customHeight="1" outlineLevel="1" x14ac:dyDescent="0.2">
      <c r="D49" s="1">
        <v>26</v>
      </c>
      <c r="E49" s="6">
        <f t="shared" si="10"/>
        <v>65.884921730138444</v>
      </c>
      <c r="F49" s="6">
        <f t="shared" si="10"/>
        <v>2515.348038304217</v>
      </c>
      <c r="G49" s="6">
        <f t="shared" si="10"/>
        <v>16.931774704496931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3294.2460865069224</v>
      </c>
      <c r="O49" s="6">
        <f t="shared" si="5"/>
        <v>167394.01922041413</v>
      </c>
      <c r="P49" s="6">
        <f t="shared" si="6"/>
        <v>1269.8831028372699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2.4999999999999996</v>
      </c>
      <c r="X49" s="1">
        <v>26</v>
      </c>
      <c r="Y49" s="6">
        <f t="shared" si="12"/>
        <v>658.84921730138444</v>
      </c>
      <c r="Z49" s="6">
        <f t="shared" si="13"/>
        <v>18599.335468934903</v>
      </c>
      <c r="AA49" s="6">
        <f t="shared" si="14"/>
        <v>1269.8831028372699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6">
        <f t="shared" si="17"/>
        <v>2.4999999999999996</v>
      </c>
    </row>
    <row r="50" spans="4:32" ht="14.25" customHeight="1" outlineLevel="1" x14ac:dyDescent="0.2">
      <c r="D50" s="1">
        <v>27</v>
      </c>
      <c r="E50" s="6">
        <f t="shared" si="10"/>
        <v>69.179167816645375</v>
      </c>
      <c r="F50" s="6">
        <f t="shared" si="10"/>
        <v>2641.1154402194279</v>
      </c>
      <c r="G50" s="6">
        <f t="shared" si="10"/>
        <v>17.778363439721776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3458.9583908322693</v>
      </c>
      <c r="O50" s="6">
        <f t="shared" si="5"/>
        <v>174779.02085805763</v>
      </c>
      <c r="P50" s="6">
        <f t="shared" si="6"/>
        <v>1333.3772579791332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691.79167816645383</v>
      </c>
      <c r="Z50" s="6">
        <f t="shared" si="13"/>
        <v>19419.891206450848</v>
      </c>
      <c r="AA50" s="6">
        <f t="shared" si="14"/>
        <v>1333.3772579791332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6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72.638126207477654</v>
      </c>
      <c r="F51" s="6">
        <f t="shared" si="10"/>
        <v>2773.1712122303993</v>
      </c>
      <c r="G51" s="6">
        <f t="shared" si="10"/>
        <v>18.667281611707867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3631.9063103738831</v>
      </c>
      <c r="O51" s="6">
        <f t="shared" si="5"/>
        <v>182444.73637380305</v>
      </c>
      <c r="P51" s="6">
        <f t="shared" si="6"/>
        <v>1400.0461208780901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2.4999999999999996</v>
      </c>
      <c r="X51" s="1">
        <v>28</v>
      </c>
      <c r="Y51" s="6">
        <f t="shared" si="12"/>
        <v>726.3812620747766</v>
      </c>
      <c r="Z51" s="6">
        <f t="shared" si="13"/>
        <v>20271.637374867005</v>
      </c>
      <c r="AA51" s="6">
        <f t="shared" si="14"/>
        <v>1400.0461208780901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6">
        <f t="shared" si="17"/>
        <v>2.4999999999999996</v>
      </c>
    </row>
    <row r="52" spans="4:32" ht="14.25" customHeight="1" outlineLevel="1" x14ac:dyDescent="0.2">
      <c r="D52" s="1">
        <v>29</v>
      </c>
      <c r="E52" s="6">
        <f t="shared" si="10"/>
        <v>76.270032517851519</v>
      </c>
      <c r="F52" s="6">
        <f t="shared" si="10"/>
        <v>2911.8297728419188</v>
      </c>
      <c r="G52" s="6">
        <f t="shared" si="10"/>
        <v>19.600645692293256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3813.5016258925766</v>
      </c>
      <c r="O52" s="6">
        <f t="shared" si="5"/>
        <v>190397.8299259443</v>
      </c>
      <c r="P52" s="6">
        <f t="shared" si="6"/>
        <v>1470.0484269219942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2.4999999999999987</v>
      </c>
      <c r="X52" s="1">
        <v>29</v>
      </c>
      <c r="Y52" s="6">
        <f t="shared" si="12"/>
        <v>762.7003251785153</v>
      </c>
      <c r="Z52" s="6">
        <f t="shared" si="13"/>
        <v>21155.314436216035</v>
      </c>
      <c r="AA52" s="6">
        <f t="shared" si="14"/>
        <v>1470.0484269219942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6">
        <f t="shared" si="17"/>
        <v>2.4999999999999987</v>
      </c>
    </row>
    <row r="53" spans="4:32" ht="14.25" customHeight="1" outlineLevel="1" x14ac:dyDescent="0.2">
      <c r="D53" s="1">
        <v>30</v>
      </c>
      <c r="E53" s="6">
        <f t="shared" si="10"/>
        <v>80.083534143744117</v>
      </c>
      <c r="F53" s="6">
        <f t="shared" si="10"/>
        <v>3057.4212614840153</v>
      </c>
      <c r="G53" s="6">
        <f t="shared" si="10"/>
        <v>20.580677976907925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4004.1767071872059</v>
      </c>
      <c r="O53" s="6">
        <f t="shared" si="5"/>
        <v>198644.76505139194</v>
      </c>
      <c r="P53" s="6">
        <f t="shared" si="6"/>
        <v>1543.5508482680943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2.4999999999999991</v>
      </c>
      <c r="X53" s="1">
        <v>30</v>
      </c>
      <c r="Y53" s="6">
        <f t="shared" si="12"/>
        <v>800.83534143744123</v>
      </c>
      <c r="Z53" s="6">
        <f t="shared" si="13"/>
        <v>22071.640561265769</v>
      </c>
      <c r="AA53" s="6">
        <f t="shared" si="14"/>
        <v>1543.5508482680943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6">
        <f t="shared" si="17"/>
        <v>2.4999999999999991</v>
      </c>
    </row>
    <row r="54" spans="4:32" ht="14.25" customHeight="1" outlineLevel="1" x14ac:dyDescent="0.2">
      <c r="D54" s="1">
        <v>31</v>
      </c>
      <c r="E54" s="6">
        <f t="shared" si="10"/>
        <v>84.087710850931288</v>
      </c>
      <c r="F54" s="6">
        <f t="shared" si="10"/>
        <v>3210.2923245582151</v>
      </c>
      <c r="G54" s="6">
        <f t="shared" si="10"/>
        <v>21.609711875753312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4204.3855425465645</v>
      </c>
      <c r="O54" s="6">
        <f t="shared" si="5"/>
        <v>207191.76651175998</v>
      </c>
      <c r="P54" s="6">
        <f t="shared" si="6"/>
        <v>1620.7283906814985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2.5</v>
      </c>
      <c r="X54" s="1">
        <v>31</v>
      </c>
      <c r="Y54" s="6">
        <f t="shared" si="12"/>
        <v>840.87710850931285</v>
      </c>
      <c r="Z54" s="6">
        <f t="shared" si="13"/>
        <v>23021.307390195554</v>
      </c>
      <c r="AA54" s="6">
        <f t="shared" si="14"/>
        <v>1620.7283906814985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6">
        <f t="shared" si="17"/>
        <v>2.5</v>
      </c>
    </row>
    <row r="55" spans="4:32" ht="14.25" customHeight="1" outlineLevel="1" x14ac:dyDescent="0.2">
      <c r="D55" s="1">
        <v>32</v>
      </c>
      <c r="E55" s="6">
        <f t="shared" si="10"/>
        <v>88.292096393477891</v>
      </c>
      <c r="F55" s="6">
        <f t="shared" si="10"/>
        <v>3370.8069407861271</v>
      </c>
      <c r="G55" s="6">
        <f t="shared" si="10"/>
        <v>22.690197469540987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4414.6048196738948</v>
      </c>
      <c r="O55" s="6">
        <f t="shared" si="5"/>
        <v>216044.78013287141</v>
      </c>
      <c r="P55" s="6">
        <f t="shared" si="6"/>
        <v>1701.764810215574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2.4999999999999991</v>
      </c>
      <c r="X55" s="1">
        <v>32</v>
      </c>
      <c r="Y55" s="6">
        <f t="shared" si="12"/>
        <v>882.92096393477891</v>
      </c>
      <c r="Z55" s="6">
        <f t="shared" si="13"/>
        <v>24004.975570319046</v>
      </c>
      <c r="AA55" s="6">
        <f t="shared" si="14"/>
        <v>1701.764810215574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6">
        <f t="shared" si="17"/>
        <v>2.4999999999999991</v>
      </c>
    </row>
    <row r="56" spans="4:32" ht="14.25" customHeight="1" outlineLevel="1" x14ac:dyDescent="0.2">
      <c r="D56" s="1">
        <v>33</v>
      </c>
      <c r="E56" s="6">
        <f t="shared" si="10"/>
        <v>92.706701213151774</v>
      </c>
      <c r="F56" s="6">
        <f t="shared" si="10"/>
        <v>3539.3472878254333</v>
      </c>
      <c r="G56" s="6">
        <f t="shared" si="10"/>
        <v>23.824707343018034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4635.3350606575887</v>
      </c>
      <c r="O56" s="6">
        <f t="shared" si="5"/>
        <v>225209.43074839585</v>
      </c>
      <c r="P56" s="6">
        <f t="shared" si="6"/>
        <v>1786.8530507263524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2.4999999999999996</v>
      </c>
      <c r="X56" s="1">
        <v>33</v>
      </c>
      <c r="Y56" s="6">
        <f t="shared" si="12"/>
        <v>927.06701213151769</v>
      </c>
      <c r="Z56" s="6">
        <f t="shared" si="13"/>
        <v>25023.270083155094</v>
      </c>
      <c r="AA56" s="6">
        <f t="shared" si="14"/>
        <v>1786.8530507263524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6">
        <f t="shared" si="17"/>
        <v>2.4999999999999996</v>
      </c>
    </row>
    <row r="57" spans="4:32" ht="14.25" customHeight="1" outlineLevel="1" x14ac:dyDescent="0.2">
      <c r="D57" s="1">
        <v>34</v>
      </c>
      <c r="E57" s="6">
        <f t="shared" si="10"/>
        <v>97.34203627380937</v>
      </c>
      <c r="F57" s="6">
        <f t="shared" si="10"/>
        <v>3716.3146522167049</v>
      </c>
      <c r="G57" s="6">
        <f t="shared" si="10"/>
        <v>25.015942710168936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4867.1018136904686</v>
      </c>
      <c r="O57" s="6">
        <f t="shared" si="5"/>
        <v>234690.97839106919</v>
      </c>
      <c r="P57" s="6">
        <f t="shared" si="6"/>
        <v>1876.1957032626701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2.4999999999999991</v>
      </c>
      <c r="X57" s="1">
        <v>34</v>
      </c>
      <c r="Y57" s="6">
        <f t="shared" si="12"/>
        <v>973.42036273809367</v>
      </c>
      <c r="Z57" s="6">
        <f t="shared" si="13"/>
        <v>26076.775376785467</v>
      </c>
      <c r="AA57" s="6">
        <f t="shared" si="14"/>
        <v>1876.1957032626701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6">
        <f t="shared" si="17"/>
        <v>2.4999999999999991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102.20913808749982</v>
      </c>
      <c r="F58" s="6">
        <f t="shared" si="20"/>
        <v>3902.1303848275402</v>
      </c>
      <c r="G58" s="6">
        <f t="shared" si="20"/>
        <v>26.266739845677382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5110.4569043749916</v>
      </c>
      <c r="O58" s="6">
        <f t="shared" si="5"/>
        <v>244494.27290993975</v>
      </c>
      <c r="P58" s="6">
        <f t="shared" si="6"/>
        <v>1970.0054884258036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2.4999999999999991</v>
      </c>
      <c r="X58" s="1">
        <v>35</v>
      </c>
      <c r="Y58" s="6">
        <f t="shared" si="12"/>
        <v>1022.0913808749983</v>
      </c>
      <c r="Z58" s="6">
        <f t="shared" si="13"/>
        <v>27166.030323326639</v>
      </c>
      <c r="AA58" s="6">
        <f t="shared" si="14"/>
        <v>1970.0054884258036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6">
        <f t="shared" si="17"/>
        <v>2.4999999999999991</v>
      </c>
    </row>
    <row r="59" spans="4:32" ht="14.25" customHeight="1" outlineLevel="1" x14ac:dyDescent="0.2">
      <c r="D59" s="1">
        <v>36</v>
      </c>
      <c r="E59" s="6">
        <f t="shared" si="20"/>
        <v>107.31959499187484</v>
      </c>
      <c r="F59" s="6">
        <f t="shared" si="20"/>
        <v>4097.2369040689182</v>
      </c>
      <c r="G59" s="6">
        <f t="shared" si="20"/>
        <v>27.580076837961258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5365.9797495937428</v>
      </c>
      <c r="O59" s="6">
        <f t="shared" si="5"/>
        <v>254623.70722908375</v>
      </c>
      <c r="P59" s="6">
        <f t="shared" si="6"/>
        <v>2068.5057628470945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2.4999999999999991</v>
      </c>
      <c r="X59" s="1">
        <v>36</v>
      </c>
      <c r="Y59" s="6">
        <f t="shared" si="12"/>
        <v>1073.1959499187485</v>
      </c>
      <c r="Z59" s="6">
        <f t="shared" si="13"/>
        <v>28291.523025453749</v>
      </c>
      <c r="AA59" s="6">
        <f t="shared" si="14"/>
        <v>2068.5057628470945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6">
        <f t="shared" si="17"/>
        <v>2.4999999999999991</v>
      </c>
    </row>
    <row r="60" spans="4:32" ht="14.25" customHeight="1" outlineLevel="1" x14ac:dyDescent="0.2">
      <c r="D60" s="1">
        <v>37</v>
      </c>
      <c r="E60" s="6">
        <f t="shared" si="20"/>
        <v>112.68557474146856</v>
      </c>
      <c r="F60" s="6">
        <f t="shared" si="20"/>
        <v>4302.0987492723634</v>
      </c>
      <c r="G60" s="6">
        <f t="shared" si="20"/>
        <v>28.959080679859316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5634.2787370734286</v>
      </c>
      <c r="O60" s="6">
        <f t="shared" si="5"/>
        <v>265083.16950185044</v>
      </c>
      <c r="P60" s="6">
        <f t="shared" si="6"/>
        <v>2171.9310509894485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1126.8557474146858</v>
      </c>
      <c r="Z60" s="6">
        <f t="shared" si="13"/>
        <v>29453.685500205604</v>
      </c>
      <c r="AA60" s="6">
        <f t="shared" si="14"/>
        <v>2171.9310509894485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6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118.319853478542</v>
      </c>
      <c r="F61" s="6">
        <f t="shared" si="20"/>
        <v>4517.203686735982</v>
      </c>
      <c r="G61" s="6">
        <f t="shared" si="20"/>
        <v>30.407034713852283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5915.9926739271004</v>
      </c>
      <c r="O61" s="6">
        <f t="shared" si="5"/>
        <v>275875.99445447954</v>
      </c>
      <c r="P61" s="6">
        <f t="shared" si="6"/>
        <v>2280.5276035389211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2.4999999999999987</v>
      </c>
      <c r="X61" s="1">
        <v>38</v>
      </c>
      <c r="Y61" s="6">
        <f t="shared" si="12"/>
        <v>1183.1985347854202</v>
      </c>
      <c r="Z61" s="6">
        <f t="shared" si="13"/>
        <v>30652.888272719949</v>
      </c>
      <c r="AA61" s="6">
        <f t="shared" si="14"/>
        <v>2280.5276035389211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6">
        <f t="shared" si="17"/>
        <v>2.4999999999999987</v>
      </c>
    </row>
    <row r="62" spans="4:32" ht="14.25" customHeight="1" outlineLevel="1" x14ac:dyDescent="0.2">
      <c r="D62" s="1">
        <v>39</v>
      </c>
      <c r="E62" s="6">
        <f t="shared" si="20"/>
        <v>124.23584615246908</v>
      </c>
      <c r="F62" s="6">
        <f t="shared" si="20"/>
        <v>4743.0638710727799</v>
      </c>
      <c r="G62" s="6">
        <f t="shared" si="20"/>
        <v>31.92738644954489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6211.7923076234547</v>
      </c>
      <c r="O62" s="6">
        <f t="shared" si="5"/>
        <v>287004.91425332543</v>
      </c>
      <c r="P62" s="6">
        <f t="shared" si="6"/>
        <v>2394.5539837158667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2.4999999999999991</v>
      </c>
      <c r="X62" s="1">
        <v>39</v>
      </c>
      <c r="Y62" s="6">
        <f t="shared" si="12"/>
        <v>1242.3584615246909</v>
      </c>
      <c r="Z62" s="6">
        <f t="shared" si="13"/>
        <v>31889.43491703616</v>
      </c>
      <c r="AA62" s="6">
        <f t="shared" si="14"/>
        <v>2394.5539837158667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6">
        <f t="shared" si="17"/>
        <v>2.4999999999999991</v>
      </c>
    </row>
    <row r="63" spans="4:32" ht="14.25" customHeight="1" outlineLevel="1" x14ac:dyDescent="0.2">
      <c r="D63" s="1">
        <v>40</v>
      </c>
      <c r="E63" s="6">
        <f t="shared" si="20"/>
        <v>130.44763846009255</v>
      </c>
      <c r="F63" s="6">
        <f t="shared" si="20"/>
        <v>4980.2170646264203</v>
      </c>
      <c r="G63" s="6">
        <f t="shared" si="20"/>
        <v>33.523755772022142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6522.3819230046274</v>
      </c>
      <c r="O63" s="6">
        <f t="shared" si="5"/>
        <v>298472.00927027164</v>
      </c>
      <c r="P63" s="6">
        <f t="shared" si="6"/>
        <v>2514.2816829016606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2.4999999999999996</v>
      </c>
      <c r="X63" s="1">
        <v>40</v>
      </c>
      <c r="Y63" s="6">
        <f t="shared" si="12"/>
        <v>1304.4763846009255</v>
      </c>
      <c r="Z63" s="6">
        <f t="shared" si="13"/>
        <v>33163.556585585735</v>
      </c>
      <c r="AA63" s="6">
        <f t="shared" si="14"/>
        <v>2514.2816829016606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6">
        <f t="shared" si="17"/>
        <v>2.4999999999999996</v>
      </c>
    </row>
    <row r="64" spans="4:32" ht="14.25" customHeight="1" outlineLevel="1" x14ac:dyDescent="0.2">
      <c r="D64" s="1">
        <v>41</v>
      </c>
      <c r="E64" s="6">
        <f t="shared" si="20"/>
        <v>136.97002038309716</v>
      </c>
      <c r="F64" s="6">
        <f t="shared" si="20"/>
        <v>5229.2279178577401</v>
      </c>
      <c r="G64" s="6">
        <f t="shared" si="20"/>
        <v>35.199943560623247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6848.501019154859</v>
      </c>
      <c r="O64" s="6">
        <f t="shared" si="5"/>
        <v>310278.65916047199</v>
      </c>
      <c r="P64" s="6">
        <f t="shared" si="6"/>
        <v>2639.9957670467434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2.4999999999999987</v>
      </c>
      <c r="X64" s="1">
        <v>41</v>
      </c>
      <c r="Y64" s="6">
        <f t="shared" si="12"/>
        <v>1369.7002038309718</v>
      </c>
      <c r="Z64" s="6">
        <f t="shared" si="13"/>
        <v>34475.406573385779</v>
      </c>
      <c r="AA64" s="6">
        <f t="shared" si="14"/>
        <v>2639.9957670467434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6">
        <f t="shared" si="17"/>
        <v>2.4999999999999987</v>
      </c>
    </row>
    <row r="65" spans="4:32" ht="14.25" customHeight="1" outlineLevel="1" x14ac:dyDescent="0.2">
      <c r="D65" s="1">
        <v>42</v>
      </c>
      <c r="E65" s="6">
        <f t="shared" si="20"/>
        <v>143.81852140225203</v>
      </c>
      <c r="F65" s="6">
        <f t="shared" si="20"/>
        <v>5490.6893137506277</v>
      </c>
      <c r="G65" s="6">
        <f t="shared" si="20"/>
        <v>36.95994073865441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7190.9260701126022</v>
      </c>
      <c r="O65" s="6">
        <f t="shared" si="5"/>
        <v>322425.49470448022</v>
      </c>
      <c r="P65" s="6">
        <f t="shared" si="6"/>
        <v>2771.9955553990808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2.4999999999999996</v>
      </c>
      <c r="X65" s="1">
        <v>42</v>
      </c>
      <c r="Y65" s="6">
        <f t="shared" si="12"/>
        <v>1438.1852140225205</v>
      </c>
      <c r="Z65" s="6">
        <f t="shared" si="13"/>
        <v>35825.054967164469</v>
      </c>
      <c r="AA65" s="6">
        <f t="shared" si="14"/>
        <v>2771.9955553990808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6">
        <f t="shared" si="17"/>
        <v>2.4999999999999996</v>
      </c>
    </row>
    <row r="66" spans="4:32" ht="14.25" customHeight="1" outlineLevel="1" x14ac:dyDescent="0.2">
      <c r="D66" s="1">
        <v>43</v>
      </c>
      <c r="E66" s="6">
        <f t="shared" si="20"/>
        <v>151.00944747236466</v>
      </c>
      <c r="F66" s="6">
        <f t="shared" si="20"/>
        <v>5765.223779438159</v>
      </c>
      <c r="G66" s="6">
        <f t="shared" si="20"/>
        <v>38.807937775587135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7550.4723736182332</v>
      </c>
      <c r="O66" s="6">
        <f t="shared" si="5"/>
        <v>334912.35090220044</v>
      </c>
      <c r="P66" s="6">
        <f t="shared" si="6"/>
        <v>2910.5953331690353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2.4999999999999996</v>
      </c>
      <c r="X66" s="1">
        <v>43</v>
      </c>
      <c r="Y66" s="6">
        <f t="shared" si="12"/>
        <v>1510.0944747236467</v>
      </c>
      <c r="Z66" s="6">
        <f t="shared" si="13"/>
        <v>37212.483433577829</v>
      </c>
      <c r="AA66" s="6">
        <f t="shared" si="14"/>
        <v>2910.5953331690353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6">
        <f t="shared" si="17"/>
        <v>2.4999999999999996</v>
      </c>
    </row>
    <row r="67" spans="4:32" ht="14.25" customHeight="1" outlineLevel="1" x14ac:dyDescent="0.2">
      <c r="D67" s="1">
        <v>44</v>
      </c>
      <c r="E67" s="6">
        <f t="shared" si="20"/>
        <v>158.5599198459829</v>
      </c>
      <c r="F67" s="6">
        <f t="shared" si="20"/>
        <v>6053.4849684100673</v>
      </c>
      <c r="G67" s="6">
        <f t="shared" si="20"/>
        <v>40.748334664366496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7927.9959922991447</v>
      </c>
      <c r="O67" s="6">
        <f t="shared" si="5"/>
        <v>347738.22183792799</v>
      </c>
      <c r="P67" s="6">
        <f t="shared" si="6"/>
        <v>3056.1250998274872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2.4999999999999996</v>
      </c>
      <c r="X67" s="1">
        <v>44</v>
      </c>
      <c r="Y67" s="6">
        <f t="shared" si="12"/>
        <v>1585.599198459829</v>
      </c>
      <c r="Z67" s="6">
        <f t="shared" si="13"/>
        <v>38637.580204214224</v>
      </c>
      <c r="AA67" s="6">
        <f t="shared" si="14"/>
        <v>3056.1250998274872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6">
        <f t="shared" si="17"/>
        <v>2.4999999999999996</v>
      </c>
    </row>
    <row r="68" spans="4:32" ht="14.25" customHeight="1" outlineLevel="1" x14ac:dyDescent="0.2">
      <c r="D68" s="1">
        <v>45</v>
      </c>
      <c r="E68" s="6">
        <f t="shared" si="20"/>
        <v>166.48791583828202</v>
      </c>
      <c r="F68" s="6">
        <f t="shared" si="20"/>
        <v>6356.1592168305706</v>
      </c>
      <c r="G68" s="6">
        <f t="shared" si="20"/>
        <v>42.785751397584811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8324.3957919141012</v>
      </c>
      <c r="O68" s="6">
        <f t="shared" si="5"/>
        <v>360901.21786300262</v>
      </c>
      <c r="P68" s="6">
        <f t="shared" si="6"/>
        <v>3208.9313548188607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2.4999999999999991</v>
      </c>
      <c r="X68" s="1">
        <v>45</v>
      </c>
      <c r="Y68" s="6">
        <f t="shared" si="12"/>
        <v>1664.8791583828202</v>
      </c>
      <c r="Z68" s="6">
        <f t="shared" si="13"/>
        <v>40100.135318111403</v>
      </c>
      <c r="AA68" s="6">
        <f t="shared" si="14"/>
        <v>3208.9313548188607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6">
        <f t="shared" si="17"/>
        <v>2.4999999999999991</v>
      </c>
    </row>
    <row r="69" spans="4:32" ht="14.25" customHeight="1" outlineLevel="1" x14ac:dyDescent="0.2">
      <c r="D69" s="1">
        <v>46</v>
      </c>
      <c r="E69" s="6">
        <f t="shared" si="20"/>
        <v>174.81231163019615</v>
      </c>
      <c r="F69" s="6">
        <f t="shared" si="20"/>
        <v>6673.9671776720998</v>
      </c>
      <c r="G69" s="6">
        <f t="shared" si="20"/>
        <v>44.925038967464062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8740.6155815098082</v>
      </c>
      <c r="O69" s="6">
        <f t="shared" si="5"/>
        <v>374398.5256642134</v>
      </c>
      <c r="P69" s="6">
        <f t="shared" si="6"/>
        <v>3369.3779225598046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1748.1231163019615</v>
      </c>
      <c r="Z69" s="6">
        <f t="shared" si="13"/>
        <v>41599.836184912601</v>
      </c>
      <c r="AA69" s="6">
        <f t="shared" si="14"/>
        <v>3369.3779225598046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6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183.55292721170591</v>
      </c>
      <c r="F70" s="6">
        <f t="shared" si="20"/>
        <v>7007.6655365557035</v>
      </c>
      <c r="G70" s="6">
        <f t="shared" si="20"/>
        <v>47.171290915837254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9177.6463605852969</v>
      </c>
      <c r="O70" s="6">
        <f t="shared" si="5"/>
        <v>388226.37180099305</v>
      </c>
      <c r="P70" s="6">
        <f t="shared" si="6"/>
        <v>3537.846818687794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1835.5292721170595</v>
      </c>
      <c r="Z70" s="6">
        <f t="shared" si="13"/>
        <v>43136.263533443671</v>
      </c>
      <c r="AA70" s="6">
        <f t="shared" si="14"/>
        <v>3537.846818687794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6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192.73057357229126</v>
      </c>
      <c r="F71" s="6">
        <f t="shared" si="20"/>
        <v>7358.0488133834906</v>
      </c>
      <c r="G71" s="6">
        <f t="shared" si="20"/>
        <v>49.529855461629133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9636.5286786145643</v>
      </c>
      <c r="O71" s="6">
        <f t="shared" si="5"/>
        <v>402379.99030159053</v>
      </c>
      <c r="P71" s="6">
        <f t="shared" si="6"/>
        <v>3714.7391596221851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2.4999999999999996</v>
      </c>
      <c r="X71" s="1">
        <v>48</v>
      </c>
      <c r="Y71" s="6">
        <f t="shared" si="12"/>
        <v>1927.3057357229129</v>
      </c>
      <c r="Z71" s="6">
        <f t="shared" si="13"/>
        <v>44708.887811287837</v>
      </c>
      <c r="AA71" s="6">
        <f t="shared" si="14"/>
        <v>3714.7391596221851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6">
        <f t="shared" si="17"/>
        <v>2.4999999999999996</v>
      </c>
    </row>
    <row r="72" spans="4:32" ht="14.25" customHeight="1" outlineLevel="1" x14ac:dyDescent="0.2">
      <c r="D72" s="1">
        <v>49</v>
      </c>
      <c r="E72" s="6">
        <f t="shared" si="20"/>
        <v>202.36710225090582</v>
      </c>
      <c r="F72" s="6">
        <f t="shared" si="20"/>
        <v>7725.9512540526648</v>
      </c>
      <c r="G72" s="6">
        <f t="shared" si="20"/>
        <v>52.006348234710586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10118.355112545292</v>
      </c>
      <c r="O72" s="6">
        <f t="shared" si="5"/>
        <v>416853.59490683215</v>
      </c>
      <c r="P72" s="6">
        <f t="shared" si="6"/>
        <v>3900.4761176032939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2023.6710225090585</v>
      </c>
      <c r="Z72" s="6">
        <f t="shared" si="13"/>
        <v>46317.066100759126</v>
      </c>
      <c r="AA72" s="6">
        <f t="shared" si="14"/>
        <v>3900.4761176032939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6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212.48545736345113</v>
      </c>
      <c r="F73" s="6">
        <f t="shared" si="20"/>
        <v>8112.2488167552983</v>
      </c>
      <c r="G73" s="6">
        <f t="shared" si="20"/>
        <v>54.606665646446118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10624.272868172557</v>
      </c>
      <c r="O73" s="6">
        <f t="shared" si="5"/>
        <v>431640.3565389025</v>
      </c>
      <c r="P73" s="6">
        <f t="shared" si="6"/>
        <v>4095.4999234834586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2.4999999999999991</v>
      </c>
      <c r="X73" s="1">
        <v>50</v>
      </c>
      <c r="Y73" s="6">
        <f t="shared" si="12"/>
        <v>2124.8545736345113</v>
      </c>
      <c r="Z73" s="6">
        <f t="shared" si="13"/>
        <v>47960.039615433612</v>
      </c>
      <c r="AA73" s="6">
        <f t="shared" si="14"/>
        <v>4095.4999234834586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6">
        <f t="shared" si="17"/>
        <v>2.4999999999999991</v>
      </c>
    </row>
    <row r="74" spans="4:32" ht="14.25" customHeight="1" outlineLevel="1" x14ac:dyDescent="0.2">
      <c r="D74" s="1">
        <v>51</v>
      </c>
      <c r="E74" s="6">
        <f t="shared" si="20"/>
        <v>223.10973023162367</v>
      </c>
      <c r="F74" s="6">
        <f t="shared" si="20"/>
        <v>8517.8612575930638</v>
      </c>
      <c r="G74" s="6">
        <f t="shared" si="20"/>
        <v>57.336998928768423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11155.486511581184</v>
      </c>
      <c r="O74" s="6">
        <f t="shared" si="5"/>
        <v>446732.38655105134</v>
      </c>
      <c r="P74" s="6">
        <f t="shared" si="6"/>
        <v>4300.2749196576315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2231.0973023162369</v>
      </c>
      <c r="Z74" s="6">
        <f t="shared" si="13"/>
        <v>49636.931839005701</v>
      </c>
      <c r="AA74" s="6">
        <f t="shared" si="14"/>
        <v>4300.2749196576315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6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234.26521674320486</v>
      </c>
      <c r="F75" s="6">
        <f t="shared" si="20"/>
        <v>8943.7543204727172</v>
      </c>
      <c r="G75" s="6">
        <f t="shared" si="20"/>
        <v>60.203848875206845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11713.260837160244</v>
      </c>
      <c r="O75" s="6">
        <f t="shared" si="5"/>
        <v>462120.72628171492</v>
      </c>
      <c r="P75" s="6">
        <f t="shared" si="6"/>
        <v>4515.2886656405135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2342.6521674320488</v>
      </c>
      <c r="Z75" s="6">
        <f t="shared" si="13"/>
        <v>51346.74736463499</v>
      </c>
      <c r="AA75" s="6">
        <f t="shared" si="14"/>
        <v>4515.2886656405135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6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245.97847758036511</v>
      </c>
      <c r="F76" s="6">
        <f t="shared" si="20"/>
        <v>9390.9420364963535</v>
      </c>
      <c r="G76" s="6">
        <f t="shared" si="20"/>
        <v>63.21404131896719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12298.923879018255</v>
      </c>
      <c r="O76" s="6">
        <f t="shared" si="5"/>
        <v>477795.34339287272</v>
      </c>
      <c r="P76" s="6">
        <f t="shared" si="6"/>
        <v>4741.053098922539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2459.784775803651</v>
      </c>
      <c r="Z76" s="6">
        <f t="shared" si="13"/>
        <v>53088.371488096971</v>
      </c>
      <c r="AA76" s="6">
        <f t="shared" si="14"/>
        <v>4741.053098922539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6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258.27740145938333</v>
      </c>
      <c r="F77" s="6">
        <f t="shared" si="20"/>
        <v>9860.4891383211689</v>
      </c>
      <c r="G77" s="6">
        <f t="shared" si="20"/>
        <v>66.374743384915547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12913.870072969168</v>
      </c>
      <c r="O77" s="6">
        <f t="shared" si="5"/>
        <v>493745.13541745697</v>
      </c>
      <c r="P77" s="6">
        <f t="shared" si="6"/>
        <v>4978.1057538686664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2582.7740145938337</v>
      </c>
      <c r="Z77" s="6">
        <f t="shared" si="13"/>
        <v>54860.57060193966</v>
      </c>
      <c r="AA77" s="6">
        <f t="shared" si="14"/>
        <v>4978.1057538686664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6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271.19127153235252</v>
      </c>
      <c r="F78" s="6">
        <f t="shared" si="20"/>
        <v>10353.513595237227</v>
      </c>
      <c r="G78" s="6">
        <f t="shared" si="20"/>
        <v>69.693480554161312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13559.563576617627</v>
      </c>
      <c r="O78" s="6">
        <f t="shared" si="5"/>
        <v>509957.94087447616</v>
      </c>
      <c r="P78" s="6">
        <f t="shared" si="6"/>
        <v>5227.0110415620984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2.4999999999999991</v>
      </c>
      <c r="X78" s="1">
        <v>55</v>
      </c>
      <c r="Y78" s="6">
        <f t="shared" si="12"/>
        <v>2711.9127153235254</v>
      </c>
      <c r="Z78" s="6">
        <f t="shared" si="13"/>
        <v>56661.99343049735</v>
      </c>
      <c r="AA78" s="6">
        <f t="shared" si="14"/>
        <v>5227.0110415620984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6">
        <f t="shared" si="17"/>
        <v>2.4999999999999991</v>
      </c>
    </row>
    <row r="79" spans="4:32" ht="14.25" customHeight="1" outlineLevel="1" x14ac:dyDescent="0.2">
      <c r="D79" s="1">
        <v>56</v>
      </c>
      <c r="E79" s="6">
        <f t="shared" si="20"/>
        <v>284.75083510897019</v>
      </c>
      <c r="F79" s="6">
        <f t="shared" si="20"/>
        <v>10871.189274999091</v>
      </c>
      <c r="G79" s="6">
        <f t="shared" si="20"/>
        <v>73.178154581869393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14237.54175544851</v>
      </c>
      <c r="O79" s="6">
        <f t="shared" si="5"/>
        <v>526420.55823368975</v>
      </c>
      <c r="P79" s="6">
        <f t="shared" si="6"/>
        <v>5488.3615936402048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2.4999999999999991</v>
      </c>
      <c r="X79" s="1">
        <v>56</v>
      </c>
      <c r="Y79" s="6">
        <f t="shared" si="12"/>
        <v>2847.508351089702</v>
      </c>
      <c r="Z79" s="6">
        <f t="shared" si="13"/>
        <v>58491.173137076636</v>
      </c>
      <c r="AA79" s="6">
        <f t="shared" si="14"/>
        <v>5488.3615936402048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6">
        <f t="shared" si="17"/>
        <v>2.4999999999999991</v>
      </c>
    </row>
    <row r="80" spans="4:32" ht="14.25" customHeight="1" outlineLevel="1" x14ac:dyDescent="0.2">
      <c r="D80" s="1">
        <v>57</v>
      </c>
      <c r="E80" s="6">
        <f t="shared" si="20"/>
        <v>298.98837686441863</v>
      </c>
      <c r="F80" s="6">
        <f t="shared" si="20"/>
        <v>11414.748738749044</v>
      </c>
      <c r="G80" s="6">
        <f t="shared" si="20"/>
        <v>76.83706231096285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14949.418843220932</v>
      </c>
      <c r="O80" s="6">
        <f t="shared" si="5"/>
        <v>543118.77292499307</v>
      </c>
      <c r="P80" s="6">
        <f t="shared" si="6"/>
        <v>5762.779673322214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2989.8837686441866</v>
      </c>
      <c r="Z80" s="6">
        <f t="shared" si="13"/>
        <v>60346.530324999228</v>
      </c>
      <c r="AA80" s="6">
        <f t="shared" si="14"/>
        <v>5762.779673322214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6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313.93779570763962</v>
      </c>
      <c r="F81" s="6">
        <f t="shared" si="20"/>
        <v>11985.486175686498</v>
      </c>
      <c r="G81" s="6">
        <f t="shared" si="20"/>
        <v>80.678915426510997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15696.889785381982</v>
      </c>
      <c r="O81" s="6">
        <f t="shared" si="5"/>
        <v>560037.3924922453</v>
      </c>
      <c r="P81" s="6">
        <f t="shared" si="6"/>
        <v>6050.918656988325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3139.3779570763963</v>
      </c>
      <c r="Z81" s="6">
        <f t="shared" si="13"/>
        <v>62226.376943582814</v>
      </c>
      <c r="AA81" s="6">
        <f t="shared" si="14"/>
        <v>6050.918656988325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6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329.63468549302161</v>
      </c>
      <c r="F82" s="6">
        <f t="shared" si="20"/>
        <v>12584.760484470822</v>
      </c>
      <c r="G82" s="6">
        <f t="shared" si="20"/>
        <v>84.71286119783656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16481.73427465108</v>
      </c>
      <c r="O82" s="6">
        <f t="shared" si="5"/>
        <v>577160.28988856392</v>
      </c>
      <c r="P82" s="6">
        <f t="shared" si="6"/>
        <v>6353.4645898377421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2.4999999999999991</v>
      </c>
      <c r="X82" s="1">
        <v>59</v>
      </c>
      <c r="Y82" s="6">
        <f t="shared" si="12"/>
        <v>3296.3468549302161</v>
      </c>
      <c r="Z82" s="6">
        <f t="shared" si="13"/>
        <v>64128.921098729326</v>
      </c>
      <c r="AA82" s="6">
        <f t="shared" si="14"/>
        <v>6353.4645898377421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6">
        <f t="shared" si="17"/>
        <v>2.4999999999999991</v>
      </c>
    </row>
    <row r="83" spans="4:32" ht="14.25" customHeight="1" outlineLevel="1" x14ac:dyDescent="0.2">
      <c r="D83" s="1">
        <v>60</v>
      </c>
      <c r="E83" s="6">
        <f t="shared" si="20"/>
        <v>346.11641976767271</v>
      </c>
      <c r="F83" s="6">
        <f t="shared" si="20"/>
        <v>13213.998508694365</v>
      </c>
      <c r="G83" s="6">
        <f t="shared" si="20"/>
        <v>88.948504257728388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17305.820988383635</v>
      </c>
      <c r="O83" s="6">
        <f t="shared" si="5"/>
        <v>594470.45480182406</v>
      </c>
      <c r="P83" s="6">
        <f t="shared" si="6"/>
        <v>6671.1378193296287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3461.1641976767269</v>
      </c>
      <c r="Z83" s="6">
        <f t="shared" si="13"/>
        <v>66052.272755758226</v>
      </c>
      <c r="AA83" s="6">
        <f t="shared" si="14"/>
        <v>6671.1378193296287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6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363.42224075605628</v>
      </c>
      <c r="F84" s="6">
        <f t="shared" si="20"/>
        <v>13874.698434129081</v>
      </c>
      <c r="G84" s="6">
        <f t="shared" si="20"/>
        <v>93.395929470614789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18171.112037802814</v>
      </c>
      <c r="O84" s="6">
        <f t="shared" si="5"/>
        <v>611950.05278725212</v>
      </c>
      <c r="P84" s="6">
        <f t="shared" si="6"/>
        <v>7004.6947102961094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2.4999999999999996</v>
      </c>
      <c r="X84" s="1">
        <v>61</v>
      </c>
      <c r="Y84" s="6">
        <f t="shared" si="12"/>
        <v>3634.2224075605627</v>
      </c>
      <c r="Z84" s="6">
        <f t="shared" si="13"/>
        <v>67994.450309694686</v>
      </c>
      <c r="AA84" s="6">
        <f t="shared" si="14"/>
        <v>7004.6947102961094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6">
        <f t="shared" si="17"/>
        <v>2.4999999999999996</v>
      </c>
    </row>
    <row r="85" spans="4:32" ht="14.25" customHeight="1" outlineLevel="1" x14ac:dyDescent="0.2">
      <c r="D85" s="1">
        <v>62</v>
      </c>
      <c r="E85" s="6">
        <f t="shared" si="20"/>
        <v>381.5933527938592</v>
      </c>
      <c r="F85" s="6">
        <f t="shared" si="20"/>
        <v>14568.433355835537</v>
      </c>
      <c r="G85" s="6">
        <f t="shared" si="20"/>
        <v>98.065725944145555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19079.667639692962</v>
      </c>
      <c r="O85" s="6">
        <f t="shared" si="5"/>
        <v>629580.4918707991</v>
      </c>
      <c r="P85" s="6">
        <f t="shared" si="6"/>
        <v>7354.9294458109171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3815.9335279385923</v>
      </c>
      <c r="Z85" s="6">
        <f t="shared" si="13"/>
        <v>69953.387985644338</v>
      </c>
      <c r="AA85" s="6">
        <f t="shared" si="14"/>
        <v>7354.9294458109171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6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400.67302043355198</v>
      </c>
      <c r="F86" s="6">
        <f t="shared" si="20"/>
        <v>15296.855023627308</v>
      </c>
      <c r="G86" s="6">
        <f t="shared" si="20"/>
        <v>102.9690122413528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20033.651021677601</v>
      </c>
      <c r="O86" s="6">
        <f t="shared" si="5"/>
        <v>647342.49617478123</v>
      </c>
      <c r="P86" s="6">
        <f t="shared" si="6"/>
        <v>7722.6759181014604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4006.7302043355203</v>
      </c>
      <c r="Z86" s="6">
        <f t="shared" si="13"/>
        <v>71926.944019420131</v>
      </c>
      <c r="AA86" s="6">
        <f t="shared" si="14"/>
        <v>7722.6759181014604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6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420.70667145522975</v>
      </c>
      <c r="F87" s="6">
        <f t="shared" si="20"/>
        <v>16061.697774808681</v>
      </c>
      <c r="G87" s="6">
        <f t="shared" si="20"/>
        <v>108.11746285342048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21035.33357276149</v>
      </c>
      <c r="O87" s="6">
        <f t="shared" si="5"/>
        <v>665216.1860085777</v>
      </c>
      <c r="P87" s="6">
        <f t="shared" si="6"/>
        <v>8108.8097140065356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4207.0667145522984</v>
      </c>
      <c r="Z87" s="6">
        <f t="shared" si="13"/>
        <v>73912.909556508632</v>
      </c>
      <c r="AA87" s="6">
        <f t="shared" si="14"/>
        <v>8108.8097140065356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6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441.74200502799124</v>
      </c>
      <c r="F88" s="6">
        <f t="shared" si="20"/>
        <v>16864.782663549115</v>
      </c>
      <c r="G88" s="6">
        <f t="shared" si="20"/>
        <v>113.5233359960915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22087.100251399563</v>
      </c>
      <c r="O88" s="6">
        <f t="shared" si="5"/>
        <v>683181.16376444453</v>
      </c>
      <c r="P88" s="6">
        <f t="shared" si="6"/>
        <v>8514.250199706863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4417.4200502799122</v>
      </c>
      <c r="Z88" s="6">
        <f t="shared" si="13"/>
        <v>75909.018196049394</v>
      </c>
      <c r="AA88" s="6">
        <f t="shared" si="14"/>
        <v>8514.250199706863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6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463.82910527939083</v>
      </c>
      <c r="F89" s="6">
        <f t="shared" si="20"/>
        <v>17708.021796726571</v>
      </c>
      <c r="G89" s="6">
        <f t="shared" si="20"/>
        <v>119.19950279589608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23191.455263969543</v>
      </c>
      <c r="O89" s="6">
        <f t="shared" ref="O89:O123" si="22">F89*$K$21/(1+P89/$P$22)</f>
        <v>701216.60486420034</v>
      </c>
      <c r="P89" s="6">
        <f t="shared" ref="P89:P123" si="23">G89*$K$21</f>
        <v>8939.9627096922068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2.4999999999999996</v>
      </c>
      <c r="X89" s="1">
        <v>66</v>
      </c>
      <c r="Y89" s="6">
        <f t="shared" si="12"/>
        <v>4638.2910527939084</v>
      </c>
      <c r="Z89" s="6">
        <f t="shared" si="13"/>
        <v>77912.956096022259</v>
      </c>
      <c r="AA89" s="6">
        <f t="shared" si="14"/>
        <v>8939.9627096922068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6">
        <f t="shared" si="17"/>
        <v>2.4999999999999996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487.02056054336038</v>
      </c>
      <c r="F90" s="6">
        <f t="shared" si="25"/>
        <v>18593.422886562901</v>
      </c>
      <c r="G90" s="6">
        <f t="shared" si="25"/>
        <v>125.15947793569089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24351.02802716802</v>
      </c>
      <c r="O90" s="6">
        <f t="shared" si="22"/>
        <v>719301.35291893873</v>
      </c>
      <c r="P90" s="6">
        <f t="shared" si="23"/>
        <v>9386.9608451768163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4870.2056054336044</v>
      </c>
      <c r="Z90" s="6">
        <f t="shared" ref="Z90:Z123" si="27">O90/$X$22</f>
        <v>79922.372546548751</v>
      </c>
      <c r="AA90" s="6">
        <f t="shared" ref="AA90:AA123" si="28">P90</f>
        <v>9386.9608451768163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6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511.37158857052839</v>
      </c>
      <c r="F91" s="6">
        <f t="shared" si="25"/>
        <v>19523.094030891047</v>
      </c>
      <c r="G91" s="6">
        <f t="shared" si="25"/>
        <v>131.41745183247542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25568.57942852642</v>
      </c>
      <c r="O91" s="6">
        <f t="shared" si="22"/>
        <v>737414.01819315006</v>
      </c>
      <c r="P91" s="6">
        <f t="shared" si="23"/>
        <v>9856.3088874356563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5113.7158857052837</v>
      </c>
      <c r="Z91" s="6">
        <f t="shared" si="27"/>
        <v>81934.890910350005</v>
      </c>
      <c r="AA91" s="6">
        <f t="shared" si="28"/>
        <v>9856.3088874356563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6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536.94016799905478</v>
      </c>
      <c r="F92" s="6">
        <f t="shared" si="25"/>
        <v>20499.248732435597</v>
      </c>
      <c r="G92" s="6">
        <f t="shared" si="25"/>
        <v>137.9883244240992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26847.008399952741</v>
      </c>
      <c r="O92" s="6">
        <f t="shared" si="22"/>
        <v>755533.07840844651</v>
      </c>
      <c r="P92" s="6">
        <f t="shared" si="23"/>
        <v>10349.124331807441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5369.4016799905485</v>
      </c>
      <c r="Z92" s="6">
        <f t="shared" si="27"/>
        <v>83948.119823160727</v>
      </c>
      <c r="AA92" s="6">
        <f t="shared" si="28"/>
        <v>10349.124331807441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6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563.78717639900754</v>
      </c>
      <c r="F93" s="6">
        <f t="shared" si="25"/>
        <v>21524.211169057377</v>
      </c>
      <c r="G93" s="6">
        <f t="shared" si="25"/>
        <v>144.88774064530415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28189.358819950376</v>
      </c>
      <c r="O93" s="6">
        <f t="shared" si="22"/>
        <v>773636.98088197515</v>
      </c>
      <c r="P93" s="6">
        <f t="shared" si="23"/>
        <v>10866.580548397811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5637.8717639900751</v>
      </c>
      <c r="Z93" s="6">
        <f t="shared" si="27"/>
        <v>85959.664542441678</v>
      </c>
      <c r="AA93" s="6">
        <f t="shared" si="28"/>
        <v>10866.580548397811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6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591.97653521895791</v>
      </c>
      <c r="F94" s="6">
        <f t="shared" si="25"/>
        <v>22600.421727510246</v>
      </c>
      <c r="G94" s="6">
        <f t="shared" si="25"/>
        <v>152.13212767756937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29598.826760947901</v>
      </c>
      <c r="O94" s="6">
        <f t="shared" si="22"/>
        <v>791704.24497158604</v>
      </c>
      <c r="P94" s="6">
        <f t="shared" si="23"/>
        <v>11409.909575817703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2.4999999999999987</v>
      </c>
      <c r="X94" s="1">
        <v>71</v>
      </c>
      <c r="Y94" s="6">
        <f t="shared" si="26"/>
        <v>5919.76535218958</v>
      </c>
      <c r="Z94" s="6">
        <f t="shared" si="27"/>
        <v>87967.138330176225</v>
      </c>
      <c r="AA94" s="6">
        <f t="shared" si="28"/>
        <v>11409.909575817703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6">
        <f t="shared" si="31"/>
        <v>2.4999999999999987</v>
      </c>
    </row>
    <row r="95" spans="4:32" ht="14.25" customHeight="1" outlineLevel="1" x14ac:dyDescent="0.2">
      <c r="D95" s="1">
        <v>72</v>
      </c>
      <c r="E95" s="6">
        <f t="shared" si="25"/>
        <v>621.57536197990589</v>
      </c>
      <c r="F95" s="6">
        <f t="shared" si="25"/>
        <v>23730.442813885758</v>
      </c>
      <c r="G95" s="6">
        <f t="shared" si="25"/>
        <v>159.73873406144784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31078.768098995297</v>
      </c>
      <c r="O95" s="6">
        <f t="shared" si="22"/>
        <v>809713.56379452534</v>
      </c>
      <c r="P95" s="6">
        <f t="shared" si="23"/>
        <v>11980.405054608589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2.4999999999999991</v>
      </c>
      <c r="X95" s="1">
        <v>72</v>
      </c>
      <c r="Y95" s="6">
        <f t="shared" si="26"/>
        <v>6215.7536197990594</v>
      </c>
      <c r="Z95" s="6">
        <f t="shared" si="27"/>
        <v>89968.17375494726</v>
      </c>
      <c r="AA95" s="6">
        <f t="shared" si="28"/>
        <v>11980.405054608589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6">
        <f t="shared" si="31"/>
        <v>2.4999999999999991</v>
      </c>
    </row>
    <row r="96" spans="4:32" ht="14.25" customHeight="1" outlineLevel="1" x14ac:dyDescent="0.2">
      <c r="D96" s="1">
        <v>73</v>
      </c>
      <c r="E96" s="6">
        <f t="shared" si="25"/>
        <v>652.65413007890118</v>
      </c>
      <c r="F96" s="6">
        <f t="shared" si="25"/>
        <v>24916.964954580046</v>
      </c>
      <c r="G96" s="6">
        <f t="shared" si="25"/>
        <v>167.72567076452023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32632.706503945061</v>
      </c>
      <c r="O96" s="6">
        <f t="shared" si="22"/>
        <v>827643.90419896739</v>
      </c>
      <c r="P96" s="6">
        <f t="shared" si="23"/>
        <v>12579.425307339017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2.4999999999999991</v>
      </c>
      <c r="X96" s="1">
        <v>73</v>
      </c>
      <c r="Y96" s="6">
        <f t="shared" si="26"/>
        <v>6526.541300789012</v>
      </c>
      <c r="Z96" s="6">
        <f t="shared" si="27"/>
        <v>91960.433799885272</v>
      </c>
      <c r="AA96" s="6">
        <f t="shared" si="28"/>
        <v>12579.425307339017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6">
        <f t="shared" si="31"/>
        <v>2.4999999999999991</v>
      </c>
    </row>
    <row r="97" spans="4:32" ht="14.25" customHeight="1" outlineLevel="1" x14ac:dyDescent="0.2">
      <c r="D97" s="1">
        <v>74</v>
      </c>
      <c r="E97" s="6">
        <f t="shared" si="25"/>
        <v>685.28683658284615</v>
      </c>
      <c r="F97" s="6">
        <f t="shared" si="25"/>
        <v>26162.813202309047</v>
      </c>
      <c r="G97" s="6">
        <f t="shared" si="25"/>
        <v>176.11195430274623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34264.341829142315</v>
      </c>
      <c r="O97" s="6">
        <f t="shared" si="22"/>
        <v>845474.60399777035</v>
      </c>
      <c r="P97" s="6">
        <f t="shared" si="23"/>
        <v>13208.396572705968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2.4999999999999987</v>
      </c>
      <c r="X97" s="1">
        <v>74</v>
      </c>
      <c r="Y97" s="6">
        <f t="shared" si="26"/>
        <v>6852.8683658284626</v>
      </c>
      <c r="Z97" s="6">
        <f t="shared" si="27"/>
        <v>93941.622666418931</v>
      </c>
      <c r="AA97" s="6">
        <f t="shared" si="28"/>
        <v>13208.396572705968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6">
        <f t="shared" si="31"/>
        <v>2.4999999999999987</v>
      </c>
    </row>
    <row r="98" spans="4:32" ht="14.25" customHeight="1" outlineLevel="1" x14ac:dyDescent="0.2">
      <c r="D98" s="1">
        <v>75</v>
      </c>
      <c r="E98" s="6">
        <f t="shared" si="25"/>
        <v>719.55117841198842</v>
      </c>
      <c r="F98" s="6">
        <f t="shared" si="25"/>
        <v>27470.9538624245</v>
      </c>
      <c r="G98" s="6">
        <f t="shared" si="25"/>
        <v>184.91755201788354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35977.558920599426</v>
      </c>
      <c r="O98" s="6">
        <f t="shared" si="22"/>
        <v>863185.46552063688</v>
      </c>
      <c r="P98" s="6">
        <f t="shared" si="23"/>
        <v>13868.816401341266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2.4999999999999991</v>
      </c>
      <c r="X98" s="1">
        <v>75</v>
      </c>
      <c r="Y98" s="6">
        <f t="shared" si="26"/>
        <v>7195.5117841198853</v>
      </c>
      <c r="Z98" s="6">
        <f t="shared" si="27"/>
        <v>95909.496168959653</v>
      </c>
      <c r="AA98" s="6">
        <f t="shared" si="28"/>
        <v>13868.816401341266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6">
        <f t="shared" si="31"/>
        <v>2.4999999999999991</v>
      </c>
    </row>
    <row r="99" spans="4:32" ht="14.25" customHeight="1" outlineLevel="1" x14ac:dyDescent="0.2">
      <c r="D99" s="1">
        <v>76</v>
      </c>
      <c r="E99" s="6">
        <f t="shared" si="25"/>
        <v>755.52873733258798</v>
      </c>
      <c r="F99" s="6">
        <f t="shared" si="25"/>
        <v>28844.501555545728</v>
      </c>
      <c r="G99" s="6">
        <f t="shared" si="25"/>
        <v>194.16342961877774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37776.436866629403</v>
      </c>
      <c r="O99" s="6">
        <f t="shared" si="22"/>
        <v>880756.84460318089</v>
      </c>
      <c r="P99" s="6">
        <f t="shared" si="23"/>
        <v>14562.25722140833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7555.2873733258803</v>
      </c>
      <c r="Z99" s="6">
        <f t="shared" si="27"/>
        <v>97861.871622575651</v>
      </c>
      <c r="AA99" s="6">
        <f t="shared" si="28"/>
        <v>14562.25722140833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6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793.30517419921716</v>
      </c>
      <c r="F100" s="6">
        <f t="shared" si="25"/>
        <v>30286.726633323007</v>
      </c>
      <c r="G100" s="6">
        <f t="shared" si="25"/>
        <v>203.8716010997166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39665.258709960865</v>
      </c>
      <c r="O100" s="6">
        <f t="shared" si="22"/>
        <v>898169.73420761921</v>
      </c>
      <c r="P100" s="6">
        <f t="shared" si="23"/>
        <v>15290.370082478745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7933.0517419921725</v>
      </c>
      <c r="Z100" s="6">
        <f t="shared" si="27"/>
        <v>99796.637134179909</v>
      </c>
      <c r="AA100" s="6">
        <f t="shared" si="28"/>
        <v>15290.370082478745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6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832.97043290917827</v>
      </c>
      <c r="F101" s="6">
        <f t="shared" si="25"/>
        <v>31801.062964989167</v>
      </c>
      <c r="G101" s="6">
        <f t="shared" si="25"/>
        <v>214.06518115470249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41648.521645458917</v>
      </c>
      <c r="O101" s="6">
        <f t="shared" si="22"/>
        <v>915405.84195803676</v>
      </c>
      <c r="P101" s="6">
        <f t="shared" si="23"/>
        <v>16054.888586602687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8329.7043290917827</v>
      </c>
      <c r="Z101" s="6">
        <f t="shared" si="27"/>
        <v>101711.76021755964</v>
      </c>
      <c r="AA101" s="6">
        <f t="shared" si="28"/>
        <v>16054.888586602687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6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874.61895455463696</v>
      </c>
      <c r="F102" s="6">
        <f t="shared" si="25"/>
        <v>33391.116113238611</v>
      </c>
      <c r="G102" s="6">
        <f t="shared" si="25"/>
        <v>224.76844021243753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43730.947727731858</v>
      </c>
      <c r="O102" s="6">
        <f t="shared" si="22"/>
        <v>932447.66097118251</v>
      </c>
      <c r="P102" s="6">
        <f t="shared" si="23"/>
        <v>16857.633015932814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2.4999999999999987</v>
      </c>
      <c r="X102" s="1">
        <v>79</v>
      </c>
      <c r="Y102" s="6">
        <f t="shared" si="26"/>
        <v>8746.1895455463709</v>
      </c>
      <c r="Z102" s="6">
        <f t="shared" si="27"/>
        <v>103605.29566346473</v>
      </c>
      <c r="AA102" s="6">
        <f t="shared" si="28"/>
        <v>16857.633015932814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6">
        <f t="shared" si="31"/>
        <v>2.4999999999999987</v>
      </c>
    </row>
    <row r="103" spans="4:32" ht="14.25" customHeight="1" outlineLevel="1" x14ac:dyDescent="0.2">
      <c r="D103" s="1">
        <v>80</v>
      </c>
      <c r="E103" s="6">
        <f t="shared" si="25"/>
        <v>918.34990228236904</v>
      </c>
      <c r="F103" s="6">
        <f t="shared" si="25"/>
        <v>35060.67191890056</v>
      </c>
      <c r="G103" s="6">
        <f t="shared" si="25"/>
        <v>236.0068622230595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45917.495114118457</v>
      </c>
      <c r="O103" s="6">
        <f t="shared" si="22"/>
        <v>949278.5334692148</v>
      </c>
      <c r="P103" s="6">
        <f t="shared" si="23"/>
        <v>17700.514666729461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9183.4990228236911</v>
      </c>
      <c r="Z103" s="6">
        <f t="shared" si="27"/>
        <v>105475.39260769053</v>
      </c>
      <c r="AA103" s="6">
        <f t="shared" si="28"/>
        <v>17700.514666729461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6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964.26739739648747</v>
      </c>
      <c r="F104" s="6">
        <f t="shared" si="25"/>
        <v>36813.705514845584</v>
      </c>
      <c r="G104" s="6">
        <f t="shared" si="25"/>
        <v>247.80720533421245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48213.369869824375</v>
      </c>
      <c r="O104" s="6">
        <f t="shared" si="22"/>
        <v>965882.70677123533</v>
      </c>
      <c r="P104" s="6">
        <f t="shared" si="23"/>
        <v>18585.540400065933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2.4999999999999996</v>
      </c>
      <c r="X104" s="1">
        <v>81</v>
      </c>
      <c r="Y104" s="6">
        <f t="shared" si="26"/>
        <v>9642.6739739648747</v>
      </c>
      <c r="Z104" s="6">
        <f t="shared" si="27"/>
        <v>107320.30075235949</v>
      </c>
      <c r="AA104" s="6">
        <f t="shared" si="28"/>
        <v>18585.540400065933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6">
        <f t="shared" si="31"/>
        <v>2.4999999999999996</v>
      </c>
    </row>
    <row r="105" spans="4:32" ht="14.25" customHeight="1" outlineLevel="1" x14ac:dyDescent="0.2">
      <c r="D105" s="1">
        <v>82</v>
      </c>
      <c r="E105" s="6">
        <f t="shared" si="25"/>
        <v>1012.480767266312</v>
      </c>
      <c r="F105" s="6">
        <f t="shared" si="25"/>
        <v>38654.390790587866</v>
      </c>
      <c r="G105" s="6">
        <f t="shared" si="25"/>
        <v>260.1975656009231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50624.038363315609</v>
      </c>
      <c r="O105" s="6">
        <f t="shared" si="22"/>
        <v>982245.38137335679</v>
      </c>
      <c r="P105" s="6">
        <f t="shared" si="23"/>
        <v>19514.817420069234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2.4999999999999987</v>
      </c>
      <c r="X105" s="1">
        <v>82</v>
      </c>
      <c r="Y105" s="6">
        <f t="shared" si="26"/>
        <v>10124.807672663123</v>
      </c>
      <c r="Z105" s="6">
        <f t="shared" si="27"/>
        <v>109138.37570815075</v>
      </c>
      <c r="AA105" s="6">
        <f t="shared" si="28"/>
        <v>19514.817420069234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6">
        <f t="shared" si="31"/>
        <v>2.4999999999999987</v>
      </c>
    </row>
    <row r="106" spans="4:32" ht="14.25" customHeight="1" outlineLevel="1" x14ac:dyDescent="0.2">
      <c r="D106" s="1">
        <v>83</v>
      </c>
      <c r="E106" s="6">
        <f t="shared" si="25"/>
        <v>1063.1048056296277</v>
      </c>
      <c r="F106" s="6">
        <f t="shared" si="25"/>
        <v>40587.110330117262</v>
      </c>
      <c r="G106" s="6">
        <f t="shared" si="25"/>
        <v>273.20744388096927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53155.240281481383</v>
      </c>
      <c r="O106" s="6">
        <f t="shared" si="22"/>
        <v>998352.75093997037</v>
      </c>
      <c r="P106" s="6">
        <f t="shared" si="23"/>
        <v>20490.558291072695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2.4999999999999991</v>
      </c>
      <c r="X106" s="1">
        <v>83</v>
      </c>
      <c r="Y106" s="6">
        <f t="shared" si="26"/>
        <v>10631.048056296277</v>
      </c>
      <c r="Z106" s="6">
        <f t="shared" si="27"/>
        <v>110928.08343777449</v>
      </c>
      <c r="AA106" s="6">
        <f t="shared" si="28"/>
        <v>20490.558291072695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6">
        <f t="shared" si="31"/>
        <v>2.4999999999999991</v>
      </c>
    </row>
    <row r="107" spans="4:32" ht="14.25" customHeight="1" outlineLevel="1" x14ac:dyDescent="0.2">
      <c r="D107" s="1">
        <v>84</v>
      </c>
      <c r="E107" s="6">
        <f t="shared" si="25"/>
        <v>1116.2600459111088</v>
      </c>
      <c r="F107" s="6">
        <f t="shared" si="25"/>
        <v>42616.465846623119</v>
      </c>
      <c r="G107" s="6">
        <f t="shared" si="25"/>
        <v>286.86781607501769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55813.002295555445</v>
      </c>
      <c r="O107" s="6">
        <f t="shared" si="22"/>
        <v>1014192.0341395469</v>
      </c>
      <c r="P107" s="6">
        <f t="shared" si="23"/>
        <v>21515.086205626325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2.4999999999999987</v>
      </c>
      <c r="X107" s="1">
        <v>84</v>
      </c>
      <c r="Y107" s="6">
        <f t="shared" si="26"/>
        <v>11162.600459111089</v>
      </c>
      <c r="Z107" s="6">
        <f t="shared" si="27"/>
        <v>112688.00379328299</v>
      </c>
      <c r="AA107" s="6">
        <f t="shared" si="28"/>
        <v>21515.086205626325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6">
        <f t="shared" si="31"/>
        <v>2.4999999999999987</v>
      </c>
    </row>
    <row r="108" spans="4:32" ht="14.25" customHeight="1" outlineLevel="1" x14ac:dyDescent="0.2">
      <c r="D108" s="1">
        <v>85</v>
      </c>
      <c r="E108" s="6">
        <f t="shared" si="25"/>
        <v>1172.0730482066645</v>
      </c>
      <c r="F108" s="6">
        <f t="shared" si="25"/>
        <v>44747.289138954278</v>
      </c>
      <c r="G108" s="6">
        <f t="shared" si="25"/>
        <v>301.21120687876862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58603.652410333227</v>
      </c>
      <c r="O108" s="6">
        <f t="shared" si="22"/>
        <v>1029751.4983645416</v>
      </c>
      <c r="P108" s="6">
        <f t="shared" si="23"/>
        <v>22590.840515907646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11720.730482066645</v>
      </c>
      <c r="Z108" s="6">
        <f t="shared" si="27"/>
        <v>114416.83315161573</v>
      </c>
      <c r="AA108" s="6">
        <f t="shared" si="28"/>
        <v>22590.840515907646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6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1230.6767006169976</v>
      </c>
      <c r="F109" s="6">
        <f t="shared" si="25"/>
        <v>46984.653595901989</v>
      </c>
      <c r="G109" s="6">
        <f t="shared" si="25"/>
        <v>316.27176722270701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61533.835030849878</v>
      </c>
      <c r="O109" s="6">
        <f t="shared" si="22"/>
        <v>1045020.4754749141</v>
      </c>
      <c r="P109" s="6">
        <f t="shared" si="23"/>
        <v>23720.382541703028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2.4999999999999991</v>
      </c>
      <c r="X109" s="1">
        <v>86</v>
      </c>
      <c r="Y109" s="6">
        <f t="shared" si="26"/>
        <v>12306.767006169976</v>
      </c>
      <c r="Z109" s="6">
        <f t="shared" si="27"/>
        <v>116113.38616387935</v>
      </c>
      <c r="AA109" s="6">
        <f t="shared" si="28"/>
        <v>23720.382541703028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6">
        <f t="shared" si="31"/>
        <v>2.4999999999999991</v>
      </c>
    </row>
    <row r="110" spans="4:32" ht="14.25" customHeight="1" outlineLevel="1" x14ac:dyDescent="0.2">
      <c r="D110" s="1">
        <v>87</v>
      </c>
      <c r="E110" s="6">
        <f t="shared" si="25"/>
        <v>1292.2105356478473</v>
      </c>
      <c r="F110" s="6">
        <f t="shared" si="25"/>
        <v>49333.886275697085</v>
      </c>
      <c r="G110" s="6">
        <f t="shared" si="25"/>
        <v>332.08535558384233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64610.526782392371</v>
      </c>
      <c r="O110" s="6">
        <f t="shared" si="22"/>
        <v>1059989.3697968021</v>
      </c>
      <c r="P110" s="6">
        <f t="shared" si="23"/>
        <v>24906.401668788174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12922.105356478474</v>
      </c>
      <c r="Z110" s="6">
        <f t="shared" si="27"/>
        <v>117776.59664408912</v>
      </c>
      <c r="AA110" s="6">
        <f t="shared" si="28"/>
        <v>24906.401668788174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6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1356.8210624302401</v>
      </c>
      <c r="F111" s="6">
        <f t="shared" si="25"/>
        <v>51800.58058948195</v>
      </c>
      <c r="G111" s="6">
        <f t="shared" si="25"/>
        <v>348.68962336303457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67841.053121511999</v>
      </c>
      <c r="O111" s="6">
        <f t="shared" si="22"/>
        <v>1074649.6586906703</v>
      </c>
      <c r="P111" s="6">
        <f t="shared" si="23"/>
        <v>26151.721752227593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2.4999999999999996</v>
      </c>
      <c r="X111" s="1">
        <v>88</v>
      </c>
      <c r="Y111" s="6">
        <f t="shared" si="26"/>
        <v>13568.210624302399</v>
      </c>
      <c r="Z111" s="6">
        <f t="shared" si="27"/>
        <v>119405.5176322967</v>
      </c>
      <c r="AA111" s="6">
        <f t="shared" si="28"/>
        <v>26151.721752227593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6">
        <f t="shared" si="31"/>
        <v>2.4999999999999996</v>
      </c>
    </row>
    <row r="112" spans="4:32" ht="14.25" customHeight="1" outlineLevel="1" x14ac:dyDescent="0.2">
      <c r="D112" s="1">
        <v>89</v>
      </c>
      <c r="E112" s="6">
        <f t="shared" si="25"/>
        <v>1424.6621155517516</v>
      </c>
      <c r="F112" s="6">
        <f t="shared" si="25"/>
        <v>54390.609618956041</v>
      </c>
      <c r="G112" s="6">
        <f t="shared" si="25"/>
        <v>366.12410453118622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71233.105777587582</v>
      </c>
      <c r="O112" s="6">
        <f t="shared" si="22"/>
        <v>1088993.8860758299</v>
      </c>
      <c r="P112" s="6">
        <f t="shared" si="23"/>
        <v>27459.307839838966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2.4999999999999991</v>
      </c>
      <c r="X112" s="1">
        <v>89</v>
      </c>
      <c r="Y112" s="6">
        <f t="shared" si="26"/>
        <v>14246.621155517516</v>
      </c>
      <c r="Z112" s="6">
        <f t="shared" si="27"/>
        <v>120999.32067509221</v>
      </c>
      <c r="AA112" s="6">
        <f t="shared" si="28"/>
        <v>27459.307839838966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6">
        <f t="shared" si="31"/>
        <v>2.4999999999999991</v>
      </c>
    </row>
    <row r="113" spans="3:32" ht="14.25" customHeight="1" outlineLevel="1" x14ac:dyDescent="0.2">
      <c r="D113" s="1">
        <v>90</v>
      </c>
      <c r="E113" s="6">
        <f t="shared" si="25"/>
        <v>1495.8952213293394</v>
      </c>
      <c r="F113" s="6">
        <f t="shared" si="25"/>
        <v>57110.140099903845</v>
      </c>
      <c r="G113" s="6">
        <f t="shared" si="25"/>
        <v>384.43030975774553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74794.761066466977</v>
      </c>
      <c r="O113" s="6">
        <f t="shared" si="22"/>
        <v>1103015.6493598702</v>
      </c>
      <c r="P113" s="6">
        <f t="shared" si="23"/>
        <v>28832.273231830914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14958.952213293396</v>
      </c>
      <c r="Z113" s="6">
        <f t="shared" si="27"/>
        <v>122557.29437331892</v>
      </c>
      <c r="AA113" s="6">
        <f t="shared" si="28"/>
        <v>28832.273231830914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6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1570.6899823958063</v>
      </c>
      <c r="F114" s="6">
        <f t="shared" si="25"/>
        <v>59965.647104899035</v>
      </c>
      <c r="G114" s="6">
        <f t="shared" si="25"/>
        <v>403.65182524563284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78534.499119790329</v>
      </c>
      <c r="O114" s="6">
        <f t="shared" si="22"/>
        <v>1116709.5802719623</v>
      </c>
      <c r="P114" s="6">
        <f t="shared" si="23"/>
        <v>30273.886893422463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2.4999999999999987</v>
      </c>
      <c r="X114" s="1">
        <v>91</v>
      </c>
      <c r="Y114" s="6">
        <f t="shared" si="26"/>
        <v>15706.899823958065</v>
      </c>
      <c r="Z114" s="6">
        <f t="shared" si="27"/>
        <v>124078.84225244026</v>
      </c>
      <c r="AA114" s="6">
        <f t="shared" si="28"/>
        <v>30273.886893422463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6">
        <f t="shared" si="31"/>
        <v>2.4999999999999987</v>
      </c>
    </row>
    <row r="115" spans="3:32" ht="14.25" customHeight="1" outlineLevel="1" x14ac:dyDescent="0.2">
      <c r="D115" s="1">
        <v>92</v>
      </c>
      <c r="E115" s="6">
        <f t="shared" si="25"/>
        <v>1649.2244815155971</v>
      </c>
      <c r="F115" s="6">
        <f t="shared" si="25"/>
        <v>62963.929460144005</v>
      </c>
      <c r="G115" s="6">
        <f t="shared" si="25"/>
        <v>423.83441650791451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82461.224075779857</v>
      </c>
      <c r="O115" s="6">
        <f t="shared" si="22"/>
        <v>1130071.3201380395</v>
      </c>
      <c r="P115" s="6">
        <f t="shared" si="23"/>
        <v>31787.581238093589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16492.244815155973</v>
      </c>
      <c r="Z115" s="6">
        <f t="shared" si="27"/>
        <v>125563.48001533773</v>
      </c>
      <c r="AA115" s="6">
        <f t="shared" si="28"/>
        <v>31787.581238093589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6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1731.6857055913765</v>
      </c>
      <c r="F116" s="6">
        <f t="shared" si="25"/>
        <v>66112.125933151183</v>
      </c>
      <c r="G116" s="6">
        <f t="shared" si="25"/>
        <v>445.0261373333102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86584.285279568838</v>
      </c>
      <c r="O116" s="6">
        <f t="shared" si="22"/>
        <v>1143097.4901638131</v>
      </c>
      <c r="P116" s="6">
        <f t="shared" si="23"/>
        <v>33376.960299998267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2.4999999999999987</v>
      </c>
      <c r="X116" s="1">
        <v>93</v>
      </c>
      <c r="Y116" s="6">
        <f t="shared" si="26"/>
        <v>17316.857055913766</v>
      </c>
      <c r="Z116" s="6">
        <f t="shared" si="27"/>
        <v>127010.83224042368</v>
      </c>
      <c r="AA116" s="6">
        <f t="shared" si="28"/>
        <v>33376.960299998267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6">
        <f t="shared" si="31"/>
        <v>2.4999999999999987</v>
      </c>
    </row>
    <row r="117" spans="3:32" ht="14.25" customHeight="1" outlineLevel="1" x14ac:dyDescent="0.2">
      <c r="D117" s="1">
        <v>94</v>
      </c>
      <c r="E117" s="6">
        <f t="shared" si="25"/>
        <v>1818.2699908709458</v>
      </c>
      <c r="F117" s="6">
        <f t="shared" si="25"/>
        <v>69417.732229808767</v>
      </c>
      <c r="G117" s="6">
        <f t="shared" si="25"/>
        <v>467.27744419997578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90913.499543547281</v>
      </c>
      <c r="O117" s="6">
        <f t="shared" si="22"/>
        <v>1155785.6573088043</v>
      </c>
      <c r="P117" s="6">
        <f t="shared" si="23"/>
        <v>35045.808314998183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18182.699908709455</v>
      </c>
      <c r="Z117" s="6">
        <f t="shared" si="27"/>
        <v>128420.62858986715</v>
      </c>
      <c r="AA117" s="6">
        <f t="shared" si="28"/>
        <v>35045.808314998183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6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1909.1834904144923</v>
      </c>
      <c r="F118" s="6">
        <f t="shared" si="25"/>
        <v>72888.618841299176</v>
      </c>
      <c r="G118" s="6">
        <f t="shared" si="25"/>
        <v>490.64131640997437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95459.174520724613</v>
      </c>
      <c r="O118" s="6">
        <f t="shared" si="22"/>
        <v>1168134.296341755</v>
      </c>
      <c r="P118" s="6">
        <f t="shared" si="23"/>
        <v>36798.098730748075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2.4999999999999996</v>
      </c>
      <c r="X118" s="1">
        <v>95</v>
      </c>
      <c r="Y118" s="6">
        <f t="shared" si="26"/>
        <v>19091.834904144922</v>
      </c>
      <c r="Z118" s="6">
        <f t="shared" si="27"/>
        <v>129792.69959352833</v>
      </c>
      <c r="AA118" s="6">
        <f t="shared" si="28"/>
        <v>36798.098730748075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6">
        <f t="shared" si="31"/>
        <v>2.4999999999999996</v>
      </c>
    </row>
    <row r="119" spans="3:32" ht="14.25" customHeight="1" outlineLevel="1" x14ac:dyDescent="0.2">
      <c r="D119" s="1">
        <v>96</v>
      </c>
      <c r="E119" s="6">
        <f t="shared" si="25"/>
        <v>2004.6426649352177</v>
      </c>
      <c r="F119" s="6">
        <f t="shared" si="25"/>
        <v>76533.049783364171</v>
      </c>
      <c r="G119" s="6">
        <f t="shared" si="25"/>
        <v>515.17338223047329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100232.1332467609</v>
      </c>
      <c r="O119" s="6">
        <f t="shared" si="22"/>
        <v>1180142.7486657088</v>
      </c>
      <c r="P119" s="6">
        <f t="shared" si="23"/>
        <v>38638.003667285499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20046.426649352179</v>
      </c>
      <c r="Z119" s="6">
        <f t="shared" si="27"/>
        <v>131126.97207396766</v>
      </c>
      <c r="AA119" s="6">
        <f t="shared" si="28"/>
        <v>38638.003667285499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6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2104.8747981819783</v>
      </c>
      <c r="F120" s="6">
        <f t="shared" si="25"/>
        <v>80359.702272532362</v>
      </c>
      <c r="G120" s="6">
        <f t="shared" si="25"/>
        <v>540.93205134199695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105243.73990909893</v>
      </c>
      <c r="O120" s="6">
        <f t="shared" si="22"/>
        <v>1191811.1784906008</v>
      </c>
      <c r="P120" s="6">
        <f t="shared" si="23"/>
        <v>40569.903850649775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21048.747981819786</v>
      </c>
      <c r="Z120" s="6">
        <f t="shared" si="27"/>
        <v>132423.46427673343</v>
      </c>
      <c r="AA120" s="6">
        <f t="shared" si="28"/>
        <v>40569.903850649775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6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2210.1185380910774</v>
      </c>
      <c r="F121" s="6">
        <f t="shared" si="25"/>
        <v>84377.687386158985</v>
      </c>
      <c r="G121" s="6">
        <f t="shared" si="25"/>
        <v>567.97865390909681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110505.92690455388</v>
      </c>
      <c r="O121" s="6">
        <f t="shared" si="22"/>
        <v>1203140.5269134697</v>
      </c>
      <c r="P121" s="6">
        <f t="shared" si="23"/>
        <v>42598.39904318226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2.4999999999999991</v>
      </c>
      <c r="X121" s="1">
        <v>98</v>
      </c>
      <c r="Y121" s="6">
        <f t="shared" si="26"/>
        <v>22101.185380910778</v>
      </c>
      <c r="Z121" s="6">
        <f t="shared" si="27"/>
        <v>133682.2807681633</v>
      </c>
      <c r="AA121" s="6">
        <f t="shared" si="28"/>
        <v>42598.39904318226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6">
        <f t="shared" si="31"/>
        <v>2.4999999999999991</v>
      </c>
    </row>
    <row r="122" spans="3:32" ht="14.25" customHeight="1" outlineLevel="1" x14ac:dyDescent="0.2">
      <c r="D122" s="1">
        <v>99</v>
      </c>
      <c r="E122" s="6">
        <f t="shared" si="25"/>
        <v>2320.6244649956311</v>
      </c>
      <c r="F122" s="6">
        <f t="shared" si="25"/>
        <v>88596.571755466939</v>
      </c>
      <c r="G122" s="6">
        <f t="shared" si="25"/>
        <v>596.37758660455165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116031.22324978157</v>
      </c>
      <c r="O122" s="6">
        <f t="shared" si="22"/>
        <v>1214132.4644423372</v>
      </c>
      <c r="P122" s="6">
        <f t="shared" si="23"/>
        <v>44728.318995341375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2.4999999999999987</v>
      </c>
      <c r="X122" s="1">
        <v>99</v>
      </c>
      <c r="Y122" s="6">
        <f t="shared" si="26"/>
        <v>23206.244649956316</v>
      </c>
      <c r="Z122" s="6">
        <f t="shared" si="27"/>
        <v>134903.60716025968</v>
      </c>
      <c r="AA122" s="6">
        <f t="shared" si="28"/>
        <v>44728.318995341375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6">
        <f t="shared" si="31"/>
        <v>2.4999999999999987</v>
      </c>
    </row>
    <row r="123" spans="3:32" ht="14.25" customHeight="1" outlineLevel="1" x14ac:dyDescent="0.2">
      <c r="D123" s="1">
        <v>100</v>
      </c>
      <c r="E123" s="6">
        <f t="shared" si="25"/>
        <v>2436.6556882454133</v>
      </c>
      <c r="F123" s="6">
        <f t="shared" si="25"/>
        <v>93026.400343240297</v>
      </c>
      <c r="G123" s="6">
        <f t="shared" si="25"/>
        <v>626.19646593477933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121832.78441227069</v>
      </c>
      <c r="O123" s="6">
        <f t="shared" si="22"/>
        <v>1224789.3424705795</v>
      </c>
      <c r="P123" s="6">
        <f t="shared" si="23"/>
        <v>46964.734945108452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2.4999999999999987</v>
      </c>
      <c r="X123" s="1">
        <v>100</v>
      </c>
      <c r="Y123" s="6">
        <f t="shared" si="26"/>
        <v>24366.556882454137</v>
      </c>
      <c r="Z123" s="6">
        <f t="shared" si="27"/>
        <v>136087.70471895329</v>
      </c>
      <c r="AA123" s="6">
        <f t="shared" si="28"/>
        <v>46964.734945108452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6">
        <f t="shared" si="31"/>
        <v>2.4999999999999987</v>
      </c>
    </row>
    <row r="125" spans="3:32" ht="14.25" customHeight="1" x14ac:dyDescent="0.2">
      <c r="C125" s="3" t="s">
        <v>313</v>
      </c>
      <c r="D125" s="2" t="s">
        <v>322</v>
      </c>
      <c r="I125" s="3" t="s">
        <v>314</v>
      </c>
      <c r="Q125" s="2"/>
    </row>
    <row r="126" spans="3:32" ht="14.25" customHeight="1" x14ac:dyDescent="0.2">
      <c r="D126" s="3" t="s">
        <v>312</v>
      </c>
      <c r="E126" s="3" t="s">
        <v>153</v>
      </c>
      <c r="F126" s="3" t="s">
        <v>154</v>
      </c>
      <c r="G126" s="3" t="s">
        <v>129</v>
      </c>
      <c r="H126" s="80" t="s">
        <v>17</v>
      </c>
      <c r="J126" s="25" t="s">
        <v>15</v>
      </c>
      <c r="K126" s="3" t="s">
        <v>154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30</v>
      </c>
      <c r="F128" s="1">
        <f>F6</f>
        <v>100</v>
      </c>
      <c r="G128" s="1">
        <f>SUM(G6:G9)</f>
        <v>4</v>
      </c>
      <c r="H128" s="6">
        <f t="shared" ref="H128:H131" si="34">F128/(J128-G128)</f>
        <v>12.919896640826874</v>
      </c>
      <c r="J128" s="1">
        <f>J127</f>
        <v>11.74</v>
      </c>
      <c r="K128" s="6">
        <f t="shared" ref="K128:K131" si="35">E128*H128</f>
        <v>387.59689922480624</v>
      </c>
    </row>
    <row r="129" spans="3:32" ht="14.25" customHeight="1" x14ac:dyDescent="0.2">
      <c r="D129" s="1">
        <v>3</v>
      </c>
      <c r="E129" s="1">
        <f>E128-E6</f>
        <v>25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256.67351129363448</v>
      </c>
    </row>
    <row r="130" spans="3:32" ht="14.25" customHeight="1" x14ac:dyDescent="0.2">
      <c r="D130" s="1">
        <v>2</v>
      </c>
      <c r="E130" s="1">
        <f>E129-E8</f>
        <v>20</v>
      </c>
      <c r="F130" s="1">
        <f>F7</f>
        <v>40</v>
      </c>
      <c r="G130" s="1">
        <f>G129-G8</f>
        <v>0</v>
      </c>
      <c r="H130" s="6">
        <f t="shared" si="34"/>
        <v>3.4071550255536627</v>
      </c>
      <c r="J130" s="1">
        <f t="shared" si="36"/>
        <v>11.74</v>
      </c>
      <c r="K130" s="6">
        <f t="shared" si="35"/>
        <v>68.143100511073257</v>
      </c>
    </row>
    <row r="131" spans="3:32" ht="14.25" customHeight="1" x14ac:dyDescent="0.2">
      <c r="D131" s="1">
        <v>1</v>
      </c>
      <c r="E131" s="1">
        <f>E10</f>
        <v>4</v>
      </c>
      <c r="F131" s="1">
        <f>F9</f>
        <v>40</v>
      </c>
      <c r="G131" s="1">
        <f>G9</f>
        <v>0</v>
      </c>
      <c r="H131" s="6">
        <f t="shared" si="34"/>
        <v>3.4071550255536627</v>
      </c>
      <c r="J131" s="1">
        <f t="shared" si="36"/>
        <v>11.74</v>
      </c>
      <c r="K131" s="6">
        <f t="shared" si="35"/>
        <v>13.628620102214651</v>
      </c>
    </row>
    <row r="132" spans="3:32" ht="14.25" customHeight="1" x14ac:dyDescent="0.2">
      <c r="H132" s="6">
        <f>SUM(H127:H131)</f>
        <v>30.001147143679582</v>
      </c>
      <c r="I132" s="1" t="s">
        <v>315</v>
      </c>
      <c r="J132" s="1">
        <f>MAX(J127:J131)</f>
        <v>11.74</v>
      </c>
      <c r="K132" s="6">
        <f>SUM(K127:K131)</f>
        <v>726.04213113172864</v>
      </c>
    </row>
    <row r="134" spans="3:32" ht="14.25" customHeight="1" collapsed="1" x14ac:dyDescent="0.2">
      <c r="C134" s="3" t="s">
        <v>169</v>
      </c>
      <c r="E134" s="1">
        <f>J132</f>
        <v>11.74</v>
      </c>
      <c r="F134" s="6">
        <f>K132</f>
        <v>726.04213113172864</v>
      </c>
      <c r="G134" s="18">
        <v>5</v>
      </c>
      <c r="J134" s="1" t="s">
        <v>317</v>
      </c>
      <c r="K134" s="1">
        <f>$K$21</f>
        <v>75</v>
      </c>
      <c r="L134" s="3" t="s">
        <v>316</v>
      </c>
      <c r="P134" s="6">
        <f>MAX(P137:P236)</f>
        <v>46964.734945108452</v>
      </c>
      <c r="X134" s="1" t="s">
        <v>320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54453.159834879647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193</v>
      </c>
      <c r="E136" s="1" t="s">
        <v>153</v>
      </c>
      <c r="F136" s="1" t="s">
        <v>154</v>
      </c>
      <c r="G136" s="1" t="s">
        <v>145</v>
      </c>
      <c r="H136" s="18" t="s">
        <v>146</v>
      </c>
      <c r="I136" s="18" t="s">
        <v>147</v>
      </c>
      <c r="J136" s="18" t="s">
        <v>148</v>
      </c>
      <c r="M136" s="1" t="s">
        <v>171</v>
      </c>
      <c r="N136" s="1" t="s">
        <v>172</v>
      </c>
      <c r="O136" s="1" t="s">
        <v>173</v>
      </c>
      <c r="P136" s="1" t="s">
        <v>145</v>
      </c>
      <c r="Q136" s="18" t="s">
        <v>146</v>
      </c>
      <c r="R136" s="18" t="s">
        <v>147</v>
      </c>
      <c r="S136" s="18" t="s">
        <v>148</v>
      </c>
      <c r="T136" s="18" t="s">
        <v>174</v>
      </c>
      <c r="U136" s="18" t="s">
        <v>205</v>
      </c>
      <c r="V136" s="1" t="s">
        <v>319</v>
      </c>
      <c r="X136" s="1" t="s">
        <v>171</v>
      </c>
      <c r="Y136" s="1" t="s">
        <v>172</v>
      </c>
      <c r="Z136" s="1" t="s">
        <v>173</v>
      </c>
      <c r="AA136" s="1" t="s">
        <v>145</v>
      </c>
      <c r="AB136" s="1" t="s">
        <v>146</v>
      </c>
      <c r="AC136" s="1" t="s">
        <v>147</v>
      </c>
      <c r="AD136" s="1" t="s">
        <v>148</v>
      </c>
      <c r="AE136" s="1" t="s">
        <v>318</v>
      </c>
      <c r="AF136" s="1" t="s">
        <v>206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726.04213113172864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52484.97333482375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5831.6637038693052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6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762.34423768831505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55009.806688272889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6112.2007431414322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6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800.46144957273088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57651.096209061434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6405.6773565623816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6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840.48452205136743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60413.722808855033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6712.6358676505588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6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882.5087481539357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63302.723987226476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7033.6359985807194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6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926.63418556163265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66323.294017659733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7369.2548908510817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6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972.96589483971411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69480.78354536531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7720.0870605961454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6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1021.6141895817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72780.698531209433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8086.7442812454929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6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1072.6948990607848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76228.698472159595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8469.8553857955103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6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1126.3296440138242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79830.593824832467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8870.0659805369414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6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1182.6461262145153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83592.342555051306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9288.0380616723669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6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1241.7784325252412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87520.04573285408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9724.4495258726747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6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1303.8673541515032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91619.942089211778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10179.993565467976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6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1369.0607218590785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95898.401447914759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10655.377938657195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6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1437.5137579520322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100361.91694375541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11151.324104861713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6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1509.3894458496343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105017.09593639326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11668.566215154808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6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1584.8589181421157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109870.64952824989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12207.849947583321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6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1664.1018640492218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114929.38059458022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12769.93117717558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6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1747.3069572516829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120200.17023464019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13355.574470515576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6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1834.6723051142669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125689.96255477461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13965.551394974957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6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1926.4059203699803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131405.74769743395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14600.638633048216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6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2022.7262163884793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137354.54303476468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15261.61589275163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6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2123.862527207903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143543.37245166916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15949.263605741018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6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2230.0556535682986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149979.24365126787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16664.360405696429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6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2341.5584362467134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156669.12342568417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17407.680380631573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6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2458.6363580590491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163619.91084717223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18179.990094130248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6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2581.5681759620015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170838.408348964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18982.04537210711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6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2710.6465847601021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178331.29068196131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19814.587853551257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6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2846.1789139981065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186105.07175264056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20678.341305848953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6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2988.4878596980125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194166.06936935586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21574.007707706205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6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3137.9122526829119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202520.36794865376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22502.263105405975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6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3294.8078653170587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211173.77926024736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23463.753251138594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6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3459.5482585829118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220131.80131886774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24459.089035429748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6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3632.5256715120572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229399.57556320727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25488.84172924525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6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3814.1519550876601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238981.84249637712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26553.538055153014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6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4004.8595528420437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248882.89599846367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27653.65511094041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6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4205.1025304841451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259106.53655951627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28789.615173279584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6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4415.3576570083533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269656.02372018393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29961.780413353772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6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4636.12553985877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280534.02804669953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31170.447560744393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6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4867.9318168517093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291742.58300634992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32415.842556261101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6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5111.3284076942937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303283.037148231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33698.115238692335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6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5366.8948280790091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315156.00703115686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35017.334114572986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6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5635.2395694829593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327361.33137516596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36373.481263907328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6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5917.0015479571084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339898.02694418636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37766.447438242933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6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6212.8516253549633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352764.24669405987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39196.027410451097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6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6523.4942066227122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365957.24074125476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40661.915637917198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6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6849.6689169538458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379473.32072215981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42163.702302462203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6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7192.1523628015402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393307.82811984245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43700.869791093603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6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7551.759980941617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407455.10713360825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45272.789681512026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6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7929.3479799886991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421908.48265577684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46878.720295086314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6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8325.8153789881344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436660.24389904516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48517.804877671682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6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8742.1061479375403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451701.63418612484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50189.070465124983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6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9179.2114553344181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467022.84737065446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51891.427485628272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6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9638.1720281011367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482613.0313046283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53623.670144958698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6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10120.080629506194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498460.29870291607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55384.477633657341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6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10626.084660981505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514551.74568035477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57172.416186706083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6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11157.388894030579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530873.47815217287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58985.942016908099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6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11715.25833873211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547410.64619523182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60823.405132803535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6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12301.021255668717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564147.48636717314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62683.054040797018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6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12916.072318452152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581067.37187471974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64563.041319413307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6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13561.875934374757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598152.87037305185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66461.430041450207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6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14239.969731093499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615385.80906752264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68376.201007502517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6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14951.968217648167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632747.34667931695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70305.260742146333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6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15699.566628530583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650218.05173040368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72246.450192267075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6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16484.544959957111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667777.98650272016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74197.554055857792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6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17308.772207954968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685406.79593435104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76156.310659372335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6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18174.210818352716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703083.80063374608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78120.422292638454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6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19082.921359270353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720788.09312384308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80087.565902649236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6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20037.067427233869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738498.63637304783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82055.404041449758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6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21038.920798595562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756194.36363080773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84021.595958978636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6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22090.86683852534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773854.27856302483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85983.808729224984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6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23195.41018045161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791457.5546773742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87939.728297486028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6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24355.180689474189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808983.6330408504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89887.070337872268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6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25572.939723947897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826412.31732126849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91823.590813474279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6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26851.58671014529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843723.86523017148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93747.096136685723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6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28194.166045652557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860899.07550552825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95655.45283394758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6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29603.874347935183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877919.36964709102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97546.596627454564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6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31084.06806533195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894766.86770353094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99418.540855947882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6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32638.271468598537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911424.45750626444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101269.38416736272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6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34270.185042028475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927875.85684796993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103097.31742755222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6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35983.694294129898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944105.66821172193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104900.62980130244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6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37782.879008836397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960099.42576703301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106677.71397411478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6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39672.022959278213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975843.63445946854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108427.0704954965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6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41655.624107242125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991325.80112866941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110147.31123651883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6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43738.405312604234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1006534.4576934609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111837.16196594009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6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45925.325578234442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1021459.1765404171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113495.46406004635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6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48221.591857146159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1036090.5783421927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115121.17537135474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6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50632.67145000348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1050420.3326128637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116713.3702903182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6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53164.305022503642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1064441.1513784432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118271.23904204924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6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55822.520273628834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1078146.7764010073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119794.08626677858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6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58613.646287310272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1091531.9604441335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121281.32893823706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6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61544.328601675799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1104592.4431055358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122732.49367839287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6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64621.545031759575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1117324.9217700858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124147.21353000954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6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67852.622283347562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1129727.018253257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125525.22425036189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6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71245.253397514913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1141797.2417120466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126866.36019022739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6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74807.516067390694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1153534.9483983929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128170.54982204366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6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78547.891870760213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1164940.2988199119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129437.81097999022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6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82475.286464298231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1176014.2128554278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130668.24587282531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6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86599.050787513144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1186758.3233492614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131862.03592769572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6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90929.003326888822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1197174.9286796718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133019.43651996355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6">
        <f t="shared" si="64"/>
        <v>2.4999999999999996</v>
      </c>
    </row>
    <row r="238" spans="3:32" ht="14.25" customHeight="1" x14ac:dyDescent="0.2">
      <c r="C238" s="3" t="s">
        <v>313</v>
      </c>
      <c r="D238" s="2" t="s">
        <v>323</v>
      </c>
      <c r="I238" s="3" t="s">
        <v>314</v>
      </c>
      <c r="Q238" s="2"/>
    </row>
    <row r="239" spans="3:32" ht="14.25" customHeight="1" x14ac:dyDescent="0.2">
      <c r="D239" s="3" t="s">
        <v>312</v>
      </c>
      <c r="E239" s="3" t="s">
        <v>153</v>
      </c>
      <c r="F239" s="3" t="s">
        <v>154</v>
      </c>
      <c r="G239" s="3" t="s">
        <v>129</v>
      </c>
      <c r="H239" s="80" t="s">
        <v>17</v>
      </c>
      <c r="J239" s="25" t="s">
        <v>15</v>
      </c>
      <c r="K239" s="3" t="s">
        <v>154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29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435.04350435043506</v>
      </c>
    </row>
    <row r="242" spans="3:32" ht="14.25" customHeight="1" x14ac:dyDescent="0.2">
      <c r="D242" s="1">
        <v>3</v>
      </c>
      <c r="E242" s="1">
        <f>E241-E8</f>
        <v>24</v>
      </c>
      <c r="F242" s="1">
        <f>F7</f>
        <v>40</v>
      </c>
      <c r="G242" s="1">
        <f>G241-G8</f>
        <v>6</v>
      </c>
      <c r="H242" s="6">
        <f t="shared" si="65"/>
        <v>4.6157396722824835</v>
      </c>
      <c r="J242" s="1">
        <f t="shared" ref="J242:J244" si="66">J241</f>
        <v>14.666</v>
      </c>
      <c r="K242" s="6">
        <f t="shared" ref="K242:K244" si="67">E242*H242</f>
        <v>110.7777521347796</v>
      </c>
    </row>
    <row r="243" spans="3:32" ht="14.25" customHeight="1" x14ac:dyDescent="0.2">
      <c r="D243" s="1">
        <v>2</v>
      </c>
      <c r="E243" s="1">
        <f>E242-E7</f>
        <v>14</v>
      </c>
      <c r="F243" s="1">
        <f>F9</f>
        <v>40</v>
      </c>
      <c r="G243" s="1">
        <f>G242-G7</f>
        <v>6</v>
      </c>
      <c r="H243" s="6">
        <f t="shared" si="65"/>
        <v>4.6157396722824835</v>
      </c>
      <c r="J243" s="1">
        <f t="shared" si="66"/>
        <v>14.666</v>
      </c>
      <c r="K243" s="6">
        <f t="shared" si="67"/>
        <v>64.620355411954762</v>
      </c>
    </row>
    <row r="244" spans="3:32" ht="14.25" customHeight="1" x14ac:dyDescent="0.2">
      <c r="D244" s="1">
        <v>1</v>
      </c>
      <c r="E244" s="1">
        <f>E10</f>
        <v>4</v>
      </c>
      <c r="F244" s="1">
        <f>F10</f>
        <v>50</v>
      </c>
      <c r="G244" s="1">
        <f>G10</f>
        <v>6</v>
      </c>
      <c r="H244" s="6">
        <f t="shared" si="65"/>
        <v>5.7696745903531035</v>
      </c>
      <c r="J244" s="1">
        <f t="shared" si="66"/>
        <v>14.666</v>
      </c>
      <c r="K244" s="6">
        <f t="shared" si="67"/>
        <v>23.078698361412414</v>
      </c>
    </row>
    <row r="245" spans="3:32" ht="14.25" customHeight="1" x14ac:dyDescent="0.2">
      <c r="H245" s="6">
        <f>SUM(H240:H244)</f>
        <v>30.00265408493307</v>
      </c>
      <c r="I245" s="1" t="s">
        <v>315</v>
      </c>
      <c r="J245" s="1">
        <f>MAX(J240:J244)</f>
        <v>14.666</v>
      </c>
      <c r="K245" s="6">
        <f>SUM(K240:K244)</f>
        <v>633.52031025858184</v>
      </c>
    </row>
    <row r="247" spans="3:32" ht="14.25" customHeight="1" collapsed="1" x14ac:dyDescent="0.2">
      <c r="C247" s="3" t="s">
        <v>169</v>
      </c>
      <c r="E247" s="1">
        <f>J245</f>
        <v>14.666</v>
      </c>
      <c r="F247" s="6">
        <f>K245</f>
        <v>633.52031025858184</v>
      </c>
      <c r="G247" s="18">
        <v>5</v>
      </c>
      <c r="J247" s="1" t="s">
        <v>317</v>
      </c>
      <c r="K247" s="1">
        <f>K21</f>
        <v>75</v>
      </c>
      <c r="L247" s="3" t="s">
        <v>316</v>
      </c>
      <c r="P247" s="6">
        <f>MAX(P250:P349)</f>
        <v>46964.734945108452</v>
      </c>
      <c r="X247" s="1" t="s">
        <v>320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47514.023269393641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193</v>
      </c>
      <c r="E249" s="1" t="s">
        <v>153</v>
      </c>
      <c r="F249" s="1" t="s">
        <v>154</v>
      </c>
      <c r="G249" s="1" t="s">
        <v>145</v>
      </c>
      <c r="H249" s="18" t="s">
        <v>146</v>
      </c>
      <c r="I249" s="18" t="s">
        <v>147</v>
      </c>
      <c r="J249" s="18" t="s">
        <v>148</v>
      </c>
      <c r="M249" s="1" t="s">
        <v>171</v>
      </c>
      <c r="N249" s="1" t="s">
        <v>172</v>
      </c>
      <c r="O249" s="1" t="s">
        <v>173</v>
      </c>
      <c r="P249" s="1" t="s">
        <v>145</v>
      </c>
      <c r="Q249" s="18" t="s">
        <v>146</v>
      </c>
      <c r="R249" s="18" t="s">
        <v>147</v>
      </c>
      <c r="S249" s="18" t="s">
        <v>148</v>
      </c>
      <c r="T249" s="18" t="s">
        <v>174</v>
      </c>
      <c r="U249" s="18" t="s">
        <v>205</v>
      </c>
      <c r="V249" s="1" t="s">
        <v>319</v>
      </c>
      <c r="X249" s="1" t="s">
        <v>171</v>
      </c>
      <c r="Y249" s="1" t="s">
        <v>172</v>
      </c>
      <c r="Z249" s="1" t="s">
        <v>173</v>
      </c>
      <c r="AA249" s="1" t="s">
        <v>145</v>
      </c>
      <c r="AB249" s="1" t="s">
        <v>146</v>
      </c>
      <c r="AC249" s="1" t="s">
        <v>147</v>
      </c>
      <c r="AD249" s="1" t="s">
        <v>148</v>
      </c>
      <c r="AE249" s="1" t="s">
        <v>318</v>
      </c>
      <c r="AF249" s="1" t="s">
        <v>206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633.52031025858184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45796.648934355311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5088.5165482617012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6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665.19632577151094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47999.734872267785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5333.3038746964203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6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698.45614206008645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50304.436603673363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5589.3818448525963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6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733.37894916309085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52715.013050389658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5857.223672265518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6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770.0478966212454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55235.85976765438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6137.3177519615974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6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808.55029145230765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57871.509106426223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6430.1676784918027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6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848.97780602492298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60626.629862452071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6736.2922069391188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6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891.42669632616935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63506.026354774382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7056.2251505304866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6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935.99803114247766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66514.636872951043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7390.5152081056713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6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982.79793269960157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69657.531428928589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7739.7257143253992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6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1031.9378293345817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72939.908746300411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8104.4343051444903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6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1083.5347208013109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76367.092416656553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8485.2324907396178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6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1137.7114568413763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79944.52614995667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8882.7251277729629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6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1194.5970296834453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83677.768043411575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9297.5297826012866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6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1254.3268811676171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87572.483791327162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9730.2759768141295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6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1317.0432252259984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91634.438756844291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10181.604306316032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6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1382.8953864872983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95869.488825600987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10652.165425066776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6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1452.0401558116635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100283.56996116921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11142.618884574356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6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1524.6421636022465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104882.68638279276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11653.631820310307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6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1600.8742717823588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109672.89728761386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12185.87747640154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6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1680.9179853714768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114660.30204235522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12740.033560261691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6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1764.9638846400505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119851.0237734703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13316.780419274477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6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1853.2120788720529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125251.19129022757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13916.799032247507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6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1945.8726828156559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130866.91928220862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14540.768809134292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6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2043.1663169564385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136704.28674141449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15189.365193490499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6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2145.3246328042605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142769.31356973175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15863.257063303528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6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2252.5908644444735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149067.93534503778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16563.103927226421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6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2365.2204076666976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155605.97623383885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17289.552914870983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6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2483.4814280500318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162389.12005512416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18043.235561680463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6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2607.6554994525341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169422.8795191581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18824.764391017568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6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2738.0382744251597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176712.56368624585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19634.729298471761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6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2874.9401881464191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184263.24371409853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20473.693746010948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6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3018.6871975537397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192079.71698822419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21342.190776469353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6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3169.6215574314269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200166.46975769295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22240.718861965885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6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3328.1026353029979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208527.63842846928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23169.737603163252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6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3494.5077670681485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217166.96969806281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24129.663299784756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6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3669.2331554215552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226087.77974818251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25120.864416464723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6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3852.6948131926333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235292.91274601198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26143.65697177911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6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4045.3295538522643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244784.69893917162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27198.299882130181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6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4247.5960315448783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254564.9126638484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28284.990295983156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6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4459.9758331221219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264634.73061930668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29403.858957700741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6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4682.9746247782286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274994.69079434132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30554.965643815704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6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4917.1233560171395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285644.65246140101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31738.294717933444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6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5162.9795238179968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296583.75768126349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32953.750853473721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6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5421.1285000088965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307810.39478438784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34201.154976043093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6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5692.1849250093419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319322.16431350639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35480.240479278487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6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5976.7941712598085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331115.8479247255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36790.649769413947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6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6275.6338798228007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343187.38075050362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38131.931194500401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6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6589.4155738139398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355531.82772652828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39503.536414058697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6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6918.8863525046372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368143.36437498027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40904.8182638867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6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7264.8306701298688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381015.26251831313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42335.029168701461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6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7628.0722036363632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394139.8813700286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43793.320152225402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6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8009.4758138181805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407508.6644116838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45278.74049018709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6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8409.9496045090891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421112.14241845463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46790.23804649496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6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8830.4470847345438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434939.94293915533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48326.660326572812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6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9271.9694389712731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448980.80647109123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49886.756274565691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6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9735.5679109198336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463222.60949619371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51469.178832910409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6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10222.346306465828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477652.39446350205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53072.488273722447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6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10733.463621789118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492256.40671544761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54695.156301716401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6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11270.136802878576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507020.13826305373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56335.570918117082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6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11833.643643022502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521928.37821975397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57992.042024417111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6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12425.325825173632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536965.26960699423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59662.807734110473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6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13046.592116432306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552114.3721490812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61346.041349897911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6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13698.921722253928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567358.7305820391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63039.858953559902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6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14383.867808366624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582680.94791361154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64742.327545956839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6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15103.061198784957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598063.26299112325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66451.473665680358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6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15858.214258724203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613487.63166260358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68165.292406955952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6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16651.124971660414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628935.81075622141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69881.756750691275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6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17483.681220243434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644389.44405515259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71598.827117239183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6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18357.865281255607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659830.14941079437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73314.461045643824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6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19275.758545318386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675239.60611760989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75026.622901956653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6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20239.546472584309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690599.64166836592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76733.293518707331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6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21251.523796213522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705892.31701922824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78432.479668803135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6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22314.099986024197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721100.00951982511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80122.223279980564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6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23429.804985325405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736205.49270329985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81800.61030036665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6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24601.295234591678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751192.01218453131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83465.779131614589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6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25831.359996321258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766043.35697969829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85115.928553299804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6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27122.927996137329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780743.92563562409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86749.325070624895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6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28479.074395944186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795278.78664091905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88364.30962676878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6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29903.028115741407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809633.73268089513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89959.303631210569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6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31398.179521528473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823795.32839239365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91532.814265821522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6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32968.088497604906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837750.95137097675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93083.439041219637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6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34616.492922485144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851488.82627922739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94609.869586580826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6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36347.317568609404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864998.05199930852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96110.89466658984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6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38164.683447039875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878268.62186351768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97585.40242927974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6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40072.917619391861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891291.43708184035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99032.381897982268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6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42076.563500361452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904058.31356396724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100450.92372932969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6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44180.391675379535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916561.98240386508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101840.22026709613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6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46389.41125914851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928796.08435687935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103199.56492854215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6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48708.881822105934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940755.1586919293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104528.35096576992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6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51144.325913211229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952434.62684435118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105826.06964937235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6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53701.542208871804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963830.77132825472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107092.30792536163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6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56386.619319315381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974940.71039109258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108326.74559901029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6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59205.950285281164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985762.36890783533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109529.15210087059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6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62166.247799545199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996294.44601826882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110699.38289091876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6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65274.56018952249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1006536.3800091617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111837.37555657352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6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68538.288198998605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1016488.3109341421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112943.14565934912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6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71965.20260894853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1026151.0414489968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114016.78238322186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6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75563.462739395967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1035525.9963195856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115058.44403550951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6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79341.635876365777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1044615.1810346327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116068.35344829253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6">
        <f t="shared" si="96"/>
        <v>2.4999999999999996</v>
      </c>
    </row>
    <row r="351" spans="3:32" ht="14.25" customHeight="1" x14ac:dyDescent="0.2">
      <c r="C351" s="3" t="s">
        <v>313</v>
      </c>
      <c r="D351" s="2" t="s">
        <v>324</v>
      </c>
      <c r="I351" s="3" t="s">
        <v>314</v>
      </c>
      <c r="Q351" s="2"/>
    </row>
    <row r="352" spans="3:32" ht="14.25" customHeight="1" x14ac:dyDescent="0.2">
      <c r="D352" s="3" t="s">
        <v>312</v>
      </c>
      <c r="E352" s="3" t="s">
        <v>153</v>
      </c>
      <c r="F352" s="3" t="s">
        <v>154</v>
      </c>
      <c r="G352" s="3" t="s">
        <v>129</v>
      </c>
      <c r="H352" s="80" t="s">
        <v>17</v>
      </c>
      <c r="J352" s="25" t="s">
        <v>15</v>
      </c>
      <c r="K352" s="3" t="s">
        <v>154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24</v>
      </c>
      <c r="F354" s="1">
        <f>F6</f>
        <v>100</v>
      </c>
      <c r="G354" s="1">
        <f>SUM(G6:G10)-G7</f>
        <v>10</v>
      </c>
      <c r="H354" s="6">
        <f t="shared" ref="H354:H357" si="97">F354/(J354-G354)</f>
        <v>12.187690432663013</v>
      </c>
      <c r="J354" s="1">
        <f>J353</f>
        <v>18.204999999999998</v>
      </c>
      <c r="K354" s="6">
        <f t="shared" ref="K354:K357" si="98">E354*H354</f>
        <v>292.50457038391232</v>
      </c>
    </row>
    <row r="355" spans="3:32" ht="14.25" customHeight="1" x14ac:dyDescent="0.2">
      <c r="D355" s="1">
        <v>3</v>
      </c>
      <c r="E355" s="1">
        <f>E354-E6</f>
        <v>19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186.1832435080843</v>
      </c>
    </row>
    <row r="356" spans="3:32" ht="14.25" customHeight="1" x14ac:dyDescent="0.2">
      <c r="D356" s="1">
        <v>2</v>
      </c>
      <c r="E356" s="1">
        <f>E355-E9</f>
        <v>9</v>
      </c>
      <c r="F356" s="1">
        <f>F9</f>
        <v>40</v>
      </c>
      <c r="G356" s="1">
        <f>G355-G9</f>
        <v>8</v>
      </c>
      <c r="H356" s="6">
        <f t="shared" si="97"/>
        <v>3.9196472317491433</v>
      </c>
      <c r="J356" s="1">
        <f t="shared" si="99"/>
        <v>18.204999999999998</v>
      </c>
      <c r="K356" s="6">
        <f t="shared" si="98"/>
        <v>35.276825085742288</v>
      </c>
    </row>
    <row r="357" spans="3:32" ht="14.25" customHeight="1" x14ac:dyDescent="0.2">
      <c r="D357" s="1">
        <v>1</v>
      </c>
      <c r="E357" s="1">
        <f>E10</f>
        <v>4</v>
      </c>
      <c r="F357" s="1">
        <f>F10</f>
        <v>50</v>
      </c>
      <c r="G357" s="1">
        <f>G10</f>
        <v>6</v>
      </c>
      <c r="H357" s="6">
        <f t="shared" si="97"/>
        <v>4.0966816878328558</v>
      </c>
      <c r="J357" s="1">
        <f t="shared" si="99"/>
        <v>18.204999999999998</v>
      </c>
      <c r="K357" s="6">
        <f t="shared" si="98"/>
        <v>16.386726751331423</v>
      </c>
    </row>
    <row r="358" spans="3:32" ht="14.25" customHeight="1" x14ac:dyDescent="0.2">
      <c r="H358" s="6">
        <f>SUM(H353:H357)</f>
        <v>30.003137431617869</v>
      </c>
      <c r="I358" s="1" t="s">
        <v>315</v>
      </c>
      <c r="J358" s="1">
        <f>MAX(J353:J357)</f>
        <v>18.204999999999998</v>
      </c>
      <c r="K358" s="6">
        <f>SUM(K353:K357)</f>
        <v>530.35136572907027</v>
      </c>
    </row>
    <row r="360" spans="3:32" ht="14.25" customHeight="1" collapsed="1" x14ac:dyDescent="0.2">
      <c r="C360" s="3" t="s">
        <v>169</v>
      </c>
      <c r="E360" s="1">
        <f>J358</f>
        <v>18.204999999999998</v>
      </c>
      <c r="F360" s="6">
        <f>K358</f>
        <v>530.35136572907027</v>
      </c>
      <c r="G360" s="18">
        <v>5</v>
      </c>
      <c r="J360" s="1" t="s">
        <v>317</v>
      </c>
      <c r="K360" s="1">
        <f>K21</f>
        <v>75</v>
      </c>
      <c r="L360" s="3" t="s">
        <v>316</v>
      </c>
      <c r="P360" s="6">
        <f>MAX(P363:P462)</f>
        <v>46964.734945108452</v>
      </c>
      <c r="X360" s="1" t="s">
        <v>320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39776.352429680272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193</v>
      </c>
      <c r="E362" s="1" t="s">
        <v>153</v>
      </c>
      <c r="F362" s="1" t="s">
        <v>154</v>
      </c>
      <c r="G362" s="1" t="s">
        <v>145</v>
      </c>
      <c r="H362" s="18" t="s">
        <v>146</v>
      </c>
      <c r="I362" s="18" t="s">
        <v>147</v>
      </c>
      <c r="J362" s="18" t="s">
        <v>148</v>
      </c>
      <c r="M362" s="1" t="s">
        <v>171</v>
      </c>
      <c r="N362" s="1" t="s">
        <v>172</v>
      </c>
      <c r="O362" s="1" t="s">
        <v>173</v>
      </c>
      <c r="P362" s="1" t="s">
        <v>145</v>
      </c>
      <c r="Q362" s="18" t="s">
        <v>146</v>
      </c>
      <c r="R362" s="18" t="s">
        <v>147</v>
      </c>
      <c r="S362" s="18" t="s">
        <v>148</v>
      </c>
      <c r="T362" s="18" t="s">
        <v>174</v>
      </c>
      <c r="U362" s="18" t="s">
        <v>205</v>
      </c>
      <c r="V362" s="1" t="s">
        <v>319</v>
      </c>
      <c r="X362" s="1" t="s">
        <v>171</v>
      </c>
      <c r="Y362" s="1" t="s">
        <v>172</v>
      </c>
      <c r="Z362" s="1" t="s">
        <v>173</v>
      </c>
      <c r="AA362" s="1" t="s">
        <v>145</v>
      </c>
      <c r="AB362" s="1" t="s">
        <v>146</v>
      </c>
      <c r="AC362" s="1" t="s">
        <v>147</v>
      </c>
      <c r="AD362" s="1" t="s">
        <v>148</v>
      </c>
      <c r="AE362" s="1" t="s">
        <v>318</v>
      </c>
      <c r="AF362" s="1" t="s">
        <v>206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530.35136572907027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38338.652944270136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4259.8503271411264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6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556.86893401552379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40182.96577382012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4464.7739748689019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6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584.7123807163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42112.346238907659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4679.1495821008511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6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613.94799975211504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44130.359694843261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4903.3732994270285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6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644.64539973972069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46240.685879570141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5137.8539866189049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6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676.87766972670681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48447.119049534391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5383.0132277260436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6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710.72155321304206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50753.567685901558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5639.2852984335068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6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746.25763087369432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53164.053723129509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5907.1170803477235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6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783.57051241737895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55682.711249058804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6186.9679165620892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6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822.74903803824793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58313.784622893989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6479.3094025437767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6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863.88648994016035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61061.625954761817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6784.6251060846462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6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907.08081443716844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63930.691888000576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7103.4102097778414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6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952.43485515902671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66925.539623010918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7436.1710692234356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6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1000.0565979169781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70050.82211945155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7783.4246799390612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6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1050.0594278128269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73311.282411861845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8145.6980457624268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6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1102.5623992034687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76711.746972520836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8523.5274413912048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6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1157.690519163642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80257.118054592895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8917.4575616214333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6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1215.5750451218241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83952.364948464383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9328.0405498293767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6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1276.3537973779153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87802.514084739872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9755.8348983044307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6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1340.171487246811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91812.637918757449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10201.404213195272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6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1407.1800616091516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95987.842533809351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10665.315837089927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6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1477.5390646896092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100333.25390364026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11148.139322626696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6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1551.4160179240896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104854.00275936202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11650.444751040224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6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1628.9868188202943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109555.20801179421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12172.800890199356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6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1710.4361597613088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114441.958687536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12715.773187503999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6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1795.9579677493743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119519.29434591226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13279.921593990251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6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1885.755866136843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124792.1839544253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13865.798217158366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6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1980.0436594436853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130265.50321257638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14473.944801397376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6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2079.0458424158692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135944.0103279789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15104.890036442101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6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2182.9981345366632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141832.32026462097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15759.146696068996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6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2292.1480412634955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147934.87750097946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16437.208611219939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6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2406.7554433266714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154255.92735543539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17139.547483937265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6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2527.0932154930047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160799.48595804002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17866.609550893336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6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2653.4478762676549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167569.30897105523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18618.812107895024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6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2786.1202700810377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174568.85918567644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19396.539909519604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6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2925.42628358509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181801.2731487657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20200.141460973966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6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3071.6975977643442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189269.32700099266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21029.925222332517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6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3225.2824776525617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196975.40173618766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21886.155748465295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6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3386.546601535189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204921.44812055037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22769.049791172263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6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3555.873931611949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213108.95153916595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23678.772393240662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6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3733.6676281925461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221538.89706552259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24615.433007280288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6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3920.3510096021737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230211.73507680235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25579.081675200261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6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4116.3685600822828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239127.34776297177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26569.705306996864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6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4322.1869880863969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248285.01690043014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27587.224100047795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6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4538.2963374907167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257683.39328043349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28631.488142270387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6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4765.2111543652536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267320.46819794382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29702.27424421598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6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5003.4717120835148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277193.54741719342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30799.283046354823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6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5253.6452976876917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287299.22803535953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31922.13644837328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6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5516.3275625720762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297633.37866461492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33070.375407179439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6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5792.1439407006801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308191.12334484258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34243.458149426951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6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6081.7511377357141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318966.82958393008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35440.758842658899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6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6385.8386946225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329954.10089941433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36661.566766601594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6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6705.1306293536254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341145.77420406893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37905.086022674324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6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7040.3871608213058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352533.92233875388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39170.435815417099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6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7392.4065188623708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364109.86200861138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40456.651334290153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6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7762.0268448054912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375864.16732383997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41762.685258204438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6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8150.1281870457642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387786.68908438866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43087.40989826541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6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8557.634596398053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399866.5798797842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44429.61998664269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6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8985.5163262179558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412092.32500196045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45788.03611132894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6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9434.792142528855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424451.77909165533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47161.308787961701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6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9906.5317496552962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436932.20835906983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48548.023151007757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6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10401.858337138063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449520.33813866205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49946.704237629114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6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10921.951253994961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462202.4054578396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51355.822828648845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6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11468.048816694714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474964.21622170083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52773.801802411203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6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12041.45125752945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487791.20654262719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54199.022949180799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6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12643.523820405924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500668.50767619832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55629.834186244261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6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13275.700011426219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513581.01396520645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57064.557107245164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6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13939.485011997531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526513.45314301807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58501.494793668673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6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14636.459262597406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539450.45830741304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59938.939811934782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6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15368.282225727276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552376.64084738935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61375.182316376595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6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16136.69633701364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565276.66358899139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62808.5181765546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6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16943.531153864325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578135.31342243659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64237.257046937397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6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17790.707711557541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590937.57268176589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65659.730297973991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6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18680.243097135415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603668.68856972724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67074.298729969698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6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19614.255251992185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616314.23995399685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68479.359994888538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6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20594.968014591799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628860.20090535493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69873.355656150554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6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21624.716415321385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641293.00040284113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71254.777822537901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6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22705.952236087458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653599.57769391779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72622.175299324197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6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23841.249847891824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665767.43286764389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73974.159207515986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6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25033.312340286426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677784.67227416113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75309.408030462349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6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26284.977957300744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689640.04850263684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76626.672055848539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6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27599.226855165787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701322.99471042375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77924.777190047083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6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28979.188197924075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712823.65317681467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79202.628130757192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6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30428.147607820276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724132.89803379937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80459.210892644376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6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31949.55498821129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735242.35220207006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81693.594689118894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6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33547.032737621856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746144.3986318931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82904.933181321452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6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35224.384374502944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756832.18601415807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84092.465112684236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6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36985.603593228101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767299.62918603851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85255.514354004277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6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38834.883772889494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777541.40450749802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86393.489389722003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6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40776.627961533974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787552.94052890921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87505.882280989914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6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42815.459359610672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797330.40430603374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88592.267145114864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6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44956.232327591213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806870.68374650995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89652.298194056668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6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47204.04394397077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816171.36639192968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90685.707376881081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6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49564.246141169315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825230.71505190479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91692.301672433867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6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52042.458448227764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834047.64071163989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92671.960079071097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6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54644.581370639171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842621.67313304706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93624.630348116334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6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57376.810439171124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850952.92956198519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94550.325506887239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6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60245.650961129679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859042.08194154117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95449.120215726798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6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63257.933509186165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866890.32301408984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96321.147001565536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6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66420.830184645485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874499.33167400386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97166.592408222656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6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J13" sqref="J13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81" t="s">
        <v>232</v>
      </c>
      <c r="B1" s="82"/>
      <c r="D1" s="72" t="s">
        <v>275</v>
      </c>
      <c r="G1" s="1">
        <v>1000</v>
      </c>
      <c r="J1" s="72" t="s">
        <v>276</v>
      </c>
      <c r="L1" s="6"/>
      <c r="M1" s="6"/>
    </row>
    <row r="2" spans="1:25" ht="14.25" customHeight="1" x14ac:dyDescent="0.2">
      <c r="A2" s="83"/>
      <c r="B2" s="84"/>
      <c r="D2" s="5">
        <f>D3/$G$1</f>
        <v>1.7000000000000001E-2</v>
      </c>
      <c r="G2" s="5">
        <f>G3/$G$1</f>
        <v>0.96499999999999997</v>
      </c>
      <c r="J2" s="5">
        <f>J3/$G$1</f>
        <v>1.7000000000000001E-2</v>
      </c>
      <c r="L2" s="6"/>
      <c r="M2" s="6"/>
    </row>
    <row r="3" spans="1:25" ht="14.25" customHeight="1" thickBot="1" x14ac:dyDescent="0.25">
      <c r="C3" s="3" t="s">
        <v>233</v>
      </c>
      <c r="D3" s="46">
        <v>17</v>
      </c>
      <c r="E3" s="46"/>
      <c r="F3" s="46">
        <v>33</v>
      </c>
      <c r="G3" s="1">
        <v>965</v>
      </c>
      <c r="H3" s="46">
        <f>G1-D3-G3-J3</f>
        <v>1</v>
      </c>
      <c r="I3" s="46"/>
      <c r="J3" s="46">
        <v>17</v>
      </c>
      <c r="L3" s="6"/>
      <c r="M3" s="6"/>
    </row>
    <row r="4" spans="1:25" ht="14.25" customHeight="1" x14ac:dyDescent="0.2">
      <c r="C4" s="49"/>
      <c r="D4" s="103" t="s">
        <v>253</v>
      </c>
      <c r="E4" s="104"/>
      <c r="F4" s="105"/>
      <c r="G4" s="50"/>
      <c r="H4" s="103" t="s">
        <v>254</v>
      </c>
      <c r="I4" s="104"/>
      <c r="J4" s="105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100</v>
      </c>
      <c r="K8" s="53">
        <v>1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249</v>
      </c>
      <c r="W8" s="46" t="s">
        <v>250</v>
      </c>
      <c r="X8" s="46" t="s">
        <v>251</v>
      </c>
    </row>
    <row r="9" spans="1:25" ht="14.25" customHeight="1" x14ac:dyDescent="0.2">
      <c r="A9" s="4">
        <f>B9/(SUM(M10:M18)*$G$1)</f>
        <v>2.0528240256606953E-3</v>
      </c>
      <c r="B9" s="6">
        <v>3914767.6183931846</v>
      </c>
      <c r="C9" s="49">
        <f>ROW(D10)</f>
        <v>10</v>
      </c>
      <c r="D9" s="54" t="s">
        <v>255</v>
      </c>
      <c r="E9" s="55" t="s">
        <v>256</v>
      </c>
      <c r="F9" s="55" t="s">
        <v>234</v>
      </c>
      <c r="G9" s="56" t="s">
        <v>157</v>
      </c>
      <c r="H9" s="55" t="s">
        <v>92</v>
      </c>
      <c r="I9" s="55" t="s">
        <v>93</v>
      </c>
      <c r="J9" s="56" t="s">
        <v>243</v>
      </c>
      <c r="K9" s="56" t="s">
        <v>244</v>
      </c>
      <c r="L9" s="55" t="s">
        <v>34</v>
      </c>
      <c r="M9" s="55" t="s">
        <v>212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175</v>
      </c>
      <c r="S9" s="55" t="s">
        <v>205</v>
      </c>
      <c r="T9" s="55" t="s">
        <v>273</v>
      </c>
      <c r="U9" s="55" t="s">
        <v>206</v>
      </c>
      <c r="V9" s="55" t="s">
        <v>207</v>
      </c>
      <c r="W9" s="55" t="s">
        <v>209</v>
      </c>
      <c r="X9" s="57" t="s">
        <v>241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257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100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29352.959340692785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513303.34971270675</v>
      </c>
      <c r="N10" s="8">
        <f>IFERROR(VLOOKUP($G10,角色设定!$AB$9:$AJ$21,MATCH(N$9,角色设定!$AB$9:$AJ$9,0),0)*VLOOKUP($J10,角色成长!$D$17:$J$117,MATCH(N$9,角色成长!$D$17:$J$17,0),0)*角色成长!$L$15,"")</f>
        <v>103322.41687923859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3.0179999999999998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0.60489692307692311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269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100</v>
      </c>
      <c r="K12" s="1">
        <f t="shared" si="3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32614.399267436427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461973.014741436</v>
      </c>
      <c r="N12" s="8">
        <f>IFERROR(VLOOKUP($G12,角色设定!$AB$9:$AJ$21,MATCH(N$9,角色设定!$AB$9:$AJ$9,0),0)*VLOOKUP($J12,角色成长!$D$17:$J$117,MATCH(N$9,角色成长!$D$17:$J$17,0),0)*角色成长!$L$15,"")</f>
        <v>103322.41687923859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3.0179999999999998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0.60489692307692311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270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100</v>
      </c>
      <c r="K13" s="1">
        <f t="shared" si="3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65750.628923151831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243477.83303006654</v>
      </c>
      <c r="N13" s="8">
        <f>IFERROR(VLOOKUP($G13,角色设定!$AB$9:$AJ$21,MATCH(N$9,角色设定!$AB$9:$AJ$9,0),0)*VLOOKUP($J13,角色成长!$D$17:$J$117,MATCH(N$9,角色成长!$D$17:$J$17,0),0)*角色成长!$L$15,"")</f>
        <v>46964.734945108452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5.0333333333333314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271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100</v>
      </c>
      <c r="K15" s="1">
        <f t="shared" si="3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54991.435099363349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275094.94192078855</v>
      </c>
      <c r="N15" s="8">
        <f>IFERROR(VLOOKUP($G15,角色设定!$AB$9:$AJ$21,MATCH(N$9,角色设定!$AB$9:$AJ$9,0),0)*VLOOKUP($J15,角色成长!$D$17:$J$117,MATCH(N$9,角色成长!$D$17:$J$17,0),0)*角色成长!$L$15,"")</f>
        <v>42268.261450597609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5.3650921281738073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272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100</v>
      </c>
      <c r="K17" s="1">
        <f t="shared" si="3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24985.238990797694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413166.54701421608</v>
      </c>
      <c r="N17" s="8">
        <f>IFERROR(VLOOKUP($G17,角色设定!$AB$9:$AJ$21,MATCH(N$9,角色设定!$AB$9:$AJ$9,0),0)*VLOOKUP($J17,角色成长!$D$17:$J$117,MATCH(N$9,角色成长!$D$17:$J$17,0),0)*角色成长!$L$15,"")</f>
        <v>26300.25156926073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2.2933202807351152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0.54244870231240705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100</v>
      </c>
      <c r="K19" s="65">
        <v>1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249</v>
      </c>
      <c r="W19" s="47" t="s">
        <v>250</v>
      </c>
      <c r="X19" s="47" t="s">
        <v>251</v>
      </c>
    </row>
    <row r="20" spans="1:25" ht="14.25" customHeight="1" x14ac:dyDescent="0.2">
      <c r="A20" s="4">
        <f>B20/(SUM(M21:M29)*$G$1)</f>
        <v>1.5772225332257536E-3</v>
      </c>
      <c r="B20" s="6">
        <v>3007788.1118353615</v>
      </c>
      <c r="C20" s="49">
        <f>ROW(D21)</f>
        <v>21</v>
      </c>
      <c r="D20" s="54" t="s">
        <v>255</v>
      </c>
      <c r="E20" s="55" t="s">
        <v>256</v>
      </c>
      <c r="F20" s="55" t="s">
        <v>235</v>
      </c>
      <c r="G20" s="56" t="s">
        <v>157</v>
      </c>
      <c r="H20" s="55" t="s">
        <v>92</v>
      </c>
      <c r="I20" s="55" t="s">
        <v>93</v>
      </c>
      <c r="J20" s="56" t="s">
        <v>243</v>
      </c>
      <c r="K20" s="56" t="s">
        <v>244</v>
      </c>
      <c r="L20" s="55" t="s">
        <v>34</v>
      </c>
      <c r="M20" s="55" t="s">
        <v>212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175</v>
      </c>
      <c r="S20" s="55" t="s">
        <v>205</v>
      </c>
      <c r="T20" s="55" t="s">
        <v>273</v>
      </c>
      <c r="U20" s="55" t="s">
        <v>206</v>
      </c>
      <c r="V20" s="55" t="s">
        <v>207</v>
      </c>
      <c r="W20" s="55" t="s">
        <v>209</v>
      </c>
      <c r="X20" s="57" t="s">
        <v>241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288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100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29352.959340692785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513303.34971270675</v>
      </c>
      <c r="N21" s="8">
        <f>IFERROR(VLOOKUP($G21,角色设定!$AB$9:$AJ$21,MATCH(N$9,角色设定!$AB$9:$AJ$9,0),0)*VLOOKUP($J21,角色成长!$D$17:$J$117,MATCH(N$9,角色成长!$D$17:$J$17,0),0)*角色成长!$L$15,"")</f>
        <v>103322.41687923859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3.0179999999999998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0.60489692307692311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258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100</v>
      </c>
      <c r="K23" s="1">
        <f t="shared" si="7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32614.399267436427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461973.014741436</v>
      </c>
      <c r="N23" s="8">
        <f>IFERROR(VLOOKUP($G23,角色设定!$AB$9:$AJ$21,MATCH(N$9,角色设定!$AB$9:$AJ$9,0),0)*VLOOKUP($J23,角色成长!$D$17:$J$117,MATCH(N$9,角色成长!$D$17:$J$17,0),0)*角色成长!$L$15,"")</f>
        <v>103322.41687923859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3.0179999999999998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0.60489692307692311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261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100</v>
      </c>
      <c r="K24" s="1">
        <f t="shared" si="7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65750.628923151831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243477.83303006654</v>
      </c>
      <c r="N24" s="8">
        <f>IFERROR(VLOOKUP($G24,角色设定!$AB$9:$AJ$21,MATCH(N$9,角色设定!$AB$9:$AJ$9,0),0)*VLOOKUP($J24,角色成长!$D$17:$J$117,MATCH(N$9,角色成长!$D$17:$J$17,0),0)*角色成长!$L$15,"")</f>
        <v>46964.734945108452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5.0333333333333314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263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100</v>
      </c>
      <c r="K26" s="1">
        <f t="shared" si="7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54991.435099363349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275094.94192078855</v>
      </c>
      <c r="N26" s="8">
        <f>IFERROR(VLOOKUP($G26,角色设定!$AB$9:$AJ$21,MATCH(N$9,角色设定!$AB$9:$AJ$9,0),0)*VLOOKUP($J26,角色成长!$D$17:$J$117,MATCH(N$9,角色成长!$D$17:$J$17,0),0)*角色成长!$L$15,"")</f>
        <v>42268.261450597609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5.3650921281738073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267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100</v>
      </c>
      <c r="K28" s="1">
        <f t="shared" si="7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24985.238990797694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413166.54701421608</v>
      </c>
      <c r="N28" s="8">
        <f>IFERROR(VLOOKUP($G28,角色设定!$AB$9:$AJ$21,MATCH(N$9,角色设定!$AB$9:$AJ$9,0),0)*VLOOKUP($J28,角色成长!$D$17:$J$117,MATCH(N$9,角色成长!$D$17:$J$17,0),0)*角色成长!$L$15,"")</f>
        <v>26300.25156926073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2.2933202807351152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0.54244870231240705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275</v>
      </c>
      <c r="G33" s="1">
        <v>1000</v>
      </c>
      <c r="J33" s="72" t="s">
        <v>276</v>
      </c>
    </row>
    <row r="34" spans="1:25" ht="14.25" customHeight="1" x14ac:dyDescent="0.2">
      <c r="D34" s="5">
        <f>D35/G33</f>
        <v>0.60699999999999998</v>
      </c>
      <c r="G34" s="5">
        <f>G35/$G$1</f>
        <v>0</v>
      </c>
      <c r="J34" s="5">
        <f>J35/G33</f>
        <v>0.39300000000000002</v>
      </c>
    </row>
    <row r="35" spans="1:25" ht="14.25" customHeight="1" thickBot="1" x14ac:dyDescent="0.25">
      <c r="C35" s="3" t="s">
        <v>274</v>
      </c>
      <c r="D35" s="73">
        <v>607</v>
      </c>
      <c r="E35" s="73"/>
      <c r="F35" s="73">
        <v>20</v>
      </c>
      <c r="G35" s="1">
        <v>0</v>
      </c>
      <c r="H35" s="73">
        <f>G33-D35-G35-J35</f>
        <v>0</v>
      </c>
      <c r="I35" s="73"/>
      <c r="J35" s="73">
        <v>393</v>
      </c>
      <c r="M35" s="1" t="s">
        <v>252</v>
      </c>
    </row>
    <row r="36" spans="1:25" ht="14.25" customHeight="1" x14ac:dyDescent="0.2">
      <c r="D36" s="103" t="s">
        <v>253</v>
      </c>
      <c r="E36" s="104"/>
      <c r="F36" s="105"/>
      <c r="G36" s="77"/>
      <c r="H36" s="103" t="s">
        <v>254</v>
      </c>
      <c r="I36" s="104"/>
      <c r="J36" s="105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10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249</v>
      </c>
      <c r="W40" s="73" t="s">
        <v>250</v>
      </c>
      <c r="X40" s="73" t="s">
        <v>251</v>
      </c>
    </row>
    <row r="41" spans="1:25" ht="14.25" customHeight="1" x14ac:dyDescent="0.2">
      <c r="A41" s="4">
        <f>B41/(SUM(M42:M50)*$G$1)</f>
        <v>0.46922808391190074</v>
      </c>
      <c r="B41" s="6">
        <v>124817416.21773514</v>
      </c>
      <c r="C41" s="76">
        <f>ROW(D42)</f>
        <v>42</v>
      </c>
      <c r="D41" s="54" t="s">
        <v>255</v>
      </c>
      <c r="E41" s="55" t="s">
        <v>256</v>
      </c>
      <c r="F41" s="55" t="s">
        <v>234</v>
      </c>
      <c r="G41" s="56" t="s">
        <v>157</v>
      </c>
      <c r="H41" s="55" t="s">
        <v>92</v>
      </c>
      <c r="I41" s="55" t="s">
        <v>93</v>
      </c>
      <c r="J41" s="56" t="s">
        <v>243</v>
      </c>
      <c r="K41" s="56" t="s">
        <v>244</v>
      </c>
      <c r="L41" s="55" t="s">
        <v>34</v>
      </c>
      <c r="M41" s="55" t="s">
        <v>36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175</v>
      </c>
      <c r="S41" s="55" t="s">
        <v>205</v>
      </c>
      <c r="T41" s="55" t="s">
        <v>273</v>
      </c>
      <c r="U41" s="55" t="s">
        <v>206</v>
      </c>
      <c r="V41" s="55" t="s">
        <v>207</v>
      </c>
      <c r="W41" s="55" t="s">
        <v>209</v>
      </c>
      <c r="X41" s="57" t="s">
        <v>241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288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2559.6874521771615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83488.694672590325</v>
      </c>
      <c r="N42" s="8">
        <f>IFERROR(VLOOKUP($G42,角色设定!$AB$9:$AJ$21,MATCH(N$9,角色设定!$AB$9:$AJ$9,0),0)*VLOOKUP($J42,角色成长!$D$17:$J$117,MATCH(N$9,角色成长!$D$17:$J$17,0),0)*角色成长!$L$15,"")</f>
        <v>9010.0998316636087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3.18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0.64896923076923074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258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2844.0971690857355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75139.82520533129</v>
      </c>
      <c r="N44" s="8">
        <f>IFERROR(VLOOKUP($G44,角色设定!$AB$9:$AJ$21,MATCH(N$9,角色设定!$AB$9:$AJ$9,0),0)*VLOOKUP($J44,角色成长!$D$17:$J$117,MATCH(N$9,角色成长!$D$17:$J$17,0),0)*角色成长!$L$15,"")</f>
        <v>9010.0998316636087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3.18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0.64896923076923074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261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5733.6998928768426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29976.136301533741</v>
      </c>
      <c r="N45" s="8">
        <f>IFERROR(VLOOKUP($G45,角色设定!$AB$9:$AJ$21,MATCH(N$9,角色设定!$AB$9:$AJ$9,0),0)*VLOOKUP($J45,角色成长!$D$17:$J$117,MATCH(N$9,角色成长!$D$17:$J$17,0),0)*角色成长!$L$15,"")</f>
        <v>4095.4999234834586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5.3333333333333313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263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4795.4580922242685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32915.902349061107</v>
      </c>
      <c r="N47" s="8">
        <f>IFERROR(VLOOKUP($G47,角色设定!$AB$9:$AJ$21,MATCH(N$9,角色设定!$AB$9:$AJ$9,0),0)*VLOOKUP($J47,角色成长!$D$17:$J$117,MATCH(N$9,角色成长!$D$17:$J$17,0),0)*角色成长!$L$15,"")</f>
        <v>3685.9499311351128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5.6881883624834302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267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2178.8059592932004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44485.293416973771</v>
      </c>
      <c r="N49" s="8">
        <f>IFERROR(VLOOKUP($G49,角色设定!$AB$9:$AJ$21,MATCH(N$9,角色设定!$AB$9:$AJ$9,0),0)*VLOOKUP($J49,角色成长!$D$17:$J$117,MATCH(N$9,角色成长!$D$17:$J$17,0),0)*角色成长!$L$15,"")</f>
        <v>2293.4799571507365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2.4294434088549157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0.62543520671185693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286</v>
      </c>
      <c r="D51" s="74"/>
      <c r="E51" s="74"/>
      <c r="F51" s="74"/>
      <c r="G51" s="74"/>
      <c r="H51" s="74"/>
      <c r="I51" s="74"/>
      <c r="J51" s="65">
        <v>50</v>
      </c>
      <c r="K51" s="65">
        <v>1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249</v>
      </c>
      <c r="W51" s="74" t="s">
        <v>250</v>
      </c>
      <c r="X51" s="74" t="s">
        <v>251</v>
      </c>
    </row>
    <row r="52" spans="1:25" ht="14.25" customHeight="1" x14ac:dyDescent="0.2">
      <c r="A52" s="4">
        <f>B52/(SUM(M53:M61)*$G$1)</f>
        <v>0.14932567611906641</v>
      </c>
      <c r="B52" s="6">
        <v>64454988.080446512</v>
      </c>
      <c r="C52" s="76">
        <f>ROW(D53)</f>
        <v>53</v>
      </c>
      <c r="D52" s="54" t="s">
        <v>255</v>
      </c>
      <c r="E52" s="55" t="s">
        <v>256</v>
      </c>
      <c r="F52" s="55" t="s">
        <v>235</v>
      </c>
      <c r="G52" s="56" t="s">
        <v>157</v>
      </c>
      <c r="H52" s="55" t="s">
        <v>92</v>
      </c>
      <c r="I52" s="55" t="s">
        <v>93</v>
      </c>
      <c r="J52" s="56" t="s">
        <v>243</v>
      </c>
      <c r="K52" s="56" t="s">
        <v>244</v>
      </c>
      <c r="L52" s="55" t="s">
        <v>34</v>
      </c>
      <c r="M52" s="55" t="s">
        <v>36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175</v>
      </c>
      <c r="S52" s="55" t="s">
        <v>205</v>
      </c>
      <c r="T52" s="55" t="s">
        <v>273</v>
      </c>
      <c r="U52" s="55" t="s">
        <v>206</v>
      </c>
      <c r="V52" s="55" t="s">
        <v>207</v>
      </c>
      <c r="W52" s="55" t="s">
        <v>209</v>
      </c>
      <c r="X52" s="57" t="s">
        <v>241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277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1</v>
      </c>
      <c r="L53" s="8">
        <f>VLOOKUP($J$51,怪物设定!$X:$AF,MATCH(L$52,怪物设定!$X$23:$AF$23,0),0)</f>
        <v>2124.8545736345113</v>
      </c>
      <c r="M53" s="8">
        <f>VLOOKUP($J$51,怪物设定!$X:$AF,MATCH(M$52,怪物设定!$X$23:$AF$23,0),0)</f>
        <v>47960.039615433612</v>
      </c>
      <c r="N53" s="8">
        <f>VLOOKUP($J$51,怪物设定!$X:$AF,MATCH(N$52,怪物设定!$X$23:$AF$23,0),0)</f>
        <v>4095.4999234834586</v>
      </c>
      <c r="O53" s="8">
        <f>VLOOKUP($J$51,怪物设定!$X:$AF,MATCH(O$52,怪物设定!$X$23:$AF$23,0),0)</f>
        <v>0.4</v>
      </c>
      <c r="P53" s="8">
        <f>VLOOKUP($J$51,怪物设定!$X:$AF,MATCH(P$52,怪物设定!$X$23:$AF$23,0),0)</f>
        <v>1.5</v>
      </c>
      <c r="Q53" s="8">
        <f>VLOOKUP($J$51,怪物设定!$X:$AF,MATCH(Q$52,怪物设定!$X$23:$AF$23,0),0)</f>
        <v>1</v>
      </c>
      <c r="R53" s="8"/>
      <c r="S53" s="8">
        <f>VLOOKUP($J$51,怪物设定!$X:$AF,MATCH(S$52,怪物设定!$X$23:$AF$23,0),0)</f>
        <v>10</v>
      </c>
      <c r="T53" s="1">
        <v>5</v>
      </c>
      <c r="U53" s="8">
        <f>VLOOKUP($J$51,怪物设定!$X:$AF,MATCH(U$52,怪物设定!$X$23:$AF$23,0),0)</f>
        <v>2.4999999999999991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278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1</v>
      </c>
      <c r="L54" s="8">
        <f>VLOOKUP($J$51,怪物设定!$X:$AF,MATCH(L$52,怪物设定!$X$23:$AF$23,0),0)</f>
        <v>2124.8545736345113</v>
      </c>
      <c r="M54" s="8">
        <f>VLOOKUP($J$51,怪物设定!$X:$AF,MATCH(M$52,怪物设定!$X$23:$AF$23,0),0)</f>
        <v>47960.039615433612</v>
      </c>
      <c r="N54" s="8">
        <f>VLOOKUP($J$51,怪物设定!$X:$AF,MATCH(N$52,怪物设定!$X$23:$AF$23,0),0)</f>
        <v>4095.4999234834586</v>
      </c>
      <c r="O54" s="8">
        <f>VLOOKUP($J$51,怪物设定!$X:$AF,MATCH(O$52,怪物设定!$X$23:$AF$23,0),0)</f>
        <v>0.4</v>
      </c>
      <c r="P54" s="8">
        <f>VLOOKUP($J$51,怪物设定!$X:$AF,MATCH(P$52,怪物设定!$X$23:$AF$23,0),0)</f>
        <v>1.5</v>
      </c>
      <c r="Q54" s="8">
        <f>VLOOKUP($J$51,怪物设定!$X:$AF,MATCH(Q$52,怪物设定!$X$23:$AF$23,0),0)</f>
        <v>1</v>
      </c>
      <c r="S54" s="8">
        <f>VLOOKUP($J$51,怪物设定!$X:$AF,MATCH(S$52,怪物设定!$X$23:$AF$23,0),0)</f>
        <v>10</v>
      </c>
      <c r="T54" s="1">
        <v>5</v>
      </c>
      <c r="U54" s="8">
        <f>VLOOKUP($J$51,怪物设定!$X:$AF,MATCH(U$52,怪物设定!$X$23:$AF$23,0),0)</f>
        <v>2.4999999999999991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279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1</v>
      </c>
      <c r="L55" s="8">
        <f>VLOOKUP($J$51,怪物设定!$X:$AF,MATCH(L$52,怪物设定!$X$23:$AF$23,0),0)</f>
        <v>2124.8545736345113</v>
      </c>
      <c r="M55" s="8">
        <f>VLOOKUP($J$51,怪物设定!$X:$AF,MATCH(M$52,怪物设定!$X$23:$AF$23,0),0)</f>
        <v>47960.039615433612</v>
      </c>
      <c r="N55" s="8">
        <f>VLOOKUP($J$51,怪物设定!$X:$AF,MATCH(N$52,怪物设定!$X$23:$AF$23,0),0)</f>
        <v>4095.4999234834586</v>
      </c>
      <c r="O55" s="8">
        <f>VLOOKUP($J$51,怪物设定!$X:$AF,MATCH(O$52,怪物设定!$X$23:$AF$23,0),0)</f>
        <v>0.4</v>
      </c>
      <c r="P55" s="8">
        <f>VLOOKUP($J$51,怪物设定!$X:$AF,MATCH(P$52,怪物设定!$X$23:$AF$23,0),0)</f>
        <v>1.5</v>
      </c>
      <c r="Q55" s="8">
        <f>VLOOKUP($J$51,怪物设定!$X:$AF,MATCH(Q$52,怪物设定!$X$23:$AF$23,0),0)</f>
        <v>1</v>
      </c>
      <c r="S55" s="8">
        <f>VLOOKUP($J$51,怪物设定!$X:$AF,MATCH(S$52,怪物设定!$X$23:$AF$23,0),0)</f>
        <v>10</v>
      </c>
      <c r="T55" s="1">
        <v>5</v>
      </c>
      <c r="U55" s="8">
        <f>VLOOKUP($J$51,怪物设定!$X:$AF,MATCH(U$52,怪物设定!$X$23:$AF$23,0),0)</f>
        <v>2.4999999999999991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280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1</v>
      </c>
      <c r="L56" s="8">
        <f>VLOOKUP($J$51,怪物设定!$X:$AF,MATCH(L$52,怪物设定!$X$23:$AF$23,0),0)</f>
        <v>2124.8545736345113</v>
      </c>
      <c r="M56" s="8">
        <f>VLOOKUP($J$51,怪物设定!$X:$AF,MATCH(M$52,怪物设定!$X$23:$AF$23,0),0)</f>
        <v>47960.039615433612</v>
      </c>
      <c r="N56" s="8">
        <f>VLOOKUP($J$51,怪物设定!$X:$AF,MATCH(N$52,怪物设定!$X$23:$AF$23,0),0)</f>
        <v>4095.4999234834586</v>
      </c>
      <c r="O56" s="8">
        <f>VLOOKUP($J$51,怪物设定!$X:$AF,MATCH(O$52,怪物设定!$X$23:$AF$23,0),0)</f>
        <v>0.4</v>
      </c>
      <c r="P56" s="8">
        <f>VLOOKUP($J$51,怪物设定!$X:$AF,MATCH(P$52,怪物设定!$X$23:$AF$23,0),0)</f>
        <v>1.5</v>
      </c>
      <c r="Q56" s="8">
        <f>VLOOKUP($J$51,怪物设定!$X:$AF,MATCH(Q$52,怪物设定!$X$23:$AF$23,0),0)</f>
        <v>1</v>
      </c>
      <c r="S56" s="8">
        <f>VLOOKUP($J$51,怪物设定!$X:$AF,MATCH(S$52,怪物设定!$X$23:$AF$23,0),0)</f>
        <v>10</v>
      </c>
      <c r="T56" s="1">
        <v>5</v>
      </c>
      <c r="U56" s="8">
        <f>VLOOKUP($J$51,怪物设定!$X:$AF,MATCH(U$52,怪物设定!$X$23:$AF$23,0),0)</f>
        <v>2.4999999999999991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281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1</v>
      </c>
      <c r="L57" s="8">
        <f>VLOOKUP($J$51,怪物设定!$X:$AF,MATCH(L$52,怪物设定!$X$23:$AF$23,0),0)</f>
        <v>2124.8545736345113</v>
      </c>
      <c r="M57" s="8">
        <f>VLOOKUP($J$51,怪物设定!$X:$AF,MATCH(M$52,怪物设定!$X$23:$AF$23,0),0)</f>
        <v>47960.039615433612</v>
      </c>
      <c r="N57" s="8">
        <f>VLOOKUP($J$51,怪物设定!$X:$AF,MATCH(N$52,怪物设定!$X$23:$AF$23,0),0)</f>
        <v>4095.4999234834586</v>
      </c>
      <c r="O57" s="8">
        <f>VLOOKUP($J$51,怪物设定!$X:$AF,MATCH(O$52,怪物设定!$X$23:$AF$23,0),0)</f>
        <v>0.4</v>
      </c>
      <c r="P57" s="8">
        <f>VLOOKUP($J$51,怪物设定!$X:$AF,MATCH(P$52,怪物设定!$X$23:$AF$23,0),0)</f>
        <v>1.5</v>
      </c>
      <c r="Q57" s="8">
        <f>VLOOKUP($J$51,怪物设定!$X:$AF,MATCH(Q$52,怪物设定!$X$23:$AF$23,0),0)</f>
        <v>1</v>
      </c>
      <c r="S57" s="8">
        <f>VLOOKUP($J$51,怪物设定!$X:$AF,MATCH(S$52,怪物设定!$X$23:$AF$23,0),0)</f>
        <v>10</v>
      </c>
      <c r="T57" s="1">
        <v>5</v>
      </c>
      <c r="U57" s="8">
        <f>VLOOKUP($J$51,怪物设定!$X:$AF,MATCH(U$52,怪物设定!$X$23:$AF$23,0),0)</f>
        <v>2.4999999999999991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282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1</v>
      </c>
      <c r="L58" s="8">
        <f>VLOOKUP($J$51,怪物设定!$X:$AF,MATCH(L$52,怪物设定!$X$23:$AF$23,0),0)</f>
        <v>2124.8545736345113</v>
      </c>
      <c r="M58" s="8">
        <f>VLOOKUP($J$51,怪物设定!$X:$AF,MATCH(M$52,怪物设定!$X$23:$AF$23,0),0)</f>
        <v>47960.039615433612</v>
      </c>
      <c r="N58" s="8">
        <f>VLOOKUP($J$51,怪物设定!$X:$AF,MATCH(N$52,怪物设定!$X$23:$AF$23,0),0)</f>
        <v>4095.4999234834586</v>
      </c>
      <c r="O58" s="8">
        <f>VLOOKUP($J$51,怪物设定!$X:$AF,MATCH(O$52,怪物设定!$X$23:$AF$23,0),0)</f>
        <v>0.4</v>
      </c>
      <c r="P58" s="8">
        <f>VLOOKUP($J$51,怪物设定!$X:$AF,MATCH(P$52,怪物设定!$X$23:$AF$23,0),0)</f>
        <v>1.5</v>
      </c>
      <c r="Q58" s="8">
        <f>VLOOKUP($J$51,怪物设定!$X:$AF,MATCH(Q$52,怪物设定!$X$23:$AF$23,0),0)</f>
        <v>1</v>
      </c>
      <c r="S58" s="8">
        <f>VLOOKUP($J$51,怪物设定!$X:$AF,MATCH(S$52,怪物设定!$X$23:$AF$23,0),0)</f>
        <v>10</v>
      </c>
      <c r="T58" s="1">
        <v>5</v>
      </c>
      <c r="U58" s="8">
        <f>VLOOKUP($J$51,怪物设定!$X:$AF,MATCH(U$52,怪物设定!$X$23:$AF$23,0),0)</f>
        <v>2.4999999999999991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283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1</v>
      </c>
      <c r="L59" s="8">
        <f>VLOOKUP($J$51,怪物设定!$X:$AF,MATCH(L$52,怪物设定!$X$23:$AF$23,0),0)</f>
        <v>2124.8545736345113</v>
      </c>
      <c r="M59" s="8">
        <f>VLOOKUP($J$51,怪物设定!$X:$AF,MATCH(M$52,怪物设定!$X$23:$AF$23,0),0)</f>
        <v>47960.039615433612</v>
      </c>
      <c r="N59" s="8">
        <f>VLOOKUP($J$51,怪物设定!$X:$AF,MATCH(N$52,怪物设定!$X$23:$AF$23,0),0)</f>
        <v>4095.4999234834586</v>
      </c>
      <c r="O59" s="8">
        <f>VLOOKUP($J$51,怪物设定!$X:$AF,MATCH(O$52,怪物设定!$X$23:$AF$23,0),0)</f>
        <v>0.4</v>
      </c>
      <c r="P59" s="8">
        <f>VLOOKUP($J$51,怪物设定!$X:$AF,MATCH(P$52,怪物设定!$X$23:$AF$23,0),0)</f>
        <v>1.5</v>
      </c>
      <c r="Q59" s="8">
        <f>VLOOKUP($J$51,怪物设定!$X:$AF,MATCH(Q$52,怪物设定!$X$23:$AF$23,0),0)</f>
        <v>1</v>
      </c>
      <c r="S59" s="8">
        <f>VLOOKUP($J$51,怪物设定!$X:$AF,MATCH(S$52,怪物设定!$X$23:$AF$23,0),0)</f>
        <v>10</v>
      </c>
      <c r="T59" s="1">
        <v>5</v>
      </c>
      <c r="U59" s="8">
        <f>VLOOKUP($J$51,怪物设定!$X:$AF,MATCH(U$52,怪物设定!$X$23:$AF$23,0),0)</f>
        <v>2.4999999999999991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284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1</v>
      </c>
      <c r="L60" s="8">
        <f>VLOOKUP($J$51,怪物设定!$X:$AF,MATCH(L$52,怪物设定!$X$23:$AF$23,0),0)</f>
        <v>2124.8545736345113</v>
      </c>
      <c r="M60" s="8">
        <f>VLOOKUP($J$51,怪物设定!$X:$AF,MATCH(M$52,怪物设定!$X$23:$AF$23,0),0)</f>
        <v>47960.039615433612</v>
      </c>
      <c r="N60" s="8">
        <f>VLOOKUP($J$51,怪物设定!$X:$AF,MATCH(N$52,怪物设定!$X$23:$AF$23,0),0)</f>
        <v>4095.4999234834586</v>
      </c>
      <c r="O60" s="8">
        <f>VLOOKUP($J$51,怪物设定!$X:$AF,MATCH(O$52,怪物设定!$X$23:$AF$23,0),0)</f>
        <v>0.4</v>
      </c>
      <c r="P60" s="8">
        <f>VLOOKUP($J$51,怪物设定!$X:$AF,MATCH(P$52,怪物设定!$X$23:$AF$23,0),0)</f>
        <v>1.5</v>
      </c>
      <c r="Q60" s="8">
        <f>VLOOKUP($J$51,怪物设定!$X:$AF,MATCH(Q$52,怪物设定!$X$23:$AF$23,0),0)</f>
        <v>1</v>
      </c>
      <c r="S60" s="8">
        <f>VLOOKUP($J$51,怪物设定!$X:$AF,MATCH(S$52,怪物设定!$X$23:$AF$23,0),0)</f>
        <v>10</v>
      </c>
      <c r="T60" s="1">
        <v>5</v>
      </c>
      <c r="U60" s="8">
        <f>VLOOKUP($J$51,怪物设定!$X:$AF,MATCH(U$52,怪物设定!$X$23:$AF$23,0),0)</f>
        <v>2.4999999999999991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285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1</v>
      </c>
      <c r="L61" s="62">
        <f>VLOOKUP($J$51,怪物设定!$X:$AF,MATCH(L$52,怪物设定!$X$23:$AF$23,0),0)</f>
        <v>2124.8545736345113</v>
      </c>
      <c r="M61" s="62">
        <f>VLOOKUP($J$51,怪物设定!$X:$AF,MATCH(M$52,怪物设定!$X$23:$AF$23,0),0)</f>
        <v>47960.039615433612</v>
      </c>
      <c r="N61" s="62">
        <f>VLOOKUP($J$51,怪物设定!$X:$AF,MATCH(N$52,怪物设定!$X$23:$AF$23,0),0)</f>
        <v>4095.4999234834586</v>
      </c>
      <c r="O61" s="62">
        <f>VLOOKUP($J$51,怪物设定!$X:$AF,MATCH(O$52,怪物设定!$X$23:$AF$23,0),0)</f>
        <v>0.4</v>
      </c>
      <c r="P61" s="62">
        <f>VLOOKUP($J$51,怪物设定!$X:$AF,MATCH(P$52,怪物设定!$X$23:$AF$23,0),0)</f>
        <v>1.5</v>
      </c>
      <c r="Q61" s="62">
        <f>VLOOKUP($J$51,怪物设定!$X:$AF,MATCH(Q$52,怪物设定!$X$23:$AF$23,0),0)</f>
        <v>1</v>
      </c>
      <c r="R61" s="61"/>
      <c r="S61" s="62">
        <f>VLOOKUP($J$51,怪物设定!$X:$AF,MATCH(S$52,怪物设定!$X$23:$AF$23,0),0)</f>
        <v>10</v>
      </c>
      <c r="T61" s="61">
        <v>5</v>
      </c>
      <c r="U61" s="62">
        <f>VLOOKUP($J$51,怪物设定!$X:$AF,MATCH(U$52,怪物设定!$X$23:$AF$23,0),0)</f>
        <v>2.4999999999999991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2023-01-06T10:15:58Z</dcterms:modified>
</cp:coreProperties>
</file>